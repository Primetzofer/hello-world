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rstegroup-my.sharepoint.com/personal/a960hfc_s-mxs_net/Documents/OD4BMigration/Erzherzog-Rainergasse/Hauskauf/"/>
    </mc:Choice>
  </mc:AlternateContent>
  <xr:revisionPtr revIDLastSave="208" documentId="8_{6F6201BA-4AEA-4015-BFDF-64BFD07885A8}" xr6:coauthVersionLast="47" xr6:coauthVersionMax="47" xr10:uidLastSave="{79CDB159-3435-4CEC-8315-84B6445F03EC}"/>
  <bookViews>
    <workbookView xWindow="9195" yWindow="300" windowWidth="16200" windowHeight="14100" xr2:uid="{6AF07723-C940-4585-B14E-AAB516BE2249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B51" i="1"/>
  <c r="B50" i="1"/>
  <c r="B49" i="1"/>
  <c r="B48" i="1"/>
  <c r="E3" i="1"/>
  <c r="B13" i="1"/>
  <c r="C4" i="1" l="1"/>
  <c r="B40" i="1"/>
  <c r="B39" i="1"/>
  <c r="B38" i="1"/>
  <c r="B42" i="1" s="1"/>
  <c r="B43" i="1" s="1"/>
  <c r="B10" i="1"/>
  <c r="C34" i="1"/>
  <c r="C35" i="1" s="1"/>
  <c r="B34" i="1"/>
  <c r="B35" i="1" s="1"/>
  <c r="B6" i="1"/>
  <c r="B7" i="1" s="1"/>
  <c r="C7" i="1" s="1"/>
</calcChain>
</file>

<file path=xl/sharedStrings.xml><?xml version="1.0" encoding="utf-8"?>
<sst xmlns="http://schemas.openxmlformats.org/spreadsheetml/2006/main" count="48" uniqueCount="44">
  <si>
    <t xml:space="preserve">Laufzeit </t>
  </si>
  <si>
    <t>25J</t>
  </si>
  <si>
    <t xml:space="preserve">Kreditbetrag </t>
  </si>
  <si>
    <t>EB</t>
  </si>
  <si>
    <t>Start</t>
  </si>
  <si>
    <t>Fix</t>
  </si>
  <si>
    <t>25Y</t>
  </si>
  <si>
    <t>Zins effektiv</t>
  </si>
  <si>
    <t>Annuitäten mtl.</t>
  </si>
  <si>
    <t>qrtl.</t>
  </si>
  <si>
    <t>zurückzahlender Betrag</t>
  </si>
  <si>
    <t>regelm. Anfall. Kosten</t>
  </si>
  <si>
    <t>Grundbuchgebühr</t>
  </si>
  <si>
    <t>Kaufpreis</t>
  </si>
  <si>
    <t>-  aushaftendes Wohnbauförderungsdarlehen</t>
  </si>
  <si>
    <t>BARKAUFPEIS</t>
  </si>
  <si>
    <t>-  aushaftendes Annuitätenzuschuss</t>
  </si>
  <si>
    <t>-  Finanzieurngsbeitrag</t>
  </si>
  <si>
    <t>Nebenkosten</t>
  </si>
  <si>
    <t>Cash</t>
  </si>
  <si>
    <t>Annuitätenzuschuss</t>
  </si>
  <si>
    <t>WBF</t>
  </si>
  <si>
    <t>Betriebskosten</t>
  </si>
  <si>
    <t>Verwaltung</t>
  </si>
  <si>
    <t>EBV</t>
  </si>
  <si>
    <t>RL</t>
  </si>
  <si>
    <t>Abstellpl Verwaltung</t>
  </si>
  <si>
    <t>Abstellplatz</t>
  </si>
  <si>
    <t>UST</t>
  </si>
  <si>
    <t>Summe</t>
  </si>
  <si>
    <t>monatl Belastung</t>
  </si>
  <si>
    <t>zu finanzieren</t>
  </si>
  <si>
    <t>1,5% v. KP Übetragung in Eigentum</t>
  </si>
  <si>
    <t>3,5% v. KP Grunderwerbssteuer zzl. Anwaltskosten</t>
  </si>
  <si>
    <t>Beglaubigungskosten</t>
  </si>
  <si>
    <t>1,1% v. KP Eintragungsgebühr zzl. Anwaltkosten</t>
  </si>
  <si>
    <t>Monate</t>
  </si>
  <si>
    <t>30Y</t>
  </si>
  <si>
    <t>Flächen</t>
  </si>
  <si>
    <t>Keller</t>
  </si>
  <si>
    <t>Erdgeschoss</t>
  </si>
  <si>
    <t>Obergeschoss</t>
  </si>
  <si>
    <t>Weitere Obergeschoss</t>
  </si>
  <si>
    <t>Dachgeschoss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</si>
</sst>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0" x14ac:knownFonts="1">
    <font>
      <sz val="11"/>
      <color theme="1"/>
      <name val="Inter"/>
      <family val="2"/>
    </font>
    <font>
      <sz val="11"/>
      <color theme="1"/>
      <name val="Inter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0070C0"/>
      <name val="Arial"/>
      <family val="2"/>
    </font>
    <font>
      <b/>
      <sz val="11"/>
      <color theme="1" tint="4.9989318521683403E-2"/>
      <name val="Arial"/>
      <family val="2"/>
    </font>
    <font>
      <sz val="11"/>
      <color rgb="FFFF0000"/>
      <name val="Arial"/>
      <family val="2"/>
    </font>
    <font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b/>
      <sz val="11"/>
      <color theme="9" tint="-0.24997711111789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43" fontId="2" fillId="0" borderId="0" xfId="1" applyFont="1"/>
    <xf numFmtId="10" fontId="2" fillId="0" borderId="0" xfId="0" applyNumberFormat="1" applyFont="1"/>
    <xf numFmtId="0" fontId="3" fillId="0" borderId="0" xfId="0" applyFont="1"/>
    <xf numFmtId="43" fontId="3" fillId="0" borderId="0" xfId="1" applyFont="1"/>
    <xf numFmtId="0" fontId="3" fillId="0" borderId="0" xfId="0" applyFont="1" applyAlignment="1">
      <alignment horizontal="right"/>
    </xf>
    <xf numFmtId="0" fontId="2" fillId="0" borderId="0" xfId="0" quotePrefix="1" applyFont="1" applyAlignment="1">
      <alignment horizontal="right"/>
    </xf>
    <xf numFmtId="0" fontId="2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43" fontId="4" fillId="0" borderId="0" xfId="0" applyNumberFormat="1" applyFont="1"/>
    <xf numFmtId="43" fontId="5" fillId="0" borderId="0" xfId="0" applyNumberFormat="1" applyFont="1"/>
    <xf numFmtId="0" fontId="6" fillId="0" borderId="0" xfId="0" applyFont="1" applyAlignment="1">
      <alignment horizontal="right"/>
    </xf>
    <xf numFmtId="43" fontId="6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3" borderId="0" xfId="0" applyFont="1" applyFill="1" applyAlignment="1">
      <alignment horizontal="right"/>
    </xf>
    <xf numFmtId="43" fontId="3" fillId="3" borderId="0" xfId="0" applyNumberFormat="1" applyFont="1" applyFill="1"/>
    <xf numFmtId="0" fontId="3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43" fontId="3" fillId="2" borderId="1" xfId="1" applyFont="1" applyFill="1" applyBorder="1" applyAlignment="1">
      <alignment horizontal="center"/>
    </xf>
    <xf numFmtId="43" fontId="3" fillId="0" borderId="1" xfId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0" fontId="3" fillId="0" borderId="1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43" fontId="2" fillId="0" borderId="1" xfId="1" applyFont="1" applyBorder="1" applyAlignment="1">
      <alignment horizontal="center"/>
    </xf>
    <xf numFmtId="0" fontId="9" fillId="0" borderId="0" xfId="0" applyFont="1" applyAlignment="1">
      <alignment horizontal="right"/>
    </xf>
    <xf numFmtId="43" fontId="9" fillId="0" borderId="0" xfId="0" applyNumberFormat="1" applyFont="1"/>
    <xf numFmtId="0" fontId="2" fillId="0" borderId="0" xfId="0" applyFont="1" applyAlignment="1">
      <alignment wrapText="1"/>
    </xf>
    <xf numFmtId="43" fontId="2" fillId="0" borderId="0" xfId="0" applyNumberFormat="1" applyFont="1"/>
    <xf numFmtId="10" fontId="2" fillId="0" borderId="0" xfId="2" applyNumberFormat="1" applyFont="1"/>
    <xf numFmtId="0" fontId="3" fillId="3" borderId="0" xfId="0" applyFont="1" applyFill="1"/>
    <xf numFmtId="0" fontId="4" fillId="3" borderId="0" xfId="0" applyFont="1" applyFill="1" applyAlignment="1">
      <alignment horizontal="right"/>
    </xf>
    <xf numFmtId="43" fontId="8" fillId="3" borderId="0" xfId="1" applyFont="1" applyFill="1"/>
  </cellXfs>
  <cellStyles count="3">
    <cellStyle name="Komma" xfId="1" builtinId="3"/>
    <cellStyle name="Prozent" xfId="2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5949-1F35-487F-92E5-29AB28F34227}">
  <dimension ref="A2:E51"/>
  <sheetViews>
    <sheetView tabSelected="1" zoomScale="89" zoomScaleNormal="89" workbookViewId="0">
      <selection activeCell="C10" sqref="C10"/>
    </sheetView>
  </sheetViews>
  <sheetFormatPr baseColWidth="10" defaultColWidth="7.3984375" defaultRowHeight="14.25" x14ac:dyDescent="0.2"/>
  <cols>
    <col min="1" max="1" width="28.69921875" style="1" customWidth="1"/>
    <col min="2" max="2" width="9.09765625" style="1" bestFit="1" customWidth="1"/>
    <col min="3" max="3" width="8.8984375" style="1" bestFit="1" customWidth="1"/>
    <col min="4" max="16384" width="7.3984375" style="1"/>
  </cols>
  <sheetData>
    <row r="2" spans="1:5" ht="15" x14ac:dyDescent="0.25">
      <c r="A2" s="6" t="s">
        <v>13</v>
      </c>
      <c r="B2" s="5">
        <v>503026.54</v>
      </c>
      <c r="E2" s="1" t="s">
        <v>37</v>
      </c>
    </row>
    <row r="3" spans="1:5" x14ac:dyDescent="0.2">
      <c r="A3" s="7" t="s">
        <v>14</v>
      </c>
      <c r="B3" s="2">
        <v>-34354.79</v>
      </c>
      <c r="E3" s="1">
        <f>12*30</f>
        <v>360</v>
      </c>
    </row>
    <row r="4" spans="1:5" x14ac:dyDescent="0.2">
      <c r="A4" s="7" t="s">
        <v>16</v>
      </c>
      <c r="B4" s="2">
        <v>-16209.81</v>
      </c>
      <c r="C4" s="32">
        <f>+B3+B4</f>
        <v>-50564.6</v>
      </c>
    </row>
    <row r="5" spans="1:5" x14ac:dyDescent="0.2">
      <c r="A5" s="7" t="s">
        <v>17</v>
      </c>
      <c r="B5" s="2">
        <v>-76109.919999999998</v>
      </c>
    </row>
    <row r="6" spans="1:5" ht="15" x14ac:dyDescent="0.25">
      <c r="A6" s="6" t="s">
        <v>15</v>
      </c>
      <c r="B6" s="5">
        <f>SUM(B2:B5)</f>
        <v>376352.02</v>
      </c>
    </row>
    <row r="7" spans="1:5" ht="15" x14ac:dyDescent="0.25">
      <c r="A7" s="9" t="s">
        <v>18</v>
      </c>
      <c r="B7" s="10">
        <f>+B8-B6</f>
        <v>39647.979999999981</v>
      </c>
      <c r="C7" s="33">
        <f>+B7/B2</f>
        <v>7.8818863116049465E-2</v>
      </c>
    </row>
    <row r="8" spans="1:5" ht="15" x14ac:dyDescent="0.25">
      <c r="A8" s="9"/>
      <c r="B8" s="11">
        <v>416000</v>
      </c>
    </row>
    <row r="9" spans="1:5" x14ac:dyDescent="0.2">
      <c r="A9" s="12" t="s">
        <v>19</v>
      </c>
      <c r="B9" s="13">
        <v>76000</v>
      </c>
      <c r="C9" s="32">
        <f>+B9*2</f>
        <v>152000</v>
      </c>
    </row>
    <row r="10" spans="1:5" ht="15" x14ac:dyDescent="0.25">
      <c r="A10" s="29" t="s">
        <v>31</v>
      </c>
      <c r="B10" s="30">
        <f>+B8-B9</f>
        <v>340000</v>
      </c>
    </row>
    <row r="11" spans="1:5" ht="15" x14ac:dyDescent="0.25">
      <c r="B11" s="20" t="s">
        <v>3</v>
      </c>
      <c r="C11" s="20" t="s">
        <v>3</v>
      </c>
      <c r="D11" s="4"/>
    </row>
    <row r="12" spans="1:5" x14ac:dyDescent="0.2">
      <c r="A12" s="8" t="s">
        <v>0</v>
      </c>
      <c r="B12" s="21" t="s">
        <v>1</v>
      </c>
      <c r="C12" s="21" t="s">
        <v>6</v>
      </c>
    </row>
    <row r="13" spans="1:5" x14ac:dyDescent="0.2">
      <c r="A13" s="8" t="s">
        <v>36</v>
      </c>
      <c r="B13" s="21">
        <f>25*12</f>
        <v>300</v>
      </c>
      <c r="C13" s="21"/>
    </row>
    <row r="14" spans="1:5" ht="15" x14ac:dyDescent="0.25">
      <c r="A14" s="6" t="s">
        <v>2</v>
      </c>
      <c r="B14" s="22">
        <v>340000</v>
      </c>
      <c r="C14" s="23">
        <v>300000</v>
      </c>
    </row>
    <row r="15" spans="1:5" ht="15" x14ac:dyDescent="0.25">
      <c r="A15" s="6" t="s">
        <v>8</v>
      </c>
      <c r="B15" s="23">
        <v>1745.59</v>
      </c>
      <c r="C15" s="23">
        <v>1550.09</v>
      </c>
    </row>
    <row r="16" spans="1:5" x14ac:dyDescent="0.2">
      <c r="A16" s="8"/>
      <c r="B16" s="21" t="s">
        <v>9</v>
      </c>
      <c r="C16" s="21" t="s">
        <v>9</v>
      </c>
    </row>
    <row r="17" spans="1:4" x14ac:dyDescent="0.2">
      <c r="A17" s="8" t="s">
        <v>4</v>
      </c>
      <c r="B17" s="24">
        <v>45296</v>
      </c>
      <c r="C17" s="24">
        <v>45112</v>
      </c>
      <c r="D17" s="3"/>
    </row>
    <row r="18" spans="1:4" ht="15" x14ac:dyDescent="0.25">
      <c r="A18" s="8"/>
      <c r="B18" s="25">
        <v>3.6499999999999998E-2</v>
      </c>
      <c r="C18" s="26">
        <v>3.6999999999999998E-2</v>
      </c>
    </row>
    <row r="19" spans="1:4" x14ac:dyDescent="0.2">
      <c r="A19" s="8" t="s">
        <v>7</v>
      </c>
      <c r="B19" s="26">
        <v>3.7999999999999999E-2</v>
      </c>
      <c r="C19" s="26">
        <v>3.9E-2</v>
      </c>
    </row>
    <row r="20" spans="1:4" ht="15" x14ac:dyDescent="0.25">
      <c r="A20" s="8"/>
      <c r="B20" s="27" t="s">
        <v>5</v>
      </c>
      <c r="C20" s="27" t="s">
        <v>5</v>
      </c>
    </row>
    <row r="21" spans="1:4" x14ac:dyDescent="0.2">
      <c r="A21" s="8" t="s">
        <v>10</v>
      </c>
      <c r="B21" s="28">
        <v>524608.54</v>
      </c>
      <c r="C21" s="28">
        <v>466698.44</v>
      </c>
    </row>
    <row r="22" spans="1:4" x14ac:dyDescent="0.2">
      <c r="A22" s="8" t="s">
        <v>12</v>
      </c>
      <c r="B22" s="28">
        <v>250</v>
      </c>
      <c r="C22" s="21"/>
    </row>
    <row r="23" spans="1:4" x14ac:dyDescent="0.2">
      <c r="A23" s="8" t="s">
        <v>11</v>
      </c>
      <c r="B23" s="28">
        <v>35</v>
      </c>
      <c r="C23" s="21"/>
    </row>
    <row r="25" spans="1:4" x14ac:dyDescent="0.2">
      <c r="A25" s="15" t="s">
        <v>20</v>
      </c>
      <c r="B25" s="14">
        <v>-390</v>
      </c>
      <c r="C25" s="14">
        <v>-390</v>
      </c>
    </row>
    <row r="26" spans="1:4" x14ac:dyDescent="0.2">
      <c r="A26" s="15" t="s">
        <v>21</v>
      </c>
      <c r="B26" s="14">
        <v>183.92</v>
      </c>
      <c r="C26" s="14">
        <v>183.92</v>
      </c>
    </row>
    <row r="27" spans="1:4" x14ac:dyDescent="0.2">
      <c r="A27" s="15" t="s">
        <v>22</v>
      </c>
      <c r="B27" s="14">
        <v>96.48</v>
      </c>
      <c r="C27" s="14">
        <v>96.48</v>
      </c>
    </row>
    <row r="28" spans="1:4" x14ac:dyDescent="0.2">
      <c r="A28" s="15" t="s">
        <v>23</v>
      </c>
      <c r="B28" s="14">
        <v>22.75</v>
      </c>
      <c r="C28" s="14">
        <v>22.75</v>
      </c>
    </row>
    <row r="29" spans="1:4" x14ac:dyDescent="0.2">
      <c r="A29" s="15" t="s">
        <v>24</v>
      </c>
      <c r="B29" s="14">
        <v>107.03</v>
      </c>
      <c r="C29" s="14">
        <v>107.03</v>
      </c>
    </row>
    <row r="30" spans="1:4" x14ac:dyDescent="0.2">
      <c r="A30" s="15" t="s">
        <v>25</v>
      </c>
      <c r="B30" s="14">
        <v>26.32</v>
      </c>
      <c r="C30" s="14">
        <v>26.32</v>
      </c>
    </row>
    <row r="31" spans="1:4" x14ac:dyDescent="0.2">
      <c r="A31" s="15" t="s">
        <v>26</v>
      </c>
      <c r="B31" s="14">
        <v>4.97</v>
      </c>
      <c r="C31" s="14">
        <v>4.97</v>
      </c>
    </row>
    <row r="32" spans="1:4" x14ac:dyDescent="0.2">
      <c r="A32" s="15" t="s">
        <v>27</v>
      </c>
      <c r="B32" s="14">
        <v>14.9</v>
      </c>
      <c r="C32" s="14">
        <v>14.9</v>
      </c>
    </row>
    <row r="33" spans="1:3" x14ac:dyDescent="0.2">
      <c r="A33" s="15" t="s">
        <v>28</v>
      </c>
      <c r="B33" s="14">
        <v>6.88</v>
      </c>
      <c r="C33" s="14">
        <v>6.88</v>
      </c>
    </row>
    <row r="34" spans="1:3" ht="15" x14ac:dyDescent="0.25">
      <c r="A34" s="16" t="s">
        <v>29</v>
      </c>
      <c r="B34" s="17">
        <f>SUM(B25:B33)</f>
        <v>73.249999999999986</v>
      </c>
      <c r="C34" s="17">
        <f>SUM(C25:C33)</f>
        <v>73.249999999999986</v>
      </c>
    </row>
    <row r="35" spans="1:3" ht="15" x14ac:dyDescent="0.25">
      <c r="A35" s="18" t="s">
        <v>30</v>
      </c>
      <c r="B35" s="19">
        <f>+B15+B34</f>
        <v>1818.84</v>
      </c>
      <c r="C35" s="19">
        <f>+C15+C34</f>
        <v>1623.34</v>
      </c>
    </row>
    <row r="37" spans="1:3" ht="15" x14ac:dyDescent="0.25">
      <c r="A37" s="35" t="s">
        <v>18</v>
      </c>
    </row>
    <row r="38" spans="1:3" x14ac:dyDescent="0.2">
      <c r="A38" s="1" t="s">
        <v>32</v>
      </c>
      <c r="B38" s="2">
        <f>+B2*1.5%*1.2</f>
        <v>9054.477719999999</v>
      </c>
    </row>
    <row r="39" spans="1:3" ht="28.5" x14ac:dyDescent="0.2">
      <c r="A39" s="31" t="s">
        <v>33</v>
      </c>
      <c r="B39" s="2">
        <f>3.5%*B2</f>
        <v>17605.928900000003</v>
      </c>
    </row>
    <row r="40" spans="1:3" x14ac:dyDescent="0.2">
      <c r="A40" s="1" t="s">
        <v>35</v>
      </c>
      <c r="B40" s="2">
        <f>+B2*1.1%</f>
        <v>5533.2919400000001</v>
      </c>
    </row>
    <row r="41" spans="1:3" x14ac:dyDescent="0.2">
      <c r="A41" s="1" t="s">
        <v>34</v>
      </c>
      <c r="B41" s="2"/>
    </row>
    <row r="42" spans="1:3" x14ac:dyDescent="0.2">
      <c r="B42" s="32">
        <f>SUM(B38:B41)</f>
        <v>32193.698560000001</v>
      </c>
    </row>
    <row r="43" spans="1:3" ht="15" x14ac:dyDescent="0.25">
      <c r="B43" s="36">
        <f>+B42*1.2</f>
        <v>38632.438271999999</v>
      </c>
    </row>
    <row r="46" spans="1:3" ht="15" x14ac:dyDescent="0.25">
      <c r="A46" s="34" t="s">
        <v>38</v>
      </c>
    </row>
    <row r="47" spans="1:3" x14ac:dyDescent="0.2">
      <c r="A47" s="1" t="s">
        <v>39</v>
      </c>
      <c r="B47" s="1">
        <v>11.78</v>
      </c>
    </row>
    <row r="48" spans="1:3" x14ac:dyDescent="0.2">
      <c r="A48" s="1" t="s">
        <v>40</v>
      </c>
      <c r="B48" s="1">
        <f>1.46+5.81+17.55+1.3</f>
        <v>26.12</v>
      </c>
    </row>
    <row r="49" spans="1:2" x14ac:dyDescent="0.2">
      <c r="A49" s="1" t="s">
        <v>41</v>
      </c>
      <c r="B49" s="1">
        <f>8.32+6.74+3.89+17.55</f>
        <v>36.5</v>
      </c>
    </row>
    <row r="50" spans="1:2" x14ac:dyDescent="0.2">
      <c r="A50" s="1" t="s">
        <v>42</v>
      </c>
      <c r="B50" s="1">
        <f>11.12+1.61+5.72+17.55</f>
        <v>36</v>
      </c>
    </row>
    <row r="51" spans="1:2" x14ac:dyDescent="0.2">
      <c r="A51" s="1" t="s">
        <v>43</v>
      </c>
      <c r="B51" s="1">
        <f>12.52+3.65</f>
        <v>16.169999999999998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s IT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Primetzhofer Alexandra DI.</dc:creator>
  <cp:lastModifiedBy>Primetzhofer Alexandra 0663 EH</cp:lastModifiedBy>
  <dcterms:created xsi:type="dcterms:W3CDTF">2023-06-05T18:57:39Z</dcterms:created>
  <dcterms:modified xsi:type="dcterms:W3CDTF">2023-06-06T20:00:24Z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939b85-7e40-4a1d-91e1-0e84c3b219d7_Enabled">
    <vt:lpwstr>true</vt:lpwstr>
  </property>
  <property fmtid="{D5CDD505-2E9C-101B-9397-08002B2CF9AE}" pid="3" name="MSIP_Label_38939b85-7e40-4a1d-91e1-0e84c3b219d7_SetDate">
    <vt:lpwstr>2023-06-05T18:57:41Z</vt:lpwstr>
  </property>
  <property fmtid="{D5CDD505-2E9C-101B-9397-08002B2CF9AE}" pid="4" name="MSIP_Label_38939b85-7e40-4a1d-91e1-0e84c3b219d7_Method">
    <vt:lpwstr>Standard</vt:lpwstr>
  </property>
  <property fmtid="{D5CDD505-2E9C-101B-9397-08002B2CF9AE}" pid="5" name="MSIP_Label_38939b85-7e40-4a1d-91e1-0e84c3b219d7_Name">
    <vt:lpwstr>38939b85-7e40-4a1d-91e1-0e84c3b219d7</vt:lpwstr>
  </property>
  <property fmtid="{D5CDD505-2E9C-101B-9397-08002B2CF9AE}" pid="6" name="MSIP_Label_38939b85-7e40-4a1d-91e1-0e84c3b219d7_SiteId">
    <vt:lpwstr>3ad0376a-54d3-49a6-9e20-52de0a92fc89</vt:lpwstr>
  </property>
  <property fmtid="{D5CDD505-2E9C-101B-9397-08002B2CF9AE}" pid="7" name="MSIP_Label_38939b85-7e40-4a1d-91e1-0e84c3b219d7_ActionId">
    <vt:lpwstr>0c5c0a08-7eab-42bb-a82d-a7a9e25b3301</vt:lpwstr>
  </property>
  <property fmtid="{D5CDD505-2E9C-101B-9397-08002B2CF9AE}" pid="8" name="MSIP_Label_38939b85-7e40-4a1d-91e1-0e84c3b219d7_ContentBits">
    <vt:lpwstr>0</vt:lpwstr>
  </property>
</Properties>
</file>