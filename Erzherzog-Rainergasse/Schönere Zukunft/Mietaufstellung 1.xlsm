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Erzherzog-Rainergasse/Schönere Zukunft/"/>
    </mc:Choice>
  </mc:AlternateContent>
  <xr:revisionPtr revIDLastSave="0" documentId="8_{5F8F619A-4512-42B0-ADFE-2A89BA376187}" xr6:coauthVersionLast="47" xr6:coauthVersionMax="47" xr10:uidLastSave="{00000000-0000-0000-0000-000000000000}"/>
  <bookViews>
    <workbookView xWindow="30180" yWindow="3270" windowWidth="24885" windowHeight="15450" xr2:uid="{00000000-000D-0000-FFFF-FFFF00000000}"/>
  </bookViews>
  <sheets>
    <sheet name="Tabelle1 (2)" sheetId="3" r:id="rId1"/>
    <sheet name="Tabelle1" sheetId="1" r:id="rId2"/>
    <sheet name="Tabelle2" sheetId="2" r:id="rId3"/>
  </sheets>
  <definedNames>
    <definedName name="_xlnm._FilterDatabase" localSheetId="1" hidden="1">Tabelle1!$BB$8:$BF$1997</definedName>
    <definedName name="_xlnm._FilterDatabase" localSheetId="0" hidden="1">'Tabelle1 (2)'!$BB$8:$BF$1997</definedName>
    <definedName name="optionen" localSheetId="1">Tabelle1!$BH$1936</definedName>
    <definedName name="optionen" localSheetId="0">'Tabelle1 (2)'!$BH$1936</definedName>
    <definedName name="SpreadsheetBuilder_1" localSheetId="0" hidden="1">'Tabelle1 (2)'!$BB$3:$BC$9</definedName>
    <definedName name="SpreadsheetBuilder_1" hidden="1">Tabelle1!$BB$3:$BC$9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3" i="3" l="1"/>
  <c r="A39" i="3"/>
  <c r="E45" i="3"/>
  <c r="BE1966" i="3"/>
  <c r="BF1966" i="3" s="1"/>
  <c r="BE1962" i="3"/>
  <c r="BE1910" i="3"/>
  <c r="BE1868" i="3"/>
  <c r="BE1860" i="3"/>
  <c r="BE1853" i="3"/>
  <c r="BF1835" i="3"/>
  <c r="BE1825" i="3"/>
  <c r="BE1753" i="3"/>
  <c r="BE1744" i="3"/>
  <c r="BE1732" i="3"/>
  <c r="BF1705" i="3"/>
  <c r="BE1701" i="3"/>
  <c r="BE1598" i="3"/>
  <c r="BE1590" i="3"/>
  <c r="BE1583" i="3"/>
  <c r="BF1575" i="3"/>
  <c r="BE1555" i="3"/>
  <c r="BE1492" i="3"/>
  <c r="BE1489" i="3"/>
  <c r="BE1483" i="3"/>
  <c r="BE1484" i="3" s="1"/>
  <c r="BE1471" i="3"/>
  <c r="BF1445" i="3"/>
  <c r="BE1440" i="3"/>
  <c r="BE1343" i="3"/>
  <c r="BE1335" i="3"/>
  <c r="BE1328" i="3"/>
  <c r="BF1314" i="3"/>
  <c r="BE1300" i="3"/>
  <c r="BE1230" i="3"/>
  <c r="BE1227" i="3"/>
  <c r="BE1221" i="3"/>
  <c r="BE1222" i="3" s="1"/>
  <c r="BE1223" i="3" s="1"/>
  <c r="BF1184" i="3"/>
  <c r="BE1128" i="3"/>
  <c r="BE1088" i="3"/>
  <c r="BE1080" i="3"/>
  <c r="BE1073" i="3"/>
  <c r="BE1052" i="3"/>
  <c r="BF1052" i="3" s="1"/>
  <c r="BE1045" i="3"/>
  <c r="BE966" i="3"/>
  <c r="BE960" i="3"/>
  <c r="BE961" i="3" s="1"/>
  <c r="BE962" i="3" s="1"/>
  <c r="BE923" i="3"/>
  <c r="BF923" i="3" s="1"/>
  <c r="BE919" i="3"/>
  <c r="BE867" i="3"/>
  <c r="BE813" i="3"/>
  <c r="BE805" i="3"/>
  <c r="BE798" i="3"/>
  <c r="BE791" i="3"/>
  <c r="BF791" i="3" s="1"/>
  <c r="BE770" i="3"/>
  <c r="BE705" i="3"/>
  <c r="BE700" i="3"/>
  <c r="BE701" i="3" s="1"/>
  <c r="BE689" i="3"/>
  <c r="BE662" i="3"/>
  <c r="BF662" i="3" s="1"/>
  <c r="BE658" i="3"/>
  <c r="BE606" i="3"/>
  <c r="BE563" i="3"/>
  <c r="BE555" i="3"/>
  <c r="BE548" i="3"/>
  <c r="BE530" i="3"/>
  <c r="BF530" i="3" s="1"/>
  <c r="BE519" i="3"/>
  <c r="BE520" i="3" s="1"/>
  <c r="BE449" i="3"/>
  <c r="BE440" i="3"/>
  <c r="BE428" i="3"/>
  <c r="BF401" i="3"/>
  <c r="BE397" i="3"/>
  <c r="BE345" i="3"/>
  <c r="BE292" i="3"/>
  <c r="BE280" i="3"/>
  <c r="BE273" i="3"/>
  <c r="BF270" i="3"/>
  <c r="BE245" i="3"/>
  <c r="BE187" i="3"/>
  <c r="BE184" i="3"/>
  <c r="BE178" i="3"/>
  <c r="BE179" i="3" s="1"/>
  <c r="BE166" i="3"/>
  <c r="BF140" i="3"/>
  <c r="BE135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Y79" i="3"/>
  <c r="N61" i="3"/>
  <c r="Y78" i="3"/>
  <c r="N60" i="3"/>
  <c r="Y77" i="3"/>
  <c r="N59" i="3"/>
  <c r="B60" i="3"/>
  <c r="B91" i="3" s="1"/>
  <c r="Y76" i="3"/>
  <c r="N58" i="3"/>
  <c r="L58" i="3"/>
  <c r="M58" i="3" s="1"/>
  <c r="H59" i="3"/>
  <c r="H108" i="3" s="1"/>
  <c r="F108" i="3" s="1"/>
  <c r="Y75" i="3"/>
  <c r="N57" i="3"/>
  <c r="Y74" i="3"/>
  <c r="N56" i="3"/>
  <c r="L56" i="3"/>
  <c r="M56" i="3" s="1"/>
  <c r="B57" i="3" s="1"/>
  <c r="Y73" i="3"/>
  <c r="N55" i="3"/>
  <c r="Y72" i="3"/>
  <c r="N54" i="3"/>
  <c r="L54" i="3"/>
  <c r="M54" i="3" s="1"/>
  <c r="B55" i="3" s="1"/>
  <c r="B56" i="3" s="1"/>
  <c r="Y71" i="3"/>
  <c r="N53" i="3"/>
  <c r="Y70" i="3"/>
  <c r="N52" i="3"/>
  <c r="L52" i="3"/>
  <c r="M52" i="3" s="1"/>
  <c r="B53" i="3" s="1"/>
  <c r="Y69" i="3"/>
  <c r="N51" i="3"/>
  <c r="Y68" i="3"/>
  <c r="N50" i="3"/>
  <c r="L50" i="3"/>
  <c r="M50" i="3" s="1"/>
  <c r="B51" i="3" s="1"/>
  <c r="Y67" i="3"/>
  <c r="N49" i="3"/>
  <c r="Y66" i="3"/>
  <c r="N48" i="3"/>
  <c r="L48" i="3"/>
  <c r="M48" i="3" s="1"/>
  <c r="B49" i="3" s="1"/>
  <c r="Y65" i="3"/>
  <c r="N47" i="3"/>
  <c r="Y64" i="3"/>
  <c r="N46" i="3"/>
  <c r="L46" i="3"/>
  <c r="M46" i="3" s="1"/>
  <c r="B47" i="3" s="1"/>
  <c r="Y63" i="3"/>
  <c r="N45" i="3"/>
  <c r="Y62" i="3"/>
  <c r="N44" i="3"/>
  <c r="L44" i="3"/>
  <c r="M44" i="3" s="1"/>
  <c r="B45" i="3" s="1"/>
  <c r="Y61" i="3"/>
  <c r="L43" i="3"/>
  <c r="A44" i="3"/>
  <c r="A45" i="3" s="1"/>
  <c r="A46" i="3" s="1"/>
  <c r="Y60" i="3"/>
  <c r="Y59" i="3"/>
  <c r="Y58" i="3"/>
  <c r="T40" i="3"/>
  <c r="N40" i="3"/>
  <c r="A41" i="3"/>
  <c r="Y57" i="3"/>
  <c r="Y56" i="3"/>
  <c r="Y55" i="3"/>
  <c r="Y54" i="3"/>
  <c r="D34" i="3"/>
  <c r="Q42" i="3" s="1"/>
  <c r="Y53" i="3"/>
  <c r="I33" i="3"/>
  <c r="I34" i="3" s="1"/>
  <c r="L37" i="3" s="1"/>
  <c r="Y52" i="3"/>
  <c r="G32" i="3"/>
  <c r="F32" i="3"/>
  <c r="Y51" i="3"/>
  <c r="I31" i="3"/>
  <c r="Y50" i="3"/>
  <c r="N33" i="3"/>
  <c r="M33" i="3" s="1"/>
  <c r="I30" i="3"/>
  <c r="G34" i="3" s="1"/>
  <c r="Y49" i="3"/>
  <c r="U18" i="3"/>
  <c r="U19" i="3" s="1"/>
  <c r="Y48" i="3"/>
  <c r="U17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AA34" i="3"/>
  <c r="Y34" i="3"/>
  <c r="BE33" i="3"/>
  <c r="Y29" i="3"/>
  <c r="BE25" i="3"/>
  <c r="L19" i="3"/>
  <c r="L21" i="3" s="1"/>
  <c r="K19" i="3"/>
  <c r="J19" i="3"/>
  <c r="J21" i="3" s="1"/>
  <c r="I19" i="3"/>
  <c r="H19" i="3"/>
  <c r="G19" i="3"/>
  <c r="F19" i="3"/>
  <c r="E19" i="3"/>
  <c r="D19" i="3"/>
  <c r="BE18" i="3"/>
  <c r="L10" i="3"/>
  <c r="K10" i="3"/>
  <c r="J10" i="3"/>
  <c r="I10" i="3"/>
  <c r="H10" i="3"/>
  <c r="G10" i="3"/>
  <c r="F10" i="3"/>
  <c r="E10" i="3"/>
  <c r="D10" i="3"/>
  <c r="BF9" i="3"/>
  <c r="M9" i="3"/>
  <c r="M8" i="3"/>
  <c r="M7" i="3"/>
  <c r="B7" i="3"/>
  <c r="M6" i="3"/>
  <c r="B6" i="3"/>
  <c r="M5" i="3"/>
  <c r="B5" i="3"/>
  <c r="K2" i="3"/>
  <c r="J2" i="3"/>
  <c r="I2" i="3"/>
  <c r="H2" i="3"/>
  <c r="G2" i="3"/>
  <c r="F2" i="3"/>
  <c r="F1" i="3" s="1"/>
  <c r="E2" i="3"/>
  <c r="D2" i="3"/>
  <c r="N60" i="1"/>
  <c r="G56" i="1"/>
  <c r="E60" i="1"/>
  <c r="I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76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77" i="1"/>
  <c r="H76" i="1"/>
  <c r="B57" i="1"/>
  <c r="B56" i="1"/>
  <c r="A56" i="1"/>
  <c r="Q58" i="1"/>
  <c r="F54" i="1"/>
  <c r="J76" i="1"/>
  <c r="J74" i="1"/>
  <c r="B74" i="1" s="1"/>
  <c r="B75" i="1" s="1"/>
  <c r="J72" i="1"/>
  <c r="B72" i="1" s="1"/>
  <c r="B73" i="1" s="1"/>
  <c r="J70" i="1"/>
  <c r="B70" i="1" s="1"/>
  <c r="B71" i="1" s="1"/>
  <c r="J68" i="1"/>
  <c r="B68" i="1" s="1"/>
  <c r="B69" i="1" s="1"/>
  <c r="J66" i="1"/>
  <c r="B66" i="1" s="1"/>
  <c r="B67" i="1" s="1"/>
  <c r="J64" i="1"/>
  <c r="B64" i="1" s="1"/>
  <c r="B65" i="1" s="1"/>
  <c r="J62" i="1"/>
  <c r="B62" i="1" s="1"/>
  <c r="B63" i="1" s="1"/>
  <c r="I74" i="1"/>
  <c r="I72" i="1"/>
  <c r="I70" i="1"/>
  <c r="I68" i="1"/>
  <c r="I66" i="1"/>
  <c r="I64" i="1"/>
  <c r="I62" i="1"/>
  <c r="J61" i="1"/>
  <c r="B61" i="1"/>
  <c r="I61" i="1"/>
  <c r="K51" i="1"/>
  <c r="K50" i="1"/>
  <c r="K53" i="1"/>
  <c r="K54" i="1" s="1"/>
  <c r="L54" i="1" s="1"/>
  <c r="H52" i="1"/>
  <c r="I5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62" i="1"/>
  <c r="K58" i="1"/>
  <c r="A58" i="1"/>
  <c r="A61" i="1"/>
  <c r="A62" i="1"/>
  <c r="AL54" i="1"/>
  <c r="C49" i="1"/>
  <c r="C50" i="1" s="1"/>
  <c r="C48" i="1"/>
  <c r="C8" i="2"/>
  <c r="C9" i="2" s="1"/>
  <c r="C7" i="2"/>
  <c r="Y29" i="1"/>
  <c r="AI33" i="1"/>
  <c r="AI35" i="1"/>
  <c r="AI36" i="1"/>
  <c r="AI38" i="1"/>
  <c r="AI39" i="1"/>
  <c r="AI41" i="1"/>
  <c r="AI42" i="1"/>
  <c r="AI44" i="1"/>
  <c r="AI45" i="1"/>
  <c r="AI47" i="1"/>
  <c r="AI48" i="1"/>
  <c r="AI50" i="1"/>
  <c r="AI51" i="1"/>
  <c r="AI53" i="1"/>
  <c r="AI54" i="1"/>
  <c r="AI32" i="1"/>
  <c r="BF9" i="1"/>
  <c r="F2" i="1"/>
  <c r="G2" i="1"/>
  <c r="H2" i="1"/>
  <c r="I2" i="1"/>
  <c r="I1" i="1" s="1"/>
  <c r="J2" i="1"/>
  <c r="K2" i="1"/>
  <c r="E2" i="1"/>
  <c r="D2" i="1"/>
  <c r="BF140" i="1"/>
  <c r="BF1835" i="1"/>
  <c r="BF1705" i="1"/>
  <c r="BF1575" i="1"/>
  <c r="BF1445" i="1"/>
  <c r="BF1314" i="1"/>
  <c r="BF1184" i="1"/>
  <c r="BF401" i="1"/>
  <c r="BF270" i="1"/>
  <c r="BE18" i="1"/>
  <c r="BE33" i="1"/>
  <c r="BE25" i="1"/>
  <c r="BE135" i="1"/>
  <c r="BE166" i="1"/>
  <c r="BE187" i="1"/>
  <c r="BE184" i="1"/>
  <c r="BE178" i="1"/>
  <c r="BE179" i="1" s="1"/>
  <c r="BE245" i="1"/>
  <c r="BE273" i="1"/>
  <c r="BE280" i="1"/>
  <c r="BE292" i="1"/>
  <c r="BE345" i="1"/>
  <c r="BE397" i="1"/>
  <c r="BE428" i="1"/>
  <c r="BE449" i="1"/>
  <c r="BE440" i="1"/>
  <c r="BE530" i="1"/>
  <c r="BF530" i="1" s="1"/>
  <c r="BE519" i="1"/>
  <c r="BE520" i="1" s="1"/>
  <c r="BE548" i="1"/>
  <c r="BE563" i="1"/>
  <c r="BE555" i="1"/>
  <c r="BE606" i="1"/>
  <c r="BE662" i="1"/>
  <c r="BF662" i="1" s="1"/>
  <c r="BE658" i="1"/>
  <c r="BE689" i="1"/>
  <c r="BE705" i="1"/>
  <c r="BE700" i="1"/>
  <c r="BE701" i="1" s="1"/>
  <c r="BE770" i="1"/>
  <c r="BE791" i="1"/>
  <c r="BF791" i="1" s="1"/>
  <c r="BE798" i="1"/>
  <c r="BE813" i="1"/>
  <c r="BE805" i="1"/>
  <c r="BE867" i="1"/>
  <c r="BE923" i="1"/>
  <c r="BF923" i="1" s="1"/>
  <c r="BE919" i="1"/>
  <c r="BE966" i="1"/>
  <c r="BE960" i="1"/>
  <c r="BE961" i="1" s="1"/>
  <c r="BE962" i="1" s="1"/>
  <c r="BE1052" i="1"/>
  <c r="BF1052" i="1" s="1"/>
  <c r="BE1045" i="1"/>
  <c r="BE1073" i="1"/>
  <c r="BE1088" i="1"/>
  <c r="BE1080" i="1"/>
  <c r="BE1128" i="1"/>
  <c r="BE1221" i="1"/>
  <c r="BE1222" i="1" s="1"/>
  <c r="BE1223" i="1" s="1"/>
  <c r="BE1230" i="1"/>
  <c r="BE1227" i="1"/>
  <c r="BE1300" i="1"/>
  <c r="BE1328" i="1"/>
  <c r="BE1343" i="1"/>
  <c r="BE1335" i="1"/>
  <c r="BE1440" i="1"/>
  <c r="BE1471" i="1"/>
  <c r="BE1483" i="1"/>
  <c r="BE1484" i="1" s="1"/>
  <c r="BE1492" i="1"/>
  <c r="BE1489" i="1"/>
  <c r="BE1555" i="1"/>
  <c r="BE1583" i="1"/>
  <c r="BE1598" i="1"/>
  <c r="BE1590" i="1"/>
  <c r="BE1701" i="1"/>
  <c r="BE1732" i="1"/>
  <c r="BE1744" i="1"/>
  <c r="BE1753" i="1"/>
  <c r="BE1825" i="1"/>
  <c r="BE1853" i="1"/>
  <c r="BE1860" i="1"/>
  <c r="BE1868" i="1"/>
  <c r="BE1910" i="1"/>
  <c r="BE1962" i="1"/>
  <c r="BE1966" i="1"/>
  <c r="BF1966" i="1" s="1"/>
  <c r="AH11" i="1"/>
  <c r="AH21" i="1"/>
  <c r="B5" i="1"/>
  <c r="B6" i="1"/>
  <c r="B7" i="1"/>
  <c r="N50" i="1"/>
  <c r="M50" i="1" s="1"/>
  <c r="AD21" i="1"/>
  <c r="Z21" i="1"/>
  <c r="AD11" i="1"/>
  <c r="Z11" i="1"/>
  <c r="V21" i="1"/>
  <c r="V11" i="1"/>
  <c r="AE11" i="1"/>
  <c r="AE10" i="1"/>
  <c r="AE9" i="1"/>
  <c r="AE8" i="1"/>
  <c r="AA10" i="1"/>
  <c r="AA8" i="1"/>
  <c r="W10" i="1"/>
  <c r="W8" i="1"/>
  <c r="X10" i="1" s="1"/>
  <c r="AA20" i="1"/>
  <c r="AE21" i="1"/>
  <c r="AE20" i="1"/>
  <c r="AA21" i="1"/>
  <c r="W21" i="1"/>
  <c r="W20" i="1"/>
  <c r="T5" i="1"/>
  <c r="T6" i="1" s="1"/>
  <c r="T7" i="1" s="1"/>
  <c r="T8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M6" i="1"/>
  <c r="M7" i="1"/>
  <c r="S3" i="1"/>
  <c r="M5" i="1"/>
  <c r="M8" i="1"/>
  <c r="M9" i="1"/>
  <c r="K19" i="1"/>
  <c r="L19" i="1"/>
  <c r="K10" i="1"/>
  <c r="L10" i="1"/>
  <c r="D33" i="1"/>
  <c r="D35" i="1" s="1"/>
  <c r="I38" i="1"/>
  <c r="J10" i="1"/>
  <c r="I19" i="1"/>
  <c r="J19" i="1"/>
  <c r="I10" i="1"/>
  <c r="AE31" i="1"/>
  <c r="BB9" i="1"/>
  <c r="BB9" i="3"/>
  <c r="E1" i="3" l="1"/>
  <c r="B10" i="3"/>
  <c r="K21" i="3"/>
  <c r="G1" i="3"/>
  <c r="H63" i="3"/>
  <c r="F63" i="3" s="1"/>
  <c r="H70" i="3"/>
  <c r="F70" i="3" s="1"/>
  <c r="H73" i="3"/>
  <c r="F73" i="3" s="1"/>
  <c r="Z34" i="3"/>
  <c r="AB34" i="3" s="1"/>
  <c r="H61" i="3"/>
  <c r="F61" i="3" s="1"/>
  <c r="H67" i="3"/>
  <c r="F67" i="3" s="1"/>
  <c r="H84" i="3"/>
  <c r="F84" i="3" s="1"/>
  <c r="H88" i="3"/>
  <c r="F88" i="3" s="1"/>
  <c r="H91" i="3"/>
  <c r="F91" i="3" s="1"/>
  <c r="H102" i="3"/>
  <c r="F102" i="3" s="1"/>
  <c r="H64" i="3"/>
  <c r="F64" i="3" s="1"/>
  <c r="H74" i="3"/>
  <c r="F74" i="3" s="1"/>
  <c r="H77" i="3"/>
  <c r="F77" i="3" s="1"/>
  <c r="H81" i="3"/>
  <c r="F81" i="3" s="1"/>
  <c r="H68" i="3"/>
  <c r="F68" i="3" s="1"/>
  <c r="H71" i="3"/>
  <c r="F71" i="3" s="1"/>
  <c r="H92" i="3"/>
  <c r="F92" i="3" s="1"/>
  <c r="H103" i="3"/>
  <c r="F103" i="3" s="1"/>
  <c r="H62" i="3"/>
  <c r="F62" i="3" s="1"/>
  <c r="H65" i="3"/>
  <c r="F65" i="3" s="1"/>
  <c r="H78" i="3"/>
  <c r="F78" i="3" s="1"/>
  <c r="H82" i="3"/>
  <c r="F82" i="3" s="1"/>
  <c r="H85" i="3"/>
  <c r="F85" i="3" s="1"/>
  <c r="H89" i="3"/>
  <c r="F89" i="3" s="1"/>
  <c r="H75" i="3"/>
  <c r="F75" i="3" s="1"/>
  <c r="H99" i="3"/>
  <c r="F99" i="3" s="1"/>
  <c r="H105" i="3"/>
  <c r="F105" i="3" s="1"/>
  <c r="H60" i="3"/>
  <c r="F60" i="3" s="1"/>
  <c r="H66" i="3"/>
  <c r="F66" i="3" s="1"/>
  <c r="H69" i="3"/>
  <c r="F69" i="3" s="1"/>
  <c r="B73" i="3"/>
  <c r="H90" i="3"/>
  <c r="F90" i="3" s="1"/>
  <c r="H76" i="3"/>
  <c r="F76" i="3" s="1"/>
  <c r="H80" i="3"/>
  <c r="F80" i="3" s="1"/>
  <c r="H83" i="3"/>
  <c r="F83" i="3" s="1"/>
  <c r="H87" i="3"/>
  <c r="F87" i="3" s="1"/>
  <c r="H100" i="3"/>
  <c r="F100" i="3" s="1"/>
  <c r="H106" i="3"/>
  <c r="F106" i="3" s="1"/>
  <c r="U29" i="3"/>
  <c r="T29" i="3"/>
  <c r="T30" i="3" s="1"/>
  <c r="M19" i="3"/>
  <c r="U20" i="3"/>
  <c r="B69" i="3"/>
  <c r="M10" i="3"/>
  <c r="H109" i="3"/>
  <c r="F109" i="3" s="1"/>
  <c r="B103" i="3"/>
  <c r="H93" i="3"/>
  <c r="F93" i="3" s="1"/>
  <c r="B110" i="3"/>
  <c r="B83" i="3"/>
  <c r="B79" i="3"/>
  <c r="H86" i="3"/>
  <c r="F86" i="3" s="1"/>
  <c r="M22" i="3"/>
  <c r="F59" i="3"/>
  <c r="H95" i="3"/>
  <c r="F95" i="3" s="1"/>
  <c r="H110" i="3"/>
  <c r="F110" i="3" s="1"/>
  <c r="M21" i="3"/>
  <c r="H1" i="3"/>
  <c r="H21" i="3"/>
  <c r="H22" i="3" s="1"/>
  <c r="B65" i="3"/>
  <c r="H72" i="3"/>
  <c r="F72" i="3" s="1"/>
  <c r="H79" i="3"/>
  <c r="F79" i="3" s="1"/>
  <c r="B87" i="3"/>
  <c r="B96" i="3"/>
  <c r="G39" i="3"/>
  <c r="I21" i="3"/>
  <c r="I22" i="3" s="1"/>
  <c r="H96" i="3"/>
  <c r="F96" i="3" s="1"/>
  <c r="H112" i="3"/>
  <c r="F112" i="3" s="1"/>
  <c r="F58" i="3"/>
  <c r="F48" i="3"/>
  <c r="F55" i="3"/>
  <c r="F52" i="3"/>
  <c r="F56" i="3"/>
  <c r="F53" i="3"/>
  <c r="F49" i="3"/>
  <c r="F47" i="3"/>
  <c r="F50" i="3"/>
  <c r="F54" i="3"/>
  <c r="F44" i="3"/>
  <c r="F51" i="3"/>
  <c r="F57" i="3"/>
  <c r="B54" i="3"/>
  <c r="B58" i="3"/>
  <c r="B52" i="3"/>
  <c r="B48" i="3"/>
  <c r="AA35" i="3"/>
  <c r="Z35" i="3" s="1"/>
  <c r="AB35" i="3" s="1"/>
  <c r="F45" i="3"/>
  <c r="F46" i="3"/>
  <c r="B112" i="3"/>
  <c r="B102" i="3"/>
  <c r="B94" i="3"/>
  <c r="B61" i="3"/>
  <c r="B105" i="3"/>
  <c r="B95" i="3"/>
  <c r="B92" i="3"/>
  <c r="B90" i="3"/>
  <c r="B88" i="3"/>
  <c r="B86" i="3"/>
  <c r="B84" i="3"/>
  <c r="B82" i="3"/>
  <c r="B80" i="3"/>
  <c r="B78" i="3"/>
  <c r="B76" i="3"/>
  <c r="B74" i="3"/>
  <c r="B72" i="3"/>
  <c r="B70" i="3"/>
  <c r="B68" i="3"/>
  <c r="B66" i="3"/>
  <c r="B64" i="3"/>
  <c r="B108" i="3"/>
  <c r="B98" i="3"/>
  <c r="B104" i="3"/>
  <c r="B107" i="3"/>
  <c r="B97" i="3"/>
  <c r="B62" i="3"/>
  <c r="B111" i="3"/>
  <c r="B101" i="3"/>
  <c r="B77" i="3"/>
  <c r="E21" i="3"/>
  <c r="B81" i="3"/>
  <c r="B63" i="3"/>
  <c r="B113" i="3"/>
  <c r="G21" i="3"/>
  <c r="M43" i="3"/>
  <c r="B85" i="3"/>
  <c r="I1" i="3"/>
  <c r="K1" i="3"/>
  <c r="B99" i="3"/>
  <c r="B106" i="3"/>
  <c r="B67" i="3"/>
  <c r="J1" i="3"/>
  <c r="B50" i="3"/>
  <c r="B89" i="3"/>
  <c r="D21" i="3"/>
  <c r="D22" i="3" s="1"/>
  <c r="B46" i="3"/>
  <c r="F21" i="3"/>
  <c r="F22" i="3" s="1"/>
  <c r="B71" i="3"/>
  <c r="B93" i="3"/>
  <c r="B100" i="3"/>
  <c r="B3" i="3"/>
  <c r="J22" i="3"/>
  <c r="B75" i="3"/>
  <c r="B109" i="3"/>
  <c r="H97" i="3"/>
  <c r="F97" i="3" s="1"/>
  <c r="H107" i="3"/>
  <c r="F107" i="3" s="1"/>
  <c r="W42" i="3"/>
  <c r="A40" i="3" s="1"/>
  <c r="H94" i="3"/>
  <c r="F94" i="3" s="1"/>
  <c r="H104" i="3"/>
  <c r="F104" i="3" s="1"/>
  <c r="H101" i="3"/>
  <c r="F101" i="3" s="1"/>
  <c r="H111" i="3"/>
  <c r="F111" i="3" s="1"/>
  <c r="H98" i="3"/>
  <c r="F98" i="3" s="1"/>
  <c r="B77" i="1"/>
  <c r="B85" i="1" s="1"/>
  <c r="A57" i="1"/>
  <c r="T60" i="1"/>
  <c r="I54" i="1"/>
  <c r="F67" i="1"/>
  <c r="F60" i="1"/>
  <c r="D61" i="1" s="1"/>
  <c r="C61" i="1" s="1"/>
  <c r="E61" i="1" s="1"/>
  <c r="F68" i="1"/>
  <c r="F69" i="1"/>
  <c r="F70" i="1"/>
  <c r="F71" i="1"/>
  <c r="F66" i="1"/>
  <c r="F72" i="1"/>
  <c r="F73" i="1"/>
  <c r="F62" i="1"/>
  <c r="F65" i="1"/>
  <c r="F74" i="1"/>
  <c r="F63" i="1"/>
  <c r="F75" i="1"/>
  <c r="F64" i="1"/>
  <c r="F61" i="1"/>
  <c r="AK54" i="1"/>
  <c r="A63" i="1"/>
  <c r="AK48" i="1"/>
  <c r="AK33" i="1"/>
  <c r="H1" i="1"/>
  <c r="C51" i="1"/>
  <c r="AK51" i="1"/>
  <c r="AK45" i="1"/>
  <c r="K1" i="1"/>
  <c r="J1" i="1"/>
  <c r="E1" i="1"/>
  <c r="AK42" i="1"/>
  <c r="AK39" i="1"/>
  <c r="AK36" i="1"/>
  <c r="G1" i="1"/>
  <c r="AE32" i="1"/>
  <c r="AE33" i="1"/>
  <c r="F1" i="1"/>
  <c r="C10" i="2"/>
  <c r="AF11" i="1"/>
  <c r="AB10" i="1"/>
  <c r="AG11" i="1" s="1"/>
  <c r="AI11" i="1" s="1"/>
  <c r="J21" i="1"/>
  <c r="J22" i="1" s="1"/>
  <c r="AF21" i="1"/>
  <c r="X21" i="1"/>
  <c r="I21" i="1"/>
  <c r="I22" i="1" s="1"/>
  <c r="M10" i="1"/>
  <c r="L21" i="1"/>
  <c r="AB21" i="1"/>
  <c r="K21" i="1"/>
  <c r="M19" i="1"/>
  <c r="Y34" i="1"/>
  <c r="H19" i="1"/>
  <c r="H10" i="1"/>
  <c r="K28" i="1" s="1"/>
  <c r="P43" i="3" l="1"/>
  <c r="O43" i="3" s="1"/>
  <c r="Q43" i="3" s="1"/>
  <c r="P44" i="3" s="1"/>
  <c r="O44" i="3" s="1"/>
  <c r="Q44" i="3" s="1"/>
  <c r="D45" i="3"/>
  <c r="C45" i="3" s="1"/>
  <c r="AA36" i="3"/>
  <c r="Z36" i="3" s="1"/>
  <c r="AB36" i="3" s="1"/>
  <c r="E22" i="3"/>
  <c r="G22" i="3"/>
  <c r="C22" i="3"/>
  <c r="C23" i="3" s="1"/>
  <c r="B110" i="1"/>
  <c r="B99" i="1"/>
  <c r="B79" i="1"/>
  <c r="B96" i="1"/>
  <c r="B94" i="1"/>
  <c r="B93" i="1"/>
  <c r="B113" i="1"/>
  <c r="B130" i="1"/>
  <c r="B89" i="1"/>
  <c r="B128" i="1"/>
  <c r="B106" i="1"/>
  <c r="B84" i="1"/>
  <c r="B86" i="1"/>
  <c r="B100" i="1"/>
  <c r="B124" i="1"/>
  <c r="B129" i="1"/>
  <c r="B123" i="1"/>
  <c r="B126" i="1"/>
  <c r="B103" i="1"/>
  <c r="B121" i="1"/>
  <c r="B114" i="1"/>
  <c r="B91" i="1"/>
  <c r="B92" i="1"/>
  <c r="B88" i="1"/>
  <c r="B78" i="1"/>
  <c r="B90" i="1"/>
  <c r="B108" i="1"/>
  <c r="B120" i="1"/>
  <c r="B125" i="1"/>
  <c r="B117" i="1"/>
  <c r="B111" i="1"/>
  <c r="B122" i="1"/>
  <c r="B102" i="1"/>
  <c r="B107" i="1"/>
  <c r="B112" i="1"/>
  <c r="B119" i="1"/>
  <c r="B104" i="1"/>
  <c r="B116" i="1"/>
  <c r="B95" i="1"/>
  <c r="B101" i="1"/>
  <c r="B81" i="1"/>
  <c r="B115" i="1"/>
  <c r="B109" i="1"/>
  <c r="B87" i="1"/>
  <c r="B127" i="1"/>
  <c r="B105" i="1"/>
  <c r="B118" i="1"/>
  <c r="B98" i="1"/>
  <c r="B80" i="1"/>
  <c r="B83" i="1"/>
  <c r="B97" i="1"/>
  <c r="B82" i="1"/>
  <c r="M61" i="1"/>
  <c r="L61" i="1" s="1"/>
  <c r="N61" i="1" s="1"/>
  <c r="M62" i="1" s="1"/>
  <c r="L62" i="1" s="1"/>
  <c r="N62" i="1" s="1"/>
  <c r="D62" i="1"/>
  <c r="C62" i="1" s="1"/>
  <c r="E62" i="1" s="1"/>
  <c r="D63" i="1" s="1"/>
  <c r="C63" i="1" s="1"/>
  <c r="E63" i="1" s="1"/>
  <c r="J24" i="1"/>
  <c r="J25" i="1" s="1"/>
  <c r="AG21" i="1"/>
  <c r="AI21" i="1" s="1"/>
  <c r="I24" i="1"/>
  <c r="I25" i="1" s="1"/>
  <c r="M22" i="1"/>
  <c r="M21" i="1"/>
  <c r="H21" i="1"/>
  <c r="P45" i="3" l="1"/>
  <c r="O45" i="3" s="1"/>
  <c r="Q45" i="3" s="1"/>
  <c r="AA37" i="3"/>
  <c r="Z37" i="3" s="1"/>
  <c r="AB37" i="3" s="1"/>
  <c r="D46" i="3"/>
  <c r="C46" i="3" s="1"/>
  <c r="E46" i="3" s="1"/>
  <c r="M63" i="1"/>
  <c r="L63" i="1" s="1"/>
  <c r="N63" i="1" s="1"/>
  <c r="M64" i="1" s="1"/>
  <c r="L64" i="1" s="1"/>
  <c r="N64" i="1" s="1"/>
  <c r="D64" i="1"/>
  <c r="C64" i="1" s="1"/>
  <c r="E64" i="1" s="1"/>
  <c r="D65" i="1" s="1"/>
  <c r="C65" i="1" s="1"/>
  <c r="E65" i="1" s="1"/>
  <c r="D66" i="1" s="1"/>
  <c r="C66" i="1" s="1"/>
  <c r="E66" i="1" s="1"/>
  <c r="D67" i="1" s="1"/>
  <c r="H22" i="1"/>
  <c r="H24" i="1"/>
  <c r="H25" i="1" s="1"/>
  <c r="Y68" i="1"/>
  <c r="Y69" i="1"/>
  <c r="Y70" i="1"/>
  <c r="Y71" i="1"/>
  <c r="Y72" i="1"/>
  <c r="Y73" i="1"/>
  <c r="Y74" i="1"/>
  <c r="Y75" i="1"/>
  <c r="Y76" i="1"/>
  <c r="Y77" i="1"/>
  <c r="Y78" i="1"/>
  <c r="Y79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AA34" i="1"/>
  <c r="Y35" i="1"/>
  <c r="N37" i="1"/>
  <c r="N31" i="1"/>
  <c r="N32" i="1" s="1"/>
  <c r="K36" i="1"/>
  <c r="K37" i="1"/>
  <c r="K35" i="1"/>
  <c r="K34" i="1"/>
  <c r="K33" i="1"/>
  <c r="K32" i="1"/>
  <c r="D10" i="1"/>
  <c r="D19" i="1"/>
  <c r="F10" i="1"/>
  <c r="F19" i="1"/>
  <c r="E19" i="1"/>
  <c r="E10" i="1"/>
  <c r="H28" i="1" s="1"/>
  <c r="G19" i="1"/>
  <c r="G10" i="1"/>
  <c r="D47" i="3" l="1"/>
  <c r="C47" i="3" s="1"/>
  <c r="E47" i="3" s="1"/>
  <c r="AA38" i="3"/>
  <c r="Z38" i="3" s="1"/>
  <c r="AB38" i="3" s="1"/>
  <c r="P46" i="3"/>
  <c r="O46" i="3" s="1"/>
  <c r="Q46" i="3" s="1"/>
  <c r="Z34" i="1"/>
  <c r="AB34" i="1" s="1"/>
  <c r="AA35" i="1" s="1"/>
  <c r="Z35" i="1" s="1"/>
  <c r="AB35" i="1" s="1"/>
  <c r="M65" i="1"/>
  <c r="L65" i="1" s="1"/>
  <c r="N65" i="1" s="1"/>
  <c r="C67" i="1"/>
  <c r="E67" i="1" s="1"/>
  <c r="D68" i="1" s="1"/>
  <c r="D28" i="1"/>
  <c r="J28" i="1"/>
  <c r="E28" i="1"/>
  <c r="I28" i="1"/>
  <c r="F21" i="1"/>
  <c r="F22" i="1" s="1"/>
  <c r="D21" i="1"/>
  <c r="D22" i="1" s="1"/>
  <c r="F28" i="1"/>
  <c r="B10" i="1"/>
  <c r="K38" i="1"/>
  <c r="E21" i="1"/>
  <c r="E22" i="1" s="1"/>
  <c r="G21" i="1"/>
  <c r="G24" i="1" s="1"/>
  <c r="G25" i="1" s="1"/>
  <c r="E42" i="1"/>
  <c r="G28" i="1"/>
  <c r="AA39" i="3" l="1"/>
  <c r="Z39" i="3" s="1"/>
  <c r="AB39" i="3" s="1"/>
  <c r="P47" i="3"/>
  <c r="O47" i="3" s="1"/>
  <c r="Q47" i="3" s="1"/>
  <c r="D48" i="3"/>
  <c r="C48" i="3" s="1"/>
  <c r="E48" i="3" s="1"/>
  <c r="M66" i="1"/>
  <c r="L66" i="1" s="1"/>
  <c r="N66" i="1" s="1"/>
  <c r="M67" i="1" s="1"/>
  <c r="L67" i="1" s="1"/>
  <c r="N67" i="1" s="1"/>
  <c r="M68" i="1" s="1"/>
  <c r="L68" i="1" s="1"/>
  <c r="N68" i="1" s="1"/>
  <c r="M69" i="1" s="1"/>
  <c r="C68" i="1"/>
  <c r="E68" i="1" s="1"/>
  <c r="D69" i="1" s="1"/>
  <c r="C22" i="1"/>
  <c r="C23" i="1" s="1"/>
  <c r="D38" i="1"/>
  <c r="D40" i="1" s="1"/>
  <c r="D41" i="1" s="1"/>
  <c r="B3" i="1"/>
  <c r="E24" i="1"/>
  <c r="AA36" i="1"/>
  <c r="Z36" i="1" s="1"/>
  <c r="AB36" i="1" s="1"/>
  <c r="F24" i="1"/>
  <c r="F25" i="1" s="1"/>
  <c r="G22" i="1"/>
  <c r="D49" i="3" l="1"/>
  <c r="C49" i="3" s="1"/>
  <c r="E49" i="3" s="1"/>
  <c r="P48" i="3"/>
  <c r="O48" i="3" s="1"/>
  <c r="Q48" i="3" s="1"/>
  <c r="AA40" i="3"/>
  <c r="Z40" i="3" s="1"/>
  <c r="AB40" i="3" s="1"/>
  <c r="L69" i="1"/>
  <c r="N69" i="1" s="1"/>
  <c r="M70" i="1" s="1"/>
  <c r="C69" i="1"/>
  <c r="E69" i="1" s="1"/>
  <c r="D70" i="1" s="1"/>
  <c r="G38" i="1"/>
  <c r="G40" i="1" s="1"/>
  <c r="AA37" i="1"/>
  <c r="Z37" i="1" s="1"/>
  <c r="AB37" i="1" s="1"/>
  <c r="D42" i="1"/>
  <c r="E25" i="1"/>
  <c r="AA41" i="3" l="1"/>
  <c r="Z41" i="3" s="1"/>
  <c r="AB41" i="3" s="1"/>
  <c r="P49" i="3"/>
  <c r="O49" i="3" s="1"/>
  <c r="Q49" i="3" s="1"/>
  <c r="D50" i="3"/>
  <c r="C50" i="3" s="1"/>
  <c r="E50" i="3" s="1"/>
  <c r="L70" i="1"/>
  <c r="N70" i="1" s="1"/>
  <c r="M71" i="1" s="1"/>
  <c r="C70" i="1"/>
  <c r="E70" i="1" s="1"/>
  <c r="D71" i="1" s="1"/>
  <c r="AA38" i="1"/>
  <c r="Z38" i="1" s="1"/>
  <c r="AB38" i="1" s="1"/>
  <c r="D51" i="3" l="1"/>
  <c r="C51" i="3" s="1"/>
  <c r="E51" i="3" s="1"/>
  <c r="AA42" i="3"/>
  <c r="Z42" i="3" s="1"/>
  <c r="AB42" i="3" s="1"/>
  <c r="P50" i="3"/>
  <c r="O50" i="3" s="1"/>
  <c r="Q50" i="3" s="1"/>
  <c r="L71" i="1"/>
  <c r="N71" i="1" s="1"/>
  <c r="M72" i="1" s="1"/>
  <c r="C71" i="1"/>
  <c r="E71" i="1" s="1"/>
  <c r="D72" i="1" s="1"/>
  <c r="AA39" i="1"/>
  <c r="Z39" i="1" s="1"/>
  <c r="AB39" i="1" s="1"/>
  <c r="D52" i="3" l="1"/>
  <c r="C52" i="3" s="1"/>
  <c r="E52" i="3" s="1"/>
  <c r="P51" i="3"/>
  <c r="O51" i="3" s="1"/>
  <c r="Q51" i="3" s="1"/>
  <c r="AA43" i="3"/>
  <c r="Z43" i="3" s="1"/>
  <c r="AB43" i="3" s="1"/>
  <c r="L72" i="1"/>
  <c r="N72" i="1" s="1"/>
  <c r="M73" i="1" s="1"/>
  <c r="C72" i="1"/>
  <c r="E72" i="1" s="1"/>
  <c r="D73" i="1" s="1"/>
  <c r="AA40" i="1"/>
  <c r="Z40" i="1" s="1"/>
  <c r="AB40" i="1" s="1"/>
  <c r="P52" i="3" l="1"/>
  <c r="O52" i="3" s="1"/>
  <c r="Q52" i="3" s="1"/>
  <c r="D53" i="3"/>
  <c r="C53" i="3" s="1"/>
  <c r="E53" i="3" s="1"/>
  <c r="AA44" i="3"/>
  <c r="Z44" i="3" s="1"/>
  <c r="AB44" i="3" s="1"/>
  <c r="L73" i="1"/>
  <c r="N73" i="1" s="1"/>
  <c r="M74" i="1" s="1"/>
  <c r="C73" i="1"/>
  <c r="E73" i="1" s="1"/>
  <c r="D74" i="1" s="1"/>
  <c r="AA41" i="1"/>
  <c r="Z41" i="1" s="1"/>
  <c r="AB41" i="1" s="1"/>
  <c r="AA45" i="3" l="1"/>
  <c r="Z45" i="3" s="1"/>
  <c r="AB45" i="3" s="1"/>
  <c r="D54" i="3"/>
  <c r="C54" i="3" s="1"/>
  <c r="E54" i="3" s="1"/>
  <c r="P53" i="3"/>
  <c r="O53" i="3" s="1"/>
  <c r="Q53" i="3" s="1"/>
  <c r="L74" i="1"/>
  <c r="N74" i="1" s="1"/>
  <c r="M75" i="1" s="1"/>
  <c r="C74" i="1"/>
  <c r="E74" i="1" s="1"/>
  <c r="D75" i="1" s="1"/>
  <c r="AA42" i="1"/>
  <c r="Z42" i="1" s="1"/>
  <c r="AB42" i="1" s="1"/>
  <c r="P54" i="3" l="1"/>
  <c r="O54" i="3" s="1"/>
  <c r="Q54" i="3" s="1"/>
  <c r="D55" i="3"/>
  <c r="C55" i="3" s="1"/>
  <c r="E55" i="3" s="1"/>
  <c r="AA46" i="3"/>
  <c r="Z46" i="3" s="1"/>
  <c r="AB46" i="3" s="1"/>
  <c r="L75" i="1"/>
  <c r="N75" i="1" s="1"/>
  <c r="M76" i="1" s="1"/>
  <c r="C75" i="1"/>
  <c r="E75" i="1" s="1"/>
  <c r="AA43" i="1"/>
  <c r="Z43" i="1" s="1"/>
  <c r="AB43" i="1" s="1"/>
  <c r="AA47" i="3" l="1"/>
  <c r="Z47" i="3" s="1"/>
  <c r="AB47" i="3" s="1"/>
  <c r="D56" i="3"/>
  <c r="C56" i="3" s="1"/>
  <c r="E56" i="3" s="1"/>
  <c r="P55" i="3"/>
  <c r="O55" i="3" s="1"/>
  <c r="Q55" i="3" s="1"/>
  <c r="D76" i="1"/>
  <c r="L76" i="1"/>
  <c r="N76" i="1" s="1"/>
  <c r="M77" i="1" s="1"/>
  <c r="C76" i="1"/>
  <c r="E76" i="1" s="1"/>
  <c r="D77" i="1" s="1"/>
  <c r="AA44" i="1"/>
  <c r="Z44" i="1" s="1"/>
  <c r="AB44" i="1" s="1"/>
  <c r="P56" i="3" l="1"/>
  <c r="O56" i="3" s="1"/>
  <c r="Q56" i="3" s="1"/>
  <c r="AA48" i="3"/>
  <c r="Z48" i="3" s="1"/>
  <c r="AB48" i="3" s="1"/>
  <c r="D57" i="3"/>
  <c r="C57" i="3" s="1"/>
  <c r="E57" i="3" s="1"/>
  <c r="L77" i="1"/>
  <c r="N77" i="1" s="1"/>
  <c r="M78" i="1" s="1"/>
  <c r="C77" i="1"/>
  <c r="E77" i="1" s="1"/>
  <c r="D78" i="1" s="1"/>
  <c r="AA45" i="1"/>
  <c r="Z45" i="1" s="1"/>
  <c r="AB45" i="1" s="1"/>
  <c r="D58" i="3" l="1"/>
  <c r="C58" i="3" s="1"/>
  <c r="E58" i="3" s="1"/>
  <c r="AA49" i="3"/>
  <c r="Z49" i="3" s="1"/>
  <c r="AB49" i="3" s="1"/>
  <c r="P57" i="3"/>
  <c r="O57" i="3" s="1"/>
  <c r="Q57" i="3" s="1"/>
  <c r="L78" i="1"/>
  <c r="N78" i="1" s="1"/>
  <c r="M79" i="1" s="1"/>
  <c r="C78" i="1"/>
  <c r="E78" i="1" s="1"/>
  <c r="D79" i="1" s="1"/>
  <c r="AA46" i="1"/>
  <c r="Z46" i="1" s="1"/>
  <c r="AB46" i="1" s="1"/>
  <c r="AA50" i="3" l="1"/>
  <c r="Z50" i="3" s="1"/>
  <c r="AB50" i="3" s="1"/>
  <c r="P58" i="3"/>
  <c r="O58" i="3" s="1"/>
  <c r="Q58" i="3" s="1"/>
  <c r="D59" i="3"/>
  <c r="C59" i="3" s="1"/>
  <c r="E59" i="3" s="1"/>
  <c r="L79" i="1"/>
  <c r="N79" i="1" s="1"/>
  <c r="M80" i="1" s="1"/>
  <c r="C79" i="1"/>
  <c r="E79" i="1" s="1"/>
  <c r="D80" i="1" s="1"/>
  <c r="AA47" i="1"/>
  <c r="Z47" i="1" s="1"/>
  <c r="AB47" i="1" s="1"/>
  <c r="D60" i="3" l="1"/>
  <c r="C60" i="3" s="1"/>
  <c r="E60" i="3" s="1"/>
  <c r="P59" i="3"/>
  <c r="O59" i="3" s="1"/>
  <c r="Q59" i="3" s="1"/>
  <c r="AA51" i="3"/>
  <c r="Z51" i="3" s="1"/>
  <c r="AB51" i="3" s="1"/>
  <c r="L80" i="1"/>
  <c r="N80" i="1" s="1"/>
  <c r="M81" i="1" s="1"/>
  <c r="C80" i="1"/>
  <c r="E80" i="1" s="1"/>
  <c r="D81" i="1" s="1"/>
  <c r="AA48" i="1"/>
  <c r="Z48" i="1" s="1"/>
  <c r="AB48" i="1" s="1"/>
  <c r="AA52" i="3" l="1"/>
  <c r="Z52" i="3" s="1"/>
  <c r="AB52" i="3" s="1"/>
  <c r="D61" i="3"/>
  <c r="C61" i="3" s="1"/>
  <c r="E61" i="3" s="1"/>
  <c r="P60" i="3"/>
  <c r="O60" i="3" s="1"/>
  <c r="Q60" i="3" s="1"/>
  <c r="L81" i="1"/>
  <c r="N81" i="1" s="1"/>
  <c r="M82" i="1" s="1"/>
  <c r="C81" i="1"/>
  <c r="E81" i="1" s="1"/>
  <c r="D82" i="1" s="1"/>
  <c r="AA49" i="1"/>
  <c r="Z49" i="1" s="1"/>
  <c r="AB49" i="1" s="1"/>
  <c r="P61" i="3" l="1"/>
  <c r="O61" i="3" s="1"/>
  <c r="Q61" i="3" s="1"/>
  <c r="AA53" i="3"/>
  <c r="Z53" i="3" s="1"/>
  <c r="AB53" i="3" s="1"/>
  <c r="D62" i="3"/>
  <c r="C62" i="3" s="1"/>
  <c r="E62" i="3" s="1"/>
  <c r="L82" i="1"/>
  <c r="N82" i="1" s="1"/>
  <c r="M83" i="1" s="1"/>
  <c r="C82" i="1"/>
  <c r="E82" i="1" s="1"/>
  <c r="D83" i="1" s="1"/>
  <c r="AA50" i="1"/>
  <c r="Z50" i="1" s="1"/>
  <c r="AB50" i="1" s="1"/>
  <c r="D63" i="3" l="1"/>
  <c r="C63" i="3" s="1"/>
  <c r="E63" i="3" s="1"/>
  <c r="AA54" i="3"/>
  <c r="Z54" i="3" s="1"/>
  <c r="AB54" i="3" s="1"/>
  <c r="P62" i="3"/>
  <c r="O62" i="3" s="1"/>
  <c r="Q62" i="3" s="1"/>
  <c r="L83" i="1"/>
  <c r="N83" i="1" s="1"/>
  <c r="M84" i="1" s="1"/>
  <c r="C83" i="1"/>
  <c r="E83" i="1" s="1"/>
  <c r="D84" i="1" s="1"/>
  <c r="AA51" i="1"/>
  <c r="Z51" i="1" s="1"/>
  <c r="AB51" i="1" s="1"/>
  <c r="AA55" i="3" l="1"/>
  <c r="Z55" i="3" s="1"/>
  <c r="AB55" i="3" s="1"/>
  <c r="P63" i="3"/>
  <c r="O63" i="3" s="1"/>
  <c r="Q63" i="3" s="1"/>
  <c r="D64" i="3"/>
  <c r="C64" i="3" s="1"/>
  <c r="E64" i="3" s="1"/>
  <c r="L84" i="1"/>
  <c r="N84" i="1" s="1"/>
  <c r="M85" i="1" s="1"/>
  <c r="C84" i="1"/>
  <c r="E84" i="1" s="1"/>
  <c r="D85" i="1" s="1"/>
  <c r="AA52" i="1"/>
  <c r="Z52" i="1" s="1"/>
  <c r="AB52" i="1" s="1"/>
  <c r="D65" i="3" l="1"/>
  <c r="C65" i="3" s="1"/>
  <c r="E65" i="3" s="1"/>
  <c r="P64" i="3"/>
  <c r="O64" i="3" s="1"/>
  <c r="Q64" i="3" s="1"/>
  <c r="AA56" i="3"/>
  <c r="Z56" i="3" s="1"/>
  <c r="AB56" i="3" s="1"/>
  <c r="L85" i="1"/>
  <c r="N85" i="1" s="1"/>
  <c r="M86" i="1" s="1"/>
  <c r="C85" i="1"/>
  <c r="E85" i="1" s="1"/>
  <c r="D86" i="1" s="1"/>
  <c r="AA53" i="1"/>
  <c r="Z53" i="1" s="1"/>
  <c r="AB53" i="1" s="1"/>
  <c r="AA57" i="3" l="1"/>
  <c r="Z57" i="3" s="1"/>
  <c r="AB57" i="3" s="1"/>
  <c r="P65" i="3"/>
  <c r="O65" i="3" s="1"/>
  <c r="Q65" i="3" s="1"/>
  <c r="D66" i="3"/>
  <c r="C66" i="3" s="1"/>
  <c r="E66" i="3" s="1"/>
  <c r="L86" i="1"/>
  <c r="N86" i="1" s="1"/>
  <c r="M87" i="1" s="1"/>
  <c r="C86" i="1"/>
  <c r="E86" i="1" s="1"/>
  <c r="D87" i="1" s="1"/>
  <c r="AA54" i="1"/>
  <c r="Z54" i="1" s="1"/>
  <c r="AB54" i="1" s="1"/>
  <c r="D67" i="3" l="1"/>
  <c r="C67" i="3" s="1"/>
  <c r="E67" i="3" s="1"/>
  <c r="P66" i="3"/>
  <c r="O66" i="3" s="1"/>
  <c r="Q66" i="3" s="1"/>
  <c r="AA58" i="3"/>
  <c r="Z58" i="3" s="1"/>
  <c r="AB58" i="3" s="1"/>
  <c r="L87" i="1"/>
  <c r="N87" i="1" s="1"/>
  <c r="M88" i="1" s="1"/>
  <c r="C87" i="1"/>
  <c r="E87" i="1" s="1"/>
  <c r="D88" i="1" s="1"/>
  <c r="AA55" i="1"/>
  <c r="Z55" i="1" s="1"/>
  <c r="AB55" i="1" s="1"/>
  <c r="P67" i="3" l="1"/>
  <c r="O67" i="3" s="1"/>
  <c r="Q67" i="3" s="1"/>
  <c r="D68" i="3"/>
  <c r="C68" i="3" s="1"/>
  <c r="E68" i="3" s="1"/>
  <c r="AA59" i="3"/>
  <c r="Z59" i="3" s="1"/>
  <c r="AB59" i="3" s="1"/>
  <c r="L88" i="1"/>
  <c r="N88" i="1" s="1"/>
  <c r="M89" i="1" s="1"/>
  <c r="C88" i="1"/>
  <c r="E88" i="1" s="1"/>
  <c r="D89" i="1" s="1"/>
  <c r="AA56" i="1"/>
  <c r="Z56" i="1" s="1"/>
  <c r="AB56" i="1" s="1"/>
  <c r="D69" i="3" l="1"/>
  <c r="C69" i="3" s="1"/>
  <c r="E69" i="3" s="1"/>
  <c r="P68" i="3"/>
  <c r="O68" i="3" s="1"/>
  <c r="Q68" i="3" s="1"/>
  <c r="AA60" i="3"/>
  <c r="Z60" i="3" s="1"/>
  <c r="AB60" i="3" s="1"/>
  <c r="L89" i="1"/>
  <c r="N89" i="1" s="1"/>
  <c r="M90" i="1" s="1"/>
  <c r="C89" i="1"/>
  <c r="E89" i="1" s="1"/>
  <c r="D90" i="1" s="1"/>
  <c r="AA57" i="1"/>
  <c r="Z57" i="1" s="1"/>
  <c r="AB57" i="1" s="1"/>
  <c r="AA61" i="3" l="1"/>
  <c r="Z61" i="3" s="1"/>
  <c r="AB61" i="3" s="1"/>
  <c r="P69" i="3"/>
  <c r="O69" i="3" s="1"/>
  <c r="Q69" i="3" s="1"/>
  <c r="D70" i="3"/>
  <c r="C70" i="3" s="1"/>
  <c r="E70" i="3" s="1"/>
  <c r="L90" i="1"/>
  <c r="N90" i="1" s="1"/>
  <c r="M91" i="1" s="1"/>
  <c r="C90" i="1"/>
  <c r="E90" i="1" s="1"/>
  <c r="D91" i="1" s="1"/>
  <c r="AA58" i="1"/>
  <c r="Z58" i="1" s="1"/>
  <c r="AB58" i="1" s="1"/>
  <c r="D71" i="3" l="1"/>
  <c r="C71" i="3" s="1"/>
  <c r="E71" i="3" s="1"/>
  <c r="P70" i="3"/>
  <c r="O70" i="3" s="1"/>
  <c r="Q70" i="3" s="1"/>
  <c r="AA62" i="3"/>
  <c r="Z62" i="3" s="1"/>
  <c r="AB62" i="3" s="1"/>
  <c r="L91" i="1"/>
  <c r="N91" i="1" s="1"/>
  <c r="M92" i="1" s="1"/>
  <c r="C91" i="1"/>
  <c r="E91" i="1" s="1"/>
  <c r="D92" i="1" s="1"/>
  <c r="AA59" i="1"/>
  <c r="Z59" i="1" s="1"/>
  <c r="AB59" i="1" s="1"/>
  <c r="AA63" i="3" l="1"/>
  <c r="Z63" i="3" s="1"/>
  <c r="AB63" i="3" s="1"/>
  <c r="P71" i="3"/>
  <c r="O71" i="3" s="1"/>
  <c r="Q71" i="3" s="1"/>
  <c r="D72" i="3"/>
  <c r="C72" i="3" s="1"/>
  <c r="E72" i="3" s="1"/>
  <c r="L92" i="1"/>
  <c r="N92" i="1" s="1"/>
  <c r="M93" i="1" s="1"/>
  <c r="C92" i="1"/>
  <c r="E92" i="1" s="1"/>
  <c r="D93" i="1" s="1"/>
  <c r="AA60" i="1"/>
  <c r="Z60" i="1" s="1"/>
  <c r="AB60" i="1" s="1"/>
  <c r="D73" i="3" l="1"/>
  <c r="C73" i="3" s="1"/>
  <c r="E73" i="3" s="1"/>
  <c r="P72" i="3"/>
  <c r="O72" i="3" s="1"/>
  <c r="Q72" i="3" s="1"/>
  <c r="AA64" i="3"/>
  <c r="Z64" i="3" s="1"/>
  <c r="AB64" i="3" s="1"/>
  <c r="L93" i="1"/>
  <c r="N93" i="1" s="1"/>
  <c r="M94" i="1" s="1"/>
  <c r="C93" i="1"/>
  <c r="E93" i="1" s="1"/>
  <c r="D94" i="1" s="1"/>
  <c r="AA61" i="1"/>
  <c r="Z61" i="1" s="1"/>
  <c r="AB61" i="1" s="1"/>
  <c r="AA65" i="3" l="1"/>
  <c r="Z65" i="3" s="1"/>
  <c r="AB65" i="3" s="1"/>
  <c r="P73" i="3"/>
  <c r="O73" i="3" s="1"/>
  <c r="Q73" i="3" s="1"/>
  <c r="D74" i="3"/>
  <c r="C74" i="3" s="1"/>
  <c r="E74" i="3" s="1"/>
  <c r="L94" i="1"/>
  <c r="N94" i="1" s="1"/>
  <c r="M95" i="1" s="1"/>
  <c r="C94" i="1"/>
  <c r="E94" i="1" s="1"/>
  <c r="D95" i="1" s="1"/>
  <c r="AA62" i="1"/>
  <c r="Z62" i="1" s="1"/>
  <c r="AB62" i="1" s="1"/>
  <c r="D75" i="3" l="1"/>
  <c r="C75" i="3" s="1"/>
  <c r="E75" i="3" s="1"/>
  <c r="P74" i="3"/>
  <c r="O74" i="3" s="1"/>
  <c r="Q74" i="3" s="1"/>
  <c r="AA66" i="3"/>
  <c r="Z66" i="3" s="1"/>
  <c r="AB66" i="3" s="1"/>
  <c r="L95" i="1"/>
  <c r="N95" i="1" s="1"/>
  <c r="M96" i="1" s="1"/>
  <c r="C95" i="1"/>
  <c r="E95" i="1" s="1"/>
  <c r="D96" i="1" s="1"/>
  <c r="AA63" i="1"/>
  <c r="Z63" i="1" s="1"/>
  <c r="AB63" i="1" s="1"/>
  <c r="AA67" i="3" l="1"/>
  <c r="Z67" i="3" s="1"/>
  <c r="AB67" i="3" s="1"/>
  <c r="P75" i="3"/>
  <c r="O75" i="3" s="1"/>
  <c r="Q75" i="3" s="1"/>
  <c r="D76" i="3"/>
  <c r="C76" i="3" s="1"/>
  <c r="E76" i="3" s="1"/>
  <c r="L96" i="1"/>
  <c r="N96" i="1" s="1"/>
  <c r="M97" i="1" s="1"/>
  <c r="C96" i="1"/>
  <c r="E96" i="1" s="1"/>
  <c r="D97" i="1" s="1"/>
  <c r="AA64" i="1"/>
  <c r="Z64" i="1" s="1"/>
  <c r="AB64" i="1" s="1"/>
  <c r="D77" i="3" l="1"/>
  <c r="C77" i="3" s="1"/>
  <c r="E77" i="3" s="1"/>
  <c r="AA68" i="3"/>
  <c r="Z68" i="3" s="1"/>
  <c r="AB68" i="3" s="1"/>
  <c r="P76" i="3"/>
  <c r="O76" i="3" s="1"/>
  <c r="Q76" i="3" s="1"/>
  <c r="L97" i="1"/>
  <c r="N97" i="1" s="1"/>
  <c r="M98" i="1" s="1"/>
  <c r="C97" i="1"/>
  <c r="E97" i="1" s="1"/>
  <c r="D98" i="1" s="1"/>
  <c r="AA65" i="1"/>
  <c r="Z65" i="1" s="1"/>
  <c r="AB65" i="1" s="1"/>
  <c r="P77" i="3" l="1"/>
  <c r="O77" i="3" s="1"/>
  <c r="Q77" i="3" s="1"/>
  <c r="AA69" i="3"/>
  <c r="Z69" i="3" s="1"/>
  <c r="AB69" i="3" s="1"/>
  <c r="D78" i="3"/>
  <c r="C78" i="3" s="1"/>
  <c r="E78" i="3" s="1"/>
  <c r="L98" i="1"/>
  <c r="N98" i="1" s="1"/>
  <c r="M99" i="1" s="1"/>
  <c r="C98" i="1"/>
  <c r="E98" i="1" s="1"/>
  <c r="D99" i="1" s="1"/>
  <c r="AA66" i="1"/>
  <c r="Z66" i="1" s="1"/>
  <c r="AB66" i="1" s="1"/>
  <c r="AA70" i="3" l="1"/>
  <c r="Z70" i="3" s="1"/>
  <c r="AB70" i="3" s="1"/>
  <c r="D79" i="3"/>
  <c r="C79" i="3" s="1"/>
  <c r="E79" i="3" s="1"/>
  <c r="P78" i="3"/>
  <c r="O78" i="3" s="1"/>
  <c r="Q78" i="3" s="1"/>
  <c r="L99" i="1"/>
  <c r="N99" i="1" s="1"/>
  <c r="M100" i="1" s="1"/>
  <c r="C99" i="1"/>
  <c r="E99" i="1" s="1"/>
  <c r="D100" i="1" s="1"/>
  <c r="AA67" i="1"/>
  <c r="Z67" i="1" s="1"/>
  <c r="AB67" i="1" s="1"/>
  <c r="P79" i="3" l="1"/>
  <c r="O79" i="3" s="1"/>
  <c r="Q79" i="3" s="1"/>
  <c r="D80" i="3"/>
  <c r="C80" i="3" s="1"/>
  <c r="E80" i="3" s="1"/>
  <c r="AA71" i="3"/>
  <c r="Z71" i="3" s="1"/>
  <c r="AB71" i="3" s="1"/>
  <c r="L100" i="1"/>
  <c r="N100" i="1" s="1"/>
  <c r="M101" i="1" s="1"/>
  <c r="C100" i="1"/>
  <c r="E100" i="1" s="1"/>
  <c r="D101" i="1" s="1"/>
  <c r="AA68" i="1"/>
  <c r="Z68" i="1" s="1"/>
  <c r="AB68" i="1" s="1"/>
  <c r="D81" i="3" l="1"/>
  <c r="C81" i="3" s="1"/>
  <c r="E81" i="3" s="1"/>
  <c r="P80" i="3"/>
  <c r="O80" i="3" s="1"/>
  <c r="Q80" i="3" s="1"/>
  <c r="AA72" i="3"/>
  <c r="Z72" i="3" s="1"/>
  <c r="AB72" i="3" s="1"/>
  <c r="L101" i="1"/>
  <c r="N101" i="1" s="1"/>
  <c r="M102" i="1" s="1"/>
  <c r="C101" i="1"/>
  <c r="E101" i="1" s="1"/>
  <c r="D102" i="1" s="1"/>
  <c r="AA69" i="1"/>
  <c r="Z69" i="1" s="1"/>
  <c r="AB69" i="1" s="1"/>
  <c r="AA73" i="3" l="1"/>
  <c r="Z73" i="3" s="1"/>
  <c r="AB73" i="3" s="1"/>
  <c r="P81" i="3"/>
  <c r="O81" i="3" s="1"/>
  <c r="Q81" i="3" s="1"/>
  <c r="D82" i="3"/>
  <c r="C82" i="3" s="1"/>
  <c r="E82" i="3" s="1"/>
  <c r="L102" i="1"/>
  <c r="N102" i="1" s="1"/>
  <c r="M103" i="1" s="1"/>
  <c r="C102" i="1"/>
  <c r="E102" i="1" s="1"/>
  <c r="D103" i="1" s="1"/>
  <c r="AA70" i="1"/>
  <c r="Z70" i="1" s="1"/>
  <c r="AB70" i="1" s="1"/>
  <c r="D83" i="3" l="1"/>
  <c r="C83" i="3" s="1"/>
  <c r="E83" i="3" s="1"/>
  <c r="P82" i="3"/>
  <c r="O82" i="3" s="1"/>
  <c r="Q82" i="3" s="1"/>
  <c r="AA74" i="3"/>
  <c r="Z74" i="3" s="1"/>
  <c r="AB74" i="3" s="1"/>
  <c r="L103" i="1"/>
  <c r="N103" i="1" s="1"/>
  <c r="M104" i="1" s="1"/>
  <c r="C103" i="1"/>
  <c r="E103" i="1" s="1"/>
  <c r="D104" i="1" s="1"/>
  <c r="AA71" i="1"/>
  <c r="Z71" i="1" s="1"/>
  <c r="AB71" i="1" s="1"/>
  <c r="AA75" i="3" l="1"/>
  <c r="Z75" i="3" s="1"/>
  <c r="AB75" i="3"/>
  <c r="P83" i="3"/>
  <c r="O83" i="3" s="1"/>
  <c r="Q83" i="3" s="1"/>
  <c r="D84" i="3"/>
  <c r="C84" i="3" s="1"/>
  <c r="E84" i="3" s="1"/>
  <c r="L104" i="1"/>
  <c r="N104" i="1" s="1"/>
  <c r="M105" i="1" s="1"/>
  <c r="C104" i="1"/>
  <c r="E104" i="1" s="1"/>
  <c r="D105" i="1" s="1"/>
  <c r="AA72" i="1"/>
  <c r="Z72" i="1" s="1"/>
  <c r="AB72" i="1" s="1"/>
  <c r="D85" i="3" l="1"/>
  <c r="C85" i="3" s="1"/>
  <c r="E85" i="3" s="1"/>
  <c r="P84" i="3"/>
  <c r="O84" i="3" s="1"/>
  <c r="Q84" i="3" s="1"/>
  <c r="AA76" i="3"/>
  <c r="Z76" i="3" s="1"/>
  <c r="AB76" i="3"/>
  <c r="L105" i="1"/>
  <c r="N105" i="1" s="1"/>
  <c r="M106" i="1" s="1"/>
  <c r="C105" i="1"/>
  <c r="E105" i="1" s="1"/>
  <c r="D106" i="1" s="1"/>
  <c r="AA73" i="1"/>
  <c r="Z73" i="1" s="1"/>
  <c r="AB73" i="1" s="1"/>
  <c r="P85" i="3" l="1"/>
  <c r="O85" i="3" s="1"/>
  <c r="Q85" i="3" s="1"/>
  <c r="D86" i="3"/>
  <c r="C86" i="3" s="1"/>
  <c r="E86" i="3" s="1"/>
  <c r="AA77" i="3"/>
  <c r="Z77" i="3" s="1"/>
  <c r="AB77" i="3" s="1"/>
  <c r="L106" i="1"/>
  <c r="N106" i="1" s="1"/>
  <c r="M107" i="1" s="1"/>
  <c r="C106" i="1"/>
  <c r="E106" i="1" s="1"/>
  <c r="D107" i="1" s="1"/>
  <c r="AA74" i="1"/>
  <c r="Z74" i="1" s="1"/>
  <c r="AB74" i="1" s="1"/>
  <c r="AA78" i="3" l="1"/>
  <c r="Z78" i="3" s="1"/>
  <c r="AB78" i="3" s="1"/>
  <c r="D87" i="3"/>
  <c r="C87" i="3" s="1"/>
  <c r="E87" i="3" s="1"/>
  <c r="P86" i="3"/>
  <c r="O86" i="3" s="1"/>
  <c r="Q86" i="3" s="1"/>
  <c r="L107" i="1"/>
  <c r="N107" i="1" s="1"/>
  <c r="M108" i="1" s="1"/>
  <c r="C107" i="1"/>
  <c r="E107" i="1" s="1"/>
  <c r="D108" i="1" s="1"/>
  <c r="AA75" i="1"/>
  <c r="Z75" i="1" s="1"/>
  <c r="AB75" i="1" s="1"/>
  <c r="P87" i="3" l="1"/>
  <c r="O87" i="3" s="1"/>
  <c r="Q87" i="3" s="1"/>
  <c r="D88" i="3"/>
  <c r="C88" i="3" s="1"/>
  <c r="E88" i="3" s="1"/>
  <c r="AA79" i="3"/>
  <c r="Z79" i="3" s="1"/>
  <c r="AB79" i="3"/>
  <c r="L108" i="1"/>
  <c r="N108" i="1" s="1"/>
  <c r="L109" i="1" s="1"/>
  <c r="C108" i="1"/>
  <c r="E108" i="1" s="1"/>
  <c r="D109" i="1" s="1"/>
  <c r="AA76" i="1"/>
  <c r="Z76" i="1" s="1"/>
  <c r="AB76" i="1" s="1"/>
  <c r="D89" i="3" l="1"/>
  <c r="C89" i="3" s="1"/>
  <c r="E89" i="3" s="1"/>
  <c r="P88" i="3"/>
  <c r="O88" i="3" s="1"/>
  <c r="Q88" i="3" s="1"/>
  <c r="K109" i="1"/>
  <c r="M109" i="1" s="1"/>
  <c r="C109" i="1"/>
  <c r="E109" i="1" s="1"/>
  <c r="D110" i="1" s="1"/>
  <c r="AA77" i="1"/>
  <c r="Z77" i="1" s="1"/>
  <c r="AB77" i="1" s="1"/>
  <c r="P89" i="3" l="1"/>
  <c r="O89" i="3" s="1"/>
  <c r="Q89" i="3" s="1"/>
  <c r="D90" i="3"/>
  <c r="C90" i="3" s="1"/>
  <c r="E90" i="3" s="1"/>
  <c r="C110" i="1"/>
  <c r="E110" i="1" s="1"/>
  <c r="AA78" i="1"/>
  <c r="Z78" i="1" s="1"/>
  <c r="AB78" i="1" s="1"/>
  <c r="D91" i="3" l="1"/>
  <c r="C91" i="3" s="1"/>
  <c r="E91" i="3" s="1"/>
  <c r="P90" i="3"/>
  <c r="O90" i="3" s="1"/>
  <c r="Q90" i="3" s="1"/>
  <c r="D111" i="1"/>
  <c r="C111" i="1" s="1"/>
  <c r="E111" i="1" s="1"/>
  <c r="AA79" i="1"/>
  <c r="Z79" i="1" s="1"/>
  <c r="AB79" i="1" s="1"/>
  <c r="O91" i="3" l="1"/>
  <c r="N91" i="3" s="1"/>
  <c r="P91" i="3" s="1"/>
  <c r="D92" i="3"/>
  <c r="C92" i="3" s="1"/>
  <c r="E92" i="3" s="1"/>
  <c r="D112" i="1"/>
  <c r="C112" i="1" s="1"/>
  <c r="E112" i="1" s="1"/>
  <c r="D113" i="1" s="1"/>
  <c r="C113" i="1" s="1"/>
  <c r="E113" i="1" s="1"/>
  <c r="D93" i="3" l="1"/>
  <c r="C93" i="3" s="1"/>
  <c r="E93" i="3" s="1"/>
  <c r="D114" i="1"/>
  <c r="C114" i="1" s="1"/>
  <c r="E114" i="1" s="1"/>
  <c r="D94" i="3" l="1"/>
  <c r="C94" i="3" s="1"/>
  <c r="E94" i="3" s="1"/>
  <c r="D115" i="1"/>
  <c r="C115" i="1" s="1"/>
  <c r="E115" i="1" s="1"/>
  <c r="D95" i="3" l="1"/>
  <c r="C95" i="3" s="1"/>
  <c r="E95" i="3" s="1"/>
  <c r="D116" i="1"/>
  <c r="C116" i="1" s="1"/>
  <c r="E116" i="1" s="1"/>
  <c r="D117" i="1" s="1"/>
  <c r="C117" i="1" s="1"/>
  <c r="E117" i="1" s="1"/>
  <c r="D96" i="3" l="1"/>
  <c r="C96" i="3" s="1"/>
  <c r="E96" i="3" s="1"/>
  <c r="D118" i="1"/>
  <c r="C118" i="1" s="1"/>
  <c r="E118" i="1" s="1"/>
  <c r="D119" i="1" s="1"/>
  <c r="C119" i="1" s="1"/>
  <c r="E119" i="1" s="1"/>
  <c r="D97" i="3" l="1"/>
  <c r="C97" i="3" s="1"/>
  <c r="E97" i="3" s="1"/>
  <c r="D120" i="1"/>
  <c r="C120" i="1" s="1"/>
  <c r="E120" i="1" s="1"/>
  <c r="D121" i="1" s="1"/>
  <c r="C121" i="1" s="1"/>
  <c r="E121" i="1" s="1"/>
  <c r="D122" i="1" s="1"/>
  <c r="C122" i="1" s="1"/>
  <c r="E122" i="1" s="1"/>
  <c r="D98" i="3" l="1"/>
  <c r="C98" i="3" s="1"/>
  <c r="E98" i="3" s="1"/>
  <c r="D123" i="1"/>
  <c r="C123" i="1" s="1"/>
  <c r="E123" i="1" s="1"/>
  <c r="D124" i="1" s="1"/>
  <c r="C124" i="1" s="1"/>
  <c r="E124" i="1" s="1"/>
  <c r="D125" i="1" s="1"/>
  <c r="C125" i="1" s="1"/>
  <c r="E125" i="1" s="1"/>
  <c r="D99" i="3" l="1"/>
  <c r="C99" i="3" s="1"/>
  <c r="E99" i="3" s="1"/>
  <c r="D126" i="1"/>
  <c r="C126" i="1" s="1"/>
  <c r="E126" i="1" s="1"/>
  <c r="D127" i="1" s="1"/>
  <c r="C127" i="1" s="1"/>
  <c r="E127" i="1" s="1"/>
  <c r="D128" i="1" s="1"/>
  <c r="C128" i="1" s="1"/>
  <c r="E128" i="1" s="1"/>
  <c r="D129" i="1" s="1"/>
  <c r="D100" i="3" l="1"/>
  <c r="C100" i="3" s="1"/>
  <c r="E100" i="3" s="1"/>
  <c r="C129" i="1"/>
  <c r="E129" i="1" s="1"/>
  <c r="D130" i="1" s="1"/>
  <c r="D101" i="3" l="1"/>
  <c r="C101" i="3" s="1"/>
  <c r="E101" i="3" s="1"/>
  <c r="C130" i="1"/>
  <c r="E130" i="1" s="1"/>
  <c r="E133" i="1" s="1"/>
  <c r="D102" i="3" l="1"/>
  <c r="C102" i="3" s="1"/>
  <c r="E102" i="3" s="1"/>
  <c r="D103" i="3" l="1"/>
  <c r="C103" i="3" s="1"/>
  <c r="E103" i="3" s="1"/>
  <c r="D104" i="3" l="1"/>
  <c r="C104" i="3" s="1"/>
  <c r="E104" i="3" s="1"/>
  <c r="D105" i="3" l="1"/>
  <c r="C105" i="3" s="1"/>
  <c r="E105" i="3" s="1"/>
  <c r="D106" i="3" l="1"/>
  <c r="C106" i="3" s="1"/>
  <c r="E106" i="3" s="1"/>
  <c r="D107" i="3" l="1"/>
  <c r="C107" i="3" s="1"/>
  <c r="E107" i="3" s="1"/>
  <c r="D108" i="3" l="1"/>
  <c r="C108" i="3" s="1"/>
  <c r="E108" i="3" s="1"/>
  <c r="D109" i="3" l="1"/>
  <c r="C109" i="3" s="1"/>
  <c r="E109" i="3" s="1"/>
  <c r="D110" i="3" l="1"/>
  <c r="C110" i="3" s="1"/>
  <c r="E110" i="3" s="1"/>
  <c r="D111" i="3" l="1"/>
  <c r="C111" i="3" s="1"/>
  <c r="E111" i="3" s="1"/>
  <c r="D112" i="3" l="1"/>
  <c r="C112" i="3" s="1"/>
  <c r="E112" i="3" s="1"/>
  <c r="D113" i="3" l="1"/>
  <c r="C113" i="3" s="1"/>
  <c r="E113" i="3" s="1"/>
  <c r="E116" i="3" s="1"/>
  <c r="B39" i="3"/>
  <c r="B40" i="3" s="1"/>
</calcChain>
</file>

<file path=xl/sharedStrings.xml><?xml version="1.0" encoding="utf-8"?>
<sst xmlns="http://schemas.openxmlformats.org/spreadsheetml/2006/main" count="3434" uniqueCount="525">
  <si>
    <t>Bankdarlehen mit AZ/1</t>
  </si>
  <si>
    <t>Bankdarlehen ohne AZ/1</t>
  </si>
  <si>
    <t>Annuitätenzuschuss / 1</t>
  </si>
  <si>
    <t>WBF mit AZ/RZ 1</t>
  </si>
  <si>
    <t>Annuitätensumme</t>
  </si>
  <si>
    <t>Betriebskosten</t>
  </si>
  <si>
    <t>Verwaltung</t>
  </si>
  <si>
    <t>EVB</t>
  </si>
  <si>
    <t>Rücklage</t>
  </si>
  <si>
    <t>Verwaltung Garage</t>
  </si>
  <si>
    <t>Abstellplatzmiete</t>
  </si>
  <si>
    <t>UST - Verwohung</t>
  </si>
  <si>
    <t>Gesamt Betrag</t>
  </si>
  <si>
    <t>Miete</t>
  </si>
  <si>
    <t>Kaution</t>
  </si>
  <si>
    <t>Eigenmittel</t>
  </si>
  <si>
    <t>Herstellungskosten</t>
  </si>
  <si>
    <t>Hauskosten</t>
  </si>
  <si>
    <t>geleistete Annutitäten</t>
  </si>
  <si>
    <t xml:space="preserve">bezahlt </t>
  </si>
  <si>
    <t>bezahlt</t>
  </si>
  <si>
    <t>ausständig</t>
  </si>
  <si>
    <t>zu bezahlen</t>
  </si>
  <si>
    <t>nach 10 Jahren</t>
  </si>
  <si>
    <t>an gen</t>
  </si>
  <si>
    <t>cash</t>
  </si>
  <si>
    <t>zinsen</t>
  </si>
  <si>
    <t>tilgung</t>
  </si>
  <si>
    <t>Schönere Zukunft</t>
  </si>
  <si>
    <t>offen</t>
  </si>
  <si>
    <t>datum</t>
  </si>
  <si>
    <t>annui</t>
  </si>
  <si>
    <t>saldo</t>
  </si>
  <si>
    <t>Guthaben</t>
  </si>
  <si>
    <t>Bankdarlehen ohne AZ/2</t>
  </si>
  <si>
    <t>Kontoauszug</t>
  </si>
  <si>
    <t>zinssatz</t>
  </si>
  <si>
    <t>Bank Austria Annuitäten</t>
  </si>
  <si>
    <t>gewichtets Mittel</t>
  </si>
  <si>
    <t>Annuität</t>
  </si>
  <si>
    <t>pro Monat</t>
  </si>
  <si>
    <t>D0000003</t>
  </si>
  <si>
    <t>Annuitäten gesamt</t>
  </si>
  <si>
    <t>Endabrechnung Finanzierung</t>
  </si>
  <si>
    <t xml:space="preserve">Hypothekardarlehen </t>
  </si>
  <si>
    <t>Wohnbauförderungsdarlehen</t>
  </si>
  <si>
    <t>einbezahlten Eigenmittel</t>
  </si>
  <si>
    <t>euribor</t>
  </si>
  <si>
    <t>Startdatum</t>
  </si>
  <si>
    <t>Enddatum</t>
  </si>
  <si>
    <t>EUR006M Index</t>
  </si>
  <si>
    <t>Dates</t>
  </si>
  <si>
    <t>Umlaufgewichtete Durchschnittsrendite für Bundesanleihen (tägliche Werte) (oenb.at)</t>
  </si>
  <si>
    <t>UDRB</t>
  </si>
  <si>
    <t>in % p. a.</t>
  </si>
  <si>
    <t>Durchschnittliche Restlaufzeit</t>
  </si>
  <si>
    <t>der UDRB in Jahren</t>
  </si>
  <si>
    <t>−0,005</t>
  </si>
  <si>
    <t>−0,014</t>
  </si>
  <si>
    <t>−0,023</t>
  </si>
  <si>
    <t>−0,032</t>
  </si>
  <si>
    <t>−0,042</t>
  </si>
  <si>
    <t>−0,052</t>
  </si>
  <si>
    <t>−0,059</t>
  </si>
  <si>
    <t>−0,069</t>
  </si>
  <si>
    <t>−0,080</t>
  </si>
  <si>
    <t>−0,088</t>
  </si>
  <si>
    <t>−0,097</t>
  </si>
  <si>
    <t>−0,105</t>
  </si>
  <si>
    <t>−0,112</t>
  </si>
  <si>
    <t>−0,121</t>
  </si>
  <si>
    <t>−0,129</t>
  </si>
  <si>
    <t>−0,137</t>
  </si>
  <si>
    <t>−0,145</t>
  </si>
  <si>
    <t>−0,147</t>
  </si>
  <si>
    <t>−0,150</t>
  </si>
  <si>
    <t>−0,153</t>
  </si>
  <si>
    <t>−0,156</t>
  </si>
  <si>
    <t>−0,160</t>
  </si>
  <si>
    <t>−0,163</t>
  </si>
  <si>
    <t>−0,167</t>
  </si>
  <si>
    <t>−0,166</t>
  </si>
  <si>
    <t>−0,170</t>
  </si>
  <si>
    <t>−0,172</t>
  </si>
  <si>
    <t>−0,175</t>
  </si>
  <si>
    <t>−0,178</t>
  </si>
  <si>
    <t>−0,180</t>
  </si>
  <si>
    <t>−0,183</t>
  </si>
  <si>
    <t>−0,187</t>
  </si>
  <si>
    <t>−0,191</t>
  </si>
  <si>
    <t>−0,194</t>
  </si>
  <si>
    <t>−0,196</t>
  </si>
  <si>
    <t>−0,197</t>
  </si>
  <si>
    <t>−0,195</t>
  </si>
  <si>
    <t>−0,193</t>
  </si>
  <si>
    <t>−0,192</t>
  </si>
  <si>
    <t>−0,182</t>
  </si>
  <si>
    <t>−0,154</t>
  </si>
  <si>
    <t>−0,152</t>
  </si>
  <si>
    <t>−0,148</t>
  </si>
  <si>
    <t>−0,146</t>
  </si>
  <si>
    <t>−0,144</t>
  </si>
  <si>
    <t>−0,159</t>
  </si>
  <si>
    <t>−0,161</t>
  </si>
  <si>
    <t>−0,162</t>
  </si>
  <si>
    <t>−0,158</t>
  </si>
  <si>
    <t>−0,155</t>
  </si>
  <si>
    <t>−0,143</t>
  </si>
  <si>
    <t>−0,142</t>
  </si>
  <si>
    <t>−0,139</t>
  </si>
  <si>
    <t>−0,136</t>
  </si>
  <si>
    <t>−0,133</t>
  </si>
  <si>
    <t>−0,128</t>
  </si>
  <si>
    <t>−0,119</t>
  </si>
  <si>
    <t>−0,109</t>
  </si>
  <si>
    <t>−0,100</t>
  </si>
  <si>
    <t>−0,075</t>
  </si>
  <si>
    <t>−0,066</t>
  </si>
  <si>
    <t>−0,061</t>
  </si>
  <si>
    <t>−0,057</t>
  </si>
  <si>
    <t>−0,054</t>
  </si>
  <si>
    <t>−0,050</t>
  </si>
  <si>
    <t>−0,043</t>
  </si>
  <si>
    <t>−0,033</t>
  </si>
  <si>
    <t>−0,020</t>
  </si>
  <si>
    <t>−0,010</t>
  </si>
  <si>
    <t>−0,004</t>
  </si>
  <si>
    <t>−0,011</t>
  </si>
  <si>
    <t>−0,018</t>
  </si>
  <si>
    <t>−0,024</t>
  </si>
  <si>
    <t>−0,028</t>
  </si>
  <si>
    <t>−0,034</t>
  </si>
  <si>
    <t>−0,049</t>
  </si>
  <si>
    <t>−0,055</t>
  </si>
  <si>
    <t>−0,068</t>
  </si>
  <si>
    <t>−0,077</t>
  </si>
  <si>
    <t>−0,086</t>
  </si>
  <si>
    <t>−0,096</t>
  </si>
  <si>
    <t>−0,106</t>
  </si>
  <si>
    <t>−0,115</t>
  </si>
  <si>
    <t>−0,125</t>
  </si>
  <si>
    <t>−0,132</t>
  </si>
  <si>
    <t>−0,140</t>
  </si>
  <si>
    <t>−0,149</t>
  </si>
  <si>
    <t>−0,200</t>
  </si>
  <si>
    <t>−0,202</t>
  </si>
  <si>
    <t>−0,179</t>
  </si>
  <si>
    <t>−0,206</t>
  </si>
  <si>
    <t>−0,210</t>
  </si>
  <si>
    <t>−0,214</t>
  </si>
  <si>
    <t>−0,217</t>
  </si>
  <si>
    <t>−0,221</t>
  </si>
  <si>
    <t>−0,224</t>
  </si>
  <si>
    <t>−0,230</t>
  </si>
  <si>
    <t>−0,237</t>
  </si>
  <si>
    <t>−0,245</t>
  </si>
  <si>
    <t>−0,258</t>
  </si>
  <si>
    <t>−0,271</t>
  </si>
  <si>
    <t>−0,285</t>
  </si>
  <si>
    <t>−0,299</t>
  </si>
  <si>
    <t>−0,312</t>
  </si>
  <si>
    <t>−0,324</t>
  </si>
  <si>
    <t>−0,339</t>
  </si>
  <si>
    <t>−0,351</t>
  </si>
  <si>
    <t>−0,364</t>
  </si>
  <si>
    <t>−0,375</t>
  </si>
  <si>
    <t>−0,385</t>
  </si>
  <si>
    <t>−0,394</t>
  </si>
  <si>
    <t>−0,405</t>
  </si>
  <si>
    <t>−0,415</t>
  </si>
  <si>
    <t>−0,427</t>
  </si>
  <si>
    <t>−0,437</t>
  </si>
  <si>
    <t>−0,447</t>
  </si>
  <si>
    <t>−0,455</t>
  </si>
  <si>
    <t>−0,462</t>
  </si>
  <si>
    <t>−0,466</t>
  </si>
  <si>
    <t>−0,467</t>
  </si>
  <si>
    <t>−0,464</t>
  </si>
  <si>
    <t>−0,460</t>
  </si>
  <si>
    <t>−0,456</t>
  </si>
  <si>
    <t>−0,446</t>
  </si>
  <si>
    <t>−0,419</t>
  </si>
  <si>
    <t>−0,412</t>
  </si>
  <si>
    <t>−0,400</t>
  </si>
  <si>
    <t>−0,388</t>
  </si>
  <si>
    <t>−0,382</t>
  </si>
  <si>
    <t>−0,376</t>
  </si>
  <si>
    <t>−0,370</t>
  </si>
  <si>
    <t>−0,362</t>
  </si>
  <si>
    <t>−0,358</t>
  </si>
  <si>
    <t>−0,356</t>
  </si>
  <si>
    <t>−0,355</t>
  </si>
  <si>
    <t>−0,348</t>
  </si>
  <si>
    <t>−0,345</t>
  </si>
  <si>
    <t>−0,341</t>
  </si>
  <si>
    <t>−0,333</t>
  </si>
  <si>
    <t>−0,325</t>
  </si>
  <si>
    <t>−0,318</t>
  </si>
  <si>
    <t>−0,311</t>
  </si>
  <si>
    <t>−0,303</t>
  </si>
  <si>
    <t>−0,294</t>
  </si>
  <si>
    <t>−0,286</t>
  </si>
  <si>
    <t>−0,278</t>
  </si>
  <si>
    <t>−0,262</t>
  </si>
  <si>
    <t>−0,252</t>
  </si>
  <si>
    <t>−0,242</t>
  </si>
  <si>
    <t>−0,231</t>
  </si>
  <si>
    <t>−0,222</t>
  </si>
  <si>
    <t>−0,215</t>
  </si>
  <si>
    <t>−0,207</t>
  </si>
  <si>
    <t>−0,201</t>
  </si>
  <si>
    <t>−0,198</t>
  </si>
  <si>
    <t>−0,190</t>
  </si>
  <si>
    <t>−0,188</t>
  </si>
  <si>
    <t>−0,189</t>
  </si>
  <si>
    <t>−0,185</t>
  </si>
  <si>
    <t>−0,186</t>
  </si>
  <si>
    <t>−0,173</t>
  </si>
  <si>
    <t>−0,168</t>
  </si>
  <si>
    <t>−0,169</t>
  </si>
  <si>
    <t>−0,164</t>
  </si>
  <si>
    <t>−0,157</t>
  </si>
  <si>
    <t>−0,151</t>
  </si>
  <si>
    <t>−0,174</t>
  </si>
  <si>
    <t>−0,199</t>
  </si>
  <si>
    <t>−0,203</t>
  </si>
  <si>
    <t>−0,208</t>
  </si>
  <si>
    <t>−0,223</t>
  </si>
  <si>
    <t>−0,244</t>
  </si>
  <si>
    <t>−0,251</t>
  </si>
  <si>
    <t>−0,265</t>
  </si>
  <si>
    <t>−0,272</t>
  </si>
  <si>
    <t>−0,283</t>
  </si>
  <si>
    <t>−0,289</t>
  </si>
  <si>
    <t>−0,304</t>
  </si>
  <si>
    <t>−0,310</t>
  </si>
  <si>
    <t>−0,317</t>
  </si>
  <si>
    <t>−0,342</t>
  </si>
  <si>
    <t>−0,353</t>
  </si>
  <si>
    <t>−0,366</t>
  </si>
  <si>
    <t>−0,386</t>
  </si>
  <si>
    <t>−0,395</t>
  </si>
  <si>
    <t>−0,390</t>
  </si>
  <si>
    <t>−0,379</t>
  </si>
  <si>
    <t>−0,363</t>
  </si>
  <si>
    <t>−0,349</t>
  </si>
  <si>
    <t>−0,335</t>
  </si>
  <si>
    <t>−0,322</t>
  </si>
  <si>
    <t>−0,306</t>
  </si>
  <si>
    <t>−0,287</t>
  </si>
  <si>
    <t>−0,268</t>
  </si>
  <si>
    <t>−0,256</t>
  </si>
  <si>
    <t>−0,232</t>
  </si>
  <si>
    <t>−0,216</t>
  </si>
  <si>
    <t>−0,110</t>
  </si>
  <si>
    <t>−0,091</t>
  </si>
  <si>
    <t>−0,081</t>
  </si>
  <si>
    <t>−0,076</t>
  </si>
  <si>
    <t>−0,078</t>
  </si>
  <si>
    <t>−0,087</t>
  </si>
  <si>
    <t>−0,093</t>
  </si>
  <si>
    <t>−0,099</t>
  </si>
  <si>
    <t>−0,101</t>
  </si>
  <si>
    <t>−0,117</t>
  </si>
  <si>
    <t>−0,120</t>
  </si>
  <si>
    <t>−0,127</t>
  </si>
  <si>
    <t>−0,184</t>
  </si>
  <si>
    <t>−0,209</t>
  </si>
  <si>
    <t>−0,218</t>
  </si>
  <si>
    <t>−0,239</t>
  </si>
  <si>
    <t>−0,246</t>
  </si>
  <si>
    <t>−0,238</t>
  </si>
  <si>
    <t>−0,234</t>
  </si>
  <si>
    <t>−0,229</t>
  </si>
  <si>
    <t>−0,225</t>
  </si>
  <si>
    <t>−0,227</t>
  </si>
  <si>
    <t>−0,226</t>
  </si>
  <si>
    <t>−0,236</t>
  </si>
  <si>
    <t>−0,250</t>
  </si>
  <si>
    <t>−0,255</t>
  </si>
  <si>
    <t>−0,257</t>
  </si>
  <si>
    <t>−0,263</t>
  </si>
  <si>
    <t>−0,270</t>
  </si>
  <si>
    <t>−0,277</t>
  </si>
  <si>
    <t>−0,282</t>
  </si>
  <si>
    <t>−0,291</t>
  </si>
  <si>
    <t>−0,296</t>
  </si>
  <si>
    <t>−0,302</t>
  </si>
  <si>
    <t>−0,305</t>
  </si>
  <si>
    <t>−0,309</t>
  </si>
  <si>
    <t>−0,315</t>
  </si>
  <si>
    <t>−0,319</t>
  </si>
  <si>
    <t>−0,326</t>
  </si>
  <si>
    <t>−0,329</t>
  </si>
  <si>
    <t>−0,334</t>
  </si>
  <si>
    <t>−0,340</t>
  </si>
  <si>
    <t>−0,344</t>
  </si>
  <si>
    <t>−0,354</t>
  </si>
  <si>
    <t>−0,371</t>
  </si>
  <si>
    <t>−0,378</t>
  </si>
  <si>
    <t>−0,377</t>
  </si>
  <si>
    <t>−0,380</t>
  </si>
  <si>
    <t>−0,381</t>
  </si>
  <si>
    <t>−0,367</t>
  </si>
  <si>
    <t>−0,361</t>
  </si>
  <si>
    <t>−0,360</t>
  </si>
  <si>
    <t>−0,359</t>
  </si>
  <si>
    <t>−0,352</t>
  </si>
  <si>
    <t>−0,373</t>
  </si>
  <si>
    <t>−0,383</t>
  </si>
  <si>
    <t>−0,392</t>
  </si>
  <si>
    <t>−0,399</t>
  </si>
  <si>
    <t>−0,402</t>
  </si>
  <si>
    <t>−0,409</t>
  </si>
  <si>
    <t>−0,413</t>
  </si>
  <si>
    <t>−0,424</t>
  </si>
  <si>
    <t>−0,428</t>
  </si>
  <si>
    <t>−0,432</t>
  </si>
  <si>
    <t>−0,435</t>
  </si>
  <si>
    <t>−0,433</t>
  </si>
  <si>
    <t>−0,438</t>
  </si>
  <si>
    <t>−0,442</t>
  </si>
  <si>
    <t>−0,450</t>
  </si>
  <si>
    <t>−0,459</t>
  </si>
  <si>
    <t>−0,468</t>
  </si>
  <si>
    <t>−0,472</t>
  </si>
  <si>
    <t>−0,474</t>
  </si>
  <si>
    <t>−0,473</t>
  </si>
  <si>
    <t>−0,471</t>
  </si>
  <si>
    <t>−0,469</t>
  </si>
  <si>
    <t>−0,465</t>
  </si>
  <si>
    <t>−0,463</t>
  </si>
  <si>
    <t>−0,453</t>
  </si>
  <si>
    <t>−0,454</t>
  </si>
  <si>
    <t>−0,458</t>
  </si>
  <si>
    <t>−0,451</t>
  </si>
  <si>
    <t>−0,448</t>
  </si>
  <si>
    <t>−0,440</t>
  </si>
  <si>
    <t>−0,436</t>
  </si>
  <si>
    <t>−0,434</t>
  </si>
  <si>
    <t>−0,429</t>
  </si>
  <si>
    <t>−0,423</t>
  </si>
  <si>
    <t>−0,410</t>
  </si>
  <si>
    <t>−0,408</t>
  </si>
  <si>
    <t>−0,404</t>
  </si>
  <si>
    <t>−0,328</t>
  </si>
  <si>
    <t>−0,298</t>
  </si>
  <si>
    <t>−0,292</t>
  </si>
  <si>
    <t>−0,280</t>
  </si>
  <si>
    <t>−0,275</t>
  </si>
  <si>
    <t>−0,269</t>
  </si>
  <si>
    <t>−0,259</t>
  </si>
  <si>
    <t>−0,254</t>
  </si>
  <si>
    <t>−0,253</t>
  </si>
  <si>
    <t>−0,260</t>
  </si>
  <si>
    <t>−0,264</t>
  </si>
  <si>
    <t>−0,267</t>
  </si>
  <si>
    <t>−0,266</t>
  </si>
  <si>
    <t>−0,261</t>
  </si>
  <si>
    <t>−0,243</t>
  </si>
  <si>
    <t>−0,240</t>
  </si>
  <si>
    <t>−0,235</t>
  </si>
  <si>
    <t>−0,220</t>
  </si>
  <si>
    <t>−0,138</t>
  </si>
  <si>
    <t>−0,135</t>
  </si>
  <si>
    <t>−0,134</t>
  </si>
  <si>
    <t>−0,131</t>
  </si>
  <si>
    <t>−0,165</t>
  </si>
  <si>
    <t>−0,171</t>
  </si>
  <si>
    <t>−0,177</t>
  </si>
  <si>
    <t>−0,248</t>
  </si>
  <si>
    <t>−0,300</t>
  </si>
  <si>
    <t>−0,307</t>
  </si>
  <si>
    <t>−0,314</t>
  </si>
  <si>
    <t>−0,330</t>
  </si>
  <si>
    <t>−0,357</t>
  </si>
  <si>
    <t>−0,346</t>
  </si>
  <si>
    <t>−0,323</t>
  </si>
  <si>
    <t>−0,249</t>
  </si>
  <si>
    <t>−0,204</t>
  </si>
  <si>
    <t>−0,126</t>
  </si>
  <si>
    <t>−0,176</t>
  </si>
  <si>
    <t>−0,212</t>
  </si>
  <si>
    <t>−0,219</t>
  </si>
  <si>
    <t>−0,211</t>
  </si>
  <si>
    <t>−0,114</t>
  </si>
  <si>
    <t>−0,104</t>
  </si>
  <si>
    <t>−0,094</t>
  </si>
  <si>
    <t>−0,067</t>
  </si>
  <si>
    <t>−0,056</t>
  </si>
  <si>
    <t>−0,048</t>
  </si>
  <si>
    <t>−0,039</t>
  </si>
  <si>
    <t>−0,026</t>
  </si>
  <si>
    <t>−0,015</t>
  </si>
  <si>
    <t>−0,008</t>
  </si>
  <si>
    <t>Quelle: OeNB.</t>
  </si>
  <si>
    <t>Sprache:</t>
  </si>
  <si>
    <t>Deutsch</t>
  </si>
  <si>
    <t>Englisch</t>
  </si>
  <si>
    <t>Zeitreihe:</t>
  </si>
  <si>
    <t>Tage:</t>
  </si>
  <si>
    <t>PX_LAST</t>
  </si>
  <si>
    <t>SMR</t>
  </si>
  <si>
    <t>6m Euribor + SMR Emittenten gesamt)/2 + 0,37%</t>
  </si>
  <si>
    <t>Date SMR</t>
  </si>
  <si>
    <t>Zinssatz</t>
  </si>
  <si>
    <t>Zeilenbeschriftungen</t>
  </si>
  <si>
    <t>Gesamtergebnis</t>
  </si>
  <si>
    <t>2015</t>
  </si>
  <si>
    <t>Qrtl2</t>
  </si>
  <si>
    <t>Qrtl4</t>
  </si>
  <si>
    <t>2016</t>
  </si>
  <si>
    <t>2017</t>
  </si>
  <si>
    <t>2018</t>
  </si>
  <si>
    <t>2019</t>
  </si>
  <si>
    <t>2020</t>
  </si>
  <si>
    <t>2021</t>
  </si>
  <si>
    <t>2022</t>
  </si>
  <si>
    <t>Summe von Zinssatz</t>
  </si>
  <si>
    <t>(Mehrere Elemente)</t>
  </si>
  <si>
    <t xml:space="preserve">Guthaben Annuitätten </t>
  </si>
  <si>
    <t>29.1.21 Endabrechnung Finanzierung</t>
  </si>
  <si>
    <t>p.a.</t>
  </si>
  <si>
    <t>6m</t>
  </si>
  <si>
    <t>%</t>
  </si>
  <si>
    <t>Mietbestandteil "Annuität"</t>
  </si>
  <si>
    <t>Förderung</t>
  </si>
  <si>
    <t>Nutzfläche</t>
  </si>
  <si>
    <t>m2</t>
  </si>
  <si>
    <t>Beispiel</t>
  </si>
  <si>
    <t>Hypothekardarlehen</t>
  </si>
  <si>
    <t>Kredit des Landes</t>
  </si>
  <si>
    <t>monatl. Annutitäten</t>
  </si>
  <si>
    <t>pro m2</t>
  </si>
  <si>
    <t>meine Nutzfläche</t>
  </si>
  <si>
    <t>Seit 51</t>
  </si>
  <si>
    <t>zins</t>
  </si>
  <si>
    <t>Bank Austria ohne AZ, Laufzeit 35 Jahre</t>
  </si>
  <si>
    <t>Wohnnutzfläche</t>
  </si>
  <si>
    <t>Nutzwert</t>
  </si>
  <si>
    <t>Gartenfläche</t>
  </si>
  <si>
    <t>Balkon</t>
  </si>
  <si>
    <t>Terrasse</t>
  </si>
  <si>
    <t>gesamt</t>
  </si>
  <si>
    <t>RH1</t>
  </si>
  <si>
    <t>Nutzfläche m2</t>
  </si>
  <si>
    <t xml:space="preserve">geleistet </t>
  </si>
  <si>
    <t>gleistet monatlich</t>
  </si>
  <si>
    <t>FWD</t>
  </si>
  <si>
    <t>Wohnbauförderung, Laufzeit 34 Jahre</t>
  </si>
  <si>
    <t>Bank Austria mit AZ, Laufzeit 25 Jahre</t>
  </si>
  <si>
    <t>RH 1</t>
  </si>
  <si>
    <t>GESAMT</t>
  </si>
  <si>
    <t>-&gt; Grund &amp; Baukosten</t>
  </si>
  <si>
    <t>RH1 Anteil</t>
  </si>
  <si>
    <t>-&gt; RH 1 Grund &amp; Baukosten</t>
  </si>
  <si>
    <t>Calyps FO</t>
  </si>
  <si>
    <r>
      <t>Nominale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€ 1.427.336,39 nach der Endabrechnung</t>
    </r>
  </si>
  <si>
    <r>
      <t>Startdatum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01.05.2016</t>
    </r>
  </si>
  <si>
    <r>
      <t xml:space="preserve">Enddatum </t>
    </r>
    <r>
      <rPr>
        <sz val="10"/>
        <color rgb="FFFF0000"/>
        <rFont val="Arial"/>
        <family val="2"/>
      </rPr>
      <t>01.11.2050</t>
    </r>
  </si>
  <si>
    <t xml:space="preserve">Fixingdatum </t>
  </si>
  <si>
    <r>
      <t>Zinszahlungsdatum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2x im Jahr 01.05./01.11.</t>
    </r>
  </si>
  <si>
    <r>
      <t>Bereits gefixte Zinssätze seit Startdatum</t>
    </r>
    <r>
      <rPr>
        <b/>
        <sz val="10"/>
        <color rgb="FF1F497D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0,608% 0,3815%, 0,1805%, 0,323%, 0,442%, 0,3825%, 0,336%, 0,00001%, 0,96%</t>
    </r>
  </si>
  <si>
    <r>
      <t>daycount fraction -&gt; act/360 oder 30/360 für die Zinszahlungstage</t>
    </r>
    <r>
      <rPr>
        <sz val="10"/>
        <color rgb="FF1F497D"/>
        <rFont val="Arial"/>
        <family val="2"/>
      </rPr>
      <t xml:space="preserve"> </t>
    </r>
    <r>
      <rPr>
        <sz val="10"/>
        <color rgb="FFFF0000"/>
        <rFont val="Arial"/>
        <family val="2"/>
      </rPr>
      <t>klm/360</t>
    </r>
  </si>
  <si>
    <t xml:space="preserve">Forwardzinssätze von heute </t>
  </si>
  <si>
    <t>Info: 15/12/22</t>
  </si>
  <si>
    <t>DF</t>
  </si>
  <si>
    <t>0.97716977</t>
  </si>
  <si>
    <t>0.96371692</t>
  </si>
  <si>
    <t>0.95120896</t>
  </si>
  <si>
    <t>0.94042990</t>
  </si>
  <si>
    <t>0.92962277</t>
  </si>
  <si>
    <t>0.91948588</t>
  </si>
  <si>
    <t>0.90958461</t>
  </si>
  <si>
    <t>0.89978589</t>
  </si>
  <si>
    <t>0.89003827</t>
  </si>
  <si>
    <t>0.88044609</t>
  </si>
  <si>
    <t>0.87085267</t>
  </si>
  <si>
    <t>0.86141693</t>
  </si>
  <si>
    <t>0.85189407</t>
  </si>
  <si>
    <t>0.84236383</t>
  </si>
  <si>
    <t>0.83258685</t>
  </si>
  <si>
    <t>0.82302240</t>
  </si>
  <si>
    <t>0.81316276</t>
  </si>
  <si>
    <t>0.80318548</t>
  </si>
  <si>
    <t>0.79314491</t>
  </si>
  <si>
    <t>0.78329365</t>
  </si>
  <si>
    <t>0.77338861</t>
  </si>
  <si>
    <t>0.76376727</t>
  </si>
  <si>
    <t>0.75410915</t>
  </si>
  <si>
    <t>0.74518226</t>
  </si>
  <si>
    <t>0.73637594</t>
  </si>
  <si>
    <t>0.72776771</t>
  </si>
  <si>
    <t>0.71912072</t>
  </si>
  <si>
    <t>0.71071421</t>
  </si>
  <si>
    <t>0.70240598</t>
  </si>
  <si>
    <t>0.69566705</t>
  </si>
  <si>
    <t>0.68949716</t>
  </si>
  <si>
    <t>0.68344854</t>
  </si>
  <si>
    <t>0.67735405</t>
  </si>
  <si>
    <t>0.67137927</t>
  </si>
  <si>
    <t>0.66539240</t>
  </si>
  <si>
    <t>0.65955524</t>
  </si>
  <si>
    <t>0.65361017</t>
  </si>
  <si>
    <t>0.64793944</t>
  </si>
  <si>
    <t>0.64213034</t>
  </si>
  <si>
    <t>0.63764990</t>
  </si>
  <si>
    <t>0.63359877</t>
  </si>
  <si>
    <t>0.62957337</t>
  </si>
  <si>
    <t>0.62552974</t>
  </si>
  <si>
    <t>0.62157738</t>
  </si>
  <si>
    <t>0.61758511</t>
  </si>
  <si>
    <t>0.61368295</t>
  </si>
  <si>
    <t>0.60974138</t>
  </si>
  <si>
    <t>0.60588878</t>
  </si>
  <si>
    <t>0.60195511</t>
  </si>
  <si>
    <t>0.59852265</t>
  </si>
  <si>
    <t>0.59523782</t>
  </si>
  <si>
    <t>0.59197101</t>
  </si>
  <si>
    <t>0.58870433</t>
  </si>
  <si>
    <t>0.58549109</t>
  </si>
  <si>
    <t>zins SZ</t>
  </si>
  <si>
    <t>6m Euribor</t>
  </si>
  <si>
    <t>i</t>
  </si>
  <si>
    <t>Renditen österreichischer Bundesanleihen - Oesterreichische Nationalbank (OeNB)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</si>
</sst>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_-;\-* #,##0_-;_-* &quot;-&quot;??_-;_-@_-"/>
    <numFmt numFmtId="165" formatCode="0.0000%"/>
    <numFmt numFmtId="166" formatCode="0.00000"/>
    <numFmt numFmtId="167" formatCode="0.0000"/>
    <numFmt numFmtId="168" formatCode="dd\.mm\.yyyy"/>
    <numFmt numFmtId="169" formatCode="_-* #,##0.00000_-;\-* #,##0.00000_-;_-* &quot;-&quot;??_-;_-@_-"/>
    <numFmt numFmtId="170" formatCode="0.0"/>
    <numFmt numFmtId="171" formatCode="ddd\ dd/mm/yyyy"/>
    <numFmt numFmtId="172" formatCode="0.000%"/>
    <numFmt numFmtId="173" formatCode="#,##0.000000"/>
    <numFmt numFmtId="174" formatCode="0.00000%"/>
    <numFmt numFmtId="175" formatCode="&quot;€&quot;\ #,##0.00"/>
  </numFmts>
  <fonts count="3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B0F0"/>
      <name val="Arial"/>
      <family val="2"/>
    </font>
    <font>
      <b/>
      <sz val="10"/>
      <color rgb="FF00B0F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  <font>
      <sz val="10"/>
      <color rgb="FF006100"/>
      <name val="Arial"/>
      <family val="2"/>
    </font>
    <font>
      <b/>
      <sz val="10"/>
      <color theme="3" tint="0.39997558519241921"/>
      <name val="Arial"/>
      <family val="2"/>
    </font>
    <font>
      <b/>
      <sz val="10"/>
      <color rgb="FFC00000"/>
      <name val="Arial"/>
      <family val="2"/>
    </font>
    <font>
      <sz val="10"/>
      <color theme="3" tint="0.39997558519241921"/>
      <name val="Arial"/>
      <family val="2"/>
    </font>
    <font>
      <b/>
      <i/>
      <sz val="10"/>
      <color theme="1"/>
      <name val="Arial"/>
      <family val="2"/>
    </font>
    <font>
      <sz val="10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66FF"/>
      <name val="Arial"/>
      <family val="2"/>
    </font>
    <font>
      <b/>
      <sz val="10"/>
      <color theme="5" tint="-0.249977111117893"/>
      <name val="Arial"/>
      <family val="2"/>
    </font>
    <font>
      <i/>
      <sz val="10"/>
      <color theme="1"/>
      <name val="Arial"/>
      <family val="2"/>
    </font>
    <font>
      <b/>
      <sz val="10"/>
      <color theme="0"/>
      <name val="Arial"/>
      <family val="2"/>
    </font>
    <font>
      <b/>
      <sz val="16"/>
      <color theme="1"/>
      <name val="Arial"/>
      <family val="2"/>
    </font>
    <font>
      <b/>
      <sz val="10"/>
      <color rgb="FF0070C0"/>
      <name val="Arial"/>
      <family val="2"/>
    </font>
    <font>
      <b/>
      <sz val="16"/>
      <color rgb="FFFF0000"/>
      <name val="Arial"/>
      <family val="2"/>
    </font>
    <font>
      <b/>
      <sz val="14"/>
      <color theme="1"/>
      <name val="Arial"/>
      <family val="2"/>
    </font>
    <font>
      <b/>
      <sz val="14"/>
      <color rgb="FFFF0000"/>
      <name val="Arial"/>
      <family val="2"/>
    </font>
    <font>
      <b/>
      <sz val="12"/>
      <color theme="1" tint="4.9989318521683403E-2"/>
      <name val="Arial"/>
      <family val="2"/>
    </font>
    <font>
      <sz val="10"/>
      <color rgb="FF0066FF"/>
      <name val="Arial"/>
      <family val="2"/>
    </font>
    <font>
      <sz val="10"/>
      <color rgb="FF1F497D"/>
      <name val="Arial"/>
      <family val="2"/>
    </font>
    <font>
      <b/>
      <sz val="10"/>
      <color rgb="FF1F497D"/>
      <name val="Arial"/>
      <family val="2"/>
    </font>
    <font>
      <b/>
      <sz val="16"/>
      <color rgb="FF0066FF"/>
      <name val="Arial"/>
      <family val="2"/>
    </font>
    <font>
      <sz val="10"/>
      <color rgb="FF0070C0"/>
      <name val="Arial"/>
      <family val="2"/>
    </font>
    <font>
      <b/>
      <sz val="14"/>
      <color rgb="FF0070C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C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013473"/>
      </right>
      <top/>
      <bottom/>
      <diagonal/>
    </border>
    <border>
      <left/>
      <right style="medium">
        <color rgb="FFFFFFFF"/>
      </right>
      <top/>
      <bottom/>
      <diagonal/>
    </border>
    <border>
      <left style="thick">
        <color rgb="FFE9ECF3"/>
      </left>
      <right/>
      <top style="thick">
        <color rgb="FFE9ECF3"/>
      </top>
      <bottom style="thick">
        <color rgb="FFE9ECF3"/>
      </bottom>
      <diagonal/>
    </border>
    <border>
      <left/>
      <right/>
      <top style="thick">
        <color rgb="FFE9ECF3"/>
      </top>
      <bottom style="thick">
        <color rgb="FFE9ECF3"/>
      </bottom>
      <diagonal/>
    </border>
    <border>
      <left/>
      <right style="thick">
        <color rgb="FFE9ECF3"/>
      </right>
      <top style="thick">
        <color rgb="FFE9ECF3"/>
      </top>
      <bottom style="thick">
        <color rgb="FFE9ECF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7" fillId="2" borderId="0" applyNumberFormat="0" applyBorder="0" applyAlignment="0" applyProtection="0"/>
    <xf numFmtId="0" fontId="14" fillId="4" borderId="0" applyNumberFormat="0" applyBorder="0" applyAlignment="0" applyProtection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9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center"/>
    </xf>
    <xf numFmtId="43" fontId="3" fillId="0" borderId="0" xfId="1" applyFont="1"/>
    <xf numFmtId="43" fontId="0" fillId="0" borderId="0" xfId="1" applyFont="1"/>
    <xf numFmtId="43" fontId="2" fillId="0" borderId="0" xfId="0" applyNumberFormat="1" applyFont="1" applyAlignment="1">
      <alignment horizontal="right"/>
    </xf>
    <xf numFmtId="43" fontId="2" fillId="0" borderId="0" xfId="1" applyFont="1" applyAlignment="1">
      <alignment horizontal="right"/>
    </xf>
    <xf numFmtId="0" fontId="5" fillId="0" borderId="0" xfId="0" applyFont="1" applyAlignment="1">
      <alignment horizontal="right"/>
    </xf>
    <xf numFmtId="43" fontId="6" fillId="0" borderId="1" xfId="1" applyFont="1" applyBorder="1"/>
    <xf numFmtId="43" fontId="2" fillId="0" borderId="0" xfId="1" applyFont="1"/>
    <xf numFmtId="0" fontId="2" fillId="3" borderId="0" xfId="0" applyFont="1" applyFill="1" applyAlignment="1">
      <alignment horizontal="right"/>
    </xf>
    <xf numFmtId="43" fontId="2" fillId="3" borderId="0" xfId="1" applyFont="1" applyFill="1"/>
    <xf numFmtId="0" fontId="2" fillId="0" borderId="1" xfId="0" applyFont="1" applyBorder="1" applyAlignment="1">
      <alignment horizontal="center"/>
    </xf>
    <xf numFmtId="43" fontId="0" fillId="0" borderId="0" xfId="0" applyNumberFormat="1"/>
    <xf numFmtId="0" fontId="0" fillId="3" borderId="0" xfId="0" applyFill="1" applyAlignment="1">
      <alignment horizontal="right"/>
    </xf>
    <xf numFmtId="43" fontId="0" fillId="3" borderId="0" xfId="1" applyFont="1" applyFill="1"/>
    <xf numFmtId="43" fontId="8" fillId="0" borderId="0" xfId="1" applyFont="1"/>
    <xf numFmtId="0" fontId="0" fillId="0" borderId="0" xfId="0" applyFill="1" applyAlignment="1">
      <alignment horizontal="right"/>
    </xf>
    <xf numFmtId="43" fontId="0" fillId="0" borderId="0" xfId="1" applyFont="1" applyFill="1"/>
    <xf numFmtId="0" fontId="9" fillId="0" borderId="2" xfId="0" applyFont="1" applyBorder="1" applyAlignment="1">
      <alignment horizontal="right"/>
    </xf>
    <xf numFmtId="43" fontId="9" fillId="0" borderId="3" xfId="0" applyNumberFormat="1" applyFont="1" applyBorder="1"/>
    <xf numFmtId="0" fontId="9" fillId="0" borderId="3" xfId="0" applyFont="1" applyBorder="1"/>
    <xf numFmtId="0" fontId="0" fillId="0" borderId="4" xfId="0" applyBorder="1"/>
    <xf numFmtId="14" fontId="0" fillId="0" borderId="0" xfId="0" applyNumberFormat="1"/>
    <xf numFmtId="14" fontId="9" fillId="0" borderId="0" xfId="0" applyNumberFormat="1" applyFont="1"/>
    <xf numFmtId="0" fontId="10" fillId="0" borderId="0" xfId="0" applyFont="1" applyAlignment="1">
      <alignment horizontal="right"/>
    </xf>
    <xf numFmtId="0" fontId="11" fillId="0" borderId="0" xfId="0" applyFont="1"/>
    <xf numFmtId="0" fontId="8" fillId="0" borderId="0" xfId="0" applyFont="1" applyFill="1" applyAlignment="1">
      <alignment horizontal="right"/>
    </xf>
    <xf numFmtId="43" fontId="8" fillId="0" borderId="0" xfId="1" applyFont="1" applyFill="1"/>
    <xf numFmtId="0" fontId="12" fillId="0" borderId="0" xfId="0" applyFont="1"/>
    <xf numFmtId="14" fontId="13" fillId="0" borderId="0" xfId="0" applyNumberFormat="1" applyFont="1"/>
    <xf numFmtId="43" fontId="13" fillId="0" borderId="0" xfId="1" applyFont="1"/>
    <xf numFmtId="43" fontId="12" fillId="0" borderId="0" xfId="0" applyNumberFormat="1" applyFont="1"/>
    <xf numFmtId="0" fontId="10" fillId="0" borderId="0" xfId="0" applyFont="1"/>
    <xf numFmtId="164" fontId="10" fillId="0" borderId="0" xfId="1" applyNumberFormat="1" applyFont="1"/>
    <xf numFmtId="164" fontId="8" fillId="0" borderId="0" xfId="1" applyNumberFormat="1" applyFont="1"/>
    <xf numFmtId="14" fontId="10" fillId="0" borderId="0" xfId="0" applyNumberFormat="1" applyFont="1"/>
    <xf numFmtId="164" fontId="2" fillId="0" borderId="0" xfId="0" applyNumberFormat="1" applyFont="1"/>
    <xf numFmtId="14" fontId="7" fillId="2" borderId="0" xfId="2" applyNumberFormat="1"/>
    <xf numFmtId="43" fontId="7" fillId="2" borderId="0" xfId="1" applyFont="1" applyFill="1"/>
    <xf numFmtId="43" fontId="14" fillId="4" borderId="0" xfId="3" applyNumberFormat="1"/>
    <xf numFmtId="43" fontId="0" fillId="0" borderId="0" xfId="1" applyFont="1" applyAlignment="1">
      <alignment horizontal="center"/>
    </xf>
    <xf numFmtId="9" fontId="0" fillId="0" borderId="0" xfId="4" applyFont="1"/>
    <xf numFmtId="9" fontId="2" fillId="5" borderId="0" xfId="4" applyFont="1" applyFill="1"/>
    <xf numFmtId="0" fontId="0" fillId="6" borderId="0" xfId="0" applyFill="1"/>
    <xf numFmtId="0" fontId="2" fillId="6" borderId="0" xfId="0" applyFont="1" applyFill="1"/>
    <xf numFmtId="9" fontId="2" fillId="6" borderId="0" xfId="4" applyFont="1" applyFill="1"/>
    <xf numFmtId="0" fontId="16" fillId="6" borderId="0" xfId="0" applyFont="1" applyFill="1" applyAlignment="1">
      <alignment horizontal="right"/>
    </xf>
    <xf numFmtId="0" fontId="2" fillId="0" borderId="1" xfId="0" applyFont="1" applyBorder="1"/>
    <xf numFmtId="0" fontId="0" fillId="0" borderId="1" xfId="0" applyBorder="1" applyAlignment="1">
      <alignment horizontal="center"/>
    </xf>
    <xf numFmtId="9" fontId="16" fillId="0" borderId="1" xfId="4" applyFont="1" applyBorder="1"/>
    <xf numFmtId="43" fontId="16" fillId="0" borderId="0" xfId="0" applyNumberFormat="1" applyFont="1"/>
    <xf numFmtId="43" fontId="16" fillId="0" borderId="0" xfId="1" applyFont="1"/>
    <xf numFmtId="164" fontId="16" fillId="0" borderId="0" xfId="1" applyNumberFormat="1" applyFont="1"/>
    <xf numFmtId="0" fontId="0" fillId="7" borderId="0" xfId="0" applyFill="1" applyAlignment="1">
      <alignment horizontal="right"/>
    </xf>
    <xf numFmtId="0" fontId="0" fillId="7" borderId="0" xfId="0" applyFill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5" xfId="0" applyBorder="1"/>
    <xf numFmtId="0" fontId="0" fillId="0" borderId="0" xfId="0" applyBorder="1"/>
    <xf numFmtId="0" fontId="10" fillId="0" borderId="6" xfId="0" applyFont="1" applyBorder="1"/>
    <xf numFmtId="0" fontId="0" fillId="8" borderId="5" xfId="0" applyFill="1" applyBorder="1"/>
    <xf numFmtId="0" fontId="0" fillId="8" borderId="0" xfId="0" applyFill="1" applyBorder="1"/>
    <xf numFmtId="0" fontId="10" fillId="8" borderId="6" xfId="0" applyFont="1" applyFill="1" applyBorder="1"/>
    <xf numFmtId="1" fontId="0" fillId="0" borderId="0" xfId="0" applyNumberFormat="1" applyBorder="1"/>
    <xf numFmtId="164" fontId="10" fillId="9" borderId="6" xfId="0" applyNumberFormat="1" applyFont="1" applyFill="1" applyBorder="1"/>
    <xf numFmtId="0" fontId="0" fillId="0" borderId="8" xfId="0" applyBorder="1"/>
    <xf numFmtId="0" fontId="0" fillId="0" borderId="9" xfId="0" applyBorder="1"/>
    <xf numFmtId="0" fontId="10" fillId="0" borderId="10" xfId="0" applyFont="1" applyBorder="1"/>
    <xf numFmtId="0" fontId="2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15" xfId="0" applyNumberFormat="1" applyBorder="1"/>
    <xf numFmtId="14" fontId="0" fillId="8" borderId="15" xfId="0" applyNumberFormat="1" applyFill="1" applyBorder="1"/>
    <xf numFmtId="14" fontId="0" fillId="0" borderId="11" xfId="0" applyNumberFormat="1" applyBorder="1"/>
    <xf numFmtId="0" fontId="0" fillId="0" borderId="15" xfId="0" applyBorder="1"/>
    <xf numFmtId="0" fontId="16" fillId="11" borderId="0" xfId="0" applyFont="1" applyFill="1" applyBorder="1" applyAlignment="1">
      <alignment horizontal="left"/>
    </xf>
    <xf numFmtId="0" fontId="0" fillId="11" borderId="0" xfId="0" applyFill="1" applyBorder="1"/>
    <xf numFmtId="0" fontId="0" fillId="0" borderId="1" xfId="0" applyBorder="1" applyAlignment="1">
      <alignment horizontal="right"/>
    </xf>
    <xf numFmtId="0" fontId="0" fillId="0" borderId="1" xfId="0" applyBorder="1"/>
    <xf numFmtId="9" fontId="0" fillId="0" borderId="1" xfId="4" applyFont="1" applyBorder="1"/>
    <xf numFmtId="0" fontId="16" fillId="11" borderId="1" xfId="0" applyFont="1" applyFill="1" applyBorder="1"/>
    <xf numFmtId="0" fontId="16" fillId="12" borderId="1" xfId="0" applyFont="1" applyFill="1" applyBorder="1"/>
    <xf numFmtId="0" fontId="16" fillId="10" borderId="1" xfId="0" applyFont="1" applyFill="1" applyBorder="1"/>
    <xf numFmtId="0" fontId="18" fillId="0" borderId="0" xfId="5"/>
    <xf numFmtId="0" fontId="19" fillId="0" borderId="0" xfId="0" applyFont="1" applyAlignment="1">
      <alignment horizontal="left" vertical="top" wrapText="1"/>
    </xf>
    <xf numFmtId="0" fontId="18" fillId="0" borderId="0" xfId="5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18" fillId="0" borderId="16" xfId="5" applyBorder="1" applyAlignment="1">
      <alignment horizontal="left" vertical="top" wrapText="1"/>
    </xf>
    <xf numFmtId="14" fontId="19" fillId="13" borderId="17" xfId="0" applyNumberFormat="1" applyFont="1" applyFill="1" applyBorder="1" applyAlignment="1">
      <alignment horizontal="left" vertical="top"/>
    </xf>
    <xf numFmtId="0" fontId="20" fillId="14" borderId="16" xfId="0" applyFont="1" applyFill="1" applyBorder="1" applyAlignment="1">
      <alignment horizontal="right" wrapText="1"/>
    </xf>
    <xf numFmtId="0" fontId="20" fillId="14" borderId="17" xfId="0" applyFont="1" applyFill="1" applyBorder="1" applyAlignment="1">
      <alignment horizontal="right" wrapText="1"/>
    </xf>
    <xf numFmtId="0" fontId="18" fillId="0" borderId="0" xfId="5" applyAlignment="1">
      <alignment horizontal="left" vertical="top" wrapText="1"/>
    </xf>
    <xf numFmtId="0" fontId="22" fillId="14" borderId="18" xfId="0" applyFont="1" applyFill="1" applyBorder="1" applyAlignment="1">
      <alignment horizontal="left" vertical="top" wrapText="1"/>
    </xf>
    <xf numFmtId="0" fontId="21" fillId="14" borderId="19" xfId="0" applyFont="1" applyFill="1" applyBorder="1" applyAlignment="1">
      <alignment horizontal="left" vertical="top" wrapText="1"/>
    </xf>
    <xf numFmtId="0" fontId="22" fillId="14" borderId="19" xfId="0" applyFont="1" applyFill="1" applyBorder="1" applyAlignment="1">
      <alignment horizontal="left" vertical="top" wrapText="1"/>
    </xf>
    <xf numFmtId="0" fontId="21" fillId="14" borderId="20" xfId="0" applyFont="1" applyFill="1" applyBorder="1" applyAlignment="1">
      <alignment horizontal="left" vertical="top" wrapText="1"/>
    </xf>
    <xf numFmtId="168" fontId="0" fillId="0" borderId="0" xfId="0" applyNumberFormat="1"/>
    <xf numFmtId="0" fontId="2" fillId="15" borderId="1" xfId="0" applyFont="1" applyFill="1" applyBorder="1" applyAlignment="1">
      <alignment horizontal="center"/>
    </xf>
    <xf numFmtId="0" fontId="0" fillId="15" borderId="0" xfId="0" applyFill="1"/>
    <xf numFmtId="0" fontId="0" fillId="15" borderId="22" xfId="0" applyFill="1" applyBorder="1"/>
    <xf numFmtId="0" fontId="2" fillId="16" borderId="1" xfId="0" applyFont="1" applyFill="1" applyBorder="1" applyAlignment="1">
      <alignment horizontal="center" vertical="center"/>
    </xf>
    <xf numFmtId="10" fontId="0" fillId="16" borderId="23" xfId="0" applyNumberFormat="1" applyFill="1" applyBorder="1"/>
    <xf numFmtId="0" fontId="0" fillId="16" borderId="24" xfId="0" applyFill="1" applyBorder="1"/>
    <xf numFmtId="0" fontId="2" fillId="16" borderId="25" xfId="0" applyFont="1" applyFill="1" applyBorder="1"/>
    <xf numFmtId="0" fontId="2" fillId="16" borderId="26" xfId="0" applyFont="1" applyFill="1" applyBorder="1"/>
    <xf numFmtId="169" fontId="24" fillId="0" borderId="0" xfId="1" applyNumberFormat="1" applyFont="1" applyAlignment="1">
      <alignment horizontal="center"/>
    </xf>
    <xf numFmtId="43" fontId="2" fillId="17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18" borderId="27" xfId="0" applyFill="1" applyBorder="1"/>
    <xf numFmtId="0" fontId="0" fillId="18" borderId="28" xfId="0" applyFill="1" applyBorder="1"/>
    <xf numFmtId="0" fontId="0" fillId="18" borderId="29" xfId="0" applyFill="1" applyBorder="1"/>
    <xf numFmtId="0" fontId="0" fillId="18" borderId="30" xfId="0" applyFill="1" applyBorder="1"/>
    <xf numFmtId="0" fontId="0" fillId="18" borderId="0" xfId="0" applyFill="1" applyBorder="1"/>
    <xf numFmtId="0" fontId="0" fillId="18" borderId="31" xfId="0" applyFill="1" applyBorder="1"/>
    <xf numFmtId="0" fontId="0" fillId="18" borderId="0" xfId="0" applyFill="1" applyBorder="1" applyAlignment="1">
      <alignment horizontal="right"/>
    </xf>
    <xf numFmtId="43" fontId="0" fillId="18" borderId="0" xfId="1" applyFont="1" applyFill="1" applyBorder="1"/>
    <xf numFmtId="0" fontId="0" fillId="18" borderId="32" xfId="0" applyFill="1" applyBorder="1"/>
    <xf numFmtId="0" fontId="0" fillId="18" borderId="34" xfId="0" applyFill="1" applyBorder="1"/>
    <xf numFmtId="14" fontId="0" fillId="8" borderId="11" xfId="0" applyNumberFormat="1" applyFill="1" applyBorder="1"/>
    <xf numFmtId="0" fontId="0" fillId="8" borderId="8" xfId="0" applyFill="1" applyBorder="1"/>
    <xf numFmtId="0" fontId="0" fillId="8" borderId="9" xfId="0" applyFill="1" applyBorder="1"/>
    <xf numFmtId="0" fontId="10" fillId="8" borderId="10" xfId="0" applyFont="1" applyFill="1" applyBorder="1"/>
    <xf numFmtId="1" fontId="0" fillId="0" borderId="9" xfId="0" applyNumberFormat="1" applyBorder="1"/>
    <xf numFmtId="0" fontId="2" fillId="18" borderId="2" xfId="0" applyFont="1" applyFill="1" applyBorder="1"/>
    <xf numFmtId="0" fontId="2" fillId="18" borderId="3" xfId="0" applyFont="1" applyFill="1" applyBorder="1"/>
    <xf numFmtId="0" fontId="2" fillId="18" borderId="4" xfId="0" applyFont="1" applyFill="1" applyBorder="1"/>
    <xf numFmtId="14" fontId="0" fillId="8" borderId="10" xfId="0" applyNumberFormat="1" applyFill="1" applyBorder="1"/>
    <xf numFmtId="0" fontId="0" fillId="18" borderId="2" xfId="0" applyFill="1" applyBorder="1"/>
    <xf numFmtId="0" fontId="2" fillId="18" borderId="4" xfId="0" applyFont="1" applyFill="1" applyBorder="1" applyAlignment="1">
      <alignment horizontal="right"/>
    </xf>
    <xf numFmtId="14" fontId="0" fillId="0" borderId="14" xfId="0" applyNumberFormat="1" applyBorder="1"/>
    <xf numFmtId="0" fontId="0" fillId="0" borderId="23" xfId="0" applyBorder="1"/>
    <xf numFmtId="0" fontId="0" fillId="0" borderId="24" xfId="0" applyBorder="1"/>
    <xf numFmtId="0" fontId="10" fillId="0" borderId="22" xfId="0" applyFont="1" applyBorder="1"/>
    <xf numFmtId="0" fontId="2" fillId="0" borderId="14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14" fontId="0" fillId="8" borderId="14" xfId="0" applyNumberFormat="1" applyFill="1" applyBorder="1"/>
    <xf numFmtId="0" fontId="0" fillId="8" borderId="23" xfId="0" applyFill="1" applyBorder="1"/>
    <xf numFmtId="0" fontId="0" fillId="8" borderId="24" xfId="0" applyFill="1" applyBorder="1"/>
    <xf numFmtId="0" fontId="10" fillId="8" borderId="22" xfId="0" applyFont="1" applyFill="1" applyBorder="1"/>
    <xf numFmtId="1" fontId="0" fillId="0" borderId="24" xfId="0" applyNumberFormat="1" applyBorder="1"/>
    <xf numFmtId="164" fontId="8" fillId="0" borderId="9" xfId="1" applyNumberFormat="1" applyFont="1" applyBorder="1"/>
    <xf numFmtId="0" fontId="0" fillId="0" borderId="10" xfId="0" applyBorder="1"/>
    <xf numFmtId="164" fontId="10" fillId="9" borderId="10" xfId="0" applyNumberFormat="1" applyFont="1" applyFill="1" applyBorder="1"/>
    <xf numFmtId="1" fontId="0" fillId="8" borderId="24" xfId="0" applyNumberFormat="1" applyFill="1" applyBorder="1"/>
    <xf numFmtId="164" fontId="10" fillId="8" borderId="22" xfId="0" applyNumberFormat="1" applyFont="1" applyFill="1" applyBorder="1"/>
    <xf numFmtId="1" fontId="0" fillId="8" borderId="9" xfId="0" applyNumberFormat="1" applyFill="1" applyBorder="1"/>
    <xf numFmtId="164" fontId="10" fillId="8" borderId="10" xfId="0" applyNumberFormat="1" applyFont="1" applyFill="1" applyBorder="1"/>
    <xf numFmtId="43" fontId="0" fillId="8" borderId="23" xfId="1" applyFont="1" applyFill="1" applyBorder="1"/>
    <xf numFmtId="43" fontId="0" fillId="8" borderId="24" xfId="1" applyFont="1" applyFill="1" applyBorder="1"/>
    <xf numFmtId="43" fontId="0" fillId="8" borderId="8" xfId="1" applyFont="1" applyFill="1" applyBorder="1"/>
    <xf numFmtId="164" fontId="8" fillId="8" borderId="9" xfId="1" applyNumberFormat="1" applyFont="1" applyFill="1" applyBorder="1"/>
    <xf numFmtId="0" fontId="2" fillId="18" borderId="33" xfId="0" applyFont="1" applyFill="1" applyBorder="1" applyAlignment="1">
      <alignment horizontal="right"/>
    </xf>
    <xf numFmtId="43" fontId="2" fillId="18" borderId="33" xfId="1" applyFont="1" applyFill="1" applyBorder="1"/>
    <xf numFmtId="43" fontId="17" fillId="18" borderId="0" xfId="0" applyNumberFormat="1" applyFont="1" applyFill="1" applyBorder="1"/>
    <xf numFmtId="14" fontId="0" fillId="9" borderId="0" xfId="0" applyNumberFormat="1" applyFill="1"/>
    <xf numFmtId="43" fontId="0" fillId="9" borderId="0" xfId="1" applyFont="1" applyFill="1"/>
    <xf numFmtId="14" fontId="0" fillId="16" borderId="0" xfId="0" applyNumberFormat="1" applyFill="1"/>
    <xf numFmtId="43" fontId="0" fillId="16" borderId="0" xfId="1" applyFont="1" applyFill="1"/>
    <xf numFmtId="43" fontId="2" fillId="18" borderId="21" xfId="1" applyFont="1" applyFill="1" applyBorder="1"/>
    <xf numFmtId="0" fontId="25" fillId="18" borderId="30" xfId="0" applyFont="1" applyFill="1" applyBorder="1"/>
    <xf numFmtId="0" fontId="25" fillId="18" borderId="0" xfId="0" applyFont="1" applyFill="1" applyBorder="1" applyAlignment="1">
      <alignment horizontal="right"/>
    </xf>
    <xf numFmtId="43" fontId="25" fillId="18" borderId="0" xfId="1" applyFont="1" applyFill="1" applyBorder="1"/>
    <xf numFmtId="14" fontId="0" fillId="0" borderId="9" xfId="0" applyNumberFormat="1" applyBorder="1"/>
    <xf numFmtId="43" fontId="0" fillId="0" borderId="9" xfId="1" applyFont="1" applyBorder="1"/>
    <xf numFmtId="0" fontId="0" fillId="16" borderId="0" xfId="0" applyFill="1"/>
    <xf numFmtId="167" fontId="0" fillId="16" borderId="0" xfId="0" applyNumberFormat="1" applyFill="1"/>
    <xf numFmtId="165" fontId="2" fillId="3" borderId="12" xfId="0" applyNumberFormat="1" applyFont="1" applyFill="1" applyBorder="1"/>
    <xf numFmtId="167" fontId="0" fillId="3" borderId="0" xfId="0" applyNumberFormat="1" applyFill="1"/>
    <xf numFmtId="167" fontId="17" fillId="16" borderId="0" xfId="0" applyNumberFormat="1" applyFont="1" applyFill="1"/>
    <xf numFmtId="14" fontId="16" fillId="18" borderId="28" xfId="0" applyNumberFormat="1" applyFont="1" applyFill="1" applyBorder="1"/>
    <xf numFmtId="0" fontId="0" fillId="19" borderId="0" xfId="0" applyFill="1"/>
    <xf numFmtId="14" fontId="0" fillId="19" borderId="0" xfId="0" applyNumberFormat="1" applyFill="1" applyAlignment="1">
      <alignment horizontal="center"/>
    </xf>
    <xf numFmtId="14" fontId="0" fillId="19" borderId="0" xfId="0" applyNumberFormat="1" applyFill="1"/>
    <xf numFmtId="0" fontId="2" fillId="19" borderId="0" xfId="0" applyFont="1" applyFill="1"/>
    <xf numFmtId="0" fontId="2" fillId="19" borderId="1" xfId="0" applyFont="1" applyFill="1" applyBorder="1" applyAlignment="1">
      <alignment horizontal="center"/>
    </xf>
    <xf numFmtId="168" fontId="0" fillId="19" borderId="0" xfId="0" applyNumberFormat="1" applyFill="1" applyAlignment="1">
      <alignment vertical="center"/>
    </xf>
    <xf numFmtId="0" fontId="0" fillId="19" borderId="0" xfId="0" applyFill="1" applyAlignment="1">
      <alignment vertical="center"/>
    </xf>
    <xf numFmtId="168" fontId="0" fillId="19" borderId="0" xfId="0" applyNumberFormat="1" applyFill="1"/>
    <xf numFmtId="0" fontId="0" fillId="15" borderId="0" xfId="0" applyFill="1" applyAlignment="1">
      <alignment horizontal="center"/>
    </xf>
    <xf numFmtId="14" fontId="19" fillId="15" borderId="17" xfId="0" applyNumberFormat="1" applyFont="1" applyFill="1" applyBorder="1" applyAlignment="1">
      <alignment horizontal="left" vertical="center"/>
    </xf>
    <xf numFmtId="0" fontId="20" fillId="15" borderId="16" xfId="0" applyFont="1" applyFill="1" applyBorder="1" applyAlignment="1">
      <alignment horizontal="right" vertical="center" wrapText="1"/>
    </xf>
    <xf numFmtId="14" fontId="19" fillId="15" borderId="17" xfId="0" applyNumberFormat="1" applyFont="1" applyFill="1" applyBorder="1" applyAlignment="1">
      <alignment horizontal="left" vertical="top"/>
    </xf>
    <xf numFmtId="0" fontId="20" fillId="15" borderId="16" xfId="0" applyFont="1" applyFill="1" applyBorder="1" applyAlignment="1">
      <alignment horizontal="right" wrapText="1"/>
    </xf>
    <xf numFmtId="0" fontId="23" fillId="15" borderId="16" xfId="0" applyFont="1" applyFill="1" applyBorder="1" applyAlignment="1">
      <alignment horizontal="right" wrapText="1"/>
    </xf>
    <xf numFmtId="0" fontId="17" fillId="0" borderId="0" xfId="0" applyFont="1" applyAlignment="1">
      <alignment horizontal="center"/>
    </xf>
    <xf numFmtId="2" fontId="0" fillId="0" borderId="0" xfId="0" applyNumberFormat="1"/>
    <xf numFmtId="170" fontId="0" fillId="0" borderId="0" xfId="0" applyNumberFormat="1"/>
    <xf numFmtId="167" fontId="0" fillId="0" borderId="0" xfId="1" applyNumberFormat="1" applyFont="1"/>
    <xf numFmtId="167" fontId="0" fillId="0" borderId="9" xfId="0" applyNumberFormat="1" applyBorder="1"/>
    <xf numFmtId="167" fontId="2" fillId="0" borderId="0" xfId="0" applyNumberFormat="1" applyFont="1"/>
    <xf numFmtId="0" fontId="16" fillId="0" borderId="0" xfId="0" applyFont="1"/>
    <xf numFmtId="0" fontId="2" fillId="0" borderId="28" xfId="0" applyFont="1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43" fontId="0" fillId="0" borderId="0" xfId="1" applyFont="1" applyBorder="1"/>
    <xf numFmtId="0" fontId="0" fillId="0" borderId="34" xfId="0" applyBorder="1"/>
    <xf numFmtId="0" fontId="0" fillId="20" borderId="27" xfId="0" applyFill="1" applyBorder="1"/>
    <xf numFmtId="0" fontId="2" fillId="20" borderId="28" xfId="0" applyFont="1" applyFill="1" applyBorder="1"/>
    <xf numFmtId="0" fontId="0" fillId="20" borderId="28" xfId="0" applyFill="1" applyBorder="1"/>
    <xf numFmtId="0" fontId="0" fillId="20" borderId="29" xfId="0" applyFill="1" applyBorder="1"/>
    <xf numFmtId="0" fontId="0" fillId="20" borderId="30" xfId="0" applyFill="1" applyBorder="1"/>
    <xf numFmtId="0" fontId="2" fillId="20" borderId="0" xfId="0" applyFont="1" applyFill="1" applyBorder="1"/>
    <xf numFmtId="0" fontId="2" fillId="20" borderId="31" xfId="0" applyFont="1" applyFill="1" applyBorder="1"/>
    <xf numFmtId="0" fontId="0" fillId="20" borderId="0" xfId="0" applyFill="1" applyBorder="1"/>
    <xf numFmtId="0" fontId="0" fillId="20" borderId="31" xfId="0" applyFill="1" applyBorder="1"/>
    <xf numFmtId="0" fontId="0" fillId="20" borderId="30" xfId="0" applyFill="1" applyBorder="1" applyAlignment="1">
      <alignment horizontal="right"/>
    </xf>
    <xf numFmtId="43" fontId="0" fillId="20" borderId="0" xfId="1" applyFont="1" applyFill="1" applyBorder="1"/>
    <xf numFmtId="2" fontId="0" fillId="20" borderId="0" xfId="0" applyNumberFormat="1" applyFill="1" applyBorder="1"/>
    <xf numFmtId="167" fontId="0" fillId="20" borderId="9" xfId="0" applyNumberFormat="1" applyFill="1" applyBorder="1"/>
    <xf numFmtId="167" fontId="0" fillId="20" borderId="31" xfId="1" applyNumberFormat="1" applyFont="1" applyFill="1" applyBorder="1"/>
    <xf numFmtId="0" fontId="0" fillId="20" borderId="32" xfId="0" applyFill="1" applyBorder="1"/>
    <xf numFmtId="0" fontId="0" fillId="20" borderId="33" xfId="0" applyFill="1" applyBorder="1" applyAlignment="1">
      <alignment horizontal="right"/>
    </xf>
    <xf numFmtId="167" fontId="2" fillId="20" borderId="33" xfId="0" applyNumberFormat="1" applyFont="1" applyFill="1" applyBorder="1"/>
    <xf numFmtId="0" fontId="0" fillId="20" borderId="34" xfId="0" applyFill="1" applyBorder="1"/>
    <xf numFmtId="0" fontId="0" fillId="20" borderId="0" xfId="0" applyFill="1"/>
    <xf numFmtId="0" fontId="0" fillId="20" borderId="0" xfId="0" applyFill="1" applyAlignment="1">
      <alignment horizontal="center"/>
    </xf>
    <xf numFmtId="9" fontId="0" fillId="20" borderId="0" xfId="0" applyNumberFormat="1" applyFill="1"/>
    <xf numFmtId="0" fontId="0" fillId="20" borderId="0" xfId="0" applyFill="1" applyAlignment="1">
      <alignment horizontal="right"/>
    </xf>
    <xf numFmtId="0" fontId="27" fillId="2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71" fontId="0" fillId="0" borderId="14" xfId="0" applyNumberFormat="1" applyBorder="1"/>
    <xf numFmtId="171" fontId="0" fillId="0" borderId="11" xfId="0" applyNumberFormat="1" applyBorder="1"/>
    <xf numFmtId="171" fontId="0" fillId="8" borderId="14" xfId="0" applyNumberFormat="1" applyFill="1" applyBorder="1"/>
    <xf numFmtId="171" fontId="0" fillId="8" borderId="11" xfId="0" applyNumberFormat="1" applyFill="1" applyBorder="1"/>
    <xf numFmtId="171" fontId="2" fillId="21" borderId="14" xfId="0" applyNumberFormat="1" applyFont="1" applyFill="1" applyBorder="1"/>
    <xf numFmtId="171" fontId="0" fillId="0" borderId="0" xfId="0" applyNumberFormat="1" applyFill="1" applyBorder="1"/>
    <xf numFmtId="43" fontId="2" fillId="11" borderId="0" xfId="1" applyFont="1" applyFill="1"/>
    <xf numFmtId="171" fontId="0" fillId="0" borderId="8" xfId="0" applyNumberFormat="1" applyBorder="1"/>
    <xf numFmtId="43" fontId="2" fillId="11" borderId="21" xfId="1" applyFont="1" applyFill="1" applyBorder="1"/>
    <xf numFmtId="43" fontId="1" fillId="0" borderId="0" xfId="1" applyFont="1"/>
    <xf numFmtId="9" fontId="0" fillId="0" borderId="30" xfId="0" applyNumberFormat="1" applyBorder="1"/>
    <xf numFmtId="9" fontId="0" fillId="0" borderId="32" xfId="0" applyNumberFormat="1" applyBorder="1"/>
    <xf numFmtId="0" fontId="0" fillId="0" borderId="33" xfId="0" applyBorder="1"/>
    <xf numFmtId="0" fontId="0" fillId="0" borderId="35" xfId="0" applyFont="1" applyBorder="1"/>
    <xf numFmtId="0" fontId="2" fillId="0" borderId="29" xfId="0" applyFont="1" applyBorder="1" applyAlignment="1">
      <alignment horizontal="center"/>
    </xf>
    <xf numFmtId="0" fontId="0" fillId="22" borderId="0" xfId="0" applyFill="1" applyBorder="1"/>
    <xf numFmtId="0" fontId="0" fillId="22" borderId="9" xfId="0" applyFont="1" applyFill="1" applyBorder="1"/>
    <xf numFmtId="0" fontId="16" fillId="22" borderId="33" xfId="0" applyFont="1" applyFill="1" applyBorder="1"/>
    <xf numFmtId="0" fontId="0" fillId="22" borderId="29" xfId="0" applyFill="1" applyBorder="1"/>
    <xf numFmtId="171" fontId="2" fillId="21" borderId="22" xfId="0" applyNumberFormat="1" applyFont="1" applyFill="1" applyBorder="1"/>
    <xf numFmtId="0" fontId="0" fillId="22" borderId="31" xfId="0" applyFill="1" applyBorder="1"/>
    <xf numFmtId="165" fontId="0" fillId="10" borderId="0" xfId="4" applyNumberFormat="1" applyFont="1" applyFill="1"/>
    <xf numFmtId="0" fontId="2" fillId="11" borderId="1" xfId="0" applyFont="1" applyFill="1" applyBorder="1" applyAlignment="1">
      <alignment horizontal="center"/>
    </xf>
    <xf numFmtId="43" fontId="16" fillId="12" borderId="0" xfId="1" applyFont="1" applyFill="1" applyAlignment="1">
      <alignment horizontal="right"/>
    </xf>
    <xf numFmtId="43" fontId="0" fillId="6" borderId="0" xfId="1" applyFont="1" applyFill="1"/>
    <xf numFmtId="0" fontId="26" fillId="6" borderId="12" xfId="0" applyFont="1" applyFill="1" applyBorder="1" applyAlignment="1">
      <alignment horizontal="center" wrapText="1"/>
    </xf>
    <xf numFmtId="0" fontId="26" fillId="6" borderId="7" xfId="0" applyFont="1" applyFill="1" applyBorder="1" applyAlignment="1">
      <alignment horizontal="center" vertical="center"/>
    </xf>
    <xf numFmtId="171" fontId="0" fillId="12" borderId="11" xfId="0" applyNumberFormat="1" applyFill="1" applyBorder="1"/>
    <xf numFmtId="43" fontId="0" fillId="12" borderId="0" xfId="1" applyFont="1" applyFill="1"/>
    <xf numFmtId="43" fontId="14" fillId="6" borderId="0" xfId="1" applyNumberFormat="1" applyFont="1" applyFill="1"/>
    <xf numFmtId="43" fontId="14" fillId="6" borderId="0" xfId="0" applyNumberFormat="1" applyFont="1" applyFill="1"/>
    <xf numFmtId="43" fontId="14" fillId="6" borderId="0" xfId="1" applyFont="1" applyFill="1"/>
    <xf numFmtId="43" fontId="0" fillId="20" borderId="0" xfId="0" applyNumberFormat="1" applyFill="1"/>
    <xf numFmtId="43" fontId="28" fillId="12" borderId="0" xfId="1" applyFont="1" applyFill="1" applyAlignment="1">
      <alignment horizontal="right"/>
    </xf>
    <xf numFmtId="0" fontId="14" fillId="23" borderId="0" xfId="0" applyFont="1" applyFill="1" applyBorder="1" applyAlignment="1">
      <alignment horizontal="center"/>
    </xf>
    <xf numFmtId="165" fontId="14" fillId="23" borderId="0" xfId="4" applyNumberFormat="1" applyFont="1" applyFill="1"/>
    <xf numFmtId="0" fontId="14" fillId="23" borderId="21" xfId="0" applyFont="1" applyFill="1" applyBorder="1" applyAlignment="1">
      <alignment horizontal="center"/>
    </xf>
    <xf numFmtId="0" fontId="17" fillId="0" borderId="31" xfId="0" applyFont="1" applyBorder="1"/>
    <xf numFmtId="0" fontId="16" fillId="0" borderId="27" xfId="0" applyFont="1" applyBorder="1" applyAlignment="1">
      <alignment horizontal="center"/>
    </xf>
    <xf numFmtId="0" fontId="16" fillId="0" borderId="28" xfId="0" applyFont="1" applyBorder="1" applyAlignment="1">
      <alignment horizontal="center"/>
    </xf>
    <xf numFmtId="9" fontId="0" fillId="20" borderId="0" xfId="0" applyNumberFormat="1" applyFill="1" applyAlignment="1">
      <alignment horizontal="left"/>
    </xf>
    <xf numFmtId="172" fontId="0" fillId="20" borderId="0" xfId="4" applyNumberFormat="1" applyFont="1" applyFill="1"/>
    <xf numFmtId="0" fontId="0" fillId="20" borderId="0" xfId="0" quotePrefix="1" applyFill="1"/>
    <xf numFmtId="43" fontId="0" fillId="20" borderId="0" xfId="1" applyFont="1" applyFill="1"/>
    <xf numFmtId="10" fontId="29" fillId="20" borderId="2" xfId="4" applyNumberFormat="1" applyFont="1" applyFill="1" applyBorder="1"/>
    <xf numFmtId="0" fontId="29" fillId="20" borderId="4" xfId="0" applyFont="1" applyFill="1" applyBorder="1"/>
    <xf numFmtId="0" fontId="29" fillId="22" borderId="30" xfId="0" applyFont="1" applyFill="1" applyBorder="1"/>
    <xf numFmtId="0" fontId="29" fillId="22" borderId="31" xfId="0" applyFont="1" applyFill="1" applyBorder="1"/>
    <xf numFmtId="0" fontId="29" fillId="22" borderId="32" xfId="0" applyFont="1" applyFill="1" applyBorder="1"/>
    <xf numFmtId="0" fontId="29" fillId="22" borderId="34" xfId="0" applyFont="1" applyFill="1" applyBorder="1"/>
    <xf numFmtId="0" fontId="0" fillId="20" borderId="4" xfId="0" quotePrefix="1" applyFill="1" applyBorder="1"/>
    <xf numFmtId="0" fontId="30" fillId="20" borderId="0" xfId="0" applyFont="1" applyFill="1"/>
    <xf numFmtId="43" fontId="31" fillId="10" borderId="0" xfId="0" applyNumberFormat="1" applyFont="1" applyFill="1"/>
    <xf numFmtId="43" fontId="17" fillId="20" borderId="2" xfId="1" applyFont="1" applyFill="1" applyBorder="1"/>
    <xf numFmtId="0" fontId="32" fillId="22" borderId="27" xfId="0" applyFont="1" applyFill="1" applyBorder="1" applyAlignment="1">
      <alignment horizontal="left"/>
    </xf>
    <xf numFmtId="173" fontId="0" fillId="0" borderId="0" xfId="0" applyNumberFormat="1"/>
    <xf numFmtId="173" fontId="1" fillId="0" borderId="0" xfId="1" applyNumberFormat="1" applyFont="1"/>
    <xf numFmtId="173" fontId="0" fillId="0" borderId="5" xfId="0" applyNumberFormat="1" applyBorder="1"/>
    <xf numFmtId="43" fontId="33" fillId="20" borderId="0" xfId="1" applyFont="1" applyFill="1" applyAlignment="1">
      <alignment horizontal="center"/>
    </xf>
    <xf numFmtId="43" fontId="26" fillId="6" borderId="0" xfId="0" applyNumberFormat="1" applyFont="1" applyFill="1"/>
    <xf numFmtId="171" fontId="0" fillId="0" borderId="23" xfId="0" applyNumberFormat="1" applyBorder="1"/>
    <xf numFmtId="43" fontId="0" fillId="0" borderId="21" xfId="1" applyFont="1" applyBorder="1"/>
    <xf numFmtId="14" fontId="33" fillId="20" borderId="0" xfId="0" applyNumberFormat="1" applyFont="1" applyFill="1"/>
    <xf numFmtId="0" fontId="1" fillId="20" borderId="0" xfId="0" applyFont="1" applyFill="1" applyAlignment="1">
      <alignment horizontal="left" vertical="center" indent="1"/>
    </xf>
    <xf numFmtId="0" fontId="2" fillId="20" borderId="0" xfId="0" applyFont="1" applyFill="1" applyAlignment="1">
      <alignment horizontal="left" vertical="center" indent="1"/>
    </xf>
    <xf numFmtId="171" fontId="0" fillId="8" borderId="15" xfId="0" applyNumberFormat="1" applyFill="1" applyBorder="1"/>
    <xf numFmtId="43" fontId="0" fillId="0" borderId="24" xfId="1" applyFont="1" applyBorder="1"/>
    <xf numFmtId="43" fontId="0" fillId="3" borderId="24" xfId="1" applyFont="1" applyFill="1" applyBorder="1"/>
    <xf numFmtId="165" fontId="0" fillId="10" borderId="24" xfId="4" applyNumberFormat="1" applyFont="1" applyFill="1" applyBorder="1"/>
    <xf numFmtId="0" fontId="0" fillId="9" borderId="0" xfId="0" applyFill="1"/>
    <xf numFmtId="0" fontId="0" fillId="9" borderId="0" xfId="0" applyFill="1" applyAlignment="1">
      <alignment horizontal="right"/>
    </xf>
    <xf numFmtId="43" fontId="0" fillId="9" borderId="0" xfId="0" applyNumberFormat="1" applyFill="1"/>
    <xf numFmtId="43" fontId="2" fillId="9" borderId="0" xfId="1" applyFont="1" applyFill="1"/>
    <xf numFmtId="0" fontId="2" fillId="9" borderId="0" xfId="0" applyFont="1" applyFill="1"/>
    <xf numFmtId="0" fontId="0" fillId="9" borderId="0" xfId="0" applyFill="1" applyAlignment="1">
      <alignment horizontal="center"/>
    </xf>
    <xf numFmtId="0" fontId="16" fillId="9" borderId="0" xfId="0" applyFont="1" applyFill="1" applyBorder="1" applyAlignment="1">
      <alignment horizontal="left"/>
    </xf>
    <xf numFmtId="0" fontId="0" fillId="9" borderId="0" xfId="0" applyFill="1" applyBorder="1"/>
    <xf numFmtId="1" fontId="0" fillId="9" borderId="0" xfId="0" applyNumberFormat="1" applyFill="1" applyBorder="1"/>
    <xf numFmtId="164" fontId="0" fillId="9" borderId="0" xfId="0" applyNumberFormat="1" applyFill="1"/>
    <xf numFmtId="0" fontId="0" fillId="9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 wrapText="1"/>
    </xf>
    <xf numFmtId="0" fontId="8" fillId="9" borderId="0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 wrapText="1"/>
    </xf>
    <xf numFmtId="14" fontId="0" fillId="9" borderId="0" xfId="0" applyNumberFormat="1" applyFill="1" applyBorder="1"/>
    <xf numFmtId="0" fontId="10" fillId="9" borderId="0" xfId="0" applyFont="1" applyFill="1" applyBorder="1"/>
    <xf numFmtId="164" fontId="10" fillId="9" borderId="0" xfId="0" applyNumberFormat="1" applyFont="1" applyFill="1" applyBorder="1"/>
    <xf numFmtId="164" fontId="8" fillId="9" borderId="0" xfId="1" applyNumberFormat="1" applyFont="1" applyFill="1" applyBorder="1"/>
    <xf numFmtId="164" fontId="0" fillId="9" borderId="0" xfId="0" applyNumberFormat="1" applyFill="1" applyBorder="1"/>
    <xf numFmtId="43" fontId="0" fillId="9" borderId="0" xfId="1" applyFont="1" applyFill="1" applyBorder="1"/>
    <xf numFmtId="0" fontId="0" fillId="10" borderId="12" xfId="0" applyFill="1" applyBorder="1" applyAlignment="1">
      <alignment horizontal="center"/>
    </xf>
    <xf numFmtId="9" fontId="0" fillId="0" borderId="12" xfId="4" applyFont="1" applyBorder="1"/>
    <xf numFmtId="9" fontId="16" fillId="0" borderId="12" xfId="4" applyFont="1" applyBorder="1"/>
    <xf numFmtId="167" fontId="0" fillId="9" borderId="0" xfId="0" applyNumberFormat="1" applyFill="1" applyBorder="1"/>
    <xf numFmtId="0" fontId="17" fillId="9" borderId="0" xfId="0" applyFont="1" applyFill="1" applyBorder="1" applyAlignment="1">
      <alignment horizontal="center"/>
    </xf>
    <xf numFmtId="167" fontId="17" fillId="9" borderId="0" xfId="0" applyNumberFormat="1" applyFont="1" applyFill="1" applyBorder="1"/>
    <xf numFmtId="0" fontId="0" fillId="9" borderId="27" xfId="0" applyFill="1" applyBorder="1"/>
    <xf numFmtId="0" fontId="0" fillId="0" borderId="28" xfId="0" applyBorder="1" applyAlignment="1">
      <alignment horizontal="right"/>
    </xf>
    <xf numFmtId="43" fontId="0" fillId="0" borderId="28" xfId="1" applyFont="1" applyBorder="1"/>
    <xf numFmtId="0" fontId="0" fillId="9" borderId="28" xfId="0" applyFill="1" applyBorder="1"/>
    <xf numFmtId="0" fontId="0" fillId="9" borderId="29" xfId="0" applyFill="1" applyBorder="1"/>
    <xf numFmtId="0" fontId="0" fillId="9" borderId="30" xfId="0" applyFill="1" applyBorder="1"/>
    <xf numFmtId="0" fontId="0" fillId="0" borderId="0" xfId="0" applyBorder="1" applyAlignment="1">
      <alignment horizontal="right"/>
    </xf>
    <xf numFmtId="0" fontId="0" fillId="9" borderId="31" xfId="0" applyFill="1" applyBorder="1"/>
    <xf numFmtId="0" fontId="0" fillId="9" borderId="30" xfId="0" applyFill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7" borderId="0" xfId="0" applyFill="1" applyBorder="1" applyAlignment="1">
      <alignment horizontal="right"/>
    </xf>
    <xf numFmtId="0" fontId="0" fillId="7" borderId="0" xfId="0" applyFill="1" applyBorder="1"/>
    <xf numFmtId="9" fontId="2" fillId="5" borderId="0" xfId="4" applyFont="1" applyFill="1" applyBorder="1"/>
    <xf numFmtId="0" fontId="16" fillId="6" borderId="0" xfId="0" applyFont="1" applyFill="1" applyBorder="1" applyAlignment="1">
      <alignment horizontal="right"/>
    </xf>
    <xf numFmtId="0" fontId="0" fillId="6" borderId="0" xfId="0" applyFill="1" applyBorder="1"/>
    <xf numFmtId="0" fontId="2" fillId="6" borderId="0" xfId="0" applyFont="1" applyFill="1" applyBorder="1"/>
    <xf numFmtId="9" fontId="2" fillId="6" borderId="0" xfId="4" applyFont="1" applyFill="1" applyBorder="1"/>
    <xf numFmtId="9" fontId="0" fillId="0" borderId="0" xfId="4" applyFont="1" applyBorder="1"/>
    <xf numFmtId="0" fontId="3" fillId="0" borderId="0" xfId="0" applyFont="1" applyBorder="1" applyAlignment="1">
      <alignment horizontal="right"/>
    </xf>
    <xf numFmtId="0" fontId="4" fillId="0" borderId="0" xfId="0" applyFont="1" applyBorder="1"/>
    <xf numFmtId="0" fontId="11" fillId="0" borderId="0" xfId="0" applyFont="1" applyBorder="1"/>
    <xf numFmtId="0" fontId="5" fillId="0" borderId="0" xfId="0" applyFont="1" applyBorder="1" applyAlignment="1">
      <alignment horizontal="right"/>
    </xf>
    <xf numFmtId="43" fontId="2" fillId="0" borderId="0" xfId="0" applyNumberFormat="1" applyFont="1" applyBorder="1" applyAlignment="1">
      <alignment horizontal="right"/>
    </xf>
    <xf numFmtId="43" fontId="16" fillId="0" borderId="0" xfId="0" applyNumberFormat="1" applyFont="1" applyBorder="1"/>
    <xf numFmtId="0" fontId="0" fillId="9" borderId="32" xfId="0" applyFill="1" applyBorder="1"/>
    <xf numFmtId="0" fontId="0" fillId="9" borderId="33" xfId="0" applyFill="1" applyBorder="1"/>
    <xf numFmtId="43" fontId="2" fillId="0" borderId="33" xfId="1" applyFont="1" applyBorder="1" applyAlignment="1">
      <alignment horizontal="right"/>
    </xf>
    <xf numFmtId="0" fontId="0" fillId="9" borderId="34" xfId="0" applyFill="1" applyBorder="1"/>
    <xf numFmtId="0" fontId="36" fillId="22" borderId="32" xfId="0" applyFont="1" applyFill="1" applyBorder="1"/>
    <xf numFmtId="0" fontId="36" fillId="22" borderId="34" xfId="0" applyFont="1" applyFill="1" applyBorder="1"/>
    <xf numFmtId="10" fontId="36" fillId="20" borderId="2" xfId="4" applyNumberFormat="1" applyFont="1" applyFill="1" applyBorder="1"/>
    <xf numFmtId="0" fontId="36" fillId="20" borderId="4" xfId="0" applyFont="1" applyFill="1" applyBorder="1"/>
    <xf numFmtId="0" fontId="33" fillId="0" borderId="0" xfId="0" applyFont="1"/>
    <xf numFmtId="170" fontId="33" fillId="0" borderId="0" xfId="0" applyNumberFormat="1" applyFont="1"/>
    <xf numFmtId="173" fontId="33" fillId="0" borderId="0" xfId="0" applyNumberFormat="1" applyFont="1"/>
    <xf numFmtId="173" fontId="33" fillId="0" borderId="0" xfId="1" applyNumberFormat="1" applyFont="1"/>
    <xf numFmtId="173" fontId="33" fillId="0" borderId="5" xfId="0" applyNumberFormat="1" applyFont="1" applyBorder="1"/>
    <xf numFmtId="0" fontId="0" fillId="20" borderId="0" xfId="0" applyFill="1" applyAlignment="1">
      <alignment horizontal="left"/>
    </xf>
    <xf numFmtId="43" fontId="37" fillId="20" borderId="0" xfId="0" applyNumberFormat="1" applyFont="1" applyFill="1"/>
    <xf numFmtId="0" fontId="37" fillId="20" borderId="0" xfId="0" quotePrefix="1" applyFont="1" applyFill="1"/>
    <xf numFmtId="164" fontId="16" fillId="9" borderId="0" xfId="1" applyNumberFormat="1" applyFont="1" applyFill="1"/>
    <xf numFmtId="43" fontId="16" fillId="9" borderId="0" xfId="1" applyFont="1" applyFill="1"/>
    <xf numFmtId="0" fontId="0" fillId="0" borderId="1" xfId="0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33" fillId="9" borderId="21" xfId="0" applyFont="1" applyFill="1" applyBorder="1" applyAlignment="1">
      <alignment horizontal="center" vertical="center"/>
    </xf>
    <xf numFmtId="0" fontId="14" fillId="23" borderId="0" xfId="0" applyFont="1" applyFill="1" applyBorder="1" applyAlignment="1">
      <alignment horizontal="center" vertical="center"/>
    </xf>
    <xf numFmtId="0" fontId="33" fillId="0" borderId="21" xfId="0" applyFont="1" applyFill="1" applyBorder="1" applyAlignment="1">
      <alignment horizontal="center" vertical="center"/>
    </xf>
    <xf numFmtId="174" fontId="0" fillId="0" borderId="0" xfId="4" applyNumberFormat="1" applyFont="1"/>
    <xf numFmtId="0" fontId="0" fillId="20" borderId="1" xfId="0" applyFill="1" applyBorder="1" applyAlignment="1">
      <alignment horizontal="center"/>
    </xf>
    <xf numFmtId="0" fontId="2" fillId="20" borderId="11" xfId="0" applyFont="1" applyFill="1" applyBorder="1" applyAlignment="1">
      <alignment horizontal="center"/>
    </xf>
    <xf numFmtId="0" fontId="2" fillId="20" borderId="1" xfId="0" applyFont="1" applyFill="1" applyBorder="1" applyAlignment="1">
      <alignment horizontal="center"/>
    </xf>
    <xf numFmtId="171" fontId="0" fillId="20" borderId="1" xfId="0" applyNumberFormat="1" applyFill="1" applyBorder="1" applyAlignment="1">
      <alignment horizontal="center"/>
    </xf>
    <xf numFmtId="175" fontId="38" fillId="20" borderId="0" xfId="1" applyNumberFormat="1" applyFont="1" applyFill="1"/>
    <xf numFmtId="0" fontId="18" fillId="0" borderId="0" xfId="5" applyAlignment="1">
      <alignment horizontal="left" vertical="top" wrapText="1"/>
    </xf>
    <xf numFmtId="0" fontId="16" fillId="9" borderId="0" xfId="0" applyFont="1" applyFill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16" fillId="10" borderId="12" xfId="0" applyFont="1" applyFill="1" applyBorder="1" applyAlignment="1">
      <alignment horizontal="center"/>
    </xf>
    <xf numFmtId="0" fontId="16" fillId="10" borderId="13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16" fillId="11" borderId="12" xfId="0" applyFont="1" applyFill="1" applyBorder="1" applyAlignment="1">
      <alignment horizontal="center"/>
    </xf>
    <xf numFmtId="0" fontId="16" fillId="11" borderId="13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16" fillId="12" borderId="12" xfId="0" applyFont="1" applyFill="1" applyBorder="1" applyAlignment="1">
      <alignment horizontal="center"/>
    </xf>
    <xf numFmtId="0" fontId="16" fillId="12" borderId="13" xfId="0" applyFont="1" applyFill="1" applyBorder="1" applyAlignment="1">
      <alignment horizontal="center"/>
    </xf>
    <xf numFmtId="0" fontId="16" fillId="12" borderId="7" xfId="0" applyFont="1" applyFill="1" applyBorder="1" applyAlignment="1">
      <alignment horizontal="center"/>
    </xf>
  </cellXfs>
  <cellStyles count="6">
    <cellStyle name="Akzent1" xfId="3" builtinId="29"/>
    <cellStyle name="Gut" xfId="2" builtinId="26"/>
    <cellStyle name="Komma" xfId="1" builtinId="3"/>
    <cellStyle name="Link" xfId="5" builtinId="8"/>
    <cellStyle name="Prozent" xfId="4" builtinId="5"/>
    <cellStyle name="Standard" xfId="0" builtinId="0"/>
  </cellStyles>
  <dxfs count="1">
    <dxf>
      <numFmt numFmtId="166" formatCode="0.00000"/>
    </dxf>
  </dxfs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BDH|14319444363240461130</stp>
        <tr r="BB9" s="1"/>
        <tr r="BB9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8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4705367711389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Tabelle1!$AH$29:$AH$30</c:f>
              <c:strCache>
                <c:ptCount val="2"/>
                <c:pt idx="0">
                  <c:v>%</c:v>
                </c:pt>
                <c:pt idx="1">
                  <c:v>p.a.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Tabelle1!$AG$31:$AG$54</c:f>
              <c:strCache>
                <c:ptCount val="24"/>
                <c:pt idx="0">
                  <c:v>2015</c:v>
                </c:pt>
                <c:pt idx="1">
                  <c:v>Qrtl2</c:v>
                </c:pt>
                <c:pt idx="2">
                  <c:v>Qrtl4</c:v>
                </c:pt>
                <c:pt idx="3">
                  <c:v>2016</c:v>
                </c:pt>
                <c:pt idx="4">
                  <c:v>Qrtl2</c:v>
                </c:pt>
                <c:pt idx="5">
                  <c:v>Qrtl4</c:v>
                </c:pt>
                <c:pt idx="6">
                  <c:v>2017</c:v>
                </c:pt>
                <c:pt idx="7">
                  <c:v>Qrtl2</c:v>
                </c:pt>
                <c:pt idx="8">
                  <c:v>Qrtl4</c:v>
                </c:pt>
                <c:pt idx="9">
                  <c:v>2018</c:v>
                </c:pt>
                <c:pt idx="10">
                  <c:v>Qrtl2</c:v>
                </c:pt>
                <c:pt idx="11">
                  <c:v>Qrtl4</c:v>
                </c:pt>
                <c:pt idx="12">
                  <c:v>2019</c:v>
                </c:pt>
                <c:pt idx="13">
                  <c:v>Qrtl2</c:v>
                </c:pt>
                <c:pt idx="14">
                  <c:v>Qrtl4</c:v>
                </c:pt>
                <c:pt idx="15">
                  <c:v>2020</c:v>
                </c:pt>
                <c:pt idx="16">
                  <c:v>Qrtl2</c:v>
                </c:pt>
                <c:pt idx="17">
                  <c:v>Qrtl4</c:v>
                </c:pt>
                <c:pt idx="18">
                  <c:v>2021</c:v>
                </c:pt>
                <c:pt idx="19">
                  <c:v>Qrtl2</c:v>
                </c:pt>
                <c:pt idx="20">
                  <c:v>Qrtl4</c:v>
                </c:pt>
                <c:pt idx="21">
                  <c:v>2022</c:v>
                </c:pt>
                <c:pt idx="22">
                  <c:v>Qrtl2</c:v>
                </c:pt>
                <c:pt idx="23">
                  <c:v>Qrtl4</c:v>
                </c:pt>
              </c:strCache>
            </c:strRef>
          </c:cat>
          <c:val>
            <c:numRef>
              <c:f>Tabelle1!$AH$31:$AH$54</c:f>
              <c:numCache>
                <c:formatCode>General</c:formatCode>
                <c:ptCount val="24"/>
                <c:pt idx="1">
                  <c:v>0.46199999999999997</c:v>
                </c:pt>
                <c:pt idx="2">
                  <c:v>0.56499999999999995</c:v>
                </c:pt>
                <c:pt idx="4">
                  <c:v>0.35499999999999998</c:v>
                </c:pt>
                <c:pt idx="5">
                  <c:v>0.2145</c:v>
                </c:pt>
                <c:pt idx="7">
                  <c:v>0.30149999999999999</c:v>
                </c:pt>
                <c:pt idx="8">
                  <c:v>0.34799999999999998</c:v>
                </c:pt>
                <c:pt idx="10">
                  <c:v>0.41699999999999998</c:v>
                </c:pt>
                <c:pt idx="11">
                  <c:v>0.42849999999999999</c:v>
                </c:pt>
                <c:pt idx="13">
                  <c:v>0.28699999999999998</c:v>
                </c:pt>
                <c:pt idx="14">
                  <c:v>6.0499999999999998E-2</c:v>
                </c:pt>
                <c:pt idx="16">
                  <c:v>0.22149999999999997</c:v>
                </c:pt>
                <c:pt idx="17">
                  <c:v>-0.11399999999999999</c:v>
                </c:pt>
                <c:pt idx="19">
                  <c:v>2.5000000000000022E-3</c:v>
                </c:pt>
                <c:pt idx="20">
                  <c:v>3.8499999999999979E-2</c:v>
                </c:pt>
                <c:pt idx="22">
                  <c:v>0.70650000000000002</c:v>
                </c:pt>
                <c:pt idx="23">
                  <c:v>2.7495000000000003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A-4C3F-AB49-4D77444E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206472"/>
        <c:axId val="608319151"/>
      </c:lineChart>
      <c:catAx>
        <c:axId val="113220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8319151"/>
        <c:crosses val="autoZero"/>
        <c:auto val="1"/>
        <c:lblAlgn val="ctr"/>
        <c:lblOffset val="100"/>
        <c:noMultiLvlLbl val="0"/>
      </c:catAx>
      <c:valAx>
        <c:axId val="60831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3220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53694</xdr:colOff>
          <xdr:row>2115</xdr:row>
          <xdr:rowOff>107743</xdr:rowOff>
        </xdr:from>
        <xdr:to>
          <xdr:col>60</xdr:col>
          <xdr:colOff>248004</xdr:colOff>
          <xdr:row>2116</xdr:row>
          <xdr:rowOff>135920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59808</xdr:colOff>
          <xdr:row>2115</xdr:row>
          <xdr:rowOff>107743</xdr:rowOff>
        </xdr:from>
        <xdr:to>
          <xdr:col>61</xdr:col>
          <xdr:colOff>256023</xdr:colOff>
          <xdr:row>2116</xdr:row>
          <xdr:rowOff>135920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79656</xdr:colOff>
          <xdr:row>2115</xdr:row>
          <xdr:rowOff>107743</xdr:rowOff>
        </xdr:from>
        <xdr:to>
          <xdr:col>63</xdr:col>
          <xdr:colOff>279681</xdr:colOff>
          <xdr:row>2116</xdr:row>
          <xdr:rowOff>135920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32385</xdr:colOff>
          <xdr:row>2050</xdr:row>
          <xdr:rowOff>139065</xdr:rowOff>
        </xdr:from>
        <xdr:to>
          <xdr:col>60</xdr:col>
          <xdr:colOff>260985</xdr:colOff>
          <xdr:row>2052</xdr:row>
          <xdr:rowOff>17145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41910</xdr:colOff>
          <xdr:row>2050</xdr:row>
          <xdr:rowOff>139065</xdr:rowOff>
        </xdr:from>
        <xdr:to>
          <xdr:col>61</xdr:col>
          <xdr:colOff>270510</xdr:colOff>
          <xdr:row>2052</xdr:row>
          <xdr:rowOff>17145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45720</xdr:colOff>
          <xdr:row>2050</xdr:row>
          <xdr:rowOff>139065</xdr:rowOff>
        </xdr:from>
        <xdr:to>
          <xdr:col>63</xdr:col>
          <xdr:colOff>274320</xdr:colOff>
          <xdr:row>2052</xdr:row>
          <xdr:rowOff>17145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30</xdr:col>
      <xdr:colOff>361950</xdr:colOff>
      <xdr:row>13</xdr:row>
      <xdr:rowOff>147637</xdr:rowOff>
    </xdr:from>
    <xdr:to>
      <xdr:col>38</xdr:col>
      <xdr:colOff>57150</xdr:colOff>
      <xdr:row>28</xdr:row>
      <xdr:rowOff>14287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imetzhofer Alexandra DI." refreshedDate="44909.612061574073" createdVersion="7" refreshedVersion="7" minRefreshableVersion="3" recordCount="1989" xr:uid="{02781A89-2C66-4316-BD39-FA7C57E4D748}">
  <cacheSource type="worksheet">
    <worksheetSource ref="BB8:BF1997" sheet="Tabelle1"/>
  </cacheSource>
  <cacheFields count="7">
    <cacheField name="Dates" numFmtId="168">
      <sharedItems containsSemiMixedTypes="0" containsNonDate="0" containsDate="1" containsString="0" minDate="2015-05-01T00:00:00" maxDate="2022-12-15T00:00:00" count="1989">
        <d v="2015-05-01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3T00:00:00"/>
        <d v="2015-09-04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5T00:00:00"/>
        <d v="2015-10-06T00:00:00"/>
        <d v="2015-10-07T00:00:00"/>
        <d v="2015-10-08T00:00:00"/>
        <d v="2015-10-09T00:00:00"/>
        <d v="2015-10-12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1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6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5T00:00:00"/>
        <d v="2015-12-28T00:00:00"/>
        <d v="2015-12-29T00:00:00"/>
        <d v="2015-12-30T00:00:00"/>
        <d v="2015-12-31T00:00:00"/>
        <d v="2016-01-0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8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5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5T00:00:00"/>
        <d v="2016-03-28T00:00:00"/>
        <d v="2016-03-29T00:00:00"/>
        <d v="2016-03-30T00:00:00"/>
        <d v="2016-03-31T00:00:00"/>
        <d v="2016-04-0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2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0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09T00:00:00"/>
        <d v="2016-06-10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6-08-01T00:00:00"/>
        <d v="2016-08-02T00:00:00"/>
        <d v="2016-08-03T00:00:00"/>
        <d v="2016-08-04T00:00:00"/>
        <d v="2016-08-05T00:00:00"/>
        <d v="2016-08-08T00:00:00"/>
        <d v="2016-08-09T00:00:00"/>
        <d v="2016-08-10T00:00:00"/>
        <d v="2016-08-11T00:00:00"/>
        <d v="2016-08-12T00:00:00"/>
        <d v="2016-08-15T00:00:00"/>
        <d v="2016-08-16T00:00:00"/>
        <d v="2016-08-17T00:00:00"/>
        <d v="2016-08-18T00:00:00"/>
        <d v="2016-08-19T00:00:00"/>
        <d v="2016-08-22T00:00:00"/>
        <d v="2016-08-23T00:00:00"/>
        <d v="2016-08-24T00:00:00"/>
        <d v="2016-08-25T00:00:00"/>
        <d v="2016-08-26T00:00:00"/>
        <d v="2016-08-29T00:00:00"/>
        <d v="2016-08-30T00:00:00"/>
        <d v="2016-08-31T00:00:00"/>
        <d v="2016-09-01T00:00:00"/>
        <d v="2016-09-02T00:00:00"/>
        <d v="2016-09-05T00:00:00"/>
        <d v="2016-09-06T00:00:00"/>
        <d v="2016-09-07T00:00:00"/>
        <d v="2016-09-08T00:00:00"/>
        <d v="2016-09-09T00:00:00"/>
        <d v="2016-09-12T00:00:00"/>
        <d v="2016-09-13T00:00:00"/>
        <d v="2016-09-14T00:00:00"/>
        <d v="2016-09-15T00:00:00"/>
        <d v="2016-09-16T00:00:00"/>
        <d v="2016-09-19T00:00:00"/>
        <d v="2016-09-20T00:00:00"/>
        <d v="2016-09-21T00:00:00"/>
        <d v="2016-09-22T00:00:00"/>
        <d v="2016-09-23T00:00:00"/>
        <d v="2016-09-26T00:00:00"/>
        <d v="2016-09-27T00:00:00"/>
        <d v="2016-09-28T00:00:00"/>
        <d v="2016-09-29T00:00:00"/>
        <d v="2016-09-30T00:00:00"/>
        <d v="2016-10-03T00:00:00"/>
        <d v="2016-10-04T00:00:00"/>
        <d v="2016-10-05T00:00:00"/>
        <d v="2016-10-06T00:00:00"/>
        <d v="2016-10-07T00:00:00"/>
        <d v="2016-10-10T00:00:00"/>
        <d v="2016-10-11T00:00:00"/>
        <d v="2016-10-12T00:00:00"/>
        <d v="2016-10-13T00:00:00"/>
        <d v="2016-10-14T00:00:00"/>
        <d v="2016-10-17T00:00:00"/>
        <d v="2016-10-18T00:00:00"/>
        <d v="2016-10-19T00:00:00"/>
        <d v="2016-10-20T00:00:00"/>
        <d v="2016-10-21T00:00:00"/>
        <d v="2016-10-24T00:00:00"/>
        <d v="2016-10-25T00:00:00"/>
        <d v="2016-10-26T00:00:00"/>
        <d v="2016-10-27T00:00:00"/>
        <d v="2016-10-28T00:00:00"/>
        <d v="2016-10-31T00:00:00"/>
        <d v="2016-11-01T00:00:00"/>
        <d v="2016-11-02T00:00:00"/>
        <d v="2016-11-03T00:00:00"/>
        <d v="2016-11-04T00:00:00"/>
        <d v="2016-11-07T00:00:00"/>
        <d v="2016-11-08T00:00:00"/>
        <d v="2016-11-09T00:00:00"/>
        <d v="2016-11-10T00:00:00"/>
        <d v="2016-11-11T00:00:00"/>
        <d v="2016-11-14T00:00:00"/>
        <d v="2016-11-15T00:00:00"/>
        <d v="2016-11-16T00:00:00"/>
        <d v="2016-11-17T00:00:00"/>
        <d v="2016-11-18T00:00:00"/>
        <d v="2016-11-21T00:00:00"/>
        <d v="2016-11-22T00:00:00"/>
        <d v="2016-11-23T00:00:00"/>
        <d v="2016-11-24T00:00:00"/>
        <d v="2016-11-25T00:00:00"/>
        <d v="2016-11-28T00:00:00"/>
        <d v="2016-11-29T00:00:00"/>
        <d v="2016-11-30T00:00:00"/>
        <d v="2016-12-01T00:00:00"/>
        <d v="2016-12-02T00:00:00"/>
        <d v="2016-12-05T00:00:00"/>
        <d v="2016-12-06T00:00:00"/>
        <d v="2016-12-07T00:00:00"/>
        <d v="2016-12-08T00:00:00"/>
        <d v="2016-12-09T00:00:00"/>
        <d v="2016-12-12T00:00:00"/>
        <d v="2016-12-13T00:00:00"/>
        <d v="2016-12-14T00:00:00"/>
        <d v="2016-12-15T00:00:00"/>
        <d v="2016-12-16T00:00:00"/>
        <d v="2016-12-19T00:00:00"/>
        <d v="2016-12-20T00:00:00"/>
        <d v="2016-12-21T00:00:00"/>
        <d v="2016-12-22T00:00:00"/>
        <d v="2016-12-23T00:00:00"/>
        <d v="2016-12-26T00:00:00"/>
        <d v="2016-12-27T00:00:00"/>
        <d v="2016-12-28T00:00:00"/>
        <d v="2016-12-29T00:00:00"/>
        <d v="2016-12-30T00:00:00"/>
        <d v="2017-01-02T00:00:00"/>
        <d v="2017-01-03T00:00:00"/>
        <d v="2017-01-04T00:00:00"/>
        <d v="2017-01-05T00:00:00"/>
        <d v="2017-01-06T00:00:00"/>
        <d v="2017-01-09T00:00:00"/>
        <d v="2017-01-10T00:00:00"/>
        <d v="2017-01-11T00:00:00"/>
        <d v="2017-01-12T00:00:00"/>
        <d v="2017-01-13T00:00:00"/>
        <d v="2017-01-16T00:00:00"/>
        <d v="2017-01-17T00:00:00"/>
        <d v="2017-01-18T00:00:00"/>
        <d v="2017-01-19T00:00:00"/>
        <d v="2017-01-20T00:00:00"/>
        <d v="2017-01-23T00:00:00"/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0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4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29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4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1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19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8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4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3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2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5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5T00:00:00"/>
        <d v="2018-12-26T00:00:00"/>
        <d v="2018-12-27T00:00:00"/>
        <d v="2018-12-28T00:00:00"/>
        <d v="2018-12-31T00:00:00"/>
        <d v="2019-01-0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1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8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19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4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2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8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20-01-0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0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7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5T00:00:00"/>
        <d v="2020-12-28T00:00:00"/>
        <d v="2020-12-29T00:00:00"/>
        <d v="2020-12-30T00:00:00"/>
        <d v="2020-12-31T00:00:00"/>
        <d v="2021-01-0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5-31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6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5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3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0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0T00:00:00"/>
        <d v="2022-06-21T00:00:00"/>
        <d v="2022-06-22T00:00:00"/>
        <d v="2022-06-23T00:00:00"/>
        <d v="2022-06-24T00:00:00"/>
        <d v="2022-06-27T00:00:00"/>
        <d v="2022-06-28T00:00:00"/>
        <d v="2022-06-29T00:00:00"/>
        <d v="2022-06-30T00:00:00"/>
        <d v="2022-07-01T00:00:00"/>
        <d v="2022-07-04T00:00:00"/>
        <d v="2022-07-05T00:00:00"/>
        <d v="2022-07-06T00:00:00"/>
        <d v="2022-07-07T00:00:00"/>
        <d v="2022-07-08T00:00:00"/>
        <d v="2022-07-11T00:00:00"/>
        <d v="2022-07-12T00:00:00"/>
        <d v="2022-07-13T00:00:00"/>
        <d v="2022-07-14T00:00:00"/>
        <d v="2022-07-15T00:00:00"/>
        <d v="2022-07-18T00:00:00"/>
        <d v="2022-07-19T00:00:00"/>
        <d v="2022-07-20T00:00:00"/>
        <d v="2022-07-21T00:00:00"/>
        <d v="2022-07-22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  <d v="2022-08-29T00:00:00"/>
        <d v="2022-08-30T00:00:00"/>
        <d v="2022-08-31T00:00:00"/>
        <d v="2022-09-01T00:00:00"/>
        <d v="2022-09-02T00:00:00"/>
        <d v="2022-09-05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9T00:00:00"/>
        <d v="2022-09-20T00:00:00"/>
        <d v="2022-09-21T00:00:00"/>
        <d v="2022-09-22T00:00:00"/>
        <d v="2022-09-23T00:00:00"/>
        <d v="2022-09-26T00:00:00"/>
        <d v="2022-09-27T00:00:00"/>
        <d v="2022-09-28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0T00:00:00"/>
        <d v="2022-10-11T00:00:00"/>
        <d v="2022-10-12T00:00:00"/>
        <d v="2022-10-13T00:00:00"/>
        <d v="2022-10-14T00:00:00"/>
        <d v="2022-10-17T00:00:00"/>
        <d v="2022-10-18T00:00:00"/>
        <d v="2022-10-19T00:00:00"/>
        <d v="2022-10-20T00:00:00"/>
        <d v="2022-10-21T00:00:00"/>
        <d v="2022-10-24T00:00:00"/>
        <d v="2022-10-25T00:00:00"/>
        <d v="2022-10-26T00:00:00"/>
        <d v="2022-10-27T00:00:00"/>
        <d v="2022-10-28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21T00:00:00"/>
        <d v="2022-11-22T00:00:00"/>
        <d v="2022-11-23T00:00:00"/>
        <d v="2022-11-24T00:00:00"/>
        <d v="2022-11-25T00:00:00"/>
        <d v="2022-11-28T00:00:00"/>
        <d v="2022-11-29T00:00:00"/>
        <d v="2022-11-30T00:00:00"/>
        <d v="2022-12-01T00:00:00"/>
        <d v="2022-12-02T00:00:00"/>
        <d v="2022-12-05T00:00:00"/>
        <d v="2022-12-06T00:00:00"/>
        <d v="2022-12-07T00:00:00"/>
        <d v="2022-12-08T00:00:00"/>
        <d v="2022-12-09T00:00:00"/>
        <d v="2022-12-12T00:00:00"/>
        <d v="2022-12-13T00:00:00"/>
        <d v="2022-12-14T00:00:00"/>
      </sharedItems>
      <fieldGroup par="6" base="0">
        <rangePr groupBy="months" startDate="2015-05-01T00:00:00" endDate="2022-12-15T00:00:00"/>
        <groupItems count="14">
          <s v="&lt;01.05.2015"/>
          <s v="Jän"/>
          <s v="Feb"/>
          <s v="Mär"/>
          <s v="Apr"/>
          <s v="Mai"/>
          <s v="Jun"/>
          <s v="Jul"/>
          <s v="Aug"/>
          <s v="Sep"/>
          <s v="Okt"/>
          <s v="Nov"/>
          <s v="Dez"/>
          <s v="&gt;15.12.2022"/>
        </groupItems>
      </fieldGroup>
    </cacheField>
    <cacheField name="PX_LAST" numFmtId="0">
      <sharedItems containsSemiMixedTypes="0" containsString="0" containsNumber="1" minValue="-0.55400000000000005" maxValue="2.5270000000000001"/>
    </cacheField>
    <cacheField name="Date SMR" numFmtId="0">
      <sharedItems containsNonDate="0" containsDate="1" containsString="0" containsBlank="1" minDate="2015-05-04T00:00:00" maxDate="2022-12-03T00:00:00"/>
    </cacheField>
    <cacheField name="SMR" numFmtId="0">
      <sharedItems containsBlank="1" containsMixedTypes="1" containsNumber="1" minValue="-0.45500000000000002" maxValue="2.6579999999999999"/>
    </cacheField>
    <cacheField name="Zinssatz" numFmtId="0">
      <sharedItems containsString="0" containsBlank="1" containsNumber="1" minValue="-0.11399999999999999" maxValue="2.7495000000000003" count="17">
        <n v="0.46199999999999997"/>
        <m/>
        <n v="0.56499999999999995"/>
        <n v="0.35499999999999998"/>
        <n v="0.2145"/>
        <n v="0.30149999999999999"/>
        <n v="0.34799999999999998"/>
        <n v="0.41699999999999998"/>
        <n v="0.42849999999999999"/>
        <n v="0.28699999999999998"/>
        <n v="6.0499999999999998E-2"/>
        <n v="0.22149999999999997"/>
        <n v="-0.11399999999999999"/>
        <n v="2.5000000000000022E-3"/>
        <n v="3.8499999999999979E-2"/>
        <n v="0.70650000000000002"/>
        <n v="2.7495000000000003"/>
      </sharedItems>
    </cacheField>
    <cacheField name="Quartale" numFmtId="0" databaseField="0">
      <fieldGroup base="0">
        <rangePr groupBy="quarters" startDate="2015-05-01T00:00:00" endDate="2022-12-15T00:00:00"/>
        <groupItems count="6">
          <s v="&lt;01.05.2015"/>
          <s v="Qrtl1"/>
          <s v="Qrtl2"/>
          <s v="Qrtl3"/>
          <s v="Qrtl4"/>
          <s v="&gt;15.12.2022"/>
        </groupItems>
      </fieldGroup>
    </cacheField>
    <cacheField name="Jahre" numFmtId="0" databaseField="0">
      <fieldGroup base="0">
        <rangePr groupBy="years" startDate="2015-05-01T00:00:00" endDate="2022-12-15T00:00:00"/>
        <groupItems count="10">
          <s v="&lt;01.05.2015"/>
          <s v="2015"/>
          <s v="2016"/>
          <s v="2017"/>
          <s v="2018"/>
          <s v="2019"/>
          <s v="2020"/>
          <s v="2021"/>
          <s v="2022"/>
          <s v="&gt;15.12.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9">
  <r>
    <x v="0"/>
    <n v="6.4000000000000001E-2"/>
    <m/>
    <n v="0.12"/>
    <x v="0"/>
  </r>
  <r>
    <x v="1"/>
    <n v="6.4000000000000001E-2"/>
    <d v="2015-05-04T00:00:00"/>
    <n v="0.127"/>
    <x v="1"/>
  </r>
  <r>
    <x v="2"/>
    <n v="6.0999999999999999E-2"/>
    <d v="2015-05-05T00:00:00"/>
    <n v="0.13500000000000001"/>
    <x v="1"/>
  </r>
  <r>
    <x v="3"/>
    <n v="6.2E-2"/>
    <d v="2015-05-06T00:00:00"/>
    <n v="0.14699999999999999"/>
    <x v="1"/>
  </r>
  <r>
    <x v="4"/>
    <n v="6.0999999999999999E-2"/>
    <d v="2015-05-07T00:00:00"/>
    <n v="0.16200000000000001"/>
    <x v="1"/>
  </r>
  <r>
    <x v="5"/>
    <n v="6.0999999999999999E-2"/>
    <d v="2015-05-08T00:00:00"/>
    <n v="0.17399999999999999"/>
    <x v="1"/>
  </r>
  <r>
    <x v="6"/>
    <n v="6.0999999999999999E-2"/>
    <d v="2015-05-11T00:00:00"/>
    <n v="0.187"/>
    <x v="1"/>
  </r>
  <r>
    <x v="7"/>
    <n v="6.0999999999999999E-2"/>
    <d v="2015-05-12T00:00:00"/>
    <n v="0.20399999999999999"/>
    <x v="1"/>
  </r>
  <r>
    <x v="8"/>
    <n v="0.06"/>
    <d v="2015-05-13T00:00:00"/>
    <n v="0.221"/>
    <x v="1"/>
  </r>
  <r>
    <x v="9"/>
    <n v="5.8999999999999997E-2"/>
    <m/>
    <n v="0.221"/>
    <x v="1"/>
  </r>
  <r>
    <x v="10"/>
    <n v="5.8000000000000003E-2"/>
    <d v="2015-05-15T00:00:00"/>
    <n v="0.23799999999999999"/>
    <x v="1"/>
  </r>
  <r>
    <x v="11"/>
    <n v="5.6000000000000001E-2"/>
    <d v="2015-05-18T00:00:00"/>
    <n v="0.25600000000000001"/>
    <x v="1"/>
  </r>
  <r>
    <x v="12"/>
    <n v="5.7000000000000002E-2"/>
    <d v="2015-05-19T00:00:00"/>
    <n v="0.27200000000000002"/>
    <x v="1"/>
  </r>
  <r>
    <x v="13"/>
    <n v="5.5E-2"/>
    <d v="2015-05-20T00:00:00"/>
    <n v="0.28699999999999998"/>
    <x v="1"/>
  </r>
  <r>
    <x v="14"/>
    <n v="5.3999999999999999E-2"/>
    <d v="2015-05-21T00:00:00"/>
    <n v="0.30499999999999999"/>
    <x v="1"/>
  </r>
  <r>
    <x v="15"/>
    <n v="5.3999999999999999E-2"/>
    <d v="2015-05-22T00:00:00"/>
    <n v="0.31900000000000001"/>
    <x v="1"/>
  </r>
  <r>
    <x v="16"/>
    <n v="5.3999999999999999E-2"/>
    <m/>
    <n v="0.31900000000000001"/>
    <x v="1"/>
  </r>
  <r>
    <x v="17"/>
    <n v="5.1999999999999998E-2"/>
    <d v="2015-05-26T00:00:00"/>
    <n v="0.33200000000000002"/>
    <x v="1"/>
  </r>
  <r>
    <x v="18"/>
    <n v="0.05"/>
    <d v="2015-05-27T00:00:00"/>
    <n v="0.34399999999999997"/>
    <x v="1"/>
  </r>
  <r>
    <x v="19"/>
    <n v="4.9000000000000002E-2"/>
    <d v="2015-05-28T00:00:00"/>
    <n v="0.35599999999999998"/>
    <x v="1"/>
  </r>
  <r>
    <x v="20"/>
    <n v="4.9000000000000002E-2"/>
    <d v="2015-05-29T00:00:00"/>
    <n v="0.36699999999999999"/>
    <x v="1"/>
  </r>
  <r>
    <x v="21"/>
    <n v="4.9000000000000002E-2"/>
    <d v="2015-06-01T00:00:00"/>
    <n v="0.374"/>
    <x v="1"/>
  </r>
  <r>
    <x v="22"/>
    <n v="4.8000000000000001E-2"/>
    <d v="2015-06-02T00:00:00"/>
    <n v="0.38200000000000001"/>
    <x v="1"/>
  </r>
  <r>
    <x v="23"/>
    <n v="4.8000000000000001E-2"/>
    <d v="2015-06-03T00:00:00"/>
    <n v="0.39300000000000002"/>
    <x v="1"/>
  </r>
  <r>
    <x v="24"/>
    <n v="4.9000000000000002E-2"/>
    <m/>
    <n v="0.39300000000000002"/>
    <x v="1"/>
  </r>
  <r>
    <x v="25"/>
    <n v="0.05"/>
    <d v="2015-06-05T00:00:00"/>
    <n v="0.40600000000000003"/>
    <x v="1"/>
  </r>
  <r>
    <x v="26"/>
    <n v="4.9000000000000002E-2"/>
    <d v="2015-06-08T00:00:00"/>
    <n v="0.41499999999999998"/>
    <x v="1"/>
  </r>
  <r>
    <x v="27"/>
    <n v="4.9000000000000002E-2"/>
    <d v="2015-06-09T00:00:00"/>
    <n v="0.42399999999999999"/>
    <x v="1"/>
  </r>
  <r>
    <x v="28"/>
    <n v="4.9000000000000002E-2"/>
    <d v="2015-06-10T00:00:00"/>
    <n v="0.437"/>
    <x v="1"/>
  </r>
  <r>
    <x v="29"/>
    <n v="4.9000000000000002E-2"/>
    <d v="2015-06-11T00:00:00"/>
    <n v="0.44900000000000001"/>
    <x v="1"/>
  </r>
  <r>
    <x v="30"/>
    <n v="0.05"/>
    <d v="2015-06-12T00:00:00"/>
    <n v="0.45600000000000002"/>
    <x v="1"/>
  </r>
  <r>
    <x v="31"/>
    <n v="4.9000000000000002E-2"/>
    <d v="2015-06-15T00:00:00"/>
    <n v="0.46300000000000002"/>
    <x v="1"/>
  </r>
  <r>
    <x v="32"/>
    <n v="5.0999999999999997E-2"/>
    <d v="2015-06-16T00:00:00"/>
    <n v="0.47"/>
    <x v="1"/>
  </r>
  <r>
    <x v="33"/>
    <n v="4.9000000000000002E-2"/>
    <d v="2015-06-17T00:00:00"/>
    <n v="0.47799999999999998"/>
    <x v="1"/>
  </r>
  <r>
    <x v="34"/>
    <n v="4.9000000000000002E-2"/>
    <d v="2015-06-18T00:00:00"/>
    <n v="0.48599999999999999"/>
    <x v="1"/>
  </r>
  <r>
    <x v="35"/>
    <n v="0.05"/>
    <d v="2015-06-19T00:00:00"/>
    <n v="0.49399999999999999"/>
    <x v="1"/>
  </r>
  <r>
    <x v="36"/>
    <n v="4.8000000000000001E-2"/>
    <d v="2015-06-22T00:00:00"/>
    <n v="0.502"/>
    <x v="1"/>
  </r>
  <r>
    <x v="37"/>
    <n v="4.8000000000000001E-2"/>
    <d v="2015-06-23T00:00:00"/>
    <n v="0.51200000000000001"/>
    <x v="1"/>
  </r>
  <r>
    <x v="38"/>
    <n v="4.9000000000000002E-2"/>
    <d v="2015-06-24T00:00:00"/>
    <n v="0.53700000000000003"/>
    <x v="1"/>
  </r>
  <r>
    <x v="39"/>
    <n v="4.9000000000000002E-2"/>
    <d v="2015-06-25T00:00:00"/>
    <n v="0.54800000000000004"/>
    <x v="1"/>
  </r>
  <r>
    <x v="40"/>
    <n v="0.05"/>
    <d v="2015-06-26T00:00:00"/>
    <n v="0.56000000000000005"/>
    <x v="1"/>
  </r>
  <r>
    <x v="41"/>
    <n v="0.05"/>
    <d v="2015-06-29T00:00:00"/>
    <n v="0.57199999999999995"/>
    <x v="1"/>
  </r>
  <r>
    <x v="42"/>
    <n v="0.05"/>
    <d v="2015-06-30T00:00:00"/>
    <n v="0.58299999999999996"/>
    <x v="1"/>
  </r>
  <r>
    <x v="43"/>
    <n v="4.9000000000000002E-2"/>
    <d v="2015-07-01T00:00:00"/>
    <n v="0.59"/>
    <x v="1"/>
  </r>
  <r>
    <x v="44"/>
    <n v="4.8000000000000001E-2"/>
    <d v="2015-07-02T00:00:00"/>
    <n v="0.59599999999999997"/>
    <x v="1"/>
  </r>
  <r>
    <x v="45"/>
    <n v="4.9000000000000002E-2"/>
    <d v="2015-07-03T00:00:00"/>
    <n v="0.59799999999999998"/>
    <x v="1"/>
  </r>
  <r>
    <x v="46"/>
    <n v="4.9000000000000002E-2"/>
    <d v="2015-07-06T00:00:00"/>
    <n v="0.59799999999999998"/>
    <x v="1"/>
  </r>
  <r>
    <x v="47"/>
    <n v="4.9000000000000002E-2"/>
    <d v="2015-07-07T00:00:00"/>
    <n v="0.59499999999999997"/>
    <x v="1"/>
  </r>
  <r>
    <x v="48"/>
    <n v="4.9000000000000002E-2"/>
    <d v="2015-07-08T00:00:00"/>
    <n v="0.58699999999999997"/>
    <x v="1"/>
  </r>
  <r>
    <x v="49"/>
    <n v="4.9000000000000002E-2"/>
    <d v="2015-07-09T00:00:00"/>
    <n v="0.58399999999999996"/>
    <x v="1"/>
  </r>
  <r>
    <x v="50"/>
    <n v="4.9000000000000002E-2"/>
    <d v="2015-07-10T00:00:00"/>
    <n v="0.58299999999999996"/>
    <x v="1"/>
  </r>
  <r>
    <x v="51"/>
    <n v="4.9000000000000002E-2"/>
    <d v="2015-07-13T00:00:00"/>
    <n v="0.58499999999999996"/>
    <x v="1"/>
  </r>
  <r>
    <x v="52"/>
    <n v="4.9000000000000002E-2"/>
    <d v="2015-07-14T00:00:00"/>
    <n v="0.58499999999999996"/>
    <x v="1"/>
  </r>
  <r>
    <x v="53"/>
    <n v="4.9000000000000002E-2"/>
    <d v="2015-07-15T00:00:00"/>
    <n v="0.58199999999999996"/>
    <x v="1"/>
  </r>
  <r>
    <x v="54"/>
    <n v="4.9000000000000002E-2"/>
    <d v="2015-07-16T00:00:00"/>
    <n v="0.57999999999999996"/>
    <x v="1"/>
  </r>
  <r>
    <x v="55"/>
    <n v="4.9000000000000002E-2"/>
    <d v="2015-07-17T00:00:00"/>
    <n v="0.57799999999999996"/>
    <x v="1"/>
  </r>
  <r>
    <x v="56"/>
    <n v="4.9000000000000002E-2"/>
    <d v="2015-07-20T00:00:00"/>
    <n v="0.57099999999999995"/>
    <x v="1"/>
  </r>
  <r>
    <x v="57"/>
    <n v="4.9000000000000002E-2"/>
    <d v="2015-07-21T00:00:00"/>
    <n v="0.56399999999999995"/>
    <x v="1"/>
  </r>
  <r>
    <x v="58"/>
    <n v="4.9000000000000002E-2"/>
    <d v="2015-07-22T00:00:00"/>
    <n v="0.55800000000000005"/>
    <x v="1"/>
  </r>
  <r>
    <x v="59"/>
    <n v="4.9000000000000002E-2"/>
    <d v="2015-07-23T00:00:00"/>
    <n v="0.55100000000000005"/>
    <x v="1"/>
  </r>
  <r>
    <x v="60"/>
    <n v="4.8000000000000001E-2"/>
    <d v="2015-07-24T00:00:00"/>
    <n v="0.54300000000000004"/>
    <x v="1"/>
  </r>
  <r>
    <x v="61"/>
    <n v="4.9000000000000002E-2"/>
    <d v="2015-07-27T00:00:00"/>
    <n v="0.53500000000000003"/>
    <x v="1"/>
  </r>
  <r>
    <x v="62"/>
    <n v="4.8000000000000001E-2"/>
    <d v="2015-07-28T00:00:00"/>
    <n v="0.52900000000000003"/>
    <x v="1"/>
  </r>
  <r>
    <x v="63"/>
    <n v="4.8000000000000001E-2"/>
    <d v="2015-07-29T00:00:00"/>
    <n v="0.52200000000000002"/>
    <x v="1"/>
  </r>
  <r>
    <x v="64"/>
    <n v="4.8000000000000001E-2"/>
    <d v="2015-07-30T00:00:00"/>
    <n v="0.51100000000000001"/>
    <x v="1"/>
  </r>
  <r>
    <x v="65"/>
    <n v="4.8000000000000001E-2"/>
    <d v="2015-07-31T00:00:00"/>
    <n v="0.501"/>
    <x v="1"/>
  </r>
  <r>
    <x v="66"/>
    <n v="4.9000000000000002E-2"/>
    <d v="2015-08-03T00:00:00"/>
    <n v="0.49199999999999999"/>
    <x v="1"/>
  </r>
  <r>
    <x v="67"/>
    <n v="4.8000000000000001E-2"/>
    <d v="2015-08-04T00:00:00"/>
    <n v="0.48399999999999999"/>
    <x v="1"/>
  </r>
  <r>
    <x v="68"/>
    <n v="4.8000000000000001E-2"/>
    <d v="2015-08-05T00:00:00"/>
    <n v="0.48"/>
    <x v="1"/>
  </r>
  <r>
    <x v="69"/>
    <n v="4.7E-2"/>
    <d v="2015-08-06T00:00:00"/>
    <n v="0.48099999999999998"/>
    <x v="1"/>
  </r>
  <r>
    <x v="70"/>
    <n v="4.5999999999999999E-2"/>
    <d v="2015-08-07T00:00:00"/>
    <n v="0.47299999999999998"/>
    <x v="1"/>
  </r>
  <r>
    <x v="71"/>
    <n v="4.8000000000000001E-2"/>
    <d v="2015-08-10T00:00:00"/>
    <n v="0.46300000000000002"/>
    <x v="1"/>
  </r>
  <r>
    <x v="72"/>
    <n v="4.5999999999999999E-2"/>
    <d v="2015-08-11T00:00:00"/>
    <n v="0.45300000000000001"/>
    <x v="1"/>
  </r>
  <r>
    <x v="73"/>
    <n v="4.5999999999999999E-2"/>
    <d v="2015-08-12T00:00:00"/>
    <n v="0.44500000000000001"/>
    <x v="1"/>
  </r>
  <r>
    <x v="74"/>
    <n v="4.5999999999999999E-2"/>
    <d v="2015-08-13T00:00:00"/>
    <n v="0.438"/>
    <x v="1"/>
  </r>
  <r>
    <x v="75"/>
    <n v="4.5999999999999999E-2"/>
    <d v="2015-08-14T00:00:00"/>
    <n v="0.433"/>
    <x v="1"/>
  </r>
  <r>
    <x v="76"/>
    <n v="4.3999999999999997E-2"/>
    <d v="2015-08-17T00:00:00"/>
    <n v="0.42899999999999999"/>
    <x v="1"/>
  </r>
  <r>
    <x v="77"/>
    <n v="4.2999999999999997E-2"/>
    <d v="2015-08-18T00:00:00"/>
    <n v="0.42499999999999999"/>
    <x v="1"/>
  </r>
  <r>
    <x v="78"/>
    <n v="4.2000000000000003E-2"/>
    <d v="2015-08-19T00:00:00"/>
    <n v="0.42199999999999999"/>
    <x v="1"/>
  </r>
  <r>
    <x v="79"/>
    <n v="4.2000000000000003E-2"/>
    <d v="2015-08-20T00:00:00"/>
    <n v="0.41699999999999998"/>
    <x v="1"/>
  </r>
  <r>
    <x v="80"/>
    <n v="4.2000000000000003E-2"/>
    <d v="2015-08-21T00:00:00"/>
    <n v="0.41499999999999998"/>
    <x v="1"/>
  </r>
  <r>
    <x v="81"/>
    <n v="4.1000000000000002E-2"/>
    <d v="2015-08-24T00:00:00"/>
    <n v="0.41299999999999998"/>
    <x v="1"/>
  </r>
  <r>
    <x v="82"/>
    <n v="4.1000000000000002E-2"/>
    <d v="2015-08-25T00:00:00"/>
    <n v="0.41299999999999998"/>
    <x v="1"/>
  </r>
  <r>
    <x v="83"/>
    <n v="3.9E-2"/>
    <d v="2015-08-26T00:00:00"/>
    <n v="0.41499999999999998"/>
    <x v="1"/>
  </r>
  <r>
    <x v="84"/>
    <n v="3.9E-2"/>
    <d v="2015-08-27T00:00:00"/>
    <n v="0.41799999999999998"/>
    <x v="1"/>
  </r>
  <r>
    <x v="85"/>
    <n v="0.04"/>
    <d v="2015-08-28T00:00:00"/>
    <n v="0.42099999999999999"/>
    <x v="1"/>
  </r>
  <r>
    <x v="86"/>
    <n v="3.9E-2"/>
    <d v="2015-08-31T00:00:00"/>
    <n v="0.42599999999999999"/>
    <x v="1"/>
  </r>
  <r>
    <x v="87"/>
    <n v="3.9E-2"/>
    <d v="2015-09-01T00:00:00"/>
    <n v="0.433"/>
    <x v="1"/>
  </r>
  <r>
    <x v="88"/>
    <n v="3.9E-2"/>
    <d v="2015-09-02T00:00:00"/>
    <n v="0.437"/>
    <x v="1"/>
  </r>
  <r>
    <x v="89"/>
    <n v="3.7999999999999999E-2"/>
    <d v="2015-09-03T00:00:00"/>
    <n v="0.439"/>
    <x v="1"/>
  </r>
  <r>
    <x v="90"/>
    <n v="3.7999999999999999E-2"/>
    <d v="2015-09-04T00:00:00"/>
    <n v="0.44"/>
    <x v="1"/>
  </r>
  <r>
    <x v="91"/>
    <n v="3.7999999999999999E-2"/>
    <d v="2015-09-07T00:00:00"/>
    <n v="0.441"/>
    <x v="1"/>
  </r>
  <r>
    <x v="92"/>
    <n v="3.7999999999999999E-2"/>
    <d v="2015-09-08T00:00:00"/>
    <n v="0.443"/>
    <x v="1"/>
  </r>
  <r>
    <x v="93"/>
    <n v="3.7999999999999999E-2"/>
    <d v="2015-09-09T00:00:00"/>
    <n v="0.44700000000000001"/>
    <x v="1"/>
  </r>
  <r>
    <x v="94"/>
    <n v="3.7999999999999999E-2"/>
    <d v="2015-09-10T00:00:00"/>
    <n v="0.44900000000000001"/>
    <x v="1"/>
  </r>
  <r>
    <x v="95"/>
    <n v="3.6999999999999998E-2"/>
    <d v="2015-09-11T00:00:00"/>
    <n v="0.45"/>
    <x v="1"/>
  </r>
  <r>
    <x v="96"/>
    <n v="3.6999999999999998E-2"/>
    <d v="2015-09-14T00:00:00"/>
    <n v="0.45100000000000001"/>
    <x v="1"/>
  </r>
  <r>
    <x v="97"/>
    <n v="3.5999999999999997E-2"/>
    <d v="2015-09-15T00:00:00"/>
    <n v="0.49399999999999999"/>
    <x v="1"/>
  </r>
  <r>
    <x v="98"/>
    <n v="3.5999999999999997E-2"/>
    <d v="2015-09-16T00:00:00"/>
    <n v="0.497"/>
    <x v="1"/>
  </r>
  <r>
    <x v="99"/>
    <n v="3.5999999999999997E-2"/>
    <d v="2015-09-17T00:00:00"/>
    <n v="0.503"/>
    <x v="1"/>
  </r>
  <r>
    <x v="100"/>
    <n v="3.5999999999999997E-2"/>
    <d v="2015-09-18T00:00:00"/>
    <n v="0.504"/>
    <x v="1"/>
  </r>
  <r>
    <x v="101"/>
    <n v="3.5999999999999997E-2"/>
    <d v="2015-09-21T00:00:00"/>
    <n v="0.50600000000000001"/>
    <x v="1"/>
  </r>
  <r>
    <x v="102"/>
    <n v="3.4000000000000002E-2"/>
    <d v="2015-09-22T00:00:00"/>
    <n v="0.503"/>
    <x v="1"/>
  </r>
  <r>
    <x v="103"/>
    <n v="3.3000000000000002E-2"/>
    <d v="2015-09-23T00:00:00"/>
    <n v="0.498"/>
    <x v="1"/>
  </r>
  <r>
    <x v="104"/>
    <n v="3.2000000000000001E-2"/>
    <d v="2015-09-24T00:00:00"/>
    <n v="0.49199999999999999"/>
    <x v="1"/>
  </r>
  <r>
    <x v="105"/>
    <n v="0.03"/>
    <d v="2015-09-25T00:00:00"/>
    <n v="0.48799999999999999"/>
    <x v="1"/>
  </r>
  <r>
    <x v="106"/>
    <n v="2.9000000000000001E-2"/>
    <d v="2015-09-28T00:00:00"/>
    <n v="0.48199999999999998"/>
    <x v="1"/>
  </r>
  <r>
    <x v="107"/>
    <n v="2.9000000000000001E-2"/>
    <d v="2015-09-29T00:00:00"/>
    <n v="0.47499999999999998"/>
    <x v="1"/>
  </r>
  <r>
    <x v="108"/>
    <n v="2.9000000000000001E-2"/>
    <d v="2015-09-30T00:00:00"/>
    <n v="0.46800000000000003"/>
    <x v="1"/>
  </r>
  <r>
    <x v="109"/>
    <n v="2.7E-2"/>
    <d v="2015-10-01T00:00:00"/>
    <n v="0.46200000000000002"/>
    <x v="1"/>
  </r>
  <r>
    <x v="110"/>
    <n v="2.5999999999999999E-2"/>
    <d v="2015-10-02T00:00:00"/>
    <n v="0.45700000000000002"/>
    <x v="1"/>
  </r>
  <r>
    <x v="111"/>
    <n v="2.7E-2"/>
    <d v="2015-10-05T00:00:00"/>
    <n v="0.45200000000000001"/>
    <x v="1"/>
  </r>
  <r>
    <x v="112"/>
    <n v="2.7E-2"/>
    <d v="2015-10-06T00:00:00"/>
    <n v="0.44900000000000001"/>
    <x v="1"/>
  </r>
  <r>
    <x v="113"/>
    <n v="2.8000000000000001E-2"/>
    <d v="2015-10-07T00:00:00"/>
    <n v="0.44600000000000001"/>
    <x v="1"/>
  </r>
  <r>
    <x v="114"/>
    <n v="2.8000000000000001E-2"/>
    <d v="2015-10-08T00:00:00"/>
    <n v="0.44500000000000001"/>
    <x v="1"/>
  </r>
  <r>
    <x v="115"/>
    <n v="2.8000000000000001E-2"/>
    <d v="2015-10-09T00:00:00"/>
    <n v="0.443"/>
    <x v="1"/>
  </r>
  <r>
    <x v="116"/>
    <n v="2.7E-2"/>
    <d v="2015-10-12T00:00:00"/>
    <n v="0.441"/>
    <x v="1"/>
  </r>
  <r>
    <x v="117"/>
    <n v="2.5999999999999999E-2"/>
    <d v="2015-10-13T00:00:00"/>
    <n v="0.438"/>
    <x v="1"/>
  </r>
  <r>
    <x v="118"/>
    <n v="2.7E-2"/>
    <d v="2015-10-14T00:00:00"/>
    <n v="0.432"/>
    <x v="1"/>
  </r>
  <r>
    <x v="119"/>
    <n v="2.4E-2"/>
    <d v="2015-10-15T00:00:00"/>
    <n v="0.42399999999999999"/>
    <x v="1"/>
  </r>
  <r>
    <x v="120"/>
    <n v="2.1000000000000001E-2"/>
    <d v="2015-10-16T00:00:00"/>
    <n v="0.42"/>
    <x v="1"/>
  </r>
  <r>
    <x v="121"/>
    <n v="1.9E-2"/>
    <d v="2015-10-19T00:00:00"/>
    <n v="0.41699999999999998"/>
    <x v="1"/>
  </r>
  <r>
    <x v="122"/>
    <n v="1.7999999999999999E-2"/>
    <d v="2015-10-20T00:00:00"/>
    <n v="0.41599999999999998"/>
    <x v="1"/>
  </r>
  <r>
    <x v="123"/>
    <n v="1.9E-2"/>
    <d v="2015-10-21T00:00:00"/>
    <n v="0.41599999999999998"/>
    <x v="1"/>
  </r>
  <r>
    <x v="124"/>
    <n v="1.9E-2"/>
    <d v="2015-10-22T00:00:00"/>
    <n v="0.41399999999999998"/>
    <x v="1"/>
  </r>
  <r>
    <x v="125"/>
    <n v="0.01"/>
    <d v="2015-10-23T00:00:00"/>
    <n v="0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000002"/>
    <x v="1"/>
  </r>
  <r>
    <x v="128"/>
    <n v="6.0000000000000001E-3"/>
    <d v="2015-10-28T00:00:00"/>
    <n v="0.39400000000000002"/>
    <x v="1"/>
  </r>
  <r>
    <x v="129"/>
    <n v="4.0000000000000001E-3"/>
    <d v="2015-10-29T00:00:00"/>
    <n v="0.38800000000000001"/>
    <x v="1"/>
  </r>
  <r>
    <x v="130"/>
    <n v="6.0000000000000001E-3"/>
    <d v="2015-10-30T00:00:00"/>
    <n v="0.38400000000000001"/>
    <x v="1"/>
  </r>
  <r>
    <x v="131"/>
    <n v="7.0000000000000001E-3"/>
    <d v="2015-11-02T00:00:00"/>
    <n v="0.38300000000000001"/>
    <x v="2"/>
  </r>
  <r>
    <x v="132"/>
    <n v="3.0000000000000001E-3"/>
    <d v="2015-11-03T00:00:00"/>
    <n v="0.38200000000000001"/>
    <x v="1"/>
  </r>
  <r>
    <x v="133"/>
    <n v="0"/>
    <d v="2015-11-04T00:00:00"/>
    <n v="0.379"/>
    <x v="1"/>
  </r>
  <r>
    <x v="134"/>
    <n v="1E-3"/>
    <d v="2015-11-05T00:00:00"/>
    <n v="0.38200000000000001"/>
    <x v="1"/>
  </r>
  <r>
    <x v="135"/>
    <n v="-2E-3"/>
    <d v="2015-11-06T00:00:00"/>
    <n v="0.38200000000000001"/>
    <x v="1"/>
  </r>
  <r>
    <x v="136"/>
    <n v="1E-3"/>
    <d v="2015-11-09T00:00:00"/>
    <n v="0.38200000000000001"/>
    <x v="1"/>
  </r>
  <r>
    <x v="137"/>
    <n v="-4.0000000000000001E-3"/>
    <d v="2015-11-10T00:00:00"/>
    <n v="0.38100000000000001"/>
    <x v="1"/>
  </r>
  <r>
    <x v="138"/>
    <n v="-6.0000000000000001E-3"/>
    <d v="2015-11-11T00:00:00"/>
    <n v="0.38"/>
    <x v="1"/>
  </r>
  <r>
    <x v="139"/>
    <n v="-1.0999999999999999E-2"/>
    <d v="2015-11-12T00:00:00"/>
    <n v="0.379"/>
    <x v="1"/>
  </r>
  <r>
    <x v="140"/>
    <n v="-1.0999999999999999E-2"/>
    <d v="2015-11-13T00:00:00"/>
    <n v="0.378"/>
    <x v="1"/>
  </r>
  <r>
    <x v="141"/>
    <n v="-1.2999999999999999E-2"/>
    <d v="2015-11-16T00:00:00"/>
    <n v="0.375"/>
    <x v="1"/>
  </r>
  <r>
    <x v="142"/>
    <n v="-1.4999999999999999E-2"/>
    <d v="2015-11-17T00:00:00"/>
    <n v="0.372"/>
    <x v="1"/>
  </r>
  <r>
    <x v="143"/>
    <n v="-1.4999999999999999E-2"/>
    <d v="2015-11-18T00:00:00"/>
    <n v="0.36599999999999999"/>
    <x v="1"/>
  </r>
  <r>
    <x v="144"/>
    <n v="-1.9E-2"/>
    <d v="2015-11-19T00:00:00"/>
    <n v="0.36"/>
    <x v="1"/>
  </r>
  <r>
    <x v="145"/>
    <n v="-2.4E-2"/>
    <d v="2015-11-20T00:00:00"/>
    <n v="0.35699999999999998"/>
    <x v="1"/>
  </r>
  <r>
    <x v="146"/>
    <n v="-0.03"/>
    <d v="2015-11-23T00:00:00"/>
    <n v="0.35499999999999998"/>
    <x v="1"/>
  </r>
  <r>
    <x v="147"/>
    <n v="-3.3000000000000002E-2"/>
    <d v="2015-11-24T00:00:00"/>
    <n v="0.35499999999999998"/>
    <x v="1"/>
  </r>
  <r>
    <x v="148"/>
    <n v="-3.1E-2"/>
    <d v="2015-11-25T00:00:00"/>
    <n v="0.35499999999999998"/>
    <x v="1"/>
  </r>
  <r>
    <x v="149"/>
    <n v="-3.9E-2"/>
    <d v="2015-11-26T00:00:00"/>
    <n v="0.35299999999999998"/>
    <x v="1"/>
  </r>
  <r>
    <x v="150"/>
    <n v="-0.04"/>
    <d v="2015-11-27T00:00:00"/>
    <n v="0.34899999999999998"/>
    <x v="1"/>
  </r>
  <r>
    <x v="151"/>
    <n v="-4.2999999999999997E-2"/>
    <d v="2015-11-30T00:00:00"/>
    <n v="0.34499999999999997"/>
    <x v="1"/>
  </r>
  <r>
    <x v="152"/>
    <n v="-4.4999999999999998E-2"/>
    <d v="2015-12-01T00:00:00"/>
    <n v="0.34100000000000003"/>
    <x v="1"/>
  </r>
  <r>
    <x v="153"/>
    <n v="-4.8000000000000001E-2"/>
    <d v="2015-12-02T00:00:00"/>
    <n v="0.33600000000000002"/>
    <x v="1"/>
  </r>
  <r>
    <x v="154"/>
    <n v="-5.0999999999999997E-2"/>
    <d v="2015-12-03T00:00:00"/>
    <n v="0.33200000000000002"/>
    <x v="1"/>
  </r>
  <r>
    <x v="155"/>
    <n v="-0.03"/>
    <d v="2015-12-04T00:00:00"/>
    <n v="0.33400000000000002"/>
    <x v="1"/>
  </r>
  <r>
    <x v="156"/>
    <n v="-3.1E-2"/>
    <d v="2015-12-07T00:00:00"/>
    <n v="0.33100000000000002"/>
    <x v="1"/>
  </r>
  <r>
    <x v="157"/>
    <n v="-3.3000000000000002E-2"/>
    <m/>
    <n v="0.33100000000000002"/>
    <x v="1"/>
  </r>
  <r>
    <x v="158"/>
    <n v="-3.4000000000000002E-2"/>
    <d v="2015-12-09T00:00:00"/>
    <n v="0.32900000000000001"/>
    <x v="1"/>
  </r>
  <r>
    <x v="159"/>
    <n v="-3.5999999999999997E-2"/>
    <d v="2015-12-10T00:00:00"/>
    <n v="0.32700000000000001"/>
    <x v="1"/>
  </r>
  <r>
    <x v="160"/>
    <n v="-3.7999999999999999E-2"/>
    <d v="2015-12-11T00:00:00"/>
    <n v="0.32500000000000001"/>
    <x v="1"/>
  </r>
  <r>
    <x v="161"/>
    <n v="-3.9E-2"/>
    <d v="2015-12-14T00:00:00"/>
    <n v="0.32400000000000001"/>
    <x v="1"/>
  </r>
  <r>
    <x v="162"/>
    <n v="-4.1000000000000002E-2"/>
    <d v="2015-12-15T00:00:00"/>
    <n v="0.32600000000000001"/>
    <x v="1"/>
  </r>
  <r>
    <x v="163"/>
    <n v="-4.1000000000000002E-2"/>
    <d v="2015-12-16T00:00:00"/>
    <n v="0.33"/>
    <x v="1"/>
  </r>
  <r>
    <x v="164"/>
    <n v="-4.1000000000000002E-2"/>
    <d v="2015-12-17T00:00:00"/>
    <n v="0.33400000000000002"/>
    <x v="1"/>
  </r>
  <r>
    <x v="165"/>
    <n v="-4.1000000000000002E-2"/>
    <d v="2015-12-18T00:00:00"/>
    <n v="0.33500000000000002"/>
    <x v="1"/>
  </r>
  <r>
    <x v="166"/>
    <n v="-4.1000000000000002E-2"/>
    <d v="2015-12-21T00:00:00"/>
    <n v="0.33700000000000002"/>
    <x v="1"/>
  </r>
  <r>
    <x v="167"/>
    <n v="-4.1000000000000002E-2"/>
    <d v="2015-12-22T00:00:00"/>
    <n v="0.33900000000000002"/>
    <x v="1"/>
  </r>
  <r>
    <x v="168"/>
    <n v="-4.1000000000000002E-2"/>
    <d v="2015-12-23T00:00:00"/>
    <n v="0.34399999999999997"/>
    <x v="1"/>
  </r>
  <r>
    <x v="169"/>
    <n v="-0.04"/>
    <m/>
    <n v="0.34399999999999997"/>
    <x v="1"/>
  </r>
  <r>
    <x v="170"/>
    <n v="-0.04"/>
    <m/>
    <n v="0.34399999999999997"/>
    <x v="1"/>
  </r>
  <r>
    <x v="171"/>
    <n v="-0.04"/>
    <d v="2015-12-28T00:00:00"/>
    <n v="0.34799999999999998"/>
    <x v="1"/>
  </r>
  <r>
    <x v="172"/>
    <n v="-4.2000000000000003E-2"/>
    <d v="2015-12-29T00:00:00"/>
    <n v="0.35399999999999998"/>
    <x v="1"/>
  </r>
  <r>
    <x v="173"/>
    <n v="-4.1000000000000002E-2"/>
    <d v="2015-12-30T00:00:00"/>
    <n v="0.36099999999999999"/>
    <x v="1"/>
  </r>
  <r>
    <x v="174"/>
    <n v="-0.04"/>
    <d v="2015-12-31T00:00:00"/>
    <n v="0.36499999999999999"/>
    <x v="1"/>
  </r>
  <r>
    <x v="175"/>
    <n v="-0.04"/>
    <m/>
    <n v="0.36499999999999999"/>
    <x v="1"/>
  </r>
  <r>
    <x v="176"/>
    <n v="-4.1000000000000002E-2"/>
    <d v="2016-01-04T00:00:00"/>
    <n v="0.36799999999999999"/>
    <x v="1"/>
  </r>
  <r>
    <x v="177"/>
    <n v="-4.1000000000000002E-2"/>
    <d v="2016-01-05T00:00:00"/>
    <n v="0.373"/>
    <x v="1"/>
  </r>
  <r>
    <x v="178"/>
    <n v="-4.3999999999999997E-2"/>
    <m/>
    <n v="0.373"/>
    <x v="1"/>
  </r>
  <r>
    <x v="179"/>
    <n v="-0.05"/>
    <d v="2016-01-07T00:00:00"/>
    <n v="0.373"/>
    <x v="1"/>
  </r>
  <r>
    <x v="180"/>
    <n v="-5.0999999999999997E-2"/>
    <d v="2016-01-08T00:00:00"/>
    <n v="0.36899999999999999"/>
    <x v="1"/>
  </r>
  <r>
    <x v="181"/>
    <n v="-5.1999999999999998E-2"/>
    <d v="2016-01-11T00:00:00"/>
    <n v="0.36599999999999999"/>
    <x v="1"/>
  </r>
  <r>
    <x v="182"/>
    <n v="-5.2999999999999999E-2"/>
    <d v="2016-01-12T00:00:00"/>
    <n v="0.36699999999999999"/>
    <x v="1"/>
  </r>
  <r>
    <x v="183"/>
    <n v="-5.3999999999999999E-2"/>
    <d v="2016-01-13T00:00:00"/>
    <n v="0.36599999999999999"/>
    <x v="1"/>
  </r>
  <r>
    <x v="184"/>
    <n v="-5.2999999999999999E-2"/>
    <d v="2016-01-14T00:00:00"/>
    <n v="0.372"/>
    <x v="1"/>
  </r>
  <r>
    <x v="185"/>
    <n v="-5.3999999999999999E-2"/>
    <d v="2016-01-15T00:00:00"/>
    <n v="0.371"/>
    <x v="1"/>
  </r>
  <r>
    <x v="186"/>
    <n v="-5.3999999999999999E-2"/>
    <d v="2016-01-18T00:00:00"/>
    <n v="0.36699999999999999"/>
    <x v="1"/>
  </r>
  <r>
    <x v="187"/>
    <n v="-5.6000000000000001E-2"/>
    <d v="2016-01-19T00:00:00"/>
    <n v="0.36299999999999999"/>
    <x v="1"/>
  </r>
  <r>
    <x v="188"/>
    <n v="-6.0999999999999999E-2"/>
    <d v="2016-01-20T00:00:00"/>
    <n v="0.35899999999999999"/>
    <x v="1"/>
  </r>
  <r>
    <x v="189"/>
    <n v="-6.5000000000000002E-2"/>
    <d v="2016-01-21T00:00:00"/>
    <n v="0.35599999999999998"/>
    <x v="1"/>
  </r>
  <r>
    <x v="190"/>
    <n v="-7.3999999999999996E-2"/>
    <d v="2016-01-22T00:00:00"/>
    <n v="0.35299999999999998"/>
    <x v="1"/>
  </r>
  <r>
    <x v="191"/>
    <n v="-7.6999999999999999E-2"/>
    <d v="2016-01-25T00:00:00"/>
    <n v="0.34799999999999998"/>
    <x v="1"/>
  </r>
  <r>
    <x v="192"/>
    <n v="-8.2000000000000003E-2"/>
    <d v="2016-01-26T00:00:00"/>
    <n v="0.34"/>
    <x v="1"/>
  </r>
  <r>
    <x v="193"/>
    <n v="-8.2000000000000003E-2"/>
    <d v="2016-01-27T00:00:00"/>
    <n v="0.33200000000000002"/>
    <x v="1"/>
  </r>
  <r>
    <x v="194"/>
    <n v="-8.3000000000000004E-2"/>
    <d v="2016-01-28T00:00:00"/>
    <n v="0.32300000000000001"/>
    <x v="1"/>
  </r>
  <r>
    <x v="195"/>
    <n v="-8.8999999999999996E-2"/>
    <d v="2016-01-29T00:00:00"/>
    <n v="0.311"/>
    <x v="1"/>
  </r>
  <r>
    <x v="196"/>
    <n v="-9.4E-2"/>
    <d v="2016-02-01T00:00:00"/>
    <n v="0.30399999999999999"/>
    <x v="1"/>
  </r>
  <r>
    <x v="197"/>
    <n v="-9.4E-2"/>
    <d v="2016-02-02T00:00:00"/>
    <n v="0.29499999999999998"/>
    <x v="1"/>
  </r>
  <r>
    <x v="198"/>
    <n v="-9.6000000000000002E-2"/>
    <d v="2016-02-03T00:00:00"/>
    <n v="0.28499999999999998"/>
    <x v="1"/>
  </r>
  <r>
    <x v="199"/>
    <n v="-0.10199999999999999"/>
    <d v="2016-02-04T00:00:00"/>
    <n v="0.27600000000000002"/>
    <x v="1"/>
  </r>
  <r>
    <x v="200"/>
    <n v="-0.104"/>
    <d v="2016-02-05T00:00:00"/>
    <n v="0.26600000000000001"/>
    <x v="1"/>
  </r>
  <r>
    <x v="201"/>
    <n v="-0.107"/>
    <d v="2016-02-08T00:00:00"/>
    <n v="0.255"/>
    <x v="1"/>
  </r>
  <r>
    <x v="202"/>
    <n v="-0.109"/>
    <d v="2016-02-09T00:00:00"/>
    <n v="0.24199999999999999"/>
    <x v="1"/>
  </r>
  <r>
    <x v="203"/>
    <n v="-0.111"/>
    <d v="2016-02-10T00:00:00"/>
    <n v="0.23100000000000001"/>
    <x v="1"/>
  </r>
  <r>
    <x v="204"/>
    <n v="-0.112"/>
    <d v="2016-02-11T00:00:00"/>
    <n v="0.223"/>
    <x v="1"/>
  </r>
  <r>
    <x v="205"/>
    <n v="-0.11600000000000001"/>
    <d v="2016-02-12T00:00:00"/>
    <n v="0.214"/>
    <x v="1"/>
  </r>
  <r>
    <x v="206"/>
    <n v="-0.11600000000000001"/>
    <d v="2016-02-15T00:00:00"/>
    <n v="0.20499999999999999"/>
    <x v="1"/>
  </r>
  <r>
    <x v="207"/>
    <n v="-0.12"/>
    <d v="2016-02-16T00:00:00"/>
    <n v="0.19700000000000001"/>
    <x v="1"/>
  </r>
  <r>
    <x v="208"/>
    <n v="-0.121"/>
    <d v="2016-02-17T00:00:00"/>
    <n v="0.191"/>
    <x v="1"/>
  </r>
  <r>
    <x v="209"/>
    <n v="-0.124"/>
    <d v="2016-02-18T00:00:00"/>
    <n v="0.184"/>
    <x v="1"/>
  </r>
  <r>
    <x v="210"/>
    <n v="-0.125"/>
    <d v="2016-02-19T00:00:00"/>
    <n v="0.17599999999999999"/>
    <x v="1"/>
  </r>
  <r>
    <x v="211"/>
    <n v="-0.126"/>
    <d v="2016-02-22T00:00:00"/>
    <n v="0.2"/>
    <x v="1"/>
  </r>
  <r>
    <x v="212"/>
    <n v="-0.125"/>
    <d v="2016-02-23T00:00:00"/>
    <n v="0.21099999999999999"/>
    <x v="1"/>
  </r>
  <r>
    <x v="213"/>
    <n v="-0.128"/>
    <d v="2016-02-24T00:00:00"/>
    <n v="0.20300000000000001"/>
    <x v="1"/>
  </r>
  <r>
    <x v="214"/>
    <n v="-0.128"/>
    <d v="2016-02-25T00:00:00"/>
    <n v="0.19500000000000001"/>
    <x v="1"/>
  </r>
  <r>
    <x v="215"/>
    <n v="-0.129"/>
    <d v="2016-02-26T00:00:00"/>
    <n v="0.19"/>
    <x v="1"/>
  </r>
  <r>
    <x v="216"/>
    <n v="-0.13400000000000001"/>
    <d v="2016-02-29T00:00:00"/>
    <n v="0.183"/>
    <x v="1"/>
  </r>
  <r>
    <x v="217"/>
    <n v="-0.13500000000000001"/>
    <d v="2016-03-01T00:00:00"/>
    <n v="0.17799999999999999"/>
    <x v="1"/>
  </r>
  <r>
    <x v="218"/>
    <n v="-0.13400000000000001"/>
    <d v="2016-03-02T00:00:00"/>
    <n v="0.17499999999999999"/>
    <x v="1"/>
  </r>
  <r>
    <x v="219"/>
    <n v="-0.13500000000000001"/>
    <d v="2016-03-03T00:00:00"/>
    <n v="0.17199999999999999"/>
    <x v="1"/>
  </r>
  <r>
    <x v="220"/>
    <n v="-0.13600000000000001"/>
    <d v="2016-03-04T00:00:00"/>
    <n v="0.17"/>
    <x v="1"/>
  </r>
  <r>
    <x v="221"/>
    <n v="-0.13600000000000001"/>
    <d v="2016-03-07T00:00:00"/>
    <n v="0.16900000000000001"/>
    <x v="1"/>
  </r>
  <r>
    <x v="222"/>
    <n v="-0.13800000000000001"/>
    <d v="2016-03-08T00:00:00"/>
    <n v="0.16700000000000001"/>
    <x v="1"/>
  </r>
  <r>
    <x v="223"/>
    <n v="-0.13900000000000001"/>
    <d v="2016-03-09T00:00:00"/>
    <n v="0.16600000000000001"/>
    <x v="1"/>
  </r>
  <r>
    <x v="224"/>
    <n v="-0.14099999999999999"/>
    <d v="2016-03-10T00:00:00"/>
    <n v="0.16700000000000001"/>
    <x v="1"/>
  </r>
  <r>
    <x v="225"/>
    <n v="-0.13100000000000001"/>
    <d v="2016-03-11T00:00:00"/>
    <n v="0.16700000000000001"/>
    <x v="1"/>
  </r>
  <r>
    <x v="226"/>
    <n v="-0.13100000000000001"/>
    <d v="2016-03-14T00:00:00"/>
    <n v="0.16500000000000001"/>
    <x v="1"/>
  </r>
  <r>
    <x v="227"/>
    <n v="-0.13"/>
    <d v="2016-03-15T00:00:00"/>
    <n v="0.16400000000000001"/>
    <x v="1"/>
  </r>
  <r>
    <x v="228"/>
    <n v="-0.129"/>
    <d v="2016-03-16T00:00:00"/>
    <n v="0.16300000000000001"/>
    <x v="1"/>
  </r>
  <r>
    <x v="229"/>
    <n v="-0.13100000000000001"/>
    <d v="2016-03-17T00:00:00"/>
    <n v="0.161"/>
    <x v="1"/>
  </r>
  <r>
    <x v="230"/>
    <n v="-0.13100000000000001"/>
    <d v="2016-03-18T00:00:00"/>
    <n v="0.159"/>
    <x v="1"/>
  </r>
  <r>
    <x v="231"/>
    <n v="-0.13100000000000001"/>
    <d v="2016-03-21T00:00:00"/>
    <n v="0.158"/>
    <x v="1"/>
  </r>
  <r>
    <x v="232"/>
    <n v="-0.13200000000000001"/>
    <d v="2016-03-22T00:00:00"/>
    <n v="0.156"/>
    <x v="1"/>
  </r>
  <r>
    <x v="233"/>
    <n v="-0.13300000000000001"/>
    <d v="2016-03-23T00:00:00"/>
    <n v="0.157"/>
    <x v="1"/>
  </r>
  <r>
    <x v="234"/>
    <n v="-0.13400000000000001"/>
    <d v="2016-03-24T00:00:00"/>
    <n v="0.157"/>
    <x v="1"/>
  </r>
  <r>
    <x v="235"/>
    <n v="-0.13400000000000001"/>
    <d v="2016-03-25T00:00:00"/>
    <n v="0.158"/>
    <x v="1"/>
  </r>
  <r>
    <x v="236"/>
    <n v="-0.13400000000000001"/>
    <m/>
    <n v="0.158"/>
    <x v="1"/>
  </r>
  <r>
    <x v="237"/>
    <n v="-0.13400000000000001"/>
    <d v="2016-03-29T00:00:00"/>
    <n v="0.158"/>
    <x v="1"/>
  </r>
  <r>
    <x v="238"/>
    <n v="-0.13200000000000001"/>
    <d v="2016-03-30T00:00:00"/>
    <n v="0.157"/>
    <x v="1"/>
  </r>
  <r>
    <x v="239"/>
    <n v="-0.13200000000000001"/>
    <d v="2016-03-31T00:00:00"/>
    <n v="0.154"/>
    <x v="1"/>
  </r>
  <r>
    <x v="240"/>
    <n v="-0.13100000000000001"/>
    <d v="2016-04-01T00:00:00"/>
    <n v="0.151"/>
    <x v="1"/>
  </r>
  <r>
    <x v="241"/>
    <n v="-0.13200000000000001"/>
    <d v="2016-04-04T00:00:00"/>
    <n v="0.14599999999999999"/>
    <x v="1"/>
  </r>
  <r>
    <x v="242"/>
    <n v="-0.13200000000000001"/>
    <d v="2016-04-05T00:00:00"/>
    <n v="0.14000000000000001"/>
    <x v="1"/>
  </r>
  <r>
    <x v="243"/>
    <n v="-0.13200000000000001"/>
    <d v="2016-04-06T00:00:00"/>
    <n v="0.13700000000000001"/>
    <x v="1"/>
  </r>
  <r>
    <x v="244"/>
    <n v="-0.13400000000000001"/>
    <d v="2016-04-07T00:00:00"/>
    <n v="0.13500000000000001"/>
    <x v="1"/>
  </r>
  <r>
    <x v="245"/>
    <n v="-0.13400000000000001"/>
    <d v="2016-04-08T00:00:00"/>
    <n v="0.129"/>
    <x v="1"/>
  </r>
  <r>
    <x v="246"/>
    <n v="-0.13300000000000001"/>
    <d v="2016-04-11T00:00:00"/>
    <n v="0.122"/>
    <x v="1"/>
  </r>
  <r>
    <x v="247"/>
    <n v="-0.13600000000000001"/>
    <d v="2016-04-12T00:00:00"/>
    <n v="0.11700000000000001"/>
    <x v="1"/>
  </r>
  <r>
    <x v="248"/>
    <n v="-0.13800000000000001"/>
    <d v="2016-04-13T00:00:00"/>
    <n v="0.111"/>
    <x v="1"/>
  </r>
  <r>
    <x v="249"/>
    <n v="-0.13800000000000001"/>
    <d v="2016-04-14T00:00:00"/>
    <n v="0.105"/>
    <x v="1"/>
  </r>
  <r>
    <x v="250"/>
    <n v="-0.14000000000000001"/>
    <d v="2016-04-15T00:00:00"/>
    <n v="0.10100000000000001"/>
    <x v="1"/>
  </r>
  <r>
    <x v="251"/>
    <n v="-0.13900000000000001"/>
    <d v="2016-04-18T00:00:00"/>
    <n v="9.7000000000000003E-2"/>
    <x v="1"/>
  </r>
  <r>
    <x v="252"/>
    <n v="-0.13900000000000001"/>
    <d v="2016-04-19T00:00:00"/>
    <n v="9.6000000000000002E-2"/>
    <x v="1"/>
  </r>
  <r>
    <x v="253"/>
    <n v="-0.14099999999999999"/>
    <d v="2016-04-20T00:00:00"/>
    <n v="9.2999999999999999E-2"/>
    <x v="1"/>
  </r>
  <r>
    <x v="254"/>
    <n v="-0.14299999999999999"/>
    <d v="2016-04-21T00:00:00"/>
    <n v="9.0999999999999998E-2"/>
    <x v="1"/>
  </r>
  <r>
    <x v="255"/>
    <n v="-0.14299999999999999"/>
    <d v="2016-04-22T00:00:00"/>
    <n v="9.1999999999999998E-2"/>
    <x v="1"/>
  </r>
  <r>
    <x v="256"/>
    <n v="-0.14399999999999999"/>
    <d v="2016-04-25T00:00:00"/>
    <n v="9.4E-2"/>
    <x v="1"/>
  </r>
  <r>
    <x v="257"/>
    <n v="-0.14299999999999999"/>
    <d v="2016-04-26T00:00:00"/>
    <n v="9.7000000000000003E-2"/>
    <x v="1"/>
  </r>
  <r>
    <x v="258"/>
    <n v="-0.14199999999999999"/>
    <d v="2016-04-27T00:00:00"/>
    <n v="0.10100000000000001"/>
    <x v="1"/>
  </r>
  <r>
    <x v="259"/>
    <n v="-0.14199999999999999"/>
    <d v="2016-04-28T00:00:00"/>
    <n v="0.10299999999999999"/>
    <x v="1"/>
  </r>
  <r>
    <x v="260"/>
    <n v="-0.14099999999999999"/>
    <d v="2016-04-29T00:00:00"/>
    <n v="0.107"/>
    <x v="1"/>
  </r>
  <r>
    <x v="261"/>
    <n v="-0.14099999999999999"/>
    <d v="2016-05-02T00:00:00"/>
    <n v="0.111"/>
    <x v="3"/>
  </r>
  <r>
    <x v="262"/>
    <n v="-0.14199999999999999"/>
    <d v="2016-05-03T00:00:00"/>
    <n v="0.11600000000000001"/>
    <x v="1"/>
  </r>
  <r>
    <x v="263"/>
    <n v="-0.14199999999999999"/>
    <d v="2016-05-04T00:00:00"/>
    <n v="0.11899999999999999"/>
    <x v="1"/>
  </r>
  <r>
    <x v="264"/>
    <n v="-0.14399999999999999"/>
    <m/>
    <n v="0.11899999999999999"/>
    <x v="1"/>
  </r>
  <r>
    <x v="265"/>
    <n v="-0.14399999999999999"/>
    <d v="2016-05-06T00:00:00"/>
    <n v="0.121"/>
    <x v="1"/>
  </r>
  <r>
    <x v="266"/>
    <n v="-0.14299999999999999"/>
    <d v="2016-05-09T00:00:00"/>
    <n v="0.123"/>
    <x v="1"/>
  </r>
  <r>
    <x v="267"/>
    <n v="-0.14399999999999999"/>
    <d v="2016-05-10T00:00:00"/>
    <n v="0.124"/>
    <x v="1"/>
  </r>
  <r>
    <x v="268"/>
    <n v="-0.14399999999999999"/>
    <d v="2016-05-11T00:00:00"/>
    <n v="0.123"/>
    <x v="1"/>
  </r>
  <r>
    <x v="269"/>
    <n v="-0.14399999999999999"/>
    <d v="2016-05-12T00:00:00"/>
    <n v="0.127"/>
    <x v="1"/>
  </r>
  <r>
    <x v="270"/>
    <n v="-0.14399999999999999"/>
    <d v="2016-05-13T00:00:00"/>
    <n v="0.126"/>
    <x v="1"/>
  </r>
  <r>
    <x v="271"/>
    <n v="-0.14299999999999999"/>
    <m/>
    <n v="0.126"/>
    <x v="1"/>
  </r>
  <r>
    <x v="272"/>
    <n v="-0.14299999999999999"/>
    <d v="2016-05-17T00:00:00"/>
    <n v="0.126"/>
    <x v="1"/>
  </r>
  <r>
    <x v="273"/>
    <n v="-0.14399999999999999"/>
    <d v="2016-05-18T00:00:00"/>
    <n v="0.127"/>
    <x v="1"/>
  </r>
  <r>
    <x v="274"/>
    <n v="-0.14299999999999999"/>
    <d v="2016-05-19T00:00:00"/>
    <n v="0.127"/>
    <x v="1"/>
  </r>
  <r>
    <x v="275"/>
    <n v="-0.14299999999999999"/>
    <d v="2016-05-20T00:00:00"/>
    <n v="0.128"/>
    <x v="1"/>
  </r>
  <r>
    <x v="276"/>
    <n v="-0.14399999999999999"/>
    <d v="2016-05-23T00:00:00"/>
    <n v="0.127"/>
    <x v="1"/>
  </r>
  <r>
    <x v="277"/>
    <n v="-0.14399999999999999"/>
    <d v="2016-05-24T00:00:00"/>
    <n v="0.125"/>
    <x v="1"/>
  </r>
  <r>
    <x v="278"/>
    <n v="-0.14399999999999999"/>
    <d v="2016-05-25T00:00:00"/>
    <n v="0.123"/>
    <x v="1"/>
  </r>
  <r>
    <x v="279"/>
    <n v="-0.14599999999999999"/>
    <d v="2016-05-27T00:00:00"/>
    <n v="0.11799999999999999"/>
    <x v="1"/>
  </r>
  <r>
    <x v="280"/>
    <n v="-0.14899999999999999"/>
    <d v="2016-05-30T00:00:00"/>
    <n v="0.113"/>
    <x v="1"/>
  </r>
  <r>
    <x v="281"/>
    <n v="-0.151"/>
    <d v="2016-05-31T00:00:00"/>
    <n v="0.11"/>
    <x v="1"/>
  </r>
  <r>
    <x v="282"/>
    <n v="-0.153"/>
    <d v="2016-06-01T00:00:00"/>
    <n v="0.10299999999999999"/>
    <x v="1"/>
  </r>
  <r>
    <x v="283"/>
    <n v="-0.153"/>
    <m/>
    <n v="0.10299999999999999"/>
    <x v="1"/>
  </r>
  <r>
    <x v="284"/>
    <n v="-0.153"/>
    <d v="2016-06-02T00:00:00"/>
    <n v="9.7000000000000003E-2"/>
    <x v="1"/>
  </r>
  <r>
    <x v="285"/>
    <n v="-0.154"/>
    <d v="2016-06-03T00:00:00"/>
    <n v="9.1999999999999998E-2"/>
    <x v="1"/>
  </r>
  <r>
    <x v="286"/>
    <n v="-0.157"/>
    <d v="2016-06-06T00:00:00"/>
    <n v="8.5999999999999993E-2"/>
    <x v="1"/>
  </r>
  <r>
    <x v="287"/>
    <n v="-0.159"/>
    <d v="2016-06-07T00:00:00"/>
    <n v="8.2000000000000003E-2"/>
    <x v="1"/>
  </r>
  <r>
    <x v="288"/>
    <n v="-0.16"/>
    <d v="2016-06-08T00:00:00"/>
    <n v="7.8E-2"/>
    <x v="1"/>
  </r>
  <r>
    <x v="289"/>
    <n v="-0.159"/>
    <d v="2016-06-09T00:00:00"/>
    <n v="7.4999999999999997E-2"/>
    <x v="1"/>
  </r>
  <r>
    <x v="290"/>
    <n v="-0.159"/>
    <d v="2016-06-10T00:00:00"/>
    <n v="7.0000000000000007E-2"/>
    <x v="1"/>
  </r>
  <r>
    <x v="291"/>
    <n v="-0.158"/>
    <d v="2016-06-13T00:00:00"/>
    <n v="6.5000000000000002E-2"/>
    <x v="1"/>
  </r>
  <r>
    <x v="292"/>
    <n v="-0.159"/>
    <d v="2016-06-14T00:00:00"/>
    <n v="0.06"/>
    <x v="1"/>
  </r>
  <r>
    <x v="293"/>
    <n v="-0.159"/>
    <d v="2016-06-15T00:00:00"/>
    <n v="5.5E-2"/>
    <x v="1"/>
  </r>
  <r>
    <x v="294"/>
    <n v="-0.16"/>
    <d v="2016-06-16T00:00:00"/>
    <n v="0.05"/>
    <x v="1"/>
  </r>
  <r>
    <x v="295"/>
    <n v="-0.159"/>
    <d v="2016-06-17T00:00:00"/>
    <n v="4.3999999999999997E-2"/>
    <x v="1"/>
  </r>
  <r>
    <x v="296"/>
    <n v="-0.159"/>
    <d v="2016-06-20T00:00:00"/>
    <n v="3.9E-2"/>
    <x v="1"/>
  </r>
  <r>
    <x v="297"/>
    <n v="-0.159"/>
    <d v="2016-06-21T00:00:00"/>
    <n v="3.5000000000000003E-2"/>
    <x v="1"/>
  </r>
  <r>
    <x v="298"/>
    <n v="-0.161"/>
    <d v="2016-06-22T00:00:00"/>
    <n v="0.03"/>
    <x v="1"/>
  </r>
  <r>
    <x v="299"/>
    <n v="-0.161"/>
    <d v="2016-06-23T00:00:00"/>
    <n v="2.7E-2"/>
    <x v="1"/>
  </r>
  <r>
    <x v="300"/>
    <n v="-0.17499999999999999"/>
    <d v="2016-06-24T00:00:00"/>
    <n v="2.1000000000000001E-2"/>
    <x v="1"/>
  </r>
  <r>
    <x v="301"/>
    <n v="-0.17599999999999999"/>
    <d v="2016-06-27T00:00:00"/>
    <n v="1.2E-2"/>
    <x v="1"/>
  </r>
  <r>
    <x v="302"/>
    <n v="-0.17599999999999999"/>
    <d v="2016-06-28T00:00:00"/>
    <n v="3.0000000000000001E-3"/>
    <x v="1"/>
  </r>
  <r>
    <x v="303"/>
    <n v="-0.17799999999999999"/>
    <d v="2016-06-29T00:00:00"/>
    <s v="−0,005"/>
    <x v="1"/>
  </r>
  <r>
    <x v="304"/>
    <n v="-0.17899999999999999"/>
    <d v="2016-06-30T00:00:00"/>
    <s v="−0,014"/>
    <x v="1"/>
  </r>
  <r>
    <x v="305"/>
    <n v="-0.182"/>
    <d v="2016-07-01T00:00:00"/>
    <s v="−0,023"/>
    <x v="1"/>
  </r>
  <r>
    <x v="306"/>
    <n v="-0.185"/>
    <d v="2016-07-04T00:00:00"/>
    <s v="−0,032"/>
    <x v="1"/>
  </r>
  <r>
    <x v="307"/>
    <n v="-0.188"/>
    <d v="2016-07-05T00:00:00"/>
    <s v="−0,042"/>
    <x v="1"/>
  </r>
  <r>
    <x v="308"/>
    <n v="-0.189"/>
    <d v="2016-07-06T00:00:00"/>
    <s v="−0,052"/>
    <x v="1"/>
  </r>
  <r>
    <x v="309"/>
    <n v="-0.189"/>
    <d v="2016-07-07T00:00:00"/>
    <s v="−0,059"/>
    <x v="1"/>
  </r>
  <r>
    <x v="310"/>
    <n v="-0.19"/>
    <d v="2016-07-08T00:00:00"/>
    <s v="−0,069"/>
    <x v="1"/>
  </r>
  <r>
    <x v="311"/>
    <n v="-0.19"/>
    <d v="2016-07-11T00:00:00"/>
    <s v="−0,080"/>
    <x v="1"/>
  </r>
  <r>
    <x v="312"/>
    <n v="-0.191"/>
    <d v="2016-07-12T00:00:00"/>
    <s v="−0,088"/>
    <x v="1"/>
  </r>
  <r>
    <x v="313"/>
    <n v="-0.191"/>
    <d v="2016-07-13T00:00:00"/>
    <s v="−0,097"/>
    <x v="1"/>
  </r>
  <r>
    <x v="314"/>
    <n v="-0.19"/>
    <d v="2016-07-14T00:00:00"/>
    <s v="−0,105"/>
    <x v="1"/>
  </r>
  <r>
    <x v="315"/>
    <n v="-0.187"/>
    <d v="2016-07-15T00:00:00"/>
    <s v="−0,112"/>
    <x v="1"/>
  </r>
  <r>
    <x v="316"/>
    <n v="-0.191"/>
    <d v="2016-07-18T00:00:00"/>
    <s v="−0,121"/>
    <x v="1"/>
  </r>
  <r>
    <x v="317"/>
    <n v="-0.189"/>
    <d v="2016-07-19T00:00:00"/>
    <s v="−0,129"/>
    <x v="1"/>
  </r>
  <r>
    <x v="318"/>
    <n v="-0.189"/>
    <d v="2016-07-20T00:00:00"/>
    <s v="−0,137"/>
    <x v="1"/>
  </r>
  <r>
    <x v="319"/>
    <n v="-0.188"/>
    <d v="2016-07-21T00:00:00"/>
    <s v="−0,145"/>
    <x v="1"/>
  </r>
  <r>
    <x v="320"/>
    <n v="-0.189"/>
    <d v="2016-07-22T00:00:00"/>
    <s v="−0,147"/>
    <x v="1"/>
  </r>
  <r>
    <x v="321"/>
    <n v="-0.188"/>
    <d v="2016-07-25T00:00:00"/>
    <s v="−0,150"/>
    <x v="1"/>
  </r>
  <r>
    <x v="322"/>
    <n v="-0.187"/>
    <d v="2016-07-26T00:00:00"/>
    <s v="−0,153"/>
    <x v="1"/>
  </r>
  <r>
    <x v="323"/>
    <n v="-0.187"/>
    <d v="2016-07-27T00:00:00"/>
    <s v="−0,156"/>
    <x v="1"/>
  </r>
  <r>
    <x v="324"/>
    <n v="-0.186"/>
    <d v="2016-07-28T00:00:00"/>
    <s v="−0,160"/>
    <x v="1"/>
  </r>
  <r>
    <x v="325"/>
    <n v="-0.186"/>
    <d v="2016-07-29T00:00:00"/>
    <s v="−0,163"/>
    <x v="1"/>
  </r>
  <r>
    <x v="326"/>
    <n v="-0.186"/>
    <d v="2016-08-01T00:00:00"/>
    <s v="−0,167"/>
    <x v="1"/>
  </r>
  <r>
    <x v="327"/>
    <n v="-0.184"/>
    <d v="2016-08-02T00:00:00"/>
    <s v="−0,167"/>
    <x v="1"/>
  </r>
  <r>
    <x v="328"/>
    <n v="-0.183"/>
    <d v="2016-08-03T00:00:00"/>
    <s v="−0,166"/>
    <x v="1"/>
  </r>
  <r>
    <x v="329"/>
    <n v="-0.183"/>
    <d v="2016-08-04T00:00:00"/>
    <s v="−0,167"/>
    <x v="1"/>
  </r>
  <r>
    <x v="330"/>
    <n v="-0.185"/>
    <d v="2016-08-05T00:00:00"/>
    <s v="−0,167"/>
    <x v="1"/>
  </r>
  <r>
    <x v="331"/>
    <n v="-0.185"/>
    <d v="2016-08-08T00:00:00"/>
    <s v="−0,166"/>
    <x v="1"/>
  </r>
  <r>
    <x v="332"/>
    <n v="-0.187"/>
    <d v="2016-08-09T00:00:00"/>
    <s v="−0,167"/>
    <x v="1"/>
  </r>
  <r>
    <x v="333"/>
    <n v="-0.188"/>
    <d v="2016-08-10T00:00:00"/>
    <s v="−0,170"/>
    <x v="1"/>
  </r>
  <r>
    <x v="334"/>
    <n v="-0.189"/>
    <d v="2016-08-11T00:00:00"/>
    <s v="−0,172"/>
    <x v="1"/>
  </r>
  <r>
    <x v="335"/>
    <n v="-0.188"/>
    <d v="2016-08-12T00:00:00"/>
    <s v="−0,175"/>
    <x v="1"/>
  </r>
  <r>
    <x v="336"/>
    <n v="-0.189"/>
    <m/>
    <s v="−0,175"/>
    <x v="1"/>
  </r>
  <r>
    <x v="337"/>
    <n v="-0.189"/>
    <d v="2016-08-16T00:00:00"/>
    <s v="−0,178"/>
    <x v="1"/>
  </r>
  <r>
    <x v="338"/>
    <n v="-0.19"/>
    <d v="2016-08-17T00:00:00"/>
    <s v="−0,180"/>
    <x v="1"/>
  </r>
  <r>
    <x v="339"/>
    <n v="-0.191"/>
    <d v="2016-08-18T00:00:00"/>
    <s v="−0,183"/>
    <x v="1"/>
  </r>
  <r>
    <x v="340"/>
    <n v="-0.189"/>
    <d v="2016-08-19T00:00:00"/>
    <s v="−0,187"/>
    <x v="1"/>
  </r>
  <r>
    <x v="341"/>
    <n v="-0.19"/>
    <d v="2016-08-22T00:00:00"/>
    <s v="−0,191"/>
    <x v="1"/>
  </r>
  <r>
    <x v="342"/>
    <n v="-0.192"/>
    <d v="2016-08-23T00:00:00"/>
    <s v="−0,194"/>
    <x v="1"/>
  </r>
  <r>
    <x v="343"/>
    <n v="-0.191"/>
    <d v="2016-08-24T00:00:00"/>
    <s v="−0,196"/>
    <x v="1"/>
  </r>
  <r>
    <x v="344"/>
    <n v="-0.192"/>
    <d v="2016-08-25T00:00:00"/>
    <s v="−0,197"/>
    <x v="1"/>
  </r>
  <r>
    <x v="345"/>
    <n v="-0.191"/>
    <d v="2016-08-26T00:00:00"/>
    <s v="−0,196"/>
    <x v="1"/>
  </r>
  <r>
    <x v="346"/>
    <n v="-0.193"/>
    <d v="2016-08-29T00:00:00"/>
    <s v="−0,195"/>
    <x v="1"/>
  </r>
  <r>
    <x v="347"/>
    <n v="-0.192"/>
    <d v="2016-08-30T00:00:00"/>
    <s v="−0,194"/>
    <x v="1"/>
  </r>
  <r>
    <x v="348"/>
    <n v="-0.192"/>
    <d v="2016-08-31T00:00:00"/>
    <s v="−0,195"/>
    <x v="1"/>
  </r>
  <r>
    <x v="349"/>
    <n v="-0.193"/>
    <d v="2016-09-01T00:00:00"/>
    <s v="−0,194"/>
    <x v="1"/>
  </r>
  <r>
    <x v="350"/>
    <n v="-0.193"/>
    <d v="2016-09-02T00:00:00"/>
    <s v="−0,193"/>
    <x v="1"/>
  </r>
  <r>
    <x v="351"/>
    <n v="-0.19500000000000001"/>
    <d v="2016-09-05T00:00:00"/>
    <s v="−0,192"/>
    <x v="1"/>
  </r>
  <r>
    <x v="352"/>
    <n v="-0.19700000000000001"/>
    <d v="2016-09-06T00:00:00"/>
    <s v="−0,192"/>
    <x v="1"/>
  </r>
  <r>
    <x v="353"/>
    <n v="-0.19800000000000001"/>
    <d v="2016-09-07T00:00:00"/>
    <s v="−0,193"/>
    <x v="1"/>
  </r>
  <r>
    <x v="354"/>
    <n v="-0.20100000000000001"/>
    <d v="2016-09-08T00:00:00"/>
    <s v="−0,191"/>
    <x v="1"/>
  </r>
  <r>
    <x v="355"/>
    <n v="-0.19800000000000001"/>
    <d v="2016-09-09T00:00:00"/>
    <s v="−0,187"/>
    <x v="1"/>
  </r>
  <r>
    <x v="356"/>
    <n v="-0.19800000000000001"/>
    <d v="2016-09-12T00:00:00"/>
    <s v="−0,182"/>
    <x v="1"/>
  </r>
  <r>
    <x v="357"/>
    <n v="-0.19900000000000001"/>
    <d v="2016-09-13T00:00:00"/>
    <s v="−0,178"/>
    <x v="1"/>
  </r>
  <r>
    <x v="358"/>
    <n v="-0.19900000000000001"/>
    <d v="2016-09-14T00:00:00"/>
    <s v="−0,175"/>
    <x v="1"/>
  </r>
  <r>
    <x v="359"/>
    <n v="-0.19900000000000001"/>
    <d v="2016-09-15T00:00:00"/>
    <s v="−0,154"/>
    <x v="1"/>
  </r>
  <r>
    <x v="360"/>
    <n v="-0.20100000000000001"/>
    <d v="2016-09-16T00:00:00"/>
    <s v="−0,152"/>
    <x v="1"/>
  </r>
  <r>
    <x v="361"/>
    <n v="-0.20200000000000001"/>
    <d v="2016-09-19T00:00:00"/>
    <s v="−0,148"/>
    <x v="1"/>
  </r>
  <r>
    <x v="362"/>
    <n v="-0.2"/>
    <d v="2016-09-20T00:00:00"/>
    <s v="−0,146"/>
    <x v="1"/>
  </r>
  <r>
    <x v="363"/>
    <n v="-0.20100000000000001"/>
    <d v="2016-09-21T00:00:00"/>
    <s v="−0,144"/>
    <x v="1"/>
  </r>
  <r>
    <x v="364"/>
    <n v="-0.20100000000000001"/>
    <d v="2016-09-22T00:00:00"/>
    <s v="−0,145"/>
    <x v="1"/>
  </r>
  <r>
    <x v="365"/>
    <n v="-0.2"/>
    <d v="2016-09-23T00:00:00"/>
    <s v="−0,145"/>
    <x v="1"/>
  </r>
  <r>
    <x v="366"/>
    <n v="-0.19900000000000001"/>
    <d v="2016-09-26T00:00:00"/>
    <s v="−0,148"/>
    <x v="1"/>
  </r>
  <r>
    <x v="367"/>
    <n v="-0.20100000000000001"/>
    <d v="2016-09-27T00:00:00"/>
    <s v="−0,150"/>
    <x v="1"/>
  </r>
  <r>
    <x v="368"/>
    <n v="-0.20200000000000001"/>
    <d v="2016-09-28T00:00:00"/>
    <s v="−0,152"/>
    <x v="1"/>
  </r>
  <r>
    <x v="369"/>
    <n v="-0.20100000000000001"/>
    <d v="2016-09-29T00:00:00"/>
    <s v="−0,156"/>
    <x v="1"/>
  </r>
  <r>
    <x v="370"/>
    <n v="-0.20300000000000001"/>
    <d v="2016-09-30T00:00:00"/>
    <s v="−0,159"/>
    <x v="1"/>
  </r>
  <r>
    <x v="371"/>
    <n v="-0.20300000000000001"/>
    <d v="2016-10-03T00:00:00"/>
    <s v="−0,161"/>
    <x v="1"/>
  </r>
  <r>
    <x v="372"/>
    <n v="-0.20200000000000001"/>
    <d v="2016-10-04T00:00:00"/>
    <s v="−0,162"/>
    <x v="1"/>
  </r>
  <r>
    <x v="373"/>
    <n v="-0.20300000000000001"/>
    <d v="2016-10-05T00:00:00"/>
    <s v="−0,158"/>
    <x v="1"/>
  </r>
  <r>
    <x v="374"/>
    <n v="-0.20200000000000001"/>
    <d v="2016-10-06T00:00:00"/>
    <s v="−0,155"/>
    <x v="1"/>
  </r>
  <r>
    <x v="375"/>
    <n v="-0.20300000000000001"/>
    <d v="2016-10-07T00:00:00"/>
    <s v="−0,153"/>
    <x v="1"/>
  </r>
  <r>
    <x v="376"/>
    <n v="-0.20300000000000001"/>
    <d v="2016-10-10T00:00:00"/>
    <s v="−0,154"/>
    <x v="1"/>
  </r>
  <r>
    <x v="377"/>
    <n v="-0.20300000000000001"/>
    <d v="2016-10-11T00:00:00"/>
    <s v="−0,154"/>
    <x v="1"/>
  </r>
  <r>
    <x v="378"/>
    <n v="-0.20399999999999999"/>
    <d v="2016-10-12T00:00:00"/>
    <s v="−0,152"/>
    <x v="1"/>
  </r>
  <r>
    <x v="379"/>
    <n v="-0.20399999999999999"/>
    <d v="2016-10-13T00:00:00"/>
    <s v="−0,148"/>
    <x v="1"/>
  </r>
  <r>
    <x v="380"/>
    <n v="-0.20399999999999999"/>
    <d v="2016-10-14T00:00:00"/>
    <s v="−0,146"/>
    <x v="1"/>
  </r>
  <r>
    <x v="381"/>
    <n v="-0.20399999999999999"/>
    <d v="2016-10-17T00:00:00"/>
    <s v="−0,144"/>
    <x v="1"/>
  </r>
  <r>
    <x v="382"/>
    <n v="-0.20899999999999999"/>
    <d v="2016-10-18T00:00:00"/>
    <s v="−0,143"/>
    <x v="1"/>
  </r>
  <r>
    <x v="383"/>
    <n v="-0.21"/>
    <d v="2016-10-19T00:00:00"/>
    <s v="−0,142"/>
    <x v="1"/>
  </r>
  <r>
    <x v="384"/>
    <n v="-0.21099999999999999"/>
    <d v="2016-10-20T00:00:00"/>
    <s v="−0,139"/>
    <x v="1"/>
  </r>
  <r>
    <x v="385"/>
    <n v="-0.21099999999999999"/>
    <d v="2016-10-21T00:00:00"/>
    <s v="−0,136"/>
    <x v="1"/>
  </r>
  <r>
    <x v="386"/>
    <n v="-0.21199999999999999"/>
    <d v="2016-10-24T00:00:00"/>
    <s v="−0,133"/>
    <x v="1"/>
  </r>
  <r>
    <x v="387"/>
    <n v="-0.21199999999999999"/>
    <d v="2016-10-25T00:00:00"/>
    <s v="−0,128"/>
    <x v="1"/>
  </r>
  <r>
    <x v="388"/>
    <n v="-0.21199999999999999"/>
    <m/>
    <s v="−0,128"/>
    <x v="1"/>
  </r>
  <r>
    <x v="389"/>
    <n v="-0.21299999999999999"/>
    <d v="2016-10-27T00:00:00"/>
    <s v="−0,119"/>
    <x v="1"/>
  </r>
  <r>
    <x v="390"/>
    <n v="-0.21199999999999999"/>
    <d v="2016-10-28T00:00:00"/>
    <s v="−0,109"/>
    <x v="1"/>
  </r>
  <r>
    <x v="391"/>
    <n v="-0.21199999999999999"/>
    <d v="2016-10-31T00:00:00"/>
    <s v="−0,100"/>
    <x v="1"/>
  </r>
  <r>
    <x v="392"/>
    <n v="-0.21099999999999999"/>
    <m/>
    <n v="-0.1"/>
    <x v="4"/>
  </r>
  <r>
    <x v="393"/>
    <n v="-0.21299999999999999"/>
    <d v="2016-11-02T00:00:00"/>
    <s v="−0,075"/>
    <x v="1"/>
  </r>
  <r>
    <x v="394"/>
    <n v="-0.21299999999999999"/>
    <d v="2016-11-03T00:00:00"/>
    <s v="−0,066"/>
    <x v="1"/>
  </r>
  <r>
    <x v="395"/>
    <n v="-0.21299999999999999"/>
    <d v="2016-11-04T00:00:00"/>
    <s v="−0,061"/>
    <x v="1"/>
  </r>
  <r>
    <x v="396"/>
    <n v="-0.21099999999999999"/>
    <d v="2016-11-07T00:00:00"/>
    <s v="−0,057"/>
    <x v="1"/>
  </r>
  <r>
    <x v="397"/>
    <n v="-0.21099999999999999"/>
    <d v="2016-11-08T00:00:00"/>
    <s v="−0,054"/>
    <x v="1"/>
  </r>
  <r>
    <x v="398"/>
    <n v="-0.21099999999999999"/>
    <d v="2016-11-09T00:00:00"/>
    <s v="−0,050"/>
    <x v="1"/>
  </r>
  <r>
    <x v="399"/>
    <n v="-0.21099999999999999"/>
    <d v="2016-11-10T00:00:00"/>
    <s v="−0,043"/>
    <x v="1"/>
  </r>
  <r>
    <x v="400"/>
    <n v="-0.21"/>
    <d v="2016-11-11T00:00:00"/>
    <s v="−0,033"/>
    <x v="1"/>
  </r>
  <r>
    <x v="401"/>
    <n v="-0.21099999999999999"/>
    <d v="2016-11-14T00:00:00"/>
    <s v="−0,020"/>
    <x v="1"/>
  </r>
  <r>
    <x v="402"/>
    <n v="-0.21099999999999999"/>
    <d v="2016-11-15T00:00:00"/>
    <s v="−0,010"/>
    <x v="1"/>
  </r>
  <r>
    <x v="403"/>
    <n v="-0.214"/>
    <d v="2016-11-16T00:00:00"/>
    <n v="0"/>
    <x v="1"/>
  </r>
  <r>
    <x v="404"/>
    <n v="-0.215"/>
    <d v="2016-11-17T00:00:00"/>
    <n v="8.9999999999999993E-3"/>
    <x v="1"/>
  </r>
  <r>
    <x v="405"/>
    <n v="-0.217"/>
    <d v="2016-11-18T00:00:00"/>
    <n v="0.02"/>
    <x v="1"/>
  </r>
  <r>
    <x v="406"/>
    <n v="-0.219"/>
    <d v="2016-11-21T00:00:00"/>
    <n v="0.03"/>
    <x v="1"/>
  </r>
  <r>
    <x v="407"/>
    <n v="-0.22"/>
    <d v="2016-11-22T00:00:00"/>
    <n v="3.7999999999999999E-2"/>
    <x v="1"/>
  </r>
  <r>
    <x v="408"/>
    <n v="-0.22"/>
    <d v="2016-11-23T00:00:00"/>
    <n v="4.8000000000000001E-2"/>
    <x v="1"/>
  </r>
  <r>
    <x v="409"/>
    <n v="-0.219"/>
    <d v="2016-11-24T00:00:00"/>
    <n v="5.6000000000000001E-2"/>
    <x v="1"/>
  </r>
  <r>
    <x v="410"/>
    <n v="-0.219"/>
    <d v="2016-11-25T00:00:00"/>
    <n v="6.0999999999999999E-2"/>
    <x v="1"/>
  </r>
  <r>
    <x v="411"/>
    <n v="-0.219"/>
    <d v="2016-11-28T00:00:00"/>
    <n v="6.3E-2"/>
    <x v="1"/>
  </r>
  <r>
    <x v="412"/>
    <n v="-0.219"/>
    <d v="2016-11-29T00:00:00"/>
    <n v="6.6000000000000003E-2"/>
    <x v="1"/>
  </r>
  <r>
    <x v="413"/>
    <n v="-0.219"/>
    <d v="2016-11-30T00:00:00"/>
    <n v="7.0000000000000007E-2"/>
    <x v="1"/>
  </r>
  <r>
    <x v="414"/>
    <n v="-0.219"/>
    <d v="2016-12-01T00:00:00"/>
    <n v="7.4999999999999997E-2"/>
    <x v="1"/>
  </r>
  <r>
    <x v="415"/>
    <n v="-0.218"/>
    <d v="2016-12-02T00:00:00"/>
    <n v="0.08"/>
    <x v="1"/>
  </r>
  <r>
    <x v="416"/>
    <n v="-0.218"/>
    <d v="2016-12-05T00:00:00"/>
    <n v="8.5999999999999993E-2"/>
    <x v="1"/>
  </r>
  <r>
    <x v="417"/>
    <n v="-0.219"/>
    <d v="2016-12-06T00:00:00"/>
    <n v="9.1999999999999998E-2"/>
    <x v="1"/>
  </r>
  <r>
    <x v="418"/>
    <n v="-0.217"/>
    <d v="2016-12-07T00:00:00"/>
    <n v="9.8000000000000004E-2"/>
    <x v="1"/>
  </r>
  <r>
    <x v="419"/>
    <n v="-0.217"/>
    <m/>
    <n v="9.8000000000000004E-2"/>
    <x v="1"/>
  </r>
  <r>
    <x v="420"/>
    <n v="-0.217"/>
    <d v="2016-12-09T00:00:00"/>
    <n v="0.1"/>
    <x v="1"/>
  </r>
  <r>
    <x v="421"/>
    <n v="-0.217"/>
    <d v="2016-12-12T00:00:00"/>
    <n v="0.10199999999999999"/>
    <x v="1"/>
  </r>
  <r>
    <x v="422"/>
    <n v="-0.218"/>
    <d v="2016-12-13T00:00:00"/>
    <n v="9.9000000000000005E-2"/>
    <x v="1"/>
  </r>
  <r>
    <x v="423"/>
    <n v="-0.217"/>
    <d v="2016-12-14T00:00:00"/>
    <n v="9.8000000000000004E-2"/>
    <x v="1"/>
  </r>
  <r>
    <x v="424"/>
    <n v="-0.217"/>
    <d v="2016-12-15T00:00:00"/>
    <n v="9.9000000000000005E-2"/>
    <x v="1"/>
  </r>
  <r>
    <x v="425"/>
    <n v="-0.216"/>
    <d v="2016-12-16T00:00:00"/>
    <n v="9.8000000000000004E-2"/>
    <x v="1"/>
  </r>
  <r>
    <x v="426"/>
    <n v="-0.216"/>
    <d v="2016-12-19T00:00:00"/>
    <n v="9.5000000000000001E-2"/>
    <x v="1"/>
  </r>
  <r>
    <x v="427"/>
    <n v="-0.218"/>
    <d v="2016-12-20T00:00:00"/>
    <n v="9.2999999999999999E-2"/>
    <x v="1"/>
  </r>
  <r>
    <x v="428"/>
    <n v="-0.216"/>
    <d v="2016-12-21T00:00:00"/>
    <n v="9.1999999999999998E-2"/>
    <x v="1"/>
  </r>
  <r>
    <x v="429"/>
    <n v="-0.216"/>
    <d v="2016-12-22T00:00:00"/>
    <n v="9.0999999999999998E-2"/>
    <x v="1"/>
  </r>
  <r>
    <x v="430"/>
    <n v="-0.217"/>
    <d v="2016-12-23T00:00:00"/>
    <n v="8.7999999999999995E-2"/>
    <x v="1"/>
  </r>
  <r>
    <x v="431"/>
    <n v="-0.217"/>
    <m/>
    <n v="8.7999999999999995E-2"/>
    <x v="1"/>
  </r>
  <r>
    <x v="432"/>
    <n v="-0.22"/>
    <d v="2016-12-27T00:00:00"/>
    <n v="8.5000000000000006E-2"/>
    <x v="1"/>
  </r>
  <r>
    <x v="433"/>
    <n v="-0.221"/>
    <d v="2016-12-28T00:00:00"/>
    <n v="8.1000000000000003E-2"/>
    <x v="1"/>
  </r>
  <r>
    <x v="434"/>
    <n v="-0.221"/>
    <d v="2016-12-29T00:00:00"/>
    <n v="7.8E-2"/>
    <x v="1"/>
  </r>
  <r>
    <x v="435"/>
    <n v="-0.221"/>
    <d v="2016-12-30T00:00:00"/>
    <n v="7.5999999999999998E-2"/>
    <x v="1"/>
  </r>
  <r>
    <x v="436"/>
    <n v="-0.22"/>
    <d v="2017-01-02T00:00:00"/>
    <n v="7.0000000000000007E-2"/>
    <x v="1"/>
  </r>
  <r>
    <x v="437"/>
    <n v="-0.221"/>
    <d v="2017-01-03T00:00:00"/>
    <n v="6.7000000000000004E-2"/>
    <x v="1"/>
  </r>
  <r>
    <x v="438"/>
    <n v="-0.224"/>
    <d v="2017-01-04T00:00:00"/>
    <n v="6.4000000000000001E-2"/>
    <x v="1"/>
  </r>
  <r>
    <x v="439"/>
    <n v="-0.22600000000000001"/>
    <d v="2017-01-05T00:00:00"/>
    <n v="6.2E-2"/>
    <x v="1"/>
  </r>
  <r>
    <x v="440"/>
    <n v="-0.22900000000000001"/>
    <m/>
    <n v="6.2E-2"/>
    <x v="1"/>
  </r>
  <r>
    <x v="441"/>
    <n v="-0.23"/>
    <d v="2017-01-09T00:00:00"/>
    <n v="0.06"/>
    <x v="1"/>
  </r>
  <r>
    <x v="442"/>
    <n v="-0.23200000000000001"/>
    <d v="2017-01-10T00:00:00"/>
    <n v="5.8999999999999997E-2"/>
    <x v="1"/>
  </r>
  <r>
    <x v="443"/>
    <n v="-0.23300000000000001"/>
    <d v="2017-01-11T00:00:00"/>
    <n v="5.5E-2"/>
    <x v="1"/>
  </r>
  <r>
    <x v="444"/>
    <n v="-0.23400000000000001"/>
    <d v="2017-01-12T00:00:00"/>
    <n v="5.7000000000000002E-2"/>
    <x v="1"/>
  </r>
  <r>
    <x v="445"/>
    <n v="-0.23599999999999999"/>
    <d v="2017-01-13T00:00:00"/>
    <n v="5.6000000000000001E-2"/>
    <x v="1"/>
  </r>
  <r>
    <x v="446"/>
    <n v="-0.23799999999999999"/>
    <d v="2017-01-16T00:00:00"/>
    <n v="0.10100000000000001"/>
    <x v="1"/>
  </r>
  <r>
    <x v="447"/>
    <n v="-0.23899999999999999"/>
    <d v="2017-01-17T00:00:00"/>
    <n v="0.1"/>
    <x v="1"/>
  </r>
  <r>
    <x v="448"/>
    <n v="-0.24"/>
    <d v="2017-01-18T00:00:00"/>
    <n v="0.1"/>
    <x v="1"/>
  </r>
  <r>
    <x v="449"/>
    <n v="-0.24"/>
    <d v="2017-01-19T00:00:00"/>
    <n v="0.10299999999999999"/>
    <x v="1"/>
  </r>
  <r>
    <x v="450"/>
    <n v="-0.24099999999999999"/>
    <d v="2017-01-20T00:00:00"/>
    <n v="0.108"/>
    <x v="1"/>
  </r>
  <r>
    <x v="451"/>
    <n v="-0.24099999999999999"/>
    <d v="2017-01-23T00:00:00"/>
    <n v="0.113"/>
    <x v="1"/>
  </r>
  <r>
    <x v="452"/>
    <n v="-0.24199999999999999"/>
    <d v="2017-01-24T00:00:00"/>
    <n v="0.11799999999999999"/>
    <x v="1"/>
  </r>
  <r>
    <x v="453"/>
    <n v="-0.24199999999999999"/>
    <d v="2017-01-25T00:00:00"/>
    <n v="0.127"/>
    <x v="1"/>
  </r>
  <r>
    <x v="454"/>
    <n v="-0.24399999999999999"/>
    <d v="2017-01-26T00:00:00"/>
    <n v="0.13800000000000001"/>
    <x v="1"/>
  </r>
  <r>
    <x v="455"/>
    <n v="-0.24299999999999999"/>
    <d v="2017-01-27T00:00:00"/>
    <n v="0.14899999999999999"/>
    <x v="1"/>
  </r>
  <r>
    <x v="456"/>
    <n v="-0.24399999999999999"/>
    <d v="2017-01-30T00:00:00"/>
    <n v="0.161"/>
    <x v="1"/>
  </r>
  <r>
    <x v="457"/>
    <n v="-0.24299999999999999"/>
    <d v="2017-01-31T00:00:00"/>
    <n v="0.17199999999999999"/>
    <x v="1"/>
  </r>
  <r>
    <x v="458"/>
    <n v="-0.24399999999999999"/>
    <d v="2017-02-01T00:00:00"/>
    <n v="0.18099999999999999"/>
    <x v="1"/>
  </r>
  <r>
    <x v="459"/>
    <n v="-0.24399999999999999"/>
    <d v="2017-02-02T00:00:00"/>
    <n v="0.188"/>
    <x v="1"/>
  </r>
  <r>
    <x v="460"/>
    <n v="-0.24399999999999999"/>
    <d v="2017-02-03T00:00:00"/>
    <n v="0.192"/>
    <x v="1"/>
  </r>
  <r>
    <x v="461"/>
    <n v="-0.24399999999999999"/>
    <d v="2017-02-06T00:00:00"/>
    <n v="0.19500000000000001"/>
    <x v="1"/>
  </r>
  <r>
    <x v="462"/>
    <n v="-0.24399999999999999"/>
    <d v="2017-02-07T00:00:00"/>
    <n v="0.19700000000000001"/>
    <x v="1"/>
  </r>
  <r>
    <x v="463"/>
    <n v="-0.24199999999999999"/>
    <d v="2017-02-08T00:00:00"/>
    <n v="0.19800000000000001"/>
    <x v="1"/>
  </r>
  <r>
    <x v="464"/>
    <n v="-0.24099999999999999"/>
    <d v="2017-02-09T00:00:00"/>
    <n v="0.2"/>
    <x v="1"/>
  </r>
  <r>
    <x v="465"/>
    <n v="-0.24"/>
    <d v="2017-02-10T00:00:00"/>
    <n v="0.20200000000000001"/>
    <x v="1"/>
  </r>
  <r>
    <x v="466"/>
    <n v="-0.24"/>
    <d v="2017-02-13T00:00:00"/>
    <n v="0.20399999999999999"/>
    <x v="1"/>
  </r>
  <r>
    <x v="467"/>
    <n v="-0.24099999999999999"/>
    <d v="2017-02-14T00:00:00"/>
    <n v="0.20799999999999999"/>
    <x v="1"/>
  </r>
  <r>
    <x v="468"/>
    <n v="-0.24099999999999999"/>
    <d v="2017-02-15T00:00:00"/>
    <n v="0.21099999999999999"/>
    <x v="1"/>
  </r>
  <r>
    <x v="469"/>
    <n v="-0.23899999999999999"/>
    <d v="2017-02-16T00:00:00"/>
    <n v="0.21199999999999999"/>
    <x v="1"/>
  </r>
  <r>
    <x v="470"/>
    <n v="-0.23899999999999999"/>
    <d v="2017-02-17T00:00:00"/>
    <n v="0.21"/>
    <x v="1"/>
  </r>
  <r>
    <x v="471"/>
    <n v="-0.23799999999999999"/>
    <d v="2017-02-20T00:00:00"/>
    <n v="0.20899999999999999"/>
    <x v="1"/>
  </r>
  <r>
    <x v="472"/>
    <n v="-0.23799999999999999"/>
    <d v="2017-02-21T00:00:00"/>
    <n v="0.20899999999999999"/>
    <x v="1"/>
  </r>
  <r>
    <x v="473"/>
    <n v="-0.23899999999999999"/>
    <d v="2017-02-22T00:00:00"/>
    <n v="0.20399999999999999"/>
    <x v="1"/>
  </r>
  <r>
    <x v="474"/>
    <n v="-0.23799999999999999"/>
    <d v="2017-02-23T00:00:00"/>
    <n v="0.19600000000000001"/>
    <x v="1"/>
  </r>
  <r>
    <x v="475"/>
    <n v="-0.23799999999999999"/>
    <d v="2017-02-24T00:00:00"/>
    <n v="0.186"/>
    <x v="1"/>
  </r>
  <r>
    <x v="476"/>
    <n v="-0.23799999999999999"/>
    <d v="2017-02-27T00:00:00"/>
    <n v="0.17399999999999999"/>
    <x v="1"/>
  </r>
  <r>
    <x v="477"/>
    <n v="-0.23899999999999999"/>
    <d v="2017-02-28T00:00:00"/>
    <n v="0.16400000000000001"/>
    <x v="1"/>
  </r>
  <r>
    <x v="478"/>
    <n v="-0.23699999999999999"/>
    <d v="2017-03-01T00:00:00"/>
    <n v="0.155"/>
    <x v="1"/>
  </r>
  <r>
    <x v="479"/>
    <n v="-0.23799999999999999"/>
    <d v="2017-03-02T00:00:00"/>
    <n v="0.15"/>
    <x v="1"/>
  </r>
  <r>
    <x v="480"/>
    <n v="-0.23699999999999999"/>
    <d v="2017-03-03T00:00:00"/>
    <n v="0.14499999999999999"/>
    <x v="1"/>
  </r>
  <r>
    <x v="481"/>
    <n v="-0.24099999999999999"/>
    <d v="2017-03-06T00:00:00"/>
    <n v="0.14199999999999999"/>
    <x v="1"/>
  </r>
  <r>
    <x v="482"/>
    <n v="-0.24"/>
    <d v="2017-03-07T00:00:00"/>
    <n v="0.13900000000000001"/>
    <x v="1"/>
  </r>
  <r>
    <x v="483"/>
    <n v="-0.24099999999999999"/>
    <d v="2017-03-08T00:00:00"/>
    <n v="0.13800000000000001"/>
    <x v="1"/>
  </r>
  <r>
    <x v="484"/>
    <n v="-0.24099999999999999"/>
    <d v="2017-03-09T00:00:00"/>
    <n v="0.14499999999999999"/>
    <x v="1"/>
  </r>
  <r>
    <x v="485"/>
    <n v="-0.24099999999999999"/>
    <d v="2017-03-10T00:00:00"/>
    <n v="0.14699999999999999"/>
    <x v="1"/>
  </r>
  <r>
    <x v="486"/>
    <n v="-0.24099999999999999"/>
    <d v="2017-03-13T00:00:00"/>
    <n v="0.14799999999999999"/>
    <x v="1"/>
  </r>
  <r>
    <x v="487"/>
    <n v="-0.24099999999999999"/>
    <d v="2017-03-14T00:00:00"/>
    <n v="0.15"/>
    <x v="1"/>
  </r>
  <r>
    <x v="488"/>
    <n v="-0.24099999999999999"/>
    <d v="2017-03-15T00:00:00"/>
    <n v="0.14899999999999999"/>
    <x v="1"/>
  </r>
  <r>
    <x v="489"/>
    <n v="-0.24099999999999999"/>
    <d v="2017-03-16T00:00:00"/>
    <n v="0.15"/>
    <x v="1"/>
  </r>
  <r>
    <x v="490"/>
    <n v="-0.24099999999999999"/>
    <d v="2017-03-17T00:00:00"/>
    <n v="0.152"/>
    <x v="1"/>
  </r>
  <r>
    <x v="491"/>
    <n v="-0.24099999999999999"/>
    <d v="2017-03-20T00:00:00"/>
    <n v="0.155"/>
    <x v="1"/>
  </r>
  <r>
    <x v="492"/>
    <n v="-0.24099999999999999"/>
    <d v="2017-03-21T00:00:00"/>
    <n v="0.158"/>
    <x v="1"/>
  </r>
  <r>
    <x v="493"/>
    <n v="-0.24199999999999999"/>
    <d v="2017-03-22T00:00:00"/>
    <n v="0.161"/>
    <x v="1"/>
  </r>
  <r>
    <x v="494"/>
    <n v="-0.24199999999999999"/>
    <d v="2017-03-23T00:00:00"/>
    <n v="0.16500000000000001"/>
    <x v="1"/>
  </r>
  <r>
    <x v="495"/>
    <n v="-0.24199999999999999"/>
    <d v="2017-03-24T00:00:00"/>
    <n v="0.17299999999999999"/>
    <x v="1"/>
  </r>
  <r>
    <x v="496"/>
    <n v="-0.24199999999999999"/>
    <d v="2017-03-27T00:00:00"/>
    <n v="0.18"/>
    <x v="1"/>
  </r>
  <r>
    <x v="497"/>
    <n v="-0.24199999999999999"/>
    <d v="2017-03-28T00:00:00"/>
    <n v="0.186"/>
    <x v="1"/>
  </r>
  <r>
    <x v="498"/>
    <n v="-0.24199999999999999"/>
    <d v="2017-03-29T00:00:00"/>
    <n v="0.19"/>
    <x v="1"/>
  </r>
  <r>
    <x v="499"/>
    <n v="-0.24099999999999999"/>
    <d v="2017-03-30T00:00:00"/>
    <n v="0.19"/>
    <x v="1"/>
  </r>
  <r>
    <x v="500"/>
    <n v="-0.24099999999999999"/>
    <d v="2017-03-31T00:00:00"/>
    <n v="0.19"/>
    <x v="1"/>
  </r>
  <r>
    <x v="501"/>
    <n v="-0.24299999999999999"/>
    <d v="2017-04-03T00:00:00"/>
    <n v="0.189"/>
    <x v="1"/>
  </r>
  <r>
    <x v="502"/>
    <n v="-0.24199999999999999"/>
    <d v="2017-04-04T00:00:00"/>
    <n v="0.186"/>
    <x v="1"/>
  </r>
  <r>
    <x v="503"/>
    <n v="-0.24099999999999999"/>
    <d v="2017-04-05T00:00:00"/>
    <n v="0.182"/>
    <x v="1"/>
  </r>
  <r>
    <x v="504"/>
    <n v="-0.24199999999999999"/>
    <d v="2017-04-06T00:00:00"/>
    <n v="0.17799999999999999"/>
    <x v="1"/>
  </r>
  <r>
    <x v="505"/>
    <n v="-0.24099999999999999"/>
    <d v="2017-04-07T00:00:00"/>
    <n v="0.17"/>
    <x v="1"/>
  </r>
  <r>
    <x v="506"/>
    <n v="-0.24099999999999999"/>
    <d v="2017-04-10T00:00:00"/>
    <n v="0.16200000000000001"/>
    <x v="1"/>
  </r>
  <r>
    <x v="507"/>
    <n v="-0.24199999999999999"/>
    <d v="2017-04-11T00:00:00"/>
    <n v="0.154"/>
    <x v="1"/>
  </r>
  <r>
    <x v="508"/>
    <n v="-0.24199999999999999"/>
    <d v="2017-04-12T00:00:00"/>
    <n v="0.14699999999999999"/>
    <x v="1"/>
  </r>
  <r>
    <x v="509"/>
    <n v="-0.246"/>
    <d v="2017-04-13T00:00:00"/>
    <n v="0.13800000000000001"/>
    <x v="1"/>
  </r>
  <r>
    <x v="510"/>
    <n v="-0.246"/>
    <m/>
    <n v="0.13800000000000001"/>
    <x v="1"/>
  </r>
  <r>
    <x v="511"/>
    <n v="-0.246"/>
    <m/>
    <n v="0.13800000000000001"/>
    <x v="1"/>
  </r>
  <r>
    <x v="512"/>
    <n v="-0.25"/>
    <d v="2017-04-18T00:00:00"/>
    <n v="0.123"/>
    <x v="1"/>
  </r>
  <r>
    <x v="513"/>
    <n v="-0.251"/>
    <d v="2017-04-19T00:00:00"/>
    <n v="0.113"/>
    <x v="1"/>
  </r>
  <r>
    <x v="514"/>
    <n v="-0.249"/>
    <d v="2017-04-20T00:00:00"/>
    <n v="0.11799999999999999"/>
    <x v="1"/>
  </r>
  <r>
    <x v="515"/>
    <n v="-0.249"/>
    <d v="2017-04-21T00:00:00"/>
    <n v="0.113"/>
    <x v="1"/>
  </r>
  <r>
    <x v="516"/>
    <n v="-0.247"/>
    <d v="2017-04-24T00:00:00"/>
    <n v="0.111"/>
    <x v="1"/>
  </r>
  <r>
    <x v="517"/>
    <n v="-0.248"/>
    <d v="2017-04-25T00:00:00"/>
    <n v="0.112"/>
    <x v="1"/>
  </r>
  <r>
    <x v="518"/>
    <n v="-0.248"/>
    <d v="2017-04-26T00:00:00"/>
    <n v="0.112"/>
    <x v="1"/>
  </r>
  <r>
    <x v="519"/>
    <n v="-0.248"/>
    <d v="2017-04-27T00:00:00"/>
    <n v="0.112"/>
    <x v="1"/>
  </r>
  <r>
    <x v="520"/>
    <n v="-0.249"/>
    <d v="2017-04-28T00:00:00"/>
    <n v="0.112"/>
    <x v="1"/>
  </r>
  <r>
    <x v="521"/>
    <n v="-0.249"/>
    <m/>
    <n v="0.112"/>
    <x v="5"/>
  </r>
  <r>
    <x v="522"/>
    <n v="-0.249"/>
    <d v="2017-05-02T00:00:00"/>
    <n v="0.112"/>
    <x v="1"/>
  </r>
  <r>
    <x v="523"/>
    <n v="-0.251"/>
    <d v="2017-05-03T00:00:00"/>
    <n v="0.114"/>
    <x v="1"/>
  </r>
  <r>
    <x v="524"/>
    <n v="-0.25"/>
    <d v="2017-05-04T00:00:00"/>
    <n v="0.12"/>
    <x v="1"/>
  </r>
  <r>
    <x v="525"/>
    <n v="-0.248"/>
    <d v="2017-05-05T00:00:00"/>
    <n v="0.126"/>
    <x v="1"/>
  </r>
  <r>
    <x v="526"/>
    <n v="-0.249"/>
    <d v="2017-05-08T00:00:00"/>
    <n v="0.13300000000000001"/>
    <x v="1"/>
  </r>
  <r>
    <x v="527"/>
    <n v="-0.249"/>
    <d v="2017-05-09T00:00:00"/>
    <n v="0.14099999999999999"/>
    <x v="1"/>
  </r>
  <r>
    <x v="528"/>
    <n v="-0.249"/>
    <d v="2017-05-10T00:00:00"/>
    <n v="0.14899999999999999"/>
    <x v="1"/>
  </r>
  <r>
    <x v="529"/>
    <n v="-0.25"/>
    <d v="2017-05-11T00:00:00"/>
    <n v="0.16300000000000001"/>
    <x v="1"/>
  </r>
  <r>
    <x v="530"/>
    <n v="-0.251"/>
    <d v="2017-05-12T00:00:00"/>
    <n v="0.17100000000000001"/>
    <x v="1"/>
  </r>
  <r>
    <x v="531"/>
    <n v="-0.251"/>
    <d v="2017-05-15T00:00:00"/>
    <n v="0.17899999999999999"/>
    <x v="1"/>
  </r>
  <r>
    <x v="532"/>
    <n v="-0.25"/>
    <d v="2017-05-16T00:00:00"/>
    <n v="0.182"/>
    <x v="1"/>
  </r>
  <r>
    <x v="533"/>
    <n v="-0.251"/>
    <d v="2017-05-17T00:00:00"/>
    <n v="0.19"/>
    <x v="1"/>
  </r>
  <r>
    <x v="534"/>
    <n v="-0.251"/>
    <d v="2017-05-18T00:00:00"/>
    <n v="0.19600000000000001"/>
    <x v="1"/>
  </r>
  <r>
    <x v="535"/>
    <n v="-0.251"/>
    <d v="2017-05-19T00:00:00"/>
    <n v="0.2"/>
    <x v="1"/>
  </r>
  <r>
    <x v="536"/>
    <n v="-0.251"/>
    <d v="2017-05-22T00:00:00"/>
    <n v="0.20499999999999999"/>
    <x v="1"/>
  </r>
  <r>
    <x v="537"/>
    <n v="-0.251"/>
    <d v="2017-05-23T00:00:00"/>
    <n v="0.20699999999999999"/>
    <x v="1"/>
  </r>
  <r>
    <x v="538"/>
    <n v="-0.25"/>
    <d v="2017-05-24T00:00:00"/>
    <n v="0.20699999999999999"/>
    <x v="1"/>
  </r>
  <r>
    <x v="539"/>
    <n v="-0.251"/>
    <m/>
    <n v="0.20699999999999999"/>
    <x v="1"/>
  </r>
  <r>
    <x v="540"/>
    <n v="-0.254"/>
    <d v="2017-05-26T00:00:00"/>
    <n v="0.20599999999999999"/>
    <x v="1"/>
  </r>
  <r>
    <x v="541"/>
    <n v="-0.254"/>
    <d v="2017-05-29T00:00:00"/>
    <n v="0.20499999999999999"/>
    <x v="1"/>
  </r>
  <r>
    <x v="542"/>
    <n v="-0.254"/>
    <d v="2017-05-30T00:00:00"/>
    <n v="0.20300000000000001"/>
    <x v="1"/>
  </r>
  <r>
    <x v="543"/>
    <n v="-0.254"/>
    <d v="2017-05-31T00:00:00"/>
    <n v="0.20200000000000001"/>
    <x v="1"/>
  </r>
  <r>
    <x v="544"/>
    <n v="-0.254"/>
    <d v="2017-06-01T00:00:00"/>
    <n v="0.20200000000000001"/>
    <x v="1"/>
  </r>
  <r>
    <x v="545"/>
    <n v="-0.255"/>
    <d v="2017-06-02T00:00:00"/>
    <n v="0.19800000000000001"/>
    <x v="1"/>
  </r>
  <r>
    <x v="546"/>
    <n v="-0.25600000000000001"/>
    <m/>
    <n v="0.19800000000000001"/>
    <x v="1"/>
  </r>
  <r>
    <x v="547"/>
    <n v="-0.25700000000000001"/>
    <d v="2017-06-06T00:00:00"/>
    <n v="0.193"/>
    <x v="1"/>
  </r>
  <r>
    <x v="548"/>
    <n v="-0.25900000000000001"/>
    <d v="2017-06-07T00:00:00"/>
    <n v="0.188"/>
    <x v="1"/>
  </r>
  <r>
    <x v="549"/>
    <n v="-0.26"/>
    <d v="2017-06-08T00:00:00"/>
    <n v="0.184"/>
    <x v="1"/>
  </r>
  <r>
    <x v="550"/>
    <n v="-0.26400000000000001"/>
    <d v="2017-06-09T00:00:00"/>
    <n v="0.17799999999999999"/>
    <x v="1"/>
  </r>
  <r>
    <x v="551"/>
    <n v="-0.26600000000000001"/>
    <d v="2017-06-12T00:00:00"/>
    <n v="0.17199999999999999"/>
    <x v="1"/>
  </r>
  <r>
    <x v="552"/>
    <n v="-0.27"/>
    <d v="2017-06-13T00:00:00"/>
    <n v="0.16700000000000001"/>
    <x v="1"/>
  </r>
  <r>
    <x v="553"/>
    <n v="-0.27100000000000002"/>
    <d v="2017-06-14T00:00:00"/>
    <n v="0.161"/>
    <x v="1"/>
  </r>
  <r>
    <x v="554"/>
    <n v="-0.27100000000000002"/>
    <m/>
    <n v="0.161"/>
    <x v="1"/>
  </r>
  <r>
    <x v="555"/>
    <n v="-0.27100000000000002"/>
    <d v="2017-06-16T00:00:00"/>
    <n v="0.157"/>
    <x v="1"/>
  </r>
  <r>
    <x v="556"/>
    <n v="-0.27100000000000002"/>
    <d v="2017-06-19T00:00:00"/>
    <n v="0.152"/>
    <x v="1"/>
  </r>
  <r>
    <x v="557"/>
    <n v="-0.27100000000000002"/>
    <d v="2017-06-20T00:00:00"/>
    <n v="0.15"/>
    <x v="1"/>
  </r>
  <r>
    <x v="558"/>
    <n v="-0.27100000000000002"/>
    <d v="2017-06-21T00:00:00"/>
    <n v="0.14499999999999999"/>
    <x v="1"/>
  </r>
  <r>
    <x v="559"/>
    <n v="-0.27200000000000002"/>
    <d v="2017-06-22T00:00:00"/>
    <n v="0.14099999999999999"/>
    <x v="1"/>
  </r>
  <r>
    <x v="560"/>
    <n v="-0.27300000000000002"/>
    <d v="2017-06-23T00:00:00"/>
    <n v="0.13600000000000001"/>
    <x v="1"/>
  </r>
  <r>
    <x v="561"/>
    <n v="-0.27300000000000002"/>
    <d v="2017-06-26T00:00:00"/>
    <n v="0.13100000000000001"/>
    <x v="1"/>
  </r>
  <r>
    <x v="562"/>
    <n v="-0.27300000000000002"/>
    <d v="2017-06-27T00:00:00"/>
    <n v="0.13200000000000001"/>
    <x v="1"/>
  </r>
  <r>
    <x v="563"/>
    <n v="-0.27100000000000002"/>
    <d v="2017-06-28T00:00:00"/>
    <n v="0.13500000000000001"/>
    <x v="1"/>
  </r>
  <r>
    <x v="564"/>
    <n v="-0.27"/>
    <d v="2017-06-29T00:00:00"/>
    <n v="0.14099999999999999"/>
    <x v="1"/>
  </r>
  <r>
    <x v="565"/>
    <n v="-0.27100000000000002"/>
    <d v="2017-06-30T00:00:00"/>
    <n v="0.14899999999999999"/>
    <x v="1"/>
  </r>
  <r>
    <x v="566"/>
    <n v="-0.27100000000000002"/>
    <d v="2017-07-03T00:00:00"/>
    <n v="0.155"/>
    <x v="1"/>
  </r>
  <r>
    <x v="567"/>
    <n v="-0.27200000000000002"/>
    <d v="2017-07-04T00:00:00"/>
    <n v="0.16200000000000001"/>
    <x v="1"/>
  </r>
  <r>
    <x v="568"/>
    <n v="-0.27400000000000002"/>
    <d v="2017-07-05T00:00:00"/>
    <n v="0.17"/>
    <x v="1"/>
  </r>
  <r>
    <x v="569"/>
    <n v="-0.27300000000000002"/>
    <d v="2017-07-06T00:00:00"/>
    <n v="0.185"/>
    <x v="1"/>
  </r>
  <r>
    <x v="570"/>
    <n v="-0.27200000000000002"/>
    <d v="2017-07-07T00:00:00"/>
    <n v="0.19600000000000001"/>
    <x v="1"/>
  </r>
  <r>
    <x v="571"/>
    <n v="-0.27300000000000002"/>
    <d v="2017-07-10T00:00:00"/>
    <n v="0.20699999999999999"/>
    <x v="1"/>
  </r>
  <r>
    <x v="572"/>
    <n v="-0.27300000000000002"/>
    <d v="2017-07-11T00:00:00"/>
    <n v="0.218"/>
    <x v="1"/>
  </r>
  <r>
    <x v="573"/>
    <n v="-0.27300000000000002"/>
    <d v="2017-07-12T00:00:00"/>
    <n v="0.22700000000000001"/>
    <x v="1"/>
  </r>
  <r>
    <x v="574"/>
    <n v="-0.27300000000000002"/>
    <d v="2017-07-13T00:00:00"/>
    <n v="0.23599999999999999"/>
    <x v="1"/>
  </r>
  <r>
    <x v="575"/>
    <n v="-0.27300000000000002"/>
    <d v="2017-07-14T00:00:00"/>
    <n v="0.24299999999999999"/>
    <x v="1"/>
  </r>
  <r>
    <x v="576"/>
    <n v="-0.27400000000000002"/>
    <d v="2017-07-17T00:00:00"/>
    <n v="0.25"/>
    <x v="1"/>
  </r>
  <r>
    <x v="577"/>
    <n v="-0.27400000000000002"/>
    <d v="2017-07-18T00:00:00"/>
    <n v="0.25700000000000001"/>
    <x v="1"/>
  </r>
  <r>
    <x v="578"/>
    <n v="-0.27400000000000002"/>
    <d v="2017-07-19T00:00:00"/>
    <n v="0.26500000000000001"/>
    <x v="1"/>
  </r>
  <r>
    <x v="579"/>
    <n v="-0.27400000000000002"/>
    <d v="2017-07-20T00:00:00"/>
    <n v="0.27100000000000002"/>
    <x v="1"/>
  </r>
  <r>
    <x v="580"/>
    <n v="-0.27200000000000002"/>
    <d v="2017-07-21T00:00:00"/>
    <n v="0.27500000000000002"/>
    <x v="1"/>
  </r>
  <r>
    <x v="581"/>
    <n v="-0.27100000000000002"/>
    <d v="2017-07-24T00:00:00"/>
    <n v="0.28000000000000003"/>
    <x v="1"/>
  </r>
  <r>
    <x v="582"/>
    <n v="-0.27200000000000002"/>
    <d v="2017-07-25T00:00:00"/>
    <n v="0.28299999999999997"/>
    <x v="1"/>
  </r>
  <r>
    <x v="583"/>
    <n v="-0.27200000000000002"/>
    <d v="2017-07-26T00:00:00"/>
    <n v="0.28399999999999997"/>
    <x v="1"/>
  </r>
  <r>
    <x v="584"/>
    <n v="-0.27200000000000002"/>
    <d v="2017-07-27T00:00:00"/>
    <n v="0.28199999999999997"/>
    <x v="1"/>
  </r>
  <r>
    <x v="585"/>
    <n v="-0.27200000000000002"/>
    <d v="2017-07-28T00:00:00"/>
    <n v="0.28100000000000003"/>
    <x v="1"/>
  </r>
  <r>
    <x v="586"/>
    <n v="-0.27100000000000002"/>
    <d v="2017-07-31T00:00:00"/>
    <n v="0.27900000000000003"/>
    <x v="1"/>
  </r>
  <r>
    <x v="587"/>
    <n v="-0.27200000000000002"/>
    <d v="2017-08-01T00:00:00"/>
    <n v="0.27700000000000002"/>
    <x v="1"/>
  </r>
  <r>
    <x v="588"/>
    <n v="-0.27300000000000002"/>
    <d v="2017-08-02T00:00:00"/>
    <n v="0.27300000000000002"/>
    <x v="1"/>
  </r>
  <r>
    <x v="589"/>
    <n v="-0.27200000000000002"/>
    <d v="2017-08-03T00:00:00"/>
    <n v="0.26700000000000002"/>
    <x v="1"/>
  </r>
  <r>
    <x v="590"/>
    <n v="-0.27100000000000002"/>
    <d v="2017-08-04T00:00:00"/>
    <n v="0.26"/>
    <x v="1"/>
  </r>
  <r>
    <x v="591"/>
    <n v="-0.27"/>
    <d v="2017-08-07T00:00:00"/>
    <n v="0.253"/>
    <x v="1"/>
  </r>
  <r>
    <x v="592"/>
    <n v="-0.26900000000000002"/>
    <d v="2017-08-08T00:00:00"/>
    <n v="0.246"/>
    <x v="1"/>
  </r>
  <r>
    <x v="593"/>
    <n v="-0.27100000000000002"/>
    <d v="2017-08-09T00:00:00"/>
    <n v="0.24"/>
    <x v="1"/>
  </r>
  <r>
    <x v="594"/>
    <n v="-0.27100000000000002"/>
    <d v="2017-08-10T00:00:00"/>
    <n v="0.23499999999999999"/>
    <x v="1"/>
  </r>
  <r>
    <x v="595"/>
    <n v="-0.27100000000000002"/>
    <d v="2017-08-11T00:00:00"/>
    <n v="0.22700000000000001"/>
    <x v="1"/>
  </r>
  <r>
    <x v="596"/>
    <n v="-0.27100000000000002"/>
    <d v="2017-08-14T00:00:00"/>
    <n v="0.221"/>
    <x v="1"/>
  </r>
  <r>
    <x v="597"/>
    <n v="-0.27100000000000002"/>
    <m/>
    <n v="0.221"/>
    <x v="1"/>
  </r>
  <r>
    <x v="598"/>
    <n v="-0.27100000000000002"/>
    <d v="2017-08-16T00:00:00"/>
    <n v="0.22"/>
    <x v="1"/>
  </r>
  <r>
    <x v="599"/>
    <n v="-0.27100000000000002"/>
    <d v="2017-08-17T00:00:00"/>
    <n v="0.216"/>
    <x v="1"/>
  </r>
  <r>
    <x v="600"/>
    <n v="-0.27100000000000002"/>
    <d v="2017-08-18T00:00:00"/>
    <n v="0.21099999999999999"/>
    <x v="1"/>
  </r>
  <r>
    <x v="601"/>
    <n v="-0.27100000000000002"/>
    <d v="2017-08-21T00:00:00"/>
    <n v="0.20799999999999999"/>
    <x v="1"/>
  </r>
  <r>
    <x v="602"/>
    <n v="-0.27300000000000002"/>
    <d v="2017-08-22T00:00:00"/>
    <n v="0.20499999999999999"/>
    <x v="1"/>
  </r>
  <r>
    <x v="603"/>
    <n v="-0.27300000000000002"/>
    <d v="2017-08-23T00:00:00"/>
    <n v="0.20100000000000001"/>
    <x v="1"/>
  </r>
  <r>
    <x v="604"/>
    <n v="-0.27200000000000002"/>
    <d v="2017-08-24T00:00:00"/>
    <n v="0.19600000000000001"/>
    <x v="1"/>
  </r>
  <r>
    <x v="605"/>
    <n v="-0.27200000000000002"/>
    <d v="2017-08-25T00:00:00"/>
    <n v="0.192"/>
    <x v="1"/>
  </r>
  <r>
    <x v="606"/>
    <n v="-0.27300000000000002"/>
    <d v="2017-08-28T00:00:00"/>
    <n v="0.187"/>
    <x v="1"/>
  </r>
  <r>
    <x v="607"/>
    <n v="-0.27300000000000002"/>
    <d v="2017-08-29T00:00:00"/>
    <n v="0.18099999999999999"/>
    <x v="1"/>
  </r>
  <r>
    <x v="608"/>
    <n v="-0.27300000000000002"/>
    <d v="2017-08-30T00:00:00"/>
    <n v="0.17599999999999999"/>
    <x v="1"/>
  </r>
  <r>
    <x v="609"/>
    <n v="-0.27300000000000002"/>
    <d v="2017-08-31T00:00:00"/>
    <n v="0.17299999999999999"/>
    <x v="1"/>
  </r>
  <r>
    <x v="610"/>
    <n v="-0.27300000000000002"/>
    <d v="2017-09-01T00:00:00"/>
    <n v="0.17"/>
    <x v="1"/>
  </r>
  <r>
    <x v="611"/>
    <n v="-0.27400000000000002"/>
    <d v="2017-09-04T00:00:00"/>
    <n v="0.16700000000000001"/>
    <x v="1"/>
  </r>
  <r>
    <x v="612"/>
    <n v="-0.27400000000000002"/>
    <d v="2017-09-05T00:00:00"/>
    <n v="0.16400000000000001"/>
    <x v="1"/>
  </r>
  <r>
    <x v="613"/>
    <n v="-0.27400000000000002"/>
    <d v="2017-09-06T00:00:00"/>
    <n v="0.159"/>
    <x v="1"/>
  </r>
  <r>
    <x v="614"/>
    <n v="-0.27300000000000002"/>
    <d v="2017-09-07T00:00:00"/>
    <n v="0.16200000000000001"/>
    <x v="1"/>
  </r>
  <r>
    <x v="615"/>
    <n v="-0.27500000000000002"/>
    <d v="2017-09-08T00:00:00"/>
    <n v="0.159"/>
    <x v="1"/>
  </r>
  <r>
    <x v="616"/>
    <n v="-0.27400000000000002"/>
    <d v="2017-09-11T00:00:00"/>
    <n v="0.157"/>
    <x v="1"/>
  </r>
  <r>
    <x v="617"/>
    <n v="-0.27200000000000002"/>
    <d v="2017-09-12T00:00:00"/>
    <n v="0.157"/>
    <x v="1"/>
  </r>
  <r>
    <x v="618"/>
    <n v="-0.27200000000000002"/>
    <d v="2017-09-13T00:00:00"/>
    <n v="0.156"/>
    <x v="1"/>
  </r>
  <r>
    <x v="619"/>
    <n v="-0.27200000000000002"/>
    <d v="2017-09-14T00:00:00"/>
    <n v="0.155"/>
    <x v="1"/>
  </r>
  <r>
    <x v="620"/>
    <n v="-0.27100000000000002"/>
    <d v="2017-09-15T00:00:00"/>
    <n v="0.156"/>
    <x v="1"/>
  </r>
  <r>
    <x v="621"/>
    <n v="-0.27100000000000002"/>
    <d v="2017-09-18T00:00:00"/>
    <n v="0.157"/>
    <x v="1"/>
  </r>
  <r>
    <x v="622"/>
    <n v="-0.27200000000000002"/>
    <d v="2017-09-19T00:00:00"/>
    <n v="0.159"/>
    <x v="1"/>
  </r>
  <r>
    <x v="623"/>
    <n v="-0.27100000000000002"/>
    <d v="2017-09-20T00:00:00"/>
    <n v="0.187"/>
    <x v="1"/>
  </r>
  <r>
    <x v="624"/>
    <n v="-0.27200000000000002"/>
    <d v="2017-09-21T00:00:00"/>
    <n v="0.19"/>
    <x v="1"/>
  </r>
  <r>
    <x v="625"/>
    <n v="-0.27100000000000002"/>
    <d v="2017-09-22T00:00:00"/>
    <n v="0.192"/>
    <x v="1"/>
  </r>
  <r>
    <x v="626"/>
    <n v="-0.27200000000000002"/>
    <d v="2017-09-25T00:00:00"/>
    <n v="0.192"/>
    <x v="1"/>
  </r>
  <r>
    <x v="627"/>
    <n v="-0.27300000000000002"/>
    <d v="2017-09-26T00:00:00"/>
    <n v="0.193"/>
    <x v="1"/>
  </r>
  <r>
    <x v="628"/>
    <n v="-0.27300000000000002"/>
    <d v="2017-09-27T00:00:00"/>
    <n v="0.19600000000000001"/>
    <x v="1"/>
  </r>
  <r>
    <x v="629"/>
    <n v="-0.27300000000000002"/>
    <d v="2017-09-28T00:00:00"/>
    <n v="0.2"/>
    <x v="1"/>
  </r>
  <r>
    <x v="630"/>
    <n v="-0.27300000000000002"/>
    <d v="2017-09-29T00:00:00"/>
    <n v="0.20200000000000001"/>
    <x v="1"/>
  </r>
  <r>
    <x v="631"/>
    <n v="-0.27200000000000002"/>
    <d v="2017-10-02T00:00:00"/>
    <n v="0.20300000000000001"/>
    <x v="1"/>
  </r>
  <r>
    <x v="632"/>
    <n v="-0.27300000000000002"/>
    <d v="2017-10-03T00:00:00"/>
    <n v="0.20599999999999999"/>
    <x v="1"/>
  </r>
  <r>
    <x v="633"/>
    <n v="-0.27300000000000002"/>
    <d v="2017-10-04T00:00:00"/>
    <n v="0.20899999999999999"/>
    <x v="1"/>
  </r>
  <r>
    <x v="634"/>
    <n v="-0.27200000000000002"/>
    <d v="2017-10-05T00:00:00"/>
    <n v="0.21199999999999999"/>
    <x v="1"/>
  </r>
  <r>
    <x v="635"/>
    <n v="-0.27300000000000002"/>
    <d v="2017-10-06T00:00:00"/>
    <n v="0.217"/>
    <x v="1"/>
  </r>
  <r>
    <x v="636"/>
    <n v="-0.27400000000000002"/>
    <d v="2017-10-09T00:00:00"/>
    <n v="0.221"/>
    <x v="1"/>
  </r>
  <r>
    <x v="637"/>
    <n v="-0.27400000000000002"/>
    <d v="2017-10-10T00:00:00"/>
    <n v="0.222"/>
    <x v="1"/>
  </r>
  <r>
    <x v="638"/>
    <n v="-0.27400000000000002"/>
    <d v="2017-10-11T00:00:00"/>
    <n v="0.223"/>
    <x v="1"/>
  </r>
  <r>
    <x v="639"/>
    <n v="-0.27400000000000002"/>
    <d v="2017-10-12T00:00:00"/>
    <n v="0.22500000000000001"/>
    <x v="1"/>
  </r>
  <r>
    <x v="640"/>
    <n v="-0.27400000000000002"/>
    <d v="2017-10-13T00:00:00"/>
    <n v="0.223"/>
    <x v="1"/>
  </r>
  <r>
    <x v="641"/>
    <n v="-0.27400000000000002"/>
    <d v="2017-10-16T00:00:00"/>
    <n v="0.22"/>
    <x v="1"/>
  </r>
  <r>
    <x v="642"/>
    <n v="-0.27400000000000002"/>
    <d v="2017-10-17T00:00:00"/>
    <n v="0.216"/>
    <x v="1"/>
  </r>
  <r>
    <x v="643"/>
    <n v="-0.27400000000000002"/>
    <d v="2017-10-18T00:00:00"/>
    <n v="0.214"/>
    <x v="1"/>
  </r>
  <r>
    <x v="644"/>
    <n v="-0.27400000000000002"/>
    <d v="2017-10-19T00:00:00"/>
    <n v="0.24099999999999999"/>
    <x v="1"/>
  </r>
  <r>
    <x v="645"/>
    <n v="-0.27400000000000002"/>
    <d v="2017-10-20T00:00:00"/>
    <n v="0.24"/>
    <x v="1"/>
  </r>
  <r>
    <x v="646"/>
    <n v="-0.27400000000000002"/>
    <d v="2017-10-23T00:00:00"/>
    <n v="0.24"/>
    <x v="1"/>
  </r>
  <r>
    <x v="647"/>
    <n v="-0.27400000000000002"/>
    <d v="2017-10-24T00:00:00"/>
    <n v="0.24099999999999999"/>
    <x v="1"/>
  </r>
  <r>
    <x v="648"/>
    <n v="-0.27400000000000002"/>
    <d v="2017-10-25T00:00:00"/>
    <n v="0.24199999999999999"/>
    <x v="1"/>
  </r>
  <r>
    <x v="649"/>
    <n v="-0.27400000000000002"/>
    <m/>
    <n v="0.24199999999999999"/>
    <x v="1"/>
  </r>
  <r>
    <x v="650"/>
    <n v="-0.27500000000000002"/>
    <d v="2017-10-27T00:00:00"/>
    <n v="0.23799999999999999"/>
    <x v="1"/>
  </r>
  <r>
    <x v="651"/>
    <n v="-0.27600000000000002"/>
    <d v="2017-10-30T00:00:00"/>
    <n v="0.23499999999999999"/>
    <x v="1"/>
  </r>
  <r>
    <x v="652"/>
    <n v="-0.27600000000000002"/>
    <d v="2017-10-31T00:00:00"/>
    <n v="0.23200000000000001"/>
    <x v="1"/>
  </r>
  <r>
    <x v="653"/>
    <n v="-0.27600000000000002"/>
    <m/>
    <n v="0.23200000000000001"/>
    <x v="6"/>
  </r>
  <r>
    <x v="654"/>
    <n v="-0.27600000000000002"/>
    <d v="2017-11-02T00:00:00"/>
    <n v="0.22800000000000001"/>
    <x v="1"/>
  </r>
  <r>
    <x v="655"/>
    <n v="-0.27600000000000002"/>
    <d v="2017-11-03T00:00:00"/>
    <n v="0.22600000000000001"/>
    <x v="1"/>
  </r>
  <r>
    <x v="656"/>
    <n v="-0.27600000000000002"/>
    <d v="2017-11-06T00:00:00"/>
    <n v="0.22"/>
    <x v="1"/>
  </r>
  <r>
    <x v="657"/>
    <n v="-0.27500000000000002"/>
    <d v="2017-11-07T00:00:00"/>
    <n v="0.214"/>
    <x v="1"/>
  </r>
  <r>
    <x v="658"/>
    <n v="-0.27600000000000002"/>
    <d v="2017-11-08T00:00:00"/>
    <n v="0.20699999999999999"/>
    <x v="1"/>
  </r>
  <r>
    <x v="659"/>
    <n v="-0.27600000000000002"/>
    <d v="2017-11-09T00:00:00"/>
    <n v="0.20300000000000001"/>
    <x v="1"/>
  </r>
  <r>
    <x v="660"/>
    <n v="-0.27500000000000002"/>
    <d v="2017-11-10T00:00:00"/>
    <n v="0.19900000000000001"/>
    <x v="1"/>
  </r>
  <r>
    <x v="661"/>
    <n v="-0.27500000000000002"/>
    <d v="2017-11-13T00:00:00"/>
    <n v="0.19600000000000001"/>
    <x v="1"/>
  </r>
  <r>
    <x v="662"/>
    <n v="-0.27500000000000002"/>
    <d v="2017-11-14T00:00:00"/>
    <n v="0.19400000000000001"/>
    <x v="1"/>
  </r>
  <r>
    <x v="663"/>
    <n v="-0.27500000000000002"/>
    <d v="2017-11-15T00:00:00"/>
    <n v="0.192"/>
    <x v="1"/>
  </r>
  <r>
    <x v="664"/>
    <n v="-0.27500000000000002"/>
    <d v="2017-11-16T00:00:00"/>
    <n v="0.192"/>
    <x v="1"/>
  </r>
  <r>
    <x v="665"/>
    <n v="-0.27400000000000002"/>
    <d v="2017-11-17T00:00:00"/>
    <n v="0.19"/>
    <x v="1"/>
  </r>
  <r>
    <x v="666"/>
    <n v="-0.27400000000000002"/>
    <d v="2017-11-20T00:00:00"/>
    <n v="0.187"/>
    <x v="1"/>
  </r>
  <r>
    <x v="667"/>
    <n v="-0.27300000000000002"/>
    <d v="2017-11-21T00:00:00"/>
    <n v="0.182"/>
    <x v="1"/>
  </r>
  <r>
    <x v="668"/>
    <n v="-0.27200000000000002"/>
    <d v="2017-11-22T00:00:00"/>
    <n v="0.17899999999999999"/>
    <x v="1"/>
  </r>
  <r>
    <x v="669"/>
    <n v="-0.27100000000000002"/>
    <d v="2017-11-23T00:00:00"/>
    <n v="0.17399999999999999"/>
    <x v="1"/>
  </r>
  <r>
    <x v="670"/>
    <n v="-0.27200000000000002"/>
    <d v="2017-11-24T00:00:00"/>
    <n v="0.16700000000000001"/>
    <x v="1"/>
  </r>
  <r>
    <x v="671"/>
    <n v="-0.27200000000000002"/>
    <d v="2017-11-27T00:00:00"/>
    <n v="0.16400000000000001"/>
    <x v="1"/>
  </r>
  <r>
    <x v="672"/>
    <n v="-0.27400000000000002"/>
    <d v="2017-11-28T00:00:00"/>
    <n v="0.16200000000000001"/>
    <x v="1"/>
  </r>
  <r>
    <x v="673"/>
    <n v="-0.27400000000000002"/>
    <d v="2017-11-29T00:00:00"/>
    <n v="0.16200000000000001"/>
    <x v="1"/>
  </r>
  <r>
    <x v="674"/>
    <n v="-0.27200000000000002"/>
    <d v="2017-11-30T00:00:00"/>
    <n v="0.161"/>
    <x v="1"/>
  </r>
  <r>
    <x v="675"/>
    <n v="-0.27100000000000002"/>
    <d v="2017-12-01T00:00:00"/>
    <n v="0.159"/>
    <x v="1"/>
  </r>
  <r>
    <x v="676"/>
    <n v="-0.27200000000000002"/>
    <d v="2017-12-04T00:00:00"/>
    <n v="0.158"/>
    <x v="1"/>
  </r>
  <r>
    <x v="677"/>
    <n v="-0.27100000000000002"/>
    <d v="2017-12-05T00:00:00"/>
    <n v="0.157"/>
    <x v="1"/>
  </r>
  <r>
    <x v="678"/>
    <n v="-0.27100000000000002"/>
    <d v="2017-12-06T00:00:00"/>
    <n v="0.155"/>
    <x v="1"/>
  </r>
  <r>
    <x v="679"/>
    <n v="-0.27100000000000002"/>
    <d v="2017-12-07T00:00:00"/>
    <n v="0.152"/>
    <x v="1"/>
  </r>
  <r>
    <x v="680"/>
    <n v="-0.27100000000000002"/>
    <m/>
    <n v="0.152"/>
    <x v="1"/>
  </r>
  <r>
    <x v="681"/>
    <n v="-0.27100000000000002"/>
    <d v="2017-12-11T00:00:00"/>
    <n v="0.14799999999999999"/>
    <x v="1"/>
  </r>
  <r>
    <x v="682"/>
    <n v="-0.27100000000000002"/>
    <d v="2017-12-12T00:00:00"/>
    <n v="0.14499999999999999"/>
    <x v="1"/>
  </r>
  <r>
    <x v="683"/>
    <n v="-0.27300000000000002"/>
    <d v="2017-12-13T00:00:00"/>
    <n v="0.14199999999999999"/>
    <x v="1"/>
  </r>
  <r>
    <x v="684"/>
    <n v="-0.27100000000000002"/>
    <d v="2017-12-14T00:00:00"/>
    <n v="0.14199999999999999"/>
    <x v="1"/>
  </r>
  <r>
    <x v="685"/>
    <n v="-0.27200000000000002"/>
    <d v="2017-12-15T00:00:00"/>
    <n v="0.14000000000000001"/>
    <x v="1"/>
  </r>
  <r>
    <x v="686"/>
    <n v="-0.27100000000000002"/>
    <d v="2017-12-18T00:00:00"/>
    <n v="0.13900000000000001"/>
    <x v="1"/>
  </r>
  <r>
    <x v="687"/>
    <n v="-0.27400000000000002"/>
    <d v="2017-12-19T00:00:00"/>
    <n v="0.14000000000000001"/>
    <x v="1"/>
  </r>
  <r>
    <x v="688"/>
    <n v="-0.27100000000000002"/>
    <d v="2017-12-20T00:00:00"/>
    <n v="0.14299999999999999"/>
    <x v="1"/>
  </r>
  <r>
    <x v="689"/>
    <n v="-0.27100000000000002"/>
    <d v="2017-12-21T00:00:00"/>
    <n v="0.14699999999999999"/>
    <x v="1"/>
  </r>
  <r>
    <x v="690"/>
    <n v="-0.27100000000000002"/>
    <d v="2017-12-22T00:00:00"/>
    <n v="0.14599999999999999"/>
    <x v="1"/>
  </r>
  <r>
    <x v="691"/>
    <n v="-0.27100000000000002"/>
    <m/>
    <n v="0.14599999999999999"/>
    <x v="1"/>
  </r>
  <r>
    <x v="692"/>
    <n v="-0.27100000000000002"/>
    <m/>
    <n v="0.14599999999999999"/>
    <x v="1"/>
  </r>
  <r>
    <x v="693"/>
    <n v="-0.27100000000000002"/>
    <d v="2017-12-27T00:00:00"/>
    <n v="0.14899999999999999"/>
    <x v="1"/>
  </r>
  <r>
    <x v="694"/>
    <n v="-0.27100000000000002"/>
    <d v="2017-12-28T00:00:00"/>
    <n v="0.153"/>
    <x v="1"/>
  </r>
  <r>
    <x v="695"/>
    <n v="-0.27100000000000002"/>
    <d v="2017-12-29T00:00:00"/>
    <n v="0.158"/>
    <x v="1"/>
  </r>
  <r>
    <x v="696"/>
    <n v="-0.27100000000000002"/>
    <m/>
    <n v="0.158"/>
    <x v="1"/>
  </r>
  <r>
    <x v="697"/>
    <n v="-0.27100000000000002"/>
    <d v="2018-01-02T00:00:00"/>
    <n v="0.16200000000000001"/>
    <x v="1"/>
  </r>
  <r>
    <x v="698"/>
    <n v="-0.27100000000000002"/>
    <d v="2018-01-03T00:00:00"/>
    <n v="0.16600000000000001"/>
    <x v="1"/>
  </r>
  <r>
    <x v="699"/>
    <n v="-0.27100000000000002"/>
    <d v="2018-01-04T00:00:00"/>
    <n v="0.17100000000000001"/>
    <x v="1"/>
  </r>
  <r>
    <x v="700"/>
    <n v="-0.27100000000000002"/>
    <d v="2018-01-05T00:00:00"/>
    <n v="0.17699999999999999"/>
    <x v="1"/>
  </r>
  <r>
    <x v="701"/>
    <n v="-0.27100000000000002"/>
    <d v="2018-01-08T00:00:00"/>
    <n v="0.183"/>
    <x v="1"/>
  </r>
  <r>
    <x v="702"/>
    <n v="-0.27100000000000002"/>
    <d v="2018-01-09T00:00:00"/>
    <n v="0.191"/>
    <x v="1"/>
  </r>
  <r>
    <x v="703"/>
    <n v="-0.27100000000000002"/>
    <d v="2018-01-10T00:00:00"/>
    <n v="0.2"/>
    <x v="1"/>
  </r>
  <r>
    <x v="704"/>
    <n v="-0.27100000000000002"/>
    <d v="2018-01-11T00:00:00"/>
    <n v="0.215"/>
    <x v="1"/>
  </r>
  <r>
    <x v="705"/>
    <n v="-0.27100000000000002"/>
    <d v="2018-01-12T00:00:00"/>
    <n v="0.22600000000000001"/>
    <x v="1"/>
  </r>
  <r>
    <x v="706"/>
    <n v="-0.27400000000000002"/>
    <d v="2018-01-15T00:00:00"/>
    <n v="0.23499999999999999"/>
    <x v="1"/>
  </r>
  <r>
    <x v="707"/>
    <n v="-0.27200000000000002"/>
    <d v="2018-01-16T00:00:00"/>
    <n v="0.24299999999999999"/>
    <x v="1"/>
  </r>
  <r>
    <x v="708"/>
    <n v="-0.27400000000000002"/>
    <d v="2018-01-17T00:00:00"/>
    <n v="0.251"/>
    <x v="1"/>
  </r>
  <r>
    <x v="709"/>
    <n v="-0.27500000000000002"/>
    <d v="2018-01-18T00:00:00"/>
    <n v="0.26100000000000001"/>
    <x v="1"/>
  </r>
  <r>
    <x v="710"/>
    <n v="-0.27600000000000002"/>
    <d v="2018-01-19T00:00:00"/>
    <n v="0.26900000000000002"/>
    <x v="1"/>
  </r>
  <r>
    <x v="711"/>
    <n v="-0.27700000000000002"/>
    <d v="2018-01-22T00:00:00"/>
    <n v="0.27400000000000002"/>
    <x v="1"/>
  </r>
  <r>
    <x v="712"/>
    <n v="-0.27600000000000002"/>
    <d v="2018-01-23T00:00:00"/>
    <n v="0.27800000000000002"/>
    <x v="1"/>
  </r>
  <r>
    <x v="713"/>
    <n v="-0.27800000000000002"/>
    <d v="2018-01-24T00:00:00"/>
    <n v="0.28100000000000003"/>
    <x v="1"/>
  </r>
  <r>
    <x v="714"/>
    <n v="-0.27800000000000002"/>
    <d v="2018-01-25T00:00:00"/>
    <n v="0.29899999999999999"/>
    <x v="1"/>
  </r>
  <r>
    <x v="715"/>
    <n v="-0.27800000000000002"/>
    <d v="2018-01-26T00:00:00"/>
    <n v="0.307"/>
    <x v="1"/>
  </r>
  <r>
    <x v="716"/>
    <n v="-0.27800000000000002"/>
    <d v="2018-01-29T00:00:00"/>
    <n v="0.315"/>
    <x v="1"/>
  </r>
  <r>
    <x v="717"/>
    <n v="-0.27800000000000002"/>
    <d v="2018-01-30T00:00:00"/>
    <n v="0.32300000000000001"/>
    <x v="1"/>
  </r>
  <r>
    <x v="718"/>
    <n v="-0.27900000000000003"/>
    <d v="2018-01-31T00:00:00"/>
    <n v="0.33200000000000002"/>
    <x v="1"/>
  </r>
  <r>
    <x v="719"/>
    <n v="-0.27800000000000002"/>
    <d v="2018-02-01T00:00:00"/>
    <n v="0.34100000000000003"/>
    <x v="1"/>
  </r>
  <r>
    <x v="720"/>
    <n v="-0.27800000000000002"/>
    <d v="2018-02-02T00:00:00"/>
    <n v="0.35099999999999998"/>
    <x v="1"/>
  </r>
  <r>
    <x v="721"/>
    <n v="-0.27800000000000002"/>
    <d v="2018-02-05T00:00:00"/>
    <n v="0.36"/>
    <x v="1"/>
  </r>
  <r>
    <x v="722"/>
    <n v="-0.27900000000000003"/>
    <d v="2018-02-06T00:00:00"/>
    <n v="0.36699999999999999"/>
    <x v="1"/>
  </r>
  <r>
    <x v="723"/>
    <n v="-0.27800000000000002"/>
    <d v="2018-02-07T00:00:00"/>
    <n v="0.374"/>
    <x v="1"/>
  </r>
  <r>
    <x v="724"/>
    <n v="-0.27800000000000002"/>
    <d v="2018-02-08T00:00:00"/>
    <n v="0.38100000000000001"/>
    <x v="1"/>
  </r>
  <r>
    <x v="725"/>
    <n v="-0.27800000000000002"/>
    <d v="2018-02-09T00:00:00"/>
    <n v="0.38600000000000001"/>
    <x v="1"/>
  </r>
  <r>
    <x v="726"/>
    <n v="-0.27800000000000002"/>
    <d v="2018-02-12T00:00:00"/>
    <n v="0.39100000000000001"/>
    <x v="1"/>
  </r>
  <r>
    <x v="727"/>
    <n v="-0.27600000000000002"/>
    <d v="2018-02-13T00:00:00"/>
    <n v="0.39600000000000002"/>
    <x v="1"/>
  </r>
  <r>
    <x v="728"/>
    <n v="-0.27600000000000002"/>
    <d v="2018-02-14T00:00:00"/>
    <n v="0.40200000000000002"/>
    <x v="1"/>
  </r>
  <r>
    <x v="729"/>
    <n v="-0.27600000000000002"/>
    <d v="2018-02-15T00:00:00"/>
    <n v="0.40899999999999997"/>
    <x v="1"/>
  </r>
  <r>
    <x v="730"/>
    <n v="-0.27400000000000002"/>
    <d v="2018-02-16T00:00:00"/>
    <n v="0.41299999999999998"/>
    <x v="1"/>
  </r>
  <r>
    <x v="731"/>
    <n v="-0.27400000000000002"/>
    <d v="2018-02-19T00:00:00"/>
    <n v="0.41899999999999998"/>
    <x v="1"/>
  </r>
  <r>
    <x v="732"/>
    <n v="-0.27300000000000002"/>
    <d v="2018-02-20T00:00:00"/>
    <n v="0.42499999999999999"/>
    <x v="1"/>
  </r>
  <r>
    <x v="733"/>
    <n v="-0.27100000000000002"/>
    <d v="2018-02-21T00:00:00"/>
    <n v="0.42899999999999999"/>
    <x v="1"/>
  </r>
  <r>
    <x v="734"/>
    <n v="-0.27"/>
    <d v="2018-02-22T00:00:00"/>
    <n v="0.432"/>
    <x v="1"/>
  </r>
  <r>
    <x v="735"/>
    <n v="-0.27100000000000002"/>
    <d v="2018-02-23T00:00:00"/>
    <n v="0.433"/>
    <x v="1"/>
  </r>
  <r>
    <x v="736"/>
    <n v="-0.27100000000000002"/>
    <d v="2018-02-26T00:00:00"/>
    <n v="0.43099999999999999"/>
    <x v="1"/>
  </r>
  <r>
    <x v="737"/>
    <n v="-0.27100000000000002"/>
    <d v="2018-02-27T00:00:00"/>
    <n v="0.43"/>
    <x v="1"/>
  </r>
  <r>
    <x v="738"/>
    <n v="-0.27"/>
    <d v="2018-02-28T00:00:00"/>
    <n v="0.42799999999999999"/>
    <x v="1"/>
  </r>
  <r>
    <x v="739"/>
    <n v="-0.27100000000000002"/>
    <d v="2018-03-01T00:00:00"/>
    <n v="0.42499999999999999"/>
    <x v="1"/>
  </r>
  <r>
    <x v="740"/>
    <n v="-0.27100000000000002"/>
    <d v="2018-03-02T00:00:00"/>
    <n v="0.42"/>
    <x v="1"/>
  </r>
  <r>
    <x v="741"/>
    <n v="-0.27200000000000002"/>
    <d v="2018-03-05T00:00:00"/>
    <n v="0.41599999999999998"/>
    <x v="1"/>
  </r>
  <r>
    <x v="742"/>
    <n v="-0.27100000000000002"/>
    <d v="2018-03-06T00:00:00"/>
    <n v="0.41599999999999998"/>
    <x v="1"/>
  </r>
  <r>
    <x v="743"/>
    <n v="-0.27200000000000002"/>
    <d v="2018-03-07T00:00:00"/>
    <n v="0.41499999999999998"/>
    <x v="1"/>
  </r>
  <r>
    <x v="744"/>
    <n v="-0.27200000000000002"/>
    <d v="2018-03-08T00:00:00"/>
    <n v="0.41199999999999998"/>
    <x v="1"/>
  </r>
  <r>
    <x v="745"/>
    <n v="-0.27100000000000002"/>
    <d v="2018-03-09T00:00:00"/>
    <n v="0.40899999999999997"/>
    <x v="1"/>
  </r>
  <r>
    <x v="746"/>
    <n v="-0.27100000000000002"/>
    <d v="2018-03-12T00:00:00"/>
    <n v="0.40500000000000003"/>
    <x v="1"/>
  </r>
  <r>
    <x v="747"/>
    <n v="-0.27100000000000002"/>
    <d v="2018-03-13T00:00:00"/>
    <n v="0.40100000000000002"/>
    <x v="1"/>
  </r>
  <r>
    <x v="748"/>
    <n v="-0.27100000000000002"/>
    <d v="2018-03-14T00:00:00"/>
    <n v="0.39700000000000002"/>
    <x v="1"/>
  </r>
  <r>
    <x v="749"/>
    <n v="-0.27100000000000002"/>
    <d v="2018-03-15T00:00:00"/>
    <n v="0.44500000000000001"/>
    <x v="1"/>
  </r>
  <r>
    <x v="750"/>
    <n v="-0.27200000000000002"/>
    <d v="2018-03-16T00:00:00"/>
    <n v="0.439"/>
    <x v="1"/>
  </r>
  <r>
    <x v="751"/>
    <n v="-0.27200000000000002"/>
    <d v="2018-03-19T00:00:00"/>
    <n v="0.434"/>
    <x v="1"/>
  </r>
  <r>
    <x v="752"/>
    <n v="-0.27300000000000002"/>
    <d v="2018-03-20T00:00:00"/>
    <n v="0.42799999999999999"/>
    <x v="1"/>
  </r>
  <r>
    <x v="753"/>
    <n v="-0.27200000000000002"/>
    <d v="2018-03-21T00:00:00"/>
    <n v="0.42299999999999999"/>
    <x v="1"/>
  </r>
  <r>
    <x v="754"/>
    <n v="-0.27100000000000002"/>
    <d v="2018-03-22T00:00:00"/>
    <n v="0.41599999999999998"/>
    <x v="1"/>
  </r>
  <r>
    <x v="755"/>
    <n v="-0.27"/>
    <d v="2018-03-23T00:00:00"/>
    <n v="0.41"/>
    <x v="1"/>
  </r>
  <r>
    <x v="756"/>
    <n v="-0.27100000000000002"/>
    <d v="2018-03-26T00:00:00"/>
    <n v="0.40500000000000003"/>
    <x v="1"/>
  </r>
  <r>
    <x v="757"/>
    <n v="-0.27100000000000002"/>
    <d v="2018-03-27T00:00:00"/>
    <n v="0.39900000000000002"/>
    <x v="1"/>
  </r>
  <r>
    <x v="758"/>
    <n v="-0.27100000000000002"/>
    <d v="2018-03-28T00:00:00"/>
    <n v="0.39300000000000002"/>
    <x v="1"/>
  </r>
  <r>
    <x v="759"/>
    <n v="-0.27100000000000002"/>
    <d v="2018-03-29T00:00:00"/>
    <n v="0.38800000000000001"/>
    <x v="1"/>
  </r>
  <r>
    <x v="760"/>
    <n v="-0.27100000000000002"/>
    <d v="2018-03-30T00:00:00"/>
    <n v="0.38600000000000001"/>
    <x v="1"/>
  </r>
  <r>
    <x v="761"/>
    <n v="-0.27100000000000002"/>
    <m/>
    <n v="0.38600000000000001"/>
    <x v="1"/>
  </r>
  <r>
    <x v="762"/>
    <n v="-0.27"/>
    <d v="2018-04-03T00:00:00"/>
    <n v="0.38100000000000001"/>
    <x v="1"/>
  </r>
  <r>
    <x v="763"/>
    <n v="-0.27100000000000002"/>
    <d v="2018-04-04T00:00:00"/>
    <n v="0.374"/>
    <x v="1"/>
  </r>
  <r>
    <x v="764"/>
    <n v="-0.27100000000000002"/>
    <d v="2018-04-05T00:00:00"/>
    <n v="0.36899999999999999"/>
    <x v="1"/>
  </r>
  <r>
    <x v="765"/>
    <n v="-0.27"/>
    <d v="2018-04-06T00:00:00"/>
    <n v="0.36299999999999999"/>
    <x v="1"/>
  </r>
  <r>
    <x v="766"/>
    <n v="-0.27"/>
    <d v="2018-04-09T00:00:00"/>
    <n v="0.35799999999999998"/>
    <x v="1"/>
  </r>
  <r>
    <x v="767"/>
    <n v="-0.27100000000000002"/>
    <d v="2018-04-10T00:00:00"/>
    <n v="0.35399999999999998"/>
    <x v="1"/>
  </r>
  <r>
    <x v="768"/>
    <n v="-0.27"/>
    <d v="2018-04-11T00:00:00"/>
    <n v="0.35"/>
    <x v="1"/>
  </r>
  <r>
    <x v="769"/>
    <n v="-0.27100000000000002"/>
    <d v="2018-04-12T00:00:00"/>
    <n v="0.35"/>
    <x v="1"/>
  </r>
  <r>
    <x v="770"/>
    <n v="-0.27100000000000002"/>
    <d v="2018-04-13T00:00:00"/>
    <n v="0.34699999999999998"/>
    <x v="1"/>
  </r>
  <r>
    <x v="771"/>
    <n v="-0.27"/>
    <d v="2018-04-16T00:00:00"/>
    <n v="0.34599999999999997"/>
    <x v="1"/>
  </r>
  <r>
    <x v="772"/>
    <n v="-0.27"/>
    <d v="2018-04-17T00:00:00"/>
    <n v="0.34499999999999997"/>
    <x v="1"/>
  </r>
  <r>
    <x v="773"/>
    <n v="-0.27100000000000002"/>
    <d v="2018-04-18T00:00:00"/>
    <n v="0.34200000000000003"/>
    <x v="1"/>
  </r>
  <r>
    <x v="774"/>
    <n v="-0.27"/>
    <d v="2018-04-19T00:00:00"/>
    <n v="0.34200000000000003"/>
    <x v="1"/>
  </r>
  <r>
    <x v="775"/>
    <n v="-0.27100000000000002"/>
    <d v="2018-04-20T00:00:00"/>
    <n v="0.34499999999999997"/>
    <x v="1"/>
  </r>
  <r>
    <x v="776"/>
    <n v="-0.27"/>
    <d v="2018-04-23T00:00:00"/>
    <n v="0.34799999999999998"/>
    <x v="1"/>
  </r>
  <r>
    <x v="777"/>
    <n v="-0.27"/>
    <d v="2018-04-24T00:00:00"/>
    <n v="0.35199999999999998"/>
    <x v="1"/>
  </r>
  <r>
    <x v="778"/>
    <n v="-0.27"/>
    <d v="2018-04-25T00:00:00"/>
    <n v="0.35599999999999998"/>
    <x v="1"/>
  </r>
  <r>
    <x v="779"/>
    <n v="-0.26900000000000002"/>
    <d v="2018-04-26T00:00:00"/>
    <n v="0.36"/>
    <x v="1"/>
  </r>
  <r>
    <x v="780"/>
    <n v="-0.26900000000000002"/>
    <d v="2018-04-27T00:00:00"/>
    <n v="0.36299999999999999"/>
    <x v="1"/>
  </r>
  <r>
    <x v="781"/>
    <n v="-0.26900000000000002"/>
    <d v="2018-04-30T00:00:00"/>
    <n v="0.36299999999999999"/>
    <x v="1"/>
  </r>
  <r>
    <x v="782"/>
    <n v="-0.26900000000000002"/>
    <m/>
    <n v="0.36299999999999999"/>
    <x v="7"/>
  </r>
  <r>
    <x v="783"/>
    <n v="-0.26900000000000002"/>
    <d v="2018-05-02T00:00:00"/>
    <n v="0.36499999999999999"/>
    <x v="1"/>
  </r>
  <r>
    <x v="784"/>
    <n v="-0.26900000000000002"/>
    <d v="2018-05-03T00:00:00"/>
    <n v="0.36699999999999999"/>
    <x v="1"/>
  </r>
  <r>
    <x v="785"/>
    <n v="-0.26900000000000002"/>
    <d v="2018-05-04T00:00:00"/>
    <n v="0.36799999999999999"/>
    <x v="1"/>
  </r>
  <r>
    <x v="786"/>
    <n v="-0.26900000000000002"/>
    <d v="2018-05-07T00:00:00"/>
    <n v="0.36799999999999999"/>
    <x v="1"/>
  </r>
  <r>
    <x v="787"/>
    <n v="-0.26900000000000002"/>
    <d v="2018-05-08T00:00:00"/>
    <n v="0.36899999999999999"/>
    <x v="1"/>
  </r>
  <r>
    <x v="788"/>
    <n v="-0.26900000000000002"/>
    <d v="2018-05-09T00:00:00"/>
    <n v="0.372"/>
    <x v="1"/>
  </r>
  <r>
    <x v="789"/>
    <n v="-0.27100000000000002"/>
    <m/>
    <n v="0.372"/>
    <x v="1"/>
  </r>
  <r>
    <x v="790"/>
    <n v="-0.27100000000000002"/>
    <d v="2018-05-11T00:00:00"/>
    <n v="0.377"/>
    <x v="1"/>
  </r>
  <r>
    <x v="791"/>
    <n v="-0.27100000000000002"/>
    <d v="2018-05-14T00:00:00"/>
    <n v="0.38"/>
    <x v="1"/>
  </r>
  <r>
    <x v="792"/>
    <n v="-0.27100000000000002"/>
    <d v="2018-05-15T00:00:00"/>
    <n v="0.38500000000000001"/>
    <x v="1"/>
  </r>
  <r>
    <x v="793"/>
    <n v="-0.27200000000000002"/>
    <d v="2018-05-16T00:00:00"/>
    <n v="0.38700000000000001"/>
    <x v="1"/>
  </r>
  <r>
    <x v="794"/>
    <n v="-0.27"/>
    <d v="2018-05-17T00:00:00"/>
    <n v="0.39100000000000001"/>
    <x v="1"/>
  </r>
  <r>
    <x v="795"/>
    <n v="-0.27100000000000002"/>
    <d v="2018-05-18T00:00:00"/>
    <n v="0.39500000000000002"/>
    <x v="1"/>
  </r>
  <r>
    <x v="796"/>
    <n v="-0.27"/>
    <m/>
    <n v="0.39500000000000002"/>
    <x v="1"/>
  </r>
  <r>
    <x v="797"/>
    <n v="-0.27100000000000002"/>
    <d v="2018-05-22T00:00:00"/>
    <n v="0.39500000000000002"/>
    <x v="1"/>
  </r>
  <r>
    <x v="798"/>
    <n v="-0.27"/>
    <d v="2018-05-23T00:00:00"/>
    <n v="0.39200000000000002"/>
    <x v="1"/>
  </r>
  <r>
    <x v="799"/>
    <n v="-0.27100000000000002"/>
    <d v="2018-05-24T00:00:00"/>
    <n v="0.39"/>
    <x v="1"/>
  </r>
  <r>
    <x v="800"/>
    <n v="-0.27100000000000002"/>
    <d v="2018-05-25T00:00:00"/>
    <n v="0.38500000000000001"/>
    <x v="1"/>
  </r>
  <r>
    <x v="801"/>
    <n v="-0.26900000000000002"/>
    <d v="2018-05-28T00:00:00"/>
    <n v="0.378"/>
    <x v="1"/>
  </r>
  <r>
    <x v="802"/>
    <n v="-0.26900000000000002"/>
    <d v="2018-05-29T00:00:00"/>
    <n v="0.37"/>
    <x v="1"/>
  </r>
  <r>
    <x v="803"/>
    <n v="-0.26900000000000002"/>
    <d v="2018-05-30T00:00:00"/>
    <n v="0.36599999999999999"/>
    <x v="1"/>
  </r>
  <r>
    <x v="804"/>
    <n v="-0.26900000000000002"/>
    <m/>
    <n v="0.36599999999999999"/>
    <x v="1"/>
  </r>
  <r>
    <x v="805"/>
    <n v="-0.26900000000000002"/>
    <d v="2018-06-01T00:00:00"/>
    <n v="0.36199999999999999"/>
    <x v="1"/>
  </r>
  <r>
    <x v="806"/>
    <n v="-0.26900000000000002"/>
    <d v="2018-06-04T00:00:00"/>
    <n v="0.35799999999999998"/>
    <x v="1"/>
  </r>
  <r>
    <x v="807"/>
    <n v="-0.26900000000000002"/>
    <d v="2018-06-05T00:00:00"/>
    <n v="0.35399999999999998"/>
    <x v="1"/>
  </r>
  <r>
    <x v="808"/>
    <n v="-0.26900000000000002"/>
    <d v="2018-06-06T00:00:00"/>
    <n v="0.35299999999999998"/>
    <x v="1"/>
  </r>
  <r>
    <x v="809"/>
    <n v="-0.26900000000000002"/>
    <d v="2018-06-07T00:00:00"/>
    <n v="0.35399999999999998"/>
    <x v="1"/>
  </r>
  <r>
    <x v="810"/>
    <n v="-0.26700000000000002"/>
    <d v="2018-06-08T00:00:00"/>
    <n v="0.35199999999999998"/>
    <x v="1"/>
  </r>
  <r>
    <x v="811"/>
    <n v="-0.26700000000000002"/>
    <d v="2018-06-11T00:00:00"/>
    <n v="0.35099999999999998"/>
    <x v="1"/>
  </r>
  <r>
    <x v="812"/>
    <n v="-0.26700000000000002"/>
    <d v="2018-06-12T00:00:00"/>
    <n v="0.35199999999999998"/>
    <x v="1"/>
  </r>
  <r>
    <x v="813"/>
    <n v="-0.26800000000000002"/>
    <d v="2018-06-13T00:00:00"/>
    <n v="0.34899999999999998"/>
    <x v="1"/>
  </r>
  <r>
    <x v="814"/>
    <n v="-0.26800000000000002"/>
    <d v="2018-06-14T00:00:00"/>
    <n v="0.34399999999999997"/>
    <x v="1"/>
  </r>
  <r>
    <x v="815"/>
    <n v="-0.26800000000000002"/>
    <d v="2018-06-15T00:00:00"/>
    <n v="0.33700000000000002"/>
    <x v="1"/>
  </r>
  <r>
    <x v="816"/>
    <n v="-0.26800000000000002"/>
    <d v="2018-06-18T00:00:00"/>
    <n v="0.36199999999999999"/>
    <x v="1"/>
  </r>
  <r>
    <x v="817"/>
    <n v="-0.26800000000000002"/>
    <d v="2018-06-19T00:00:00"/>
    <n v="0.35299999999999998"/>
    <x v="1"/>
  </r>
  <r>
    <x v="818"/>
    <n v="-0.26800000000000002"/>
    <d v="2018-06-20T00:00:00"/>
    <n v="0.34699999999999998"/>
    <x v="1"/>
  </r>
  <r>
    <x v="819"/>
    <n v="-0.26800000000000002"/>
    <d v="2018-06-21T00:00:00"/>
    <n v="0.34"/>
    <x v="1"/>
  </r>
  <r>
    <x v="820"/>
    <n v="-0.26800000000000002"/>
    <d v="2018-06-22T00:00:00"/>
    <n v="0.33400000000000002"/>
    <x v="1"/>
  </r>
  <r>
    <x v="821"/>
    <n v="-0.26900000000000002"/>
    <d v="2018-06-25T00:00:00"/>
    <n v="0.33"/>
    <x v="1"/>
  </r>
  <r>
    <x v="822"/>
    <n v="-0.27"/>
    <d v="2018-06-26T00:00:00"/>
    <n v="0.32700000000000001"/>
    <x v="1"/>
  </r>
  <r>
    <x v="823"/>
    <n v="-0.27"/>
    <d v="2018-06-27T00:00:00"/>
    <n v="0.32600000000000001"/>
    <x v="1"/>
  </r>
  <r>
    <x v="824"/>
    <n v="-0.27"/>
    <d v="2018-06-28T00:00:00"/>
    <n v="0.32700000000000001"/>
    <x v="1"/>
  </r>
  <r>
    <x v="825"/>
    <n v="-0.27"/>
    <d v="2018-06-29T00:00:00"/>
    <n v="0.32200000000000001"/>
    <x v="1"/>
  </r>
  <r>
    <x v="826"/>
    <n v="-0.26900000000000002"/>
    <d v="2018-07-02T00:00:00"/>
    <n v="0.317"/>
    <x v="1"/>
  </r>
  <r>
    <x v="827"/>
    <n v="-0.27"/>
    <d v="2018-07-03T00:00:00"/>
    <n v="0.312"/>
    <x v="1"/>
  </r>
  <r>
    <x v="828"/>
    <n v="-0.26900000000000002"/>
    <d v="2018-07-04T00:00:00"/>
    <n v="0.30399999999999999"/>
    <x v="1"/>
  </r>
  <r>
    <x v="829"/>
    <n v="-0.26900000000000002"/>
    <d v="2018-07-05T00:00:00"/>
    <n v="0.29899999999999999"/>
    <x v="1"/>
  </r>
  <r>
    <x v="830"/>
    <n v="-0.27"/>
    <d v="2018-07-06T00:00:00"/>
    <n v="0.29199999999999998"/>
    <x v="1"/>
  </r>
  <r>
    <x v="831"/>
    <n v="-0.27"/>
    <d v="2018-07-09T00:00:00"/>
    <n v="0.28299999999999997"/>
    <x v="1"/>
  </r>
  <r>
    <x v="832"/>
    <n v="-0.26900000000000002"/>
    <d v="2018-07-10T00:00:00"/>
    <n v="0.27400000000000002"/>
    <x v="1"/>
  </r>
  <r>
    <x v="833"/>
    <n v="-0.27100000000000002"/>
    <d v="2018-07-11T00:00:00"/>
    <n v="0.26600000000000001"/>
    <x v="1"/>
  </r>
  <r>
    <x v="834"/>
    <n v="-0.27100000000000002"/>
    <d v="2018-07-12T00:00:00"/>
    <n v="0.26200000000000001"/>
    <x v="1"/>
  </r>
  <r>
    <x v="835"/>
    <n v="-0.26800000000000002"/>
    <d v="2018-07-13T00:00:00"/>
    <n v="0.25600000000000001"/>
    <x v="1"/>
  </r>
  <r>
    <x v="836"/>
    <n v="-0.26900000000000002"/>
    <d v="2018-07-16T00:00:00"/>
    <n v="0.252"/>
    <x v="1"/>
  </r>
  <r>
    <x v="837"/>
    <n v="-0.26900000000000002"/>
    <d v="2018-07-17T00:00:00"/>
    <n v="0.25"/>
    <x v="1"/>
  </r>
  <r>
    <x v="838"/>
    <n v="-0.26900000000000002"/>
    <d v="2018-07-18T00:00:00"/>
    <n v="0.246"/>
    <x v="1"/>
  </r>
  <r>
    <x v="839"/>
    <n v="-0.26900000000000002"/>
    <d v="2018-07-19T00:00:00"/>
    <n v="0.24399999999999999"/>
    <x v="1"/>
  </r>
  <r>
    <x v="840"/>
    <n v="-0.26900000000000002"/>
    <d v="2018-07-20T00:00:00"/>
    <n v="0.24199999999999999"/>
    <x v="1"/>
  </r>
  <r>
    <x v="841"/>
    <n v="-0.26900000000000002"/>
    <d v="2018-07-23T00:00:00"/>
    <n v="0.24199999999999999"/>
    <x v="1"/>
  </r>
  <r>
    <x v="842"/>
    <n v="-0.26900000000000002"/>
    <d v="2018-07-24T00:00:00"/>
    <n v="0.24199999999999999"/>
    <x v="1"/>
  </r>
  <r>
    <x v="843"/>
    <n v="-0.26900000000000002"/>
    <d v="2018-07-25T00:00:00"/>
    <n v="0.24199999999999999"/>
    <x v="1"/>
  </r>
  <r>
    <x v="844"/>
    <n v="-0.26900000000000002"/>
    <d v="2018-07-26T00:00:00"/>
    <n v="0.24299999999999999"/>
    <x v="1"/>
  </r>
  <r>
    <x v="845"/>
    <n v="-0.26900000000000002"/>
    <d v="2018-07-27T00:00:00"/>
    <n v="0.24399999999999999"/>
    <x v="1"/>
  </r>
  <r>
    <x v="846"/>
    <n v="-0.26800000000000002"/>
    <d v="2018-07-30T00:00:00"/>
    <n v="0.248"/>
    <x v="1"/>
  </r>
  <r>
    <x v="847"/>
    <n v="-0.26800000000000002"/>
    <d v="2018-07-31T00:00:00"/>
    <n v="0.252"/>
    <x v="1"/>
  </r>
  <r>
    <x v="848"/>
    <n v="-0.26900000000000002"/>
    <d v="2018-08-01T00:00:00"/>
    <n v="0.25700000000000001"/>
    <x v="1"/>
  </r>
  <r>
    <x v="849"/>
    <n v="-0.26900000000000002"/>
    <d v="2018-08-02T00:00:00"/>
    <n v="0.26200000000000001"/>
    <x v="1"/>
  </r>
  <r>
    <x v="850"/>
    <n v="-0.26800000000000002"/>
    <d v="2018-08-03T00:00:00"/>
    <n v="0.26500000000000001"/>
    <x v="1"/>
  </r>
  <r>
    <x v="851"/>
    <n v="-0.26800000000000002"/>
    <d v="2018-08-06T00:00:00"/>
    <n v="0.26800000000000002"/>
    <x v="1"/>
  </r>
  <r>
    <x v="852"/>
    <n v="-0.26800000000000002"/>
    <d v="2018-08-07T00:00:00"/>
    <n v="0.26900000000000002"/>
    <x v="1"/>
  </r>
  <r>
    <x v="853"/>
    <n v="-0.26800000000000002"/>
    <d v="2018-08-08T00:00:00"/>
    <n v="0.27200000000000002"/>
    <x v="1"/>
  </r>
  <r>
    <x v="854"/>
    <n v="-0.26600000000000001"/>
    <d v="2018-08-09T00:00:00"/>
    <n v="0.27400000000000002"/>
    <x v="1"/>
  </r>
  <r>
    <x v="855"/>
    <n v="-0.26700000000000002"/>
    <d v="2018-08-10T00:00:00"/>
    <n v="0.27500000000000002"/>
    <x v="1"/>
  </r>
  <r>
    <x v="856"/>
    <n v="-0.26600000000000001"/>
    <d v="2018-08-13T00:00:00"/>
    <n v="0.27400000000000002"/>
    <x v="1"/>
  </r>
  <r>
    <x v="857"/>
    <n v="-0.26600000000000001"/>
    <d v="2018-08-14T00:00:00"/>
    <n v="0.27400000000000002"/>
    <x v="1"/>
  </r>
  <r>
    <x v="858"/>
    <n v="-0.26600000000000001"/>
    <m/>
    <n v="0.27400000000000002"/>
    <x v="1"/>
  </r>
  <r>
    <x v="859"/>
    <n v="-0.26600000000000001"/>
    <d v="2018-08-16T00:00:00"/>
    <n v="0.27400000000000002"/>
    <x v="1"/>
  </r>
  <r>
    <x v="860"/>
    <n v="-0.26600000000000001"/>
    <d v="2018-08-17T00:00:00"/>
    <n v="0.27400000000000002"/>
    <x v="1"/>
  </r>
  <r>
    <x v="861"/>
    <n v="-0.26600000000000001"/>
    <d v="2018-08-20T00:00:00"/>
    <n v="0.27300000000000002"/>
    <x v="1"/>
  </r>
  <r>
    <x v="862"/>
    <n v="-0.26600000000000001"/>
    <d v="2018-08-21T00:00:00"/>
    <n v="0.27"/>
    <x v="1"/>
  </r>
  <r>
    <x v="863"/>
    <n v="-0.26600000000000001"/>
    <d v="2018-08-22T00:00:00"/>
    <n v="0.26900000000000002"/>
    <x v="1"/>
  </r>
  <r>
    <x v="864"/>
    <n v="-0.26600000000000001"/>
    <d v="2018-08-23T00:00:00"/>
    <n v="0.26800000000000002"/>
    <x v="1"/>
  </r>
  <r>
    <x v="865"/>
    <n v="-0.26600000000000001"/>
    <d v="2018-08-24T00:00:00"/>
    <n v="0.26700000000000002"/>
    <x v="1"/>
  </r>
  <r>
    <x v="866"/>
    <n v="-0.26500000000000001"/>
    <d v="2018-08-27T00:00:00"/>
    <n v="0.26600000000000001"/>
    <x v="1"/>
  </r>
  <r>
    <x v="867"/>
    <n v="-0.26600000000000001"/>
    <d v="2018-08-28T00:00:00"/>
    <n v="0.26600000000000001"/>
    <x v="1"/>
  </r>
  <r>
    <x v="868"/>
    <n v="-0.26600000000000001"/>
    <d v="2018-08-29T00:00:00"/>
    <n v="0.26500000000000001"/>
    <x v="1"/>
  </r>
  <r>
    <x v="869"/>
    <n v="-0.26800000000000002"/>
    <d v="2018-08-30T00:00:00"/>
    <n v="0.26300000000000001"/>
    <x v="1"/>
  </r>
  <r>
    <x v="870"/>
    <n v="-0.26800000000000002"/>
    <d v="2018-08-31T00:00:00"/>
    <n v="0.26"/>
    <x v="1"/>
  </r>
  <r>
    <x v="871"/>
    <n v="-0.26800000000000002"/>
    <d v="2018-09-03T00:00:00"/>
    <n v="0.25800000000000001"/>
    <x v="1"/>
  </r>
  <r>
    <x v="872"/>
    <n v="-0.26900000000000002"/>
    <d v="2018-09-04T00:00:00"/>
    <n v="0.25700000000000001"/>
    <x v="1"/>
  </r>
  <r>
    <x v="873"/>
    <n v="-0.26900000000000002"/>
    <d v="2018-09-05T00:00:00"/>
    <n v="0.25700000000000001"/>
    <x v="1"/>
  </r>
  <r>
    <x v="874"/>
    <n v="-0.26900000000000002"/>
    <d v="2018-09-06T00:00:00"/>
    <n v="0.255"/>
    <x v="1"/>
  </r>
  <r>
    <x v="875"/>
    <n v="-0.26900000000000002"/>
    <d v="2018-09-07T00:00:00"/>
    <n v="0.25600000000000001"/>
    <x v="1"/>
  </r>
  <r>
    <x v="876"/>
    <n v="-0.26900000000000002"/>
    <d v="2018-09-10T00:00:00"/>
    <n v="0.25900000000000001"/>
    <x v="1"/>
  </r>
  <r>
    <x v="877"/>
    <n v="-0.26900000000000002"/>
    <d v="2018-09-11T00:00:00"/>
    <n v="0.26400000000000001"/>
    <x v="1"/>
  </r>
  <r>
    <x v="878"/>
    <n v="-0.26900000000000002"/>
    <d v="2018-09-12T00:00:00"/>
    <n v="0.26800000000000002"/>
    <x v="1"/>
  </r>
  <r>
    <x v="879"/>
    <n v="-0.26900000000000002"/>
    <d v="2018-09-13T00:00:00"/>
    <n v="0.27200000000000002"/>
    <x v="1"/>
  </r>
  <r>
    <x v="880"/>
    <n v="-0.26900000000000002"/>
    <d v="2018-09-14T00:00:00"/>
    <n v="0.27700000000000002"/>
    <x v="1"/>
  </r>
  <r>
    <x v="881"/>
    <n v="-0.26800000000000002"/>
    <d v="2018-09-17T00:00:00"/>
    <n v="0.28299999999999997"/>
    <x v="1"/>
  </r>
  <r>
    <x v="882"/>
    <n v="-0.26800000000000002"/>
    <d v="2018-09-18T00:00:00"/>
    <n v="0.28899999999999998"/>
    <x v="1"/>
  </r>
  <r>
    <x v="883"/>
    <n v="-0.26700000000000002"/>
    <d v="2018-09-19T00:00:00"/>
    <n v="0.29399999999999998"/>
    <x v="1"/>
  </r>
  <r>
    <x v="884"/>
    <n v="-0.26800000000000002"/>
    <d v="2018-09-20T00:00:00"/>
    <n v="0.29899999999999999"/>
    <x v="1"/>
  </r>
  <r>
    <x v="885"/>
    <n v="-0.26800000000000002"/>
    <d v="2018-09-21T00:00:00"/>
    <n v="0.30399999999999999"/>
    <x v="1"/>
  </r>
  <r>
    <x v="886"/>
    <n v="-0.26700000000000002"/>
    <d v="2018-09-24T00:00:00"/>
    <n v="0.308"/>
    <x v="1"/>
  </r>
  <r>
    <x v="887"/>
    <n v="-0.26700000000000002"/>
    <d v="2018-09-25T00:00:00"/>
    <n v="0.314"/>
    <x v="1"/>
  </r>
  <r>
    <x v="888"/>
    <n v="-0.26700000000000002"/>
    <d v="2018-09-26T00:00:00"/>
    <n v="0.31900000000000001"/>
    <x v="1"/>
  </r>
  <r>
    <x v="889"/>
    <n v="-0.26800000000000002"/>
    <d v="2018-09-27T00:00:00"/>
    <n v="0.32400000000000001"/>
    <x v="1"/>
  </r>
  <r>
    <x v="890"/>
    <n v="-0.26800000000000002"/>
    <d v="2018-09-28T00:00:00"/>
    <n v="0.32900000000000001"/>
    <x v="1"/>
  </r>
  <r>
    <x v="891"/>
    <n v="-0.26800000000000002"/>
    <d v="2018-10-01T00:00:00"/>
    <n v="0.33500000000000002"/>
    <x v="1"/>
  </r>
  <r>
    <x v="892"/>
    <n v="-0.26800000000000002"/>
    <d v="2018-10-02T00:00:00"/>
    <n v="0.33800000000000002"/>
    <x v="1"/>
  </r>
  <r>
    <x v="893"/>
    <n v="-0.26700000000000002"/>
    <d v="2018-10-03T00:00:00"/>
    <n v="0.34100000000000003"/>
    <x v="1"/>
  </r>
  <r>
    <x v="894"/>
    <n v="-0.26800000000000002"/>
    <d v="2018-10-04T00:00:00"/>
    <n v="0.34599999999999997"/>
    <x v="1"/>
  </r>
  <r>
    <x v="895"/>
    <n v="-0.26700000000000002"/>
    <d v="2018-10-05T00:00:00"/>
    <n v="0.35199999999999998"/>
    <x v="1"/>
  </r>
  <r>
    <x v="896"/>
    <n v="-0.26700000000000002"/>
    <d v="2018-10-08T00:00:00"/>
    <n v="0.35699999999999998"/>
    <x v="1"/>
  </r>
  <r>
    <x v="897"/>
    <n v="-0.26800000000000002"/>
    <d v="2018-10-09T00:00:00"/>
    <n v="0.36099999999999999"/>
    <x v="1"/>
  </r>
  <r>
    <x v="898"/>
    <n v="-0.26800000000000002"/>
    <d v="2018-10-10T00:00:00"/>
    <n v="0.36599999999999999"/>
    <x v="1"/>
  </r>
  <r>
    <x v="899"/>
    <n v="-0.26700000000000002"/>
    <d v="2018-10-11T00:00:00"/>
    <n v="0.36899999999999999"/>
    <x v="1"/>
  </r>
  <r>
    <x v="900"/>
    <n v="-0.26700000000000002"/>
    <d v="2018-10-12T00:00:00"/>
    <n v="0.372"/>
    <x v="1"/>
  </r>
  <r>
    <x v="901"/>
    <n v="-0.26600000000000001"/>
    <d v="2018-10-15T00:00:00"/>
    <n v="0.373"/>
    <x v="1"/>
  </r>
  <r>
    <x v="902"/>
    <n v="-0.26500000000000001"/>
    <d v="2018-10-16T00:00:00"/>
    <n v="0.374"/>
    <x v="1"/>
  </r>
  <r>
    <x v="903"/>
    <n v="-0.26600000000000001"/>
    <d v="2018-10-17T00:00:00"/>
    <n v="0.372"/>
    <x v="1"/>
  </r>
  <r>
    <x v="904"/>
    <n v="-0.26500000000000001"/>
    <d v="2018-10-18T00:00:00"/>
    <n v="0.40500000000000003"/>
    <x v="1"/>
  </r>
  <r>
    <x v="905"/>
    <n v="-0.26200000000000001"/>
    <d v="2018-10-19T00:00:00"/>
    <n v="0.40300000000000002"/>
    <x v="1"/>
  </r>
  <r>
    <x v="906"/>
    <n v="-0.26100000000000001"/>
    <d v="2018-10-22T00:00:00"/>
    <n v="0.40200000000000002"/>
    <x v="1"/>
  </r>
  <r>
    <x v="907"/>
    <n v="-0.25900000000000001"/>
    <d v="2018-10-23T00:00:00"/>
    <n v="0.39700000000000002"/>
    <x v="1"/>
  </r>
  <r>
    <x v="908"/>
    <n v="-0.25900000000000001"/>
    <d v="2018-10-24T00:00:00"/>
    <n v="0.39200000000000002"/>
    <x v="1"/>
  </r>
  <r>
    <x v="909"/>
    <n v="-0.25900000000000001"/>
    <d v="2018-10-25T00:00:00"/>
    <n v="0.38700000000000001"/>
    <x v="1"/>
  </r>
  <r>
    <x v="910"/>
    <n v="-0.25900000000000001"/>
    <m/>
    <n v="0.38700000000000001"/>
    <x v="1"/>
  </r>
  <r>
    <x v="911"/>
    <n v="-0.25900000000000001"/>
    <d v="2018-10-29T00:00:00"/>
    <n v="0.38300000000000001"/>
    <x v="1"/>
  </r>
  <r>
    <x v="912"/>
    <n v="-0.25900000000000001"/>
    <d v="2018-10-30T00:00:00"/>
    <n v="0.378"/>
    <x v="1"/>
  </r>
  <r>
    <x v="913"/>
    <n v="-0.25900000000000001"/>
    <d v="2018-10-31T00:00:00"/>
    <n v="0.375"/>
    <x v="1"/>
  </r>
  <r>
    <x v="914"/>
    <n v="-0.25800000000000001"/>
    <m/>
    <n v="0.375"/>
    <x v="8"/>
  </r>
  <r>
    <x v="915"/>
    <n v="-0.25800000000000001"/>
    <d v="2018-11-02T00:00:00"/>
    <n v="0.373"/>
    <x v="1"/>
  </r>
  <r>
    <x v="916"/>
    <n v="-0.25700000000000001"/>
    <d v="2018-11-05T00:00:00"/>
    <n v="0.36899999999999999"/>
    <x v="1"/>
  </r>
  <r>
    <x v="917"/>
    <n v="-0.25800000000000001"/>
    <d v="2018-11-06T00:00:00"/>
    <n v="0.36299999999999999"/>
    <x v="1"/>
  </r>
  <r>
    <x v="918"/>
    <n v="-0.25800000000000001"/>
    <d v="2018-11-07T00:00:00"/>
    <n v="0.35899999999999999"/>
    <x v="1"/>
  </r>
  <r>
    <x v="919"/>
    <n v="-0.25700000000000001"/>
    <d v="2018-11-08T00:00:00"/>
    <n v="0.35499999999999998"/>
    <x v="1"/>
  </r>
  <r>
    <x v="920"/>
    <n v="-0.25700000000000001"/>
    <d v="2018-11-09T00:00:00"/>
    <n v="0.34899999999999998"/>
    <x v="1"/>
  </r>
  <r>
    <x v="921"/>
    <n v="-0.25700000000000001"/>
    <d v="2018-11-12T00:00:00"/>
    <n v="0.34399999999999997"/>
    <x v="1"/>
  </r>
  <r>
    <x v="922"/>
    <n v="-0.25700000000000001"/>
    <d v="2018-11-13T00:00:00"/>
    <n v="0.34"/>
    <x v="1"/>
  </r>
  <r>
    <x v="923"/>
    <n v="-0.25700000000000001"/>
    <d v="2018-11-14T00:00:00"/>
    <n v="0.33700000000000002"/>
    <x v="1"/>
  </r>
  <r>
    <x v="924"/>
    <n v="-0.25700000000000001"/>
    <d v="2018-11-15T00:00:00"/>
    <n v="0.33300000000000002"/>
    <x v="1"/>
  </r>
  <r>
    <x v="925"/>
    <n v="-0.25700000000000001"/>
    <d v="2018-11-16T00:00:00"/>
    <n v="0.33"/>
    <x v="1"/>
  </r>
  <r>
    <x v="926"/>
    <n v="-0.25700000000000001"/>
    <d v="2018-11-19T00:00:00"/>
    <n v="0.32800000000000001"/>
    <x v="1"/>
  </r>
  <r>
    <x v="927"/>
    <n v="-0.25700000000000001"/>
    <d v="2018-11-20T00:00:00"/>
    <n v="0.32700000000000001"/>
    <x v="1"/>
  </r>
  <r>
    <x v="928"/>
    <n v="-0.25700000000000001"/>
    <d v="2018-11-21T00:00:00"/>
    <n v="0.32400000000000001"/>
    <x v="1"/>
  </r>
  <r>
    <x v="929"/>
    <n v="-0.25700000000000001"/>
    <d v="2018-11-22T00:00:00"/>
    <n v="0.32600000000000001"/>
    <x v="1"/>
  </r>
  <r>
    <x v="930"/>
    <n v="-0.25700000000000001"/>
    <d v="2018-11-23T00:00:00"/>
    <n v="0.32500000000000001"/>
    <x v="1"/>
  </r>
  <r>
    <x v="931"/>
    <n v="-0.25600000000000001"/>
    <d v="2018-11-26T00:00:00"/>
    <n v="0.32500000000000001"/>
    <x v="1"/>
  </r>
  <r>
    <x v="932"/>
    <n v="-0.25600000000000001"/>
    <d v="2018-11-27T00:00:00"/>
    <n v="0.32500000000000001"/>
    <x v="1"/>
  </r>
  <r>
    <x v="933"/>
    <n v="-0.25600000000000001"/>
    <d v="2018-11-28T00:00:00"/>
    <n v="0.32600000000000001"/>
    <x v="1"/>
  </r>
  <r>
    <x v="934"/>
    <n v="-0.253"/>
    <d v="2018-11-29T00:00:00"/>
    <n v="0.32500000000000001"/>
    <x v="1"/>
  </r>
  <r>
    <x v="935"/>
    <n v="-0.251"/>
    <d v="2018-11-30T00:00:00"/>
    <n v="0.32200000000000001"/>
    <x v="1"/>
  </r>
  <r>
    <x v="936"/>
    <n v="-0.248"/>
    <d v="2018-12-03T00:00:00"/>
    <n v="0.32"/>
    <x v="1"/>
  </r>
  <r>
    <x v="937"/>
    <n v="-0.247"/>
    <d v="2018-12-04T00:00:00"/>
    <n v="0.316"/>
    <x v="1"/>
  </r>
  <r>
    <x v="938"/>
    <n v="-0.246"/>
    <d v="2018-12-05T00:00:00"/>
    <n v="0.311"/>
    <x v="1"/>
  </r>
  <r>
    <x v="939"/>
    <n v="-0.246"/>
    <d v="2018-12-06T00:00:00"/>
    <n v="0.30399999999999999"/>
    <x v="1"/>
  </r>
  <r>
    <x v="940"/>
    <n v="-0.246"/>
    <d v="2018-12-07T00:00:00"/>
    <n v="0.3"/>
    <x v="1"/>
  </r>
  <r>
    <x v="941"/>
    <n v="-0.245"/>
    <d v="2018-12-10T00:00:00"/>
    <n v="0.29599999999999999"/>
    <x v="1"/>
  </r>
  <r>
    <x v="942"/>
    <n v="-0.24399999999999999"/>
    <d v="2018-12-11T00:00:00"/>
    <n v="0.29299999999999998"/>
    <x v="1"/>
  </r>
  <r>
    <x v="943"/>
    <n v="-0.24099999999999999"/>
    <d v="2018-12-12T00:00:00"/>
    <n v="0.28899999999999998"/>
    <x v="1"/>
  </r>
  <r>
    <x v="944"/>
    <n v="-0.23899999999999999"/>
    <d v="2018-12-13T00:00:00"/>
    <n v="0.28799999999999998"/>
    <x v="1"/>
  </r>
  <r>
    <x v="945"/>
    <n v="-0.23799999999999999"/>
    <d v="2018-12-14T00:00:00"/>
    <n v="0.28499999999999998"/>
    <x v="1"/>
  </r>
  <r>
    <x v="946"/>
    <n v="-0.23699999999999999"/>
    <d v="2018-12-17T00:00:00"/>
    <n v="0.28100000000000003"/>
    <x v="1"/>
  </r>
  <r>
    <x v="947"/>
    <n v="-0.23799999999999999"/>
    <d v="2018-12-18T00:00:00"/>
    <n v="0.27700000000000002"/>
    <x v="1"/>
  </r>
  <r>
    <x v="948"/>
    <n v="-0.23799999999999999"/>
    <d v="2018-12-19T00:00:00"/>
    <n v="0.27300000000000002"/>
    <x v="1"/>
  </r>
  <r>
    <x v="949"/>
    <n v="-0.23799999999999999"/>
    <d v="2018-12-20T00:00:00"/>
    <n v="0.26800000000000002"/>
    <x v="1"/>
  </r>
  <r>
    <x v="950"/>
    <n v="-0.23799999999999999"/>
    <d v="2018-12-21T00:00:00"/>
    <n v="0.26400000000000001"/>
    <x v="1"/>
  </r>
  <r>
    <x v="951"/>
    <n v="-0.23699999999999999"/>
    <m/>
    <n v="0.26400000000000001"/>
    <x v="1"/>
  </r>
  <r>
    <x v="952"/>
    <n v="-0.23699999999999999"/>
    <m/>
    <n v="0.26400000000000001"/>
    <x v="1"/>
  </r>
  <r>
    <x v="953"/>
    <n v="-0.23699999999999999"/>
    <m/>
    <n v="0.26400000000000001"/>
    <x v="1"/>
  </r>
  <r>
    <x v="954"/>
    <n v="-0.23699999999999999"/>
    <d v="2018-12-27T00:00:00"/>
    <n v="0.25900000000000001"/>
    <x v="1"/>
  </r>
  <r>
    <x v="955"/>
    <n v="-0.23599999999999999"/>
    <d v="2018-12-28T00:00:00"/>
    <n v="0.255"/>
    <x v="1"/>
  </r>
  <r>
    <x v="956"/>
    <n v="-0.23699999999999999"/>
    <d v="2018-12-31T00:00:00"/>
    <n v="0.251"/>
    <x v="1"/>
  </r>
  <r>
    <x v="957"/>
    <n v="-0.23699999999999999"/>
    <m/>
    <n v="0.251"/>
    <x v="1"/>
  </r>
  <r>
    <x v="958"/>
    <n v="-0.23799999999999999"/>
    <d v="2019-01-02T00:00:00"/>
    <n v="0.245"/>
    <x v="1"/>
  </r>
  <r>
    <x v="959"/>
    <n v="-0.23699999999999999"/>
    <d v="2019-01-03T00:00:00"/>
    <n v="0.24"/>
    <x v="1"/>
  </r>
  <r>
    <x v="960"/>
    <n v="-0.23699999999999999"/>
    <d v="2019-01-04T00:00:00"/>
    <n v="0.23599999999999999"/>
    <x v="1"/>
  </r>
  <r>
    <x v="961"/>
    <n v="-0.23599999999999999"/>
    <d v="2019-01-07T00:00:00"/>
    <n v="0.23400000000000001"/>
    <x v="1"/>
  </r>
  <r>
    <x v="962"/>
    <n v="-0.23599999999999999"/>
    <d v="2019-01-08T00:00:00"/>
    <n v="0.23499999999999999"/>
    <x v="1"/>
  </r>
  <r>
    <x v="963"/>
    <n v="-0.23599999999999999"/>
    <d v="2019-01-09T00:00:00"/>
    <n v="0.23499999999999999"/>
    <x v="1"/>
  </r>
  <r>
    <x v="964"/>
    <n v="-0.23599999999999999"/>
    <d v="2019-01-10T00:00:00"/>
    <n v="0.23899999999999999"/>
    <x v="1"/>
  </r>
  <r>
    <x v="965"/>
    <n v="-0.23599999999999999"/>
    <d v="2019-01-11T00:00:00"/>
    <n v="0.23699999999999999"/>
    <x v="1"/>
  </r>
  <r>
    <x v="966"/>
    <n v="-0.23599999999999999"/>
    <d v="2019-01-14T00:00:00"/>
    <n v="0.23400000000000001"/>
    <x v="1"/>
  </r>
  <r>
    <x v="967"/>
    <n v="-0.23599999999999999"/>
    <d v="2019-01-15T00:00:00"/>
    <n v="0.23"/>
    <x v="1"/>
  </r>
  <r>
    <x v="968"/>
    <n v="-0.23599999999999999"/>
    <d v="2019-01-16T00:00:00"/>
    <n v="0.22600000000000001"/>
    <x v="1"/>
  </r>
  <r>
    <x v="969"/>
    <n v="-0.23599999999999999"/>
    <d v="2019-01-17T00:00:00"/>
    <n v="0.224"/>
    <x v="1"/>
  </r>
  <r>
    <x v="970"/>
    <n v="-0.23499999999999999"/>
    <d v="2019-01-18T00:00:00"/>
    <n v="0.223"/>
    <x v="1"/>
  </r>
  <r>
    <x v="971"/>
    <n v="-0.23599999999999999"/>
    <d v="2019-01-21T00:00:00"/>
    <n v="0.222"/>
    <x v="1"/>
  </r>
  <r>
    <x v="972"/>
    <n v="-0.23699999999999999"/>
    <d v="2019-01-22T00:00:00"/>
    <n v="0.221"/>
    <x v="1"/>
  </r>
  <r>
    <x v="973"/>
    <n v="-0.23699999999999999"/>
    <d v="2019-01-23T00:00:00"/>
    <n v="0.22"/>
    <x v="1"/>
  </r>
  <r>
    <x v="974"/>
    <n v="-0.23599999999999999"/>
    <d v="2019-01-24T00:00:00"/>
    <n v="0.217"/>
    <x v="1"/>
  </r>
  <r>
    <x v="975"/>
    <n v="-0.23699999999999999"/>
    <d v="2019-01-25T00:00:00"/>
    <n v="0.216"/>
    <x v="1"/>
  </r>
  <r>
    <x v="976"/>
    <n v="-0.23699999999999999"/>
    <d v="2019-01-28T00:00:00"/>
    <n v="0.214"/>
    <x v="1"/>
  </r>
  <r>
    <x v="977"/>
    <n v="-0.23699999999999999"/>
    <d v="2019-01-29T00:00:00"/>
    <n v="0.21299999999999999"/>
    <x v="1"/>
  </r>
  <r>
    <x v="978"/>
    <n v="-0.23599999999999999"/>
    <d v="2019-01-30T00:00:00"/>
    <n v="0.214"/>
    <x v="1"/>
  </r>
  <r>
    <x v="979"/>
    <n v="-0.23599999999999999"/>
    <d v="2019-01-31T00:00:00"/>
    <n v="0.214"/>
    <x v="1"/>
  </r>
  <r>
    <x v="980"/>
    <n v="-0.23499999999999999"/>
    <d v="2019-02-01T00:00:00"/>
    <n v="0.21199999999999999"/>
    <x v="1"/>
  </r>
  <r>
    <x v="981"/>
    <n v="-0.23499999999999999"/>
    <d v="2019-02-04T00:00:00"/>
    <n v="0.20899999999999999"/>
    <x v="1"/>
  </r>
  <r>
    <x v="982"/>
    <n v="-0.23400000000000001"/>
    <d v="2019-02-05T00:00:00"/>
    <n v="0.215"/>
    <x v="1"/>
  </r>
  <r>
    <x v="983"/>
    <n v="-0.23400000000000001"/>
    <d v="2019-02-06T00:00:00"/>
    <n v="0.21199999999999999"/>
    <x v="1"/>
  </r>
  <r>
    <x v="984"/>
    <n v="-0.23300000000000001"/>
    <d v="2019-02-07T00:00:00"/>
    <n v="0.20799999999999999"/>
    <x v="1"/>
  </r>
  <r>
    <x v="985"/>
    <n v="-0.23300000000000001"/>
    <d v="2019-02-08T00:00:00"/>
    <n v="0.20399999999999999"/>
    <x v="1"/>
  </r>
  <r>
    <x v="986"/>
    <n v="-0.23200000000000001"/>
    <d v="2019-02-11T00:00:00"/>
    <n v="0.20200000000000001"/>
    <x v="1"/>
  </r>
  <r>
    <x v="987"/>
    <n v="-0.23100000000000001"/>
    <d v="2019-02-12T00:00:00"/>
    <n v="0.2"/>
    <x v="1"/>
  </r>
  <r>
    <x v="988"/>
    <n v="-0.23100000000000001"/>
    <d v="2019-02-13T00:00:00"/>
    <n v="0.19900000000000001"/>
    <x v="1"/>
  </r>
  <r>
    <x v="989"/>
    <n v="-0.23100000000000001"/>
    <d v="2019-02-14T00:00:00"/>
    <n v="0.19600000000000001"/>
    <x v="1"/>
  </r>
  <r>
    <x v="990"/>
    <n v="-0.23200000000000001"/>
    <d v="2019-02-15T00:00:00"/>
    <n v="0.192"/>
    <x v="1"/>
  </r>
  <r>
    <x v="991"/>
    <n v="-0.23200000000000001"/>
    <d v="2019-02-18T00:00:00"/>
    <n v="0.189"/>
    <x v="1"/>
  </r>
  <r>
    <x v="992"/>
    <n v="-0.23200000000000001"/>
    <d v="2019-02-19T00:00:00"/>
    <n v="0.185"/>
    <x v="1"/>
  </r>
  <r>
    <x v="993"/>
    <n v="-0.23100000000000001"/>
    <d v="2019-02-20T00:00:00"/>
    <n v="0.182"/>
    <x v="1"/>
  </r>
  <r>
    <x v="994"/>
    <n v="-0.23100000000000001"/>
    <d v="2019-02-21T00:00:00"/>
    <n v="0.18099999999999999"/>
    <x v="1"/>
  </r>
  <r>
    <x v="995"/>
    <n v="-0.23100000000000001"/>
    <d v="2019-02-22T00:00:00"/>
    <n v="0.17899999999999999"/>
    <x v="1"/>
  </r>
  <r>
    <x v="996"/>
    <n v="-0.23"/>
    <d v="2019-02-25T00:00:00"/>
    <n v="0.17699999999999999"/>
    <x v="1"/>
  </r>
  <r>
    <x v="997"/>
    <n v="-0.23"/>
    <d v="2019-02-26T00:00:00"/>
    <n v="0.17499999999999999"/>
    <x v="1"/>
  </r>
  <r>
    <x v="998"/>
    <n v="-0.22900000000000001"/>
    <d v="2019-02-27T00:00:00"/>
    <n v="0.17399999999999999"/>
    <x v="1"/>
  </r>
  <r>
    <x v="999"/>
    <n v="-0.22900000000000001"/>
    <d v="2019-02-28T00:00:00"/>
    <n v="0.17499999999999999"/>
    <x v="1"/>
  </r>
  <r>
    <x v="1000"/>
    <n v="-0.23"/>
    <d v="2019-03-01T00:00:00"/>
    <n v="0.17799999999999999"/>
    <x v="1"/>
  </r>
  <r>
    <x v="1001"/>
    <n v="-0.23"/>
    <d v="2019-03-04T00:00:00"/>
    <n v="0.17899999999999999"/>
    <x v="1"/>
  </r>
  <r>
    <x v="1002"/>
    <n v="-0.23100000000000001"/>
    <d v="2019-03-05T00:00:00"/>
    <n v="0.18"/>
    <x v="1"/>
  </r>
  <r>
    <x v="1003"/>
    <n v="-0.23200000000000001"/>
    <d v="2019-03-06T00:00:00"/>
    <n v="0.17899999999999999"/>
    <x v="1"/>
  </r>
  <r>
    <x v="1004"/>
    <n v="-0.23100000000000001"/>
    <d v="2019-03-07T00:00:00"/>
    <n v="0.18099999999999999"/>
    <x v="1"/>
  </r>
  <r>
    <x v="1005"/>
    <n v="-0.23200000000000001"/>
    <d v="2019-03-08T00:00:00"/>
    <n v="0.18"/>
    <x v="1"/>
  </r>
  <r>
    <x v="1006"/>
    <n v="-0.23200000000000001"/>
    <d v="2019-03-11T00:00:00"/>
    <n v="0.17799999999999999"/>
    <x v="1"/>
  </r>
  <r>
    <x v="1007"/>
    <n v="-0.23100000000000001"/>
    <d v="2019-03-12T00:00:00"/>
    <n v="0.17599999999999999"/>
    <x v="1"/>
  </r>
  <r>
    <x v="1008"/>
    <n v="-0.23200000000000001"/>
    <d v="2019-03-13T00:00:00"/>
    <n v="0.17299999999999999"/>
    <x v="1"/>
  </r>
  <r>
    <x v="1009"/>
    <n v="-0.23200000000000001"/>
    <d v="2019-03-14T00:00:00"/>
    <n v="0.17100000000000001"/>
    <x v="1"/>
  </r>
  <r>
    <x v="1010"/>
    <n v="-0.23200000000000001"/>
    <d v="2019-03-15T00:00:00"/>
    <n v="0.16900000000000001"/>
    <x v="1"/>
  </r>
  <r>
    <x v="1011"/>
    <n v="-0.23100000000000001"/>
    <d v="2019-03-18T00:00:00"/>
    <n v="0.16800000000000001"/>
    <x v="1"/>
  </r>
  <r>
    <x v="1012"/>
    <n v="-0.23200000000000001"/>
    <d v="2019-03-19T00:00:00"/>
    <n v="0.16600000000000001"/>
    <x v="1"/>
  </r>
  <r>
    <x v="1013"/>
    <n v="-0.23100000000000001"/>
    <d v="2019-03-20T00:00:00"/>
    <n v="0.16500000000000001"/>
    <x v="1"/>
  </r>
  <r>
    <x v="1014"/>
    <n v="-0.22900000000000001"/>
    <d v="2019-03-21T00:00:00"/>
    <n v="0.161"/>
    <x v="1"/>
  </r>
  <r>
    <x v="1015"/>
    <n v="-0.22800000000000001"/>
    <d v="2019-03-22T00:00:00"/>
    <n v="0.155"/>
    <x v="1"/>
  </r>
  <r>
    <x v="1016"/>
    <n v="-0.22800000000000001"/>
    <d v="2019-03-25T00:00:00"/>
    <n v="0.14899999999999999"/>
    <x v="1"/>
  </r>
  <r>
    <x v="1017"/>
    <n v="-0.22800000000000001"/>
    <d v="2019-03-26T00:00:00"/>
    <n v="0.14199999999999999"/>
    <x v="1"/>
  </r>
  <r>
    <x v="1018"/>
    <n v="-0.22700000000000001"/>
    <d v="2019-03-27T00:00:00"/>
    <n v="0.13300000000000001"/>
    <x v="1"/>
  </r>
  <r>
    <x v="1019"/>
    <n v="-0.22800000000000001"/>
    <d v="2019-03-28T00:00:00"/>
    <n v="0.123"/>
    <x v="1"/>
  </r>
  <r>
    <x v="1020"/>
    <n v="-0.22800000000000001"/>
    <d v="2019-03-29T00:00:00"/>
    <n v="0.112"/>
    <x v="1"/>
  </r>
  <r>
    <x v="1021"/>
    <n v="-0.22800000000000001"/>
    <d v="2019-04-01T00:00:00"/>
    <n v="0.10299999999999999"/>
    <x v="1"/>
  </r>
  <r>
    <x v="1022"/>
    <n v="-0.23"/>
    <d v="2019-04-02T00:00:00"/>
    <n v="9.2999999999999999E-2"/>
    <x v="1"/>
  </r>
  <r>
    <x v="1023"/>
    <n v="-0.23"/>
    <d v="2019-04-03T00:00:00"/>
    <n v="8.6999999999999994E-2"/>
    <x v="1"/>
  </r>
  <r>
    <x v="1024"/>
    <n v="-0.23"/>
    <d v="2019-04-04T00:00:00"/>
    <n v="8.3000000000000004E-2"/>
    <x v="1"/>
  </r>
  <r>
    <x v="1025"/>
    <n v="-0.23100000000000001"/>
    <d v="2019-04-05T00:00:00"/>
    <n v="0.08"/>
    <x v="1"/>
  </r>
  <r>
    <x v="1026"/>
    <n v="-0.23100000000000001"/>
    <d v="2019-04-08T00:00:00"/>
    <n v="7.5999999999999998E-2"/>
    <x v="1"/>
  </r>
  <r>
    <x v="1027"/>
    <n v="-0.23100000000000001"/>
    <d v="2019-04-09T00:00:00"/>
    <n v="7.1999999999999995E-2"/>
    <x v="1"/>
  </r>
  <r>
    <x v="1028"/>
    <n v="-0.23100000000000001"/>
    <d v="2019-04-10T00:00:00"/>
    <n v="6.8000000000000005E-2"/>
    <x v="1"/>
  </r>
  <r>
    <x v="1029"/>
    <n v="-0.23200000000000001"/>
    <d v="2019-04-11T00:00:00"/>
    <n v="6.3E-2"/>
    <x v="1"/>
  </r>
  <r>
    <x v="1030"/>
    <n v="-0.23200000000000001"/>
    <d v="2019-04-12T00:00:00"/>
    <n v="0.06"/>
    <x v="1"/>
  </r>
  <r>
    <x v="1031"/>
    <n v="-0.23100000000000001"/>
    <d v="2019-04-15T00:00:00"/>
    <n v="5.8000000000000003E-2"/>
    <x v="1"/>
  </r>
  <r>
    <x v="1032"/>
    <n v="-0.23200000000000001"/>
    <d v="2019-04-16T00:00:00"/>
    <n v="5.6000000000000001E-2"/>
    <x v="1"/>
  </r>
  <r>
    <x v="1033"/>
    <n v="-0.23200000000000001"/>
    <d v="2019-04-17T00:00:00"/>
    <n v="5.5E-2"/>
    <x v="1"/>
  </r>
  <r>
    <x v="1034"/>
    <n v="-0.23200000000000001"/>
    <d v="2019-04-18T00:00:00"/>
    <n v="5.3999999999999999E-2"/>
    <x v="1"/>
  </r>
  <r>
    <x v="1035"/>
    <n v="-0.23200000000000001"/>
    <d v="2019-04-19T00:00:00"/>
    <n v="5.5E-2"/>
    <x v="1"/>
  </r>
  <r>
    <x v="1036"/>
    <n v="-0.23200000000000001"/>
    <m/>
    <n v="5.5E-2"/>
    <x v="1"/>
  </r>
  <r>
    <x v="1037"/>
    <n v="-0.23"/>
    <d v="2019-04-23T00:00:00"/>
    <n v="5.7000000000000002E-2"/>
    <x v="1"/>
  </r>
  <r>
    <x v="1038"/>
    <n v="-0.23100000000000001"/>
    <d v="2019-04-24T00:00:00"/>
    <n v="5.7000000000000002E-2"/>
    <x v="1"/>
  </r>
  <r>
    <x v="1039"/>
    <n v="-0.23"/>
    <d v="2019-04-25T00:00:00"/>
    <n v="5.8999999999999997E-2"/>
    <x v="1"/>
  </r>
  <r>
    <x v="1040"/>
    <n v="-0.22900000000000001"/>
    <d v="2019-04-26T00:00:00"/>
    <n v="6.0999999999999999E-2"/>
    <x v="1"/>
  </r>
  <r>
    <x v="1041"/>
    <n v="-0.23100000000000001"/>
    <d v="2019-04-29T00:00:00"/>
    <n v="6.3E-2"/>
    <x v="1"/>
  </r>
  <r>
    <x v="1042"/>
    <n v="-0.23100000000000001"/>
    <d v="2019-04-30T00:00:00"/>
    <n v="6.5000000000000002E-2"/>
    <x v="1"/>
  </r>
  <r>
    <x v="1043"/>
    <n v="-0.23100000000000001"/>
    <m/>
    <n v="6.5000000000000002E-2"/>
    <x v="9"/>
  </r>
  <r>
    <x v="1044"/>
    <n v="-0.23200000000000001"/>
    <d v="2019-05-02T00:00:00"/>
    <n v="6.6000000000000003E-2"/>
    <x v="1"/>
  </r>
  <r>
    <x v="1045"/>
    <n v="-0.23"/>
    <d v="2019-05-03T00:00:00"/>
    <n v="6.6000000000000003E-2"/>
    <x v="1"/>
  </r>
  <r>
    <x v="1046"/>
    <n v="-0.23"/>
    <d v="2019-05-06T00:00:00"/>
    <n v="6.6000000000000003E-2"/>
    <x v="1"/>
  </r>
  <r>
    <x v="1047"/>
    <n v="-0.22900000000000001"/>
    <d v="2019-05-07T00:00:00"/>
    <n v="6.3E-2"/>
    <x v="1"/>
  </r>
  <r>
    <x v="1048"/>
    <n v="-0.23"/>
    <d v="2019-05-08T00:00:00"/>
    <n v="6.0999999999999999E-2"/>
    <x v="1"/>
  </r>
  <r>
    <x v="1049"/>
    <n v="-0.23100000000000001"/>
    <d v="2019-05-09T00:00:00"/>
    <n v="5.8999999999999997E-2"/>
    <x v="1"/>
  </r>
  <r>
    <x v="1050"/>
    <n v="-0.23100000000000001"/>
    <d v="2019-05-10T00:00:00"/>
    <n v="5.8000000000000003E-2"/>
    <x v="1"/>
  </r>
  <r>
    <x v="1051"/>
    <n v="-0.23100000000000001"/>
    <d v="2019-05-13T00:00:00"/>
    <n v="5.7000000000000002E-2"/>
    <x v="1"/>
  </r>
  <r>
    <x v="1052"/>
    <n v="-0.23200000000000001"/>
    <d v="2019-05-14T00:00:00"/>
    <n v="5.2999999999999999E-2"/>
    <x v="1"/>
  </r>
  <r>
    <x v="1053"/>
    <n v="-0.23499999999999999"/>
    <d v="2019-05-15T00:00:00"/>
    <n v="4.7E-2"/>
    <x v="1"/>
  </r>
  <r>
    <x v="1054"/>
    <n v="-0.23699999999999999"/>
    <d v="2019-05-16T00:00:00"/>
    <n v="4.1000000000000002E-2"/>
    <x v="1"/>
  </r>
  <r>
    <x v="1055"/>
    <n v="-0.24"/>
    <d v="2019-05-17T00:00:00"/>
    <n v="3.4000000000000002E-2"/>
    <x v="1"/>
  </r>
  <r>
    <x v="1056"/>
    <n v="-0.24099999999999999"/>
    <d v="2019-05-20T00:00:00"/>
    <n v="2.9000000000000001E-2"/>
    <x v="1"/>
  </r>
  <r>
    <x v="1057"/>
    <n v="-0.24399999999999999"/>
    <d v="2019-05-21T00:00:00"/>
    <n v="2.8000000000000001E-2"/>
    <x v="1"/>
  </r>
  <r>
    <x v="1058"/>
    <n v="-0.24199999999999999"/>
    <d v="2019-05-22T00:00:00"/>
    <n v="2.5000000000000001E-2"/>
    <x v="1"/>
  </r>
  <r>
    <x v="1059"/>
    <n v="-0.24199999999999999"/>
    <d v="2019-05-23T00:00:00"/>
    <n v="2.1000000000000001E-2"/>
    <x v="1"/>
  </r>
  <r>
    <x v="1060"/>
    <n v="-0.24099999999999999"/>
    <d v="2019-05-24T00:00:00"/>
    <n v="1.7999999999999999E-2"/>
    <x v="1"/>
  </r>
  <r>
    <x v="1061"/>
    <n v="-0.24"/>
    <d v="2019-05-27T00:00:00"/>
    <n v="1.4E-2"/>
    <x v="1"/>
  </r>
  <r>
    <x v="1062"/>
    <n v="-0.24199999999999999"/>
    <d v="2019-05-28T00:00:00"/>
    <n v="8.9999999999999993E-3"/>
    <x v="1"/>
  </r>
  <r>
    <x v="1063"/>
    <n v="-0.245"/>
    <d v="2019-05-29T00:00:00"/>
    <n v="3.0000000000000001E-3"/>
    <x v="1"/>
  </r>
  <r>
    <x v="1064"/>
    <n v="-0.247"/>
    <m/>
    <n v="3.0000000000000001E-3"/>
    <x v="1"/>
  </r>
  <r>
    <x v="1065"/>
    <n v="-0.25"/>
    <d v="2019-05-31T00:00:00"/>
    <s v="−0,004"/>
    <x v="1"/>
  </r>
  <r>
    <x v="1066"/>
    <n v="-0.254"/>
    <d v="2019-06-03T00:00:00"/>
    <s v="−0,011"/>
    <x v="1"/>
  </r>
  <r>
    <x v="1067"/>
    <n v="-0.254"/>
    <d v="2019-06-04T00:00:00"/>
    <s v="−0,018"/>
    <x v="1"/>
  </r>
  <r>
    <x v="1068"/>
    <n v="-0.254"/>
    <d v="2019-06-05T00:00:00"/>
    <s v="−0,024"/>
    <x v="1"/>
  </r>
  <r>
    <x v="1069"/>
    <n v="-0.25900000000000001"/>
    <d v="2019-06-06T00:00:00"/>
    <s v="−0,028"/>
    <x v="1"/>
  </r>
  <r>
    <x v="1070"/>
    <n v="-0.25600000000000001"/>
    <d v="2019-06-07T00:00:00"/>
    <s v="−0,034"/>
    <x v="1"/>
  </r>
  <r>
    <x v="1071"/>
    <n v="-0.25800000000000001"/>
    <m/>
    <s v="−0,034"/>
    <x v="1"/>
  </r>
  <r>
    <x v="1072"/>
    <n v="-0.25800000000000001"/>
    <d v="2019-06-11T00:00:00"/>
    <s v="−0,042"/>
    <x v="1"/>
  </r>
  <r>
    <x v="1073"/>
    <n v="-0.25900000000000001"/>
    <d v="2019-06-12T00:00:00"/>
    <s v="−0,049"/>
    <x v="1"/>
  </r>
  <r>
    <x v="1074"/>
    <n v="-0.25900000000000001"/>
    <d v="2019-06-13T00:00:00"/>
    <s v="−0,055"/>
    <x v="1"/>
  </r>
  <r>
    <x v="1075"/>
    <n v="-0.26100000000000001"/>
    <d v="2019-06-14T00:00:00"/>
    <s v="−0,061"/>
    <x v="1"/>
  </r>
  <r>
    <x v="1076"/>
    <n v="-0.26800000000000002"/>
    <d v="2019-06-17T00:00:00"/>
    <s v="−0,068"/>
    <x v="1"/>
  </r>
  <r>
    <x v="1077"/>
    <n v="-0.27600000000000002"/>
    <d v="2019-06-18T00:00:00"/>
    <s v="−0,077"/>
    <x v="1"/>
  </r>
  <r>
    <x v="1078"/>
    <n v="-0.29899999999999999"/>
    <d v="2019-06-19T00:00:00"/>
    <s v="−0,086"/>
    <x v="1"/>
  </r>
  <r>
    <x v="1079"/>
    <n v="-0.30299999999999999"/>
    <m/>
    <s v="−0,086"/>
    <x v="1"/>
  </r>
  <r>
    <x v="1080"/>
    <n v="-0.308"/>
    <d v="2019-06-21T00:00:00"/>
    <s v="−0,096"/>
    <x v="1"/>
  </r>
  <r>
    <x v="1081"/>
    <n v="-0.308"/>
    <d v="2019-06-24T00:00:00"/>
    <s v="−0,106"/>
    <x v="1"/>
  </r>
  <r>
    <x v="1082"/>
    <n v="-0.311"/>
    <d v="2019-06-25T00:00:00"/>
    <s v="−0,115"/>
    <x v="1"/>
  </r>
  <r>
    <x v="1083"/>
    <n v="-0.311"/>
    <d v="2019-06-26T00:00:00"/>
    <s v="−0,125"/>
    <x v="1"/>
  </r>
  <r>
    <x v="1084"/>
    <n v="-0.313"/>
    <d v="2019-06-27T00:00:00"/>
    <s v="−0,132"/>
    <x v="1"/>
  </r>
  <r>
    <x v="1085"/>
    <n v="-0.311"/>
    <d v="2019-06-28T00:00:00"/>
    <s v="−0,140"/>
    <x v="1"/>
  </r>
  <r>
    <x v="1086"/>
    <n v="-0.313"/>
    <d v="2019-07-01T00:00:00"/>
    <s v="−0,149"/>
    <x v="1"/>
  </r>
  <r>
    <x v="1087"/>
    <n v="-0.32700000000000001"/>
    <d v="2019-07-02T00:00:00"/>
    <s v="−0,154"/>
    <x v="1"/>
  </r>
  <r>
    <x v="1088"/>
    <n v="-0.33500000000000002"/>
    <d v="2019-07-03T00:00:00"/>
    <s v="−0,163"/>
    <x v="1"/>
  </r>
  <r>
    <x v="1089"/>
    <n v="-0.33800000000000002"/>
    <d v="2019-07-04T00:00:00"/>
    <s v="−0,172"/>
    <x v="1"/>
  </r>
  <r>
    <x v="1090"/>
    <n v="-0.34399999999999997"/>
    <d v="2019-07-05T00:00:00"/>
    <s v="−0,180"/>
    <x v="1"/>
  </r>
  <r>
    <x v="1091"/>
    <n v="-0.33800000000000002"/>
    <d v="2019-07-08T00:00:00"/>
    <s v="−0,187"/>
    <x v="1"/>
  </r>
  <r>
    <x v="1092"/>
    <n v="-0.33600000000000002"/>
    <d v="2019-07-09T00:00:00"/>
    <s v="−0,193"/>
    <x v="1"/>
  </r>
  <r>
    <x v="1093"/>
    <n v="-0.32900000000000001"/>
    <d v="2019-07-10T00:00:00"/>
    <s v="−0,197"/>
    <x v="1"/>
  </r>
  <r>
    <x v="1094"/>
    <n v="-0.34200000000000003"/>
    <d v="2019-07-11T00:00:00"/>
    <s v="−0,200"/>
    <x v="1"/>
  </r>
  <r>
    <x v="1095"/>
    <n v="-0.34200000000000003"/>
    <d v="2019-07-12T00:00:00"/>
    <s v="−0,202"/>
    <x v="1"/>
  </r>
  <r>
    <x v="1096"/>
    <n v="-0.34300000000000003"/>
    <d v="2019-07-15T00:00:00"/>
    <s v="−0,175"/>
    <x v="1"/>
  </r>
  <r>
    <x v="1097"/>
    <n v="-0.35"/>
    <d v="2019-07-16T00:00:00"/>
    <s v="−0,179"/>
    <x v="1"/>
  </r>
  <r>
    <x v="1098"/>
    <n v="-0.35699999999999998"/>
    <d v="2019-07-17T00:00:00"/>
    <s v="−0,180"/>
    <x v="1"/>
  </r>
  <r>
    <x v="1099"/>
    <n v="-0.35299999999999998"/>
    <d v="2019-07-18T00:00:00"/>
    <s v="−0,183"/>
    <x v="1"/>
  </r>
  <r>
    <x v="1100"/>
    <n v="-0.35399999999999998"/>
    <d v="2019-07-19T00:00:00"/>
    <s v="−0,187"/>
    <x v="1"/>
  </r>
  <r>
    <x v="1101"/>
    <n v="-0.36099999999999999"/>
    <d v="2019-07-22T00:00:00"/>
    <s v="−0,191"/>
    <x v="1"/>
  </r>
  <r>
    <x v="1102"/>
    <n v="-0.36199999999999999"/>
    <d v="2019-07-23T00:00:00"/>
    <s v="−0,195"/>
    <x v="1"/>
  </r>
  <r>
    <x v="1103"/>
    <n v="-0.36799999999999999"/>
    <d v="2019-07-24T00:00:00"/>
    <s v="−0,200"/>
    <x v="1"/>
  </r>
  <r>
    <x v="1104"/>
    <n v="-0.36799999999999999"/>
    <d v="2019-07-25T00:00:00"/>
    <s v="−0,206"/>
    <x v="1"/>
  </r>
  <r>
    <x v="1105"/>
    <n v="-0.36199999999999999"/>
    <d v="2019-07-26T00:00:00"/>
    <s v="−0,210"/>
    <x v="1"/>
  </r>
  <r>
    <x v="1106"/>
    <n v="-0.35099999999999998"/>
    <d v="2019-07-29T00:00:00"/>
    <s v="−0,214"/>
    <x v="1"/>
  </r>
  <r>
    <x v="1107"/>
    <n v="-0.35499999999999998"/>
    <d v="2019-07-30T00:00:00"/>
    <s v="−0,217"/>
    <x v="1"/>
  </r>
  <r>
    <x v="1108"/>
    <n v="-0.36199999999999999"/>
    <d v="2019-07-31T00:00:00"/>
    <s v="−0,221"/>
    <x v="1"/>
  </r>
  <r>
    <x v="1109"/>
    <n v="-0.36299999999999999"/>
    <d v="2019-08-01T00:00:00"/>
    <s v="−0,224"/>
    <x v="1"/>
  </r>
  <r>
    <x v="1110"/>
    <n v="-0.36699999999999999"/>
    <d v="2019-08-02T00:00:00"/>
    <s v="−0,230"/>
    <x v="1"/>
  </r>
  <r>
    <x v="1111"/>
    <n v="-0.36899999999999999"/>
    <d v="2019-08-05T00:00:00"/>
    <s v="−0,237"/>
    <x v="1"/>
  </r>
  <r>
    <x v="1112"/>
    <n v="-0.38300000000000001"/>
    <d v="2019-08-06T00:00:00"/>
    <s v="−0,245"/>
    <x v="1"/>
  </r>
  <r>
    <x v="1113"/>
    <n v="-0.38900000000000001"/>
    <d v="2019-08-07T00:00:00"/>
    <s v="−0,258"/>
    <x v="1"/>
  </r>
  <r>
    <x v="1114"/>
    <n v="-0.39300000000000002"/>
    <d v="2019-08-08T00:00:00"/>
    <s v="−0,271"/>
    <x v="1"/>
  </r>
  <r>
    <x v="1115"/>
    <n v="-0.39600000000000002"/>
    <d v="2019-08-09T00:00:00"/>
    <s v="−0,285"/>
    <x v="1"/>
  </r>
  <r>
    <x v="1116"/>
    <n v="-0.4"/>
    <d v="2019-08-12T00:00:00"/>
    <s v="−0,299"/>
    <x v="1"/>
  </r>
  <r>
    <x v="1117"/>
    <n v="-0.40100000000000002"/>
    <d v="2019-08-13T00:00:00"/>
    <s v="−0,312"/>
    <x v="1"/>
  </r>
  <r>
    <x v="1118"/>
    <n v="-0.40600000000000003"/>
    <d v="2019-08-14T00:00:00"/>
    <s v="−0,324"/>
    <x v="1"/>
  </r>
  <r>
    <x v="1119"/>
    <n v="-0.40899999999999997"/>
    <m/>
    <s v="−0,324"/>
    <x v="1"/>
  </r>
  <r>
    <x v="1120"/>
    <n v="-0.42699999999999999"/>
    <d v="2019-08-16T00:00:00"/>
    <s v="−0,339"/>
    <x v="1"/>
  </r>
  <r>
    <x v="1121"/>
    <n v="-0.42299999999999999"/>
    <d v="2019-08-19T00:00:00"/>
    <s v="−0,351"/>
    <x v="1"/>
  </r>
  <r>
    <x v="1122"/>
    <n v="-0.42499999999999999"/>
    <d v="2019-08-20T00:00:00"/>
    <s v="−0,364"/>
    <x v="1"/>
  </r>
  <r>
    <x v="1123"/>
    <n v="-0.42399999999999999"/>
    <d v="2019-08-21T00:00:00"/>
    <s v="−0,375"/>
    <x v="1"/>
  </r>
  <r>
    <x v="1124"/>
    <n v="-0.41799999999999998"/>
    <d v="2019-08-22T00:00:00"/>
    <s v="−0,385"/>
    <x v="1"/>
  </r>
  <r>
    <x v="1125"/>
    <n v="-0.40799999999999997"/>
    <d v="2019-08-23T00:00:00"/>
    <s v="−0,394"/>
    <x v="1"/>
  </r>
  <r>
    <x v="1126"/>
    <n v="-0.41499999999999998"/>
    <d v="2019-08-26T00:00:00"/>
    <s v="−0,405"/>
    <x v="1"/>
  </r>
  <r>
    <x v="1127"/>
    <n v="-0.41499999999999998"/>
    <d v="2019-08-27T00:00:00"/>
    <s v="−0,415"/>
    <x v="1"/>
  </r>
  <r>
    <x v="1128"/>
    <n v="-0.42699999999999999"/>
    <d v="2019-08-28T00:00:00"/>
    <s v="−0,427"/>
    <x v="1"/>
  </r>
  <r>
    <x v="1129"/>
    <n v="-0.42299999999999999"/>
    <d v="2019-08-29T00:00:00"/>
    <s v="−0,437"/>
    <x v="1"/>
  </r>
  <r>
    <x v="1130"/>
    <n v="-0.42799999999999999"/>
    <d v="2019-08-30T00:00:00"/>
    <s v="−0,447"/>
    <x v="1"/>
  </r>
  <r>
    <x v="1131"/>
    <n v="-0.439"/>
    <d v="2019-09-02T00:00:00"/>
    <s v="−0,455"/>
    <x v="1"/>
  </r>
  <r>
    <x v="1132"/>
    <n v="-0.44800000000000001"/>
    <d v="2019-09-03T00:00:00"/>
    <s v="−0,462"/>
    <x v="1"/>
  </r>
  <r>
    <x v="1133"/>
    <n v="-0.439"/>
    <d v="2019-09-04T00:00:00"/>
    <s v="−0,466"/>
    <x v="1"/>
  </r>
  <r>
    <x v="1134"/>
    <n v="-0.43099999999999999"/>
    <d v="2019-09-05T00:00:00"/>
    <s v="−0,466"/>
    <x v="1"/>
  </r>
  <r>
    <x v="1135"/>
    <n v="-0.42299999999999999"/>
    <d v="2019-09-06T00:00:00"/>
    <s v="−0,467"/>
    <x v="1"/>
  </r>
  <r>
    <x v="1136"/>
    <n v="-0.41299999999999998"/>
    <d v="2019-09-09T00:00:00"/>
    <s v="−0,466"/>
    <x v="1"/>
  </r>
  <r>
    <x v="1137"/>
    <n v="-0.41399999999999998"/>
    <d v="2019-09-10T00:00:00"/>
    <s v="−0,464"/>
    <x v="1"/>
  </r>
  <r>
    <x v="1138"/>
    <n v="-0.40799999999999997"/>
    <d v="2019-09-11T00:00:00"/>
    <s v="−0,460"/>
    <x v="1"/>
  </r>
  <r>
    <x v="1139"/>
    <n v="-0.40799999999999997"/>
    <d v="2019-09-12T00:00:00"/>
    <s v="−0,456"/>
    <x v="1"/>
  </r>
  <r>
    <x v="1140"/>
    <n v="-0.377"/>
    <d v="2019-09-13T00:00:00"/>
    <s v="−0,446"/>
    <x v="1"/>
  </r>
  <r>
    <x v="1141"/>
    <n v="-0.36099999999999999"/>
    <d v="2019-09-16T00:00:00"/>
    <s v="−0,437"/>
    <x v="1"/>
  </r>
  <r>
    <x v="1142"/>
    <n v="-0.36499999999999999"/>
    <d v="2019-09-17T00:00:00"/>
    <s v="−0,427"/>
    <x v="1"/>
  </r>
  <r>
    <x v="1143"/>
    <n v="-0.36899999999999999"/>
    <d v="2019-09-18T00:00:00"/>
    <s v="−0,419"/>
    <x v="1"/>
  </r>
  <r>
    <x v="1144"/>
    <n v="-0.36799999999999999"/>
    <d v="2019-09-19T00:00:00"/>
    <s v="−0,412"/>
    <x v="1"/>
  </r>
  <r>
    <x v="1145"/>
    <n v="-0.35799999999999998"/>
    <d v="2019-09-20T00:00:00"/>
    <s v="−0,405"/>
    <x v="1"/>
  </r>
  <r>
    <x v="1146"/>
    <n v="-0.36299999999999999"/>
    <d v="2019-09-23T00:00:00"/>
    <s v="−0,400"/>
    <x v="1"/>
  </r>
  <r>
    <x v="1147"/>
    <n v="-0.373"/>
    <d v="2019-09-24T00:00:00"/>
    <s v="−0,394"/>
    <x v="1"/>
  </r>
  <r>
    <x v="1148"/>
    <n v="-0.375"/>
    <d v="2019-09-25T00:00:00"/>
    <s v="−0,388"/>
    <x v="1"/>
  </r>
  <r>
    <x v="1149"/>
    <n v="-0.376"/>
    <d v="2019-09-26T00:00:00"/>
    <s v="−0,382"/>
    <x v="1"/>
  </r>
  <r>
    <x v="1150"/>
    <n v="-0.377"/>
    <d v="2019-09-27T00:00:00"/>
    <s v="−0,376"/>
    <x v="1"/>
  </r>
  <r>
    <x v="1151"/>
    <n v="-0.38600000000000001"/>
    <d v="2019-09-30T00:00:00"/>
    <s v="−0,370"/>
    <x v="1"/>
  </r>
  <r>
    <x v="1152"/>
    <n v="-0.38700000000000001"/>
    <d v="2019-10-01T00:00:00"/>
    <s v="−0,362"/>
    <x v="1"/>
  </r>
  <r>
    <x v="1153"/>
    <n v="-0.38400000000000001"/>
    <d v="2019-10-02T00:00:00"/>
    <s v="−0,358"/>
    <x v="1"/>
  </r>
  <r>
    <x v="1154"/>
    <n v="-0.38700000000000001"/>
    <d v="2019-10-03T00:00:00"/>
    <s v="−0,356"/>
    <x v="1"/>
  </r>
  <r>
    <x v="1155"/>
    <n v="-0.38900000000000001"/>
    <d v="2019-10-04T00:00:00"/>
    <s v="−0,355"/>
    <x v="1"/>
  </r>
  <r>
    <x v="1156"/>
    <n v="-0.38900000000000001"/>
    <d v="2019-10-07T00:00:00"/>
    <s v="−0,355"/>
    <x v="1"/>
  </r>
  <r>
    <x v="1157"/>
    <n v="-0.38700000000000001"/>
    <d v="2019-10-08T00:00:00"/>
    <s v="−0,356"/>
    <x v="1"/>
  </r>
  <r>
    <x v="1158"/>
    <n v="-0.38400000000000001"/>
    <d v="2019-10-09T00:00:00"/>
    <s v="−0,356"/>
    <x v="1"/>
  </r>
  <r>
    <x v="1159"/>
    <n v="-0.375"/>
    <d v="2019-10-10T00:00:00"/>
    <s v="−0,351"/>
    <x v="1"/>
  </r>
  <r>
    <x v="1160"/>
    <n v="-0.35799999999999998"/>
    <d v="2019-10-11T00:00:00"/>
    <s v="−0,351"/>
    <x v="1"/>
  </r>
  <r>
    <x v="1161"/>
    <n v="-0.35299999999999998"/>
    <d v="2019-10-14T00:00:00"/>
    <s v="−0,351"/>
    <x v="1"/>
  </r>
  <r>
    <x v="1162"/>
    <n v="-0.35799999999999998"/>
    <d v="2019-10-15T00:00:00"/>
    <s v="−0,351"/>
    <x v="1"/>
  </r>
  <r>
    <x v="1163"/>
    <n v="-0.35399999999999998"/>
    <d v="2019-10-16T00:00:00"/>
    <s v="−0,348"/>
    <x v="1"/>
  </r>
  <r>
    <x v="1164"/>
    <n v="-0.34899999999999998"/>
    <d v="2019-10-17T00:00:00"/>
    <s v="−0,345"/>
    <x v="1"/>
  </r>
  <r>
    <x v="1165"/>
    <n v="-0.35099999999999998"/>
    <d v="2019-10-18T00:00:00"/>
    <s v="−0,341"/>
    <x v="1"/>
  </r>
  <r>
    <x v="1166"/>
    <n v="-0.34899999999999998"/>
    <d v="2019-10-21T00:00:00"/>
    <s v="−0,333"/>
    <x v="1"/>
  </r>
  <r>
    <x v="1167"/>
    <n v="-0.34799999999999998"/>
    <d v="2019-10-22T00:00:00"/>
    <s v="−0,325"/>
    <x v="1"/>
  </r>
  <r>
    <x v="1168"/>
    <n v="-0.35099999999999998"/>
    <d v="2019-10-23T00:00:00"/>
    <s v="−0,318"/>
    <x v="1"/>
  </r>
  <r>
    <x v="1169"/>
    <n v="-0.34799999999999998"/>
    <d v="2019-10-24T00:00:00"/>
    <s v="−0,311"/>
    <x v="1"/>
  </r>
  <r>
    <x v="1170"/>
    <n v="-0.35"/>
    <d v="2019-10-25T00:00:00"/>
    <s v="−0,303"/>
    <x v="1"/>
  </r>
  <r>
    <x v="1171"/>
    <n v="-0.34599999999999997"/>
    <d v="2019-10-28T00:00:00"/>
    <s v="−0,294"/>
    <x v="1"/>
  </r>
  <r>
    <x v="1172"/>
    <n v="-0.34300000000000003"/>
    <d v="2019-10-29T00:00:00"/>
    <s v="−0,286"/>
    <x v="1"/>
  </r>
  <r>
    <x v="1173"/>
    <n v="-0.33900000000000002"/>
    <d v="2019-10-30T00:00:00"/>
    <s v="−0,278"/>
    <x v="1"/>
  </r>
  <r>
    <x v="1174"/>
    <n v="-0.33700000000000002"/>
    <d v="2019-10-31T00:00:00"/>
    <s v="−0,271"/>
    <x v="1"/>
  </r>
  <r>
    <x v="1175"/>
    <n v="-0.34799999999999998"/>
    <m/>
    <n v="-0.27100000000000002"/>
    <x v="10"/>
  </r>
  <r>
    <x v="1176"/>
    <n v="-0.34300000000000003"/>
    <d v="2019-11-04T00:00:00"/>
    <s v="−0,262"/>
    <x v="1"/>
  </r>
  <r>
    <x v="1177"/>
    <n v="-0.34399999999999997"/>
    <d v="2019-11-05T00:00:00"/>
    <s v="−0,252"/>
    <x v="1"/>
  </r>
  <r>
    <x v="1178"/>
    <n v="-0.33900000000000002"/>
    <d v="2019-11-06T00:00:00"/>
    <s v="−0,242"/>
    <x v="1"/>
  </r>
  <r>
    <x v="1179"/>
    <n v="-0.33400000000000002"/>
    <d v="2019-11-07T00:00:00"/>
    <s v="−0,231"/>
    <x v="1"/>
  </r>
  <r>
    <x v="1180"/>
    <n v="-0.32400000000000001"/>
    <d v="2019-11-08T00:00:00"/>
    <s v="−0,222"/>
    <x v="1"/>
  </r>
  <r>
    <x v="1181"/>
    <n v="-0.33100000000000002"/>
    <d v="2019-11-11T00:00:00"/>
    <s v="−0,215"/>
    <x v="1"/>
  </r>
  <r>
    <x v="1182"/>
    <n v="-0.32800000000000001"/>
    <d v="2019-11-12T00:00:00"/>
    <s v="−0,207"/>
    <x v="1"/>
  </r>
  <r>
    <x v="1183"/>
    <n v="-0.33600000000000002"/>
    <d v="2019-11-13T00:00:00"/>
    <s v="−0,201"/>
    <x v="1"/>
  </r>
  <r>
    <x v="1184"/>
    <n v="-0.33"/>
    <d v="2019-11-14T00:00:00"/>
    <s v="−0,198"/>
    <x v="1"/>
  </r>
  <r>
    <x v="1185"/>
    <n v="-0.33300000000000002"/>
    <d v="2019-11-15T00:00:00"/>
    <s v="−0,196"/>
    <x v="1"/>
  </r>
  <r>
    <x v="1186"/>
    <n v="-0.33800000000000002"/>
    <d v="2019-11-18T00:00:00"/>
    <s v="−0,195"/>
    <x v="1"/>
  </r>
  <r>
    <x v="1187"/>
    <n v="-0.33600000000000002"/>
    <d v="2019-11-19T00:00:00"/>
    <s v="−0,194"/>
    <x v="1"/>
  </r>
  <r>
    <x v="1188"/>
    <n v="-0.33800000000000002"/>
    <d v="2019-11-20T00:00:00"/>
    <s v="−0,193"/>
    <x v="1"/>
  </r>
  <r>
    <x v="1189"/>
    <n v="-0.34"/>
    <d v="2019-11-21T00:00:00"/>
    <s v="−0,190"/>
    <x v="1"/>
  </r>
  <r>
    <x v="1190"/>
    <n v="-0.33500000000000002"/>
    <d v="2019-11-22T00:00:00"/>
    <s v="−0,188"/>
    <x v="1"/>
  </r>
  <r>
    <x v="1191"/>
    <n v="-0.33800000000000002"/>
    <d v="2019-11-25T00:00:00"/>
    <s v="−0,187"/>
    <x v="1"/>
  </r>
  <r>
    <x v="1192"/>
    <n v="-0.33800000000000002"/>
    <d v="2019-11-26T00:00:00"/>
    <s v="−0,187"/>
    <x v="1"/>
  </r>
  <r>
    <x v="1193"/>
    <n v="-0.34200000000000003"/>
    <d v="2019-11-27T00:00:00"/>
    <s v="−0,188"/>
    <x v="1"/>
  </r>
  <r>
    <x v="1194"/>
    <n v="-0.34699999999999998"/>
    <d v="2019-11-28T00:00:00"/>
    <s v="−0,189"/>
    <x v="1"/>
  </r>
  <r>
    <x v="1195"/>
    <n v="-0.34300000000000003"/>
    <d v="2019-11-29T00:00:00"/>
    <s v="−0,187"/>
    <x v="1"/>
  </r>
  <r>
    <x v="1196"/>
    <n v="-0.34499999999999997"/>
    <d v="2019-12-02T00:00:00"/>
    <s v="−0,185"/>
    <x v="1"/>
  </r>
  <r>
    <x v="1197"/>
    <n v="-0.33300000000000002"/>
    <d v="2019-12-03T00:00:00"/>
    <s v="−0,185"/>
    <x v="1"/>
  </r>
  <r>
    <x v="1198"/>
    <n v="-0.33500000000000002"/>
    <d v="2019-12-04T00:00:00"/>
    <s v="−0,186"/>
    <x v="1"/>
  </r>
  <r>
    <x v="1199"/>
    <n v="-0.33600000000000002"/>
    <d v="2019-12-05T00:00:00"/>
    <s v="−0,187"/>
    <x v="1"/>
  </r>
  <r>
    <x v="1200"/>
    <n v="-0.33300000000000002"/>
    <d v="2019-12-06T00:00:00"/>
    <s v="−0,189"/>
    <x v="1"/>
  </r>
  <r>
    <x v="1201"/>
    <n v="-0.33200000000000002"/>
    <d v="2019-12-09T00:00:00"/>
    <s v="−0,191"/>
    <x v="1"/>
  </r>
  <r>
    <x v="1202"/>
    <n v="-0.33300000000000002"/>
    <d v="2019-12-10T00:00:00"/>
    <s v="−0,194"/>
    <x v="1"/>
  </r>
  <r>
    <x v="1203"/>
    <n v="-0.33800000000000002"/>
    <d v="2019-12-11T00:00:00"/>
    <s v="−0,195"/>
    <x v="1"/>
  </r>
  <r>
    <x v="1204"/>
    <n v="-0.34"/>
    <d v="2019-12-12T00:00:00"/>
    <s v="−0,195"/>
    <x v="1"/>
  </r>
  <r>
    <x v="1205"/>
    <n v="-0.34"/>
    <d v="2019-12-13T00:00:00"/>
    <s v="−0,193"/>
    <x v="1"/>
  </r>
  <r>
    <x v="1206"/>
    <n v="-0.34"/>
    <d v="2019-12-16T00:00:00"/>
    <s v="−0,192"/>
    <x v="1"/>
  </r>
  <r>
    <x v="1207"/>
    <n v="-0.34200000000000003"/>
    <d v="2019-12-17T00:00:00"/>
    <s v="−0,192"/>
    <x v="1"/>
  </r>
  <r>
    <x v="1208"/>
    <n v="-0.34799999999999998"/>
    <d v="2019-12-18T00:00:00"/>
    <s v="−0,190"/>
    <x v="1"/>
  </r>
  <r>
    <x v="1209"/>
    <n v="-0.34200000000000003"/>
    <d v="2019-12-19T00:00:00"/>
    <s v="−0,187"/>
    <x v="1"/>
  </r>
  <r>
    <x v="1210"/>
    <n v="-0.33"/>
    <d v="2019-12-20T00:00:00"/>
    <s v="−0,185"/>
    <x v="1"/>
  </r>
  <r>
    <x v="1211"/>
    <n v="-0.33900000000000002"/>
    <d v="2019-12-23T00:00:00"/>
    <s v="−0,183"/>
    <x v="1"/>
  </r>
  <r>
    <x v="1212"/>
    <n v="-0.33100000000000002"/>
    <m/>
    <s v="−0,183"/>
    <x v="1"/>
  </r>
  <r>
    <x v="1213"/>
    <n v="-0.33100000000000002"/>
    <m/>
    <s v="−0,183"/>
    <x v="1"/>
  </r>
  <r>
    <x v="1214"/>
    <n v="-0.33100000000000002"/>
    <m/>
    <s v="−0,183"/>
    <x v="1"/>
  </r>
  <r>
    <x v="1215"/>
    <n v="-0.32500000000000001"/>
    <d v="2019-12-27T00:00:00"/>
    <s v="−0,180"/>
    <x v="1"/>
  </r>
  <r>
    <x v="1216"/>
    <n v="-0.32500000000000001"/>
    <d v="2019-12-30T00:00:00"/>
    <s v="−0,175"/>
    <x v="1"/>
  </r>
  <r>
    <x v="1217"/>
    <n v="-0.32400000000000001"/>
    <d v="2019-12-31T00:00:00"/>
    <s v="−0,173"/>
    <x v="1"/>
  </r>
  <r>
    <x v="1218"/>
    <n v="-0.32400000000000001"/>
    <m/>
    <s v="−0,173"/>
    <x v="1"/>
  </r>
  <r>
    <x v="1219"/>
    <n v="-0.32300000000000001"/>
    <d v="2020-01-02T00:00:00"/>
    <s v="−0,168"/>
    <x v="1"/>
  </r>
  <r>
    <x v="1220"/>
    <n v="-0.32300000000000001"/>
    <d v="2020-01-03T00:00:00"/>
    <s v="−0,170"/>
    <x v="1"/>
  </r>
  <r>
    <x v="1221"/>
    <n v="-0.32500000000000001"/>
    <m/>
    <s v="−0,170"/>
    <x v="1"/>
  </r>
  <r>
    <x v="1222"/>
    <n v="-0.32300000000000001"/>
    <d v="2020-01-07T00:00:00"/>
    <s v="−0,169"/>
    <x v="1"/>
  </r>
  <r>
    <x v="1223"/>
    <n v="-0.33200000000000002"/>
    <d v="2020-01-08T00:00:00"/>
    <s v="−0,167"/>
    <x v="1"/>
  </r>
  <r>
    <x v="1224"/>
    <n v="-0.33300000000000002"/>
    <d v="2020-01-09T00:00:00"/>
    <s v="−0,166"/>
    <x v="1"/>
  </r>
  <r>
    <x v="1225"/>
    <n v="-0.33400000000000002"/>
    <d v="2020-01-10T00:00:00"/>
    <s v="−0,164"/>
    <x v="1"/>
  </r>
  <r>
    <x v="1226"/>
    <n v="-0.32400000000000001"/>
    <d v="2020-01-13T00:00:00"/>
    <s v="−0,160"/>
    <x v="1"/>
  </r>
  <r>
    <x v="1227"/>
    <n v="-0.32900000000000001"/>
    <d v="2020-01-14T00:00:00"/>
    <s v="−0,157"/>
    <x v="1"/>
  </r>
  <r>
    <x v="1228"/>
    <n v="-0.33400000000000002"/>
    <d v="2020-01-15T00:00:00"/>
    <s v="−0,154"/>
    <x v="1"/>
  </r>
  <r>
    <x v="1229"/>
    <n v="-0.33"/>
    <d v="2020-01-16T00:00:00"/>
    <s v="−0,152"/>
    <x v="1"/>
  </r>
  <r>
    <x v="1230"/>
    <n v="-0.33200000000000002"/>
    <d v="2020-01-17T00:00:00"/>
    <s v="−0,153"/>
    <x v="1"/>
  </r>
  <r>
    <x v="1231"/>
    <n v="-0.33300000000000002"/>
    <d v="2020-01-20T00:00:00"/>
    <s v="−0,151"/>
    <x v="1"/>
  </r>
  <r>
    <x v="1232"/>
    <n v="-0.33400000000000002"/>
    <d v="2020-01-21T00:00:00"/>
    <s v="−0,150"/>
    <x v="1"/>
  </r>
  <r>
    <x v="1233"/>
    <n v="-0.32900000000000001"/>
    <d v="2020-01-22T00:00:00"/>
    <s v="−0,149"/>
    <x v="1"/>
  </r>
  <r>
    <x v="1234"/>
    <n v="-0.32"/>
    <d v="2020-01-23T00:00:00"/>
    <s v="−0,152"/>
    <x v="1"/>
  </r>
  <r>
    <x v="1235"/>
    <n v="-0.32300000000000001"/>
    <d v="2020-01-24T00:00:00"/>
    <s v="−0,155"/>
    <x v="1"/>
  </r>
  <r>
    <x v="1236"/>
    <n v="-0.33300000000000002"/>
    <d v="2020-01-27T00:00:00"/>
    <s v="−0,161"/>
    <x v="1"/>
  </r>
  <r>
    <x v="1237"/>
    <n v="-0.33700000000000002"/>
    <d v="2020-01-28T00:00:00"/>
    <s v="−0,166"/>
    <x v="1"/>
  </r>
  <r>
    <x v="1238"/>
    <n v="-0.33600000000000002"/>
    <d v="2020-01-29T00:00:00"/>
    <s v="−0,174"/>
    <x v="1"/>
  </r>
  <r>
    <x v="1239"/>
    <n v="-0.33700000000000002"/>
    <d v="2020-01-30T00:00:00"/>
    <s v="−0,179"/>
    <x v="1"/>
  </r>
  <r>
    <x v="1240"/>
    <n v="-0.33800000000000002"/>
    <d v="2020-01-31T00:00:00"/>
    <s v="−0,188"/>
    <x v="1"/>
  </r>
  <r>
    <x v="1241"/>
    <n v="-0.33800000000000002"/>
    <d v="2020-02-03T00:00:00"/>
    <s v="−0,194"/>
    <x v="1"/>
  </r>
  <r>
    <x v="1242"/>
    <n v="-0.34"/>
    <d v="2020-02-04T00:00:00"/>
    <s v="−0,199"/>
    <x v="1"/>
  </r>
  <r>
    <x v="1243"/>
    <n v="-0.34599999999999997"/>
    <d v="2020-02-05T00:00:00"/>
    <s v="−0,203"/>
    <x v="1"/>
  </r>
  <r>
    <x v="1244"/>
    <n v="-0.34300000000000003"/>
    <d v="2020-02-06T00:00:00"/>
    <s v="−0,208"/>
    <x v="1"/>
  </r>
  <r>
    <x v="1245"/>
    <n v="-0.33900000000000002"/>
    <d v="2020-02-07T00:00:00"/>
    <s v="−0,215"/>
    <x v="1"/>
  </r>
  <r>
    <x v="1246"/>
    <n v="-0.34599999999999997"/>
    <d v="2020-02-10T00:00:00"/>
    <s v="−0,223"/>
    <x v="1"/>
  </r>
  <r>
    <x v="1247"/>
    <n v="-0.35"/>
    <d v="2020-02-11T00:00:00"/>
    <s v="−0,231"/>
    <x v="1"/>
  </r>
  <r>
    <x v="1248"/>
    <n v="-0.36199999999999999"/>
    <d v="2020-02-12T00:00:00"/>
    <s v="−0,237"/>
    <x v="1"/>
  </r>
  <r>
    <x v="1249"/>
    <n v="-0.35699999999999998"/>
    <d v="2020-02-13T00:00:00"/>
    <s v="−0,244"/>
    <x v="1"/>
  </r>
  <r>
    <x v="1250"/>
    <n v="-0.35899999999999999"/>
    <d v="2020-02-14T00:00:00"/>
    <s v="−0,251"/>
    <x v="1"/>
  </r>
  <r>
    <x v="1251"/>
    <n v="-0.35299999999999998"/>
    <d v="2020-02-17T00:00:00"/>
    <s v="−0,258"/>
    <x v="1"/>
  </r>
  <r>
    <x v="1252"/>
    <n v="-0.35799999999999998"/>
    <d v="2020-02-18T00:00:00"/>
    <s v="−0,265"/>
    <x v="1"/>
  </r>
  <r>
    <x v="1253"/>
    <n v="-0.35299999999999998"/>
    <d v="2020-02-19T00:00:00"/>
    <s v="−0,272"/>
    <x v="1"/>
  </r>
  <r>
    <x v="1254"/>
    <n v="-0.35799999999999998"/>
    <d v="2020-02-20T00:00:00"/>
    <s v="−0,278"/>
    <x v="1"/>
  </r>
  <r>
    <x v="1255"/>
    <n v="-0.35599999999999998"/>
    <d v="2020-02-21T00:00:00"/>
    <s v="−0,283"/>
    <x v="1"/>
  </r>
  <r>
    <x v="1256"/>
    <n v="-0.35699999999999998"/>
    <d v="2020-02-24T00:00:00"/>
    <s v="−0,289"/>
    <x v="1"/>
  </r>
  <r>
    <x v="1257"/>
    <n v="-0.35799999999999998"/>
    <d v="2020-02-25T00:00:00"/>
    <s v="−0,294"/>
    <x v="1"/>
  </r>
  <r>
    <x v="1258"/>
    <n v="-0.371"/>
    <d v="2020-02-26T00:00:00"/>
    <s v="−0,299"/>
    <x v="1"/>
  </r>
  <r>
    <x v="1259"/>
    <n v="-0.375"/>
    <d v="2020-02-27T00:00:00"/>
    <s v="−0,304"/>
    <x v="1"/>
  </r>
  <r>
    <x v="1260"/>
    <n v="-0.38600000000000001"/>
    <d v="2020-02-28T00:00:00"/>
    <s v="−0,310"/>
    <x v="1"/>
  </r>
  <r>
    <x v="1261"/>
    <n v="-0.4"/>
    <d v="2020-03-02T00:00:00"/>
    <s v="−0,317"/>
    <x v="1"/>
  </r>
  <r>
    <x v="1262"/>
    <n v="-0.42199999999999999"/>
    <d v="2020-03-03T00:00:00"/>
    <s v="−0,324"/>
    <x v="1"/>
  </r>
  <r>
    <x v="1263"/>
    <n v="-0.41799999999999998"/>
    <d v="2020-03-04T00:00:00"/>
    <s v="−0,333"/>
    <x v="1"/>
  </r>
  <r>
    <x v="1264"/>
    <n v="-0.432"/>
    <d v="2020-03-05T00:00:00"/>
    <s v="−0,342"/>
    <x v="1"/>
  </r>
  <r>
    <x v="1265"/>
    <n v="-0.42699999999999999"/>
    <d v="2020-03-06T00:00:00"/>
    <s v="−0,353"/>
    <x v="1"/>
  </r>
  <r>
    <x v="1266"/>
    <n v="-0.42099999999999999"/>
    <d v="2020-03-09T00:00:00"/>
    <s v="−0,366"/>
    <x v="1"/>
  </r>
  <r>
    <x v="1267"/>
    <n v="-0.438"/>
    <d v="2020-03-10T00:00:00"/>
    <s v="−0,376"/>
    <x v="1"/>
  </r>
  <r>
    <x v="1268"/>
    <n v="-0.42899999999999999"/>
    <d v="2020-03-11T00:00:00"/>
    <s v="−0,386"/>
    <x v="1"/>
  </r>
  <r>
    <x v="1269"/>
    <n v="-0.44700000000000001"/>
    <d v="2020-03-12T00:00:00"/>
    <s v="−0,394"/>
    <x v="1"/>
  </r>
  <r>
    <x v="1270"/>
    <n v="-0.39700000000000002"/>
    <d v="2020-03-13T00:00:00"/>
    <s v="−0,395"/>
    <x v="1"/>
  </r>
  <r>
    <x v="1271"/>
    <n v="-0.372"/>
    <d v="2020-03-16T00:00:00"/>
    <s v="−0,390"/>
    <x v="1"/>
  </r>
  <r>
    <x v="1272"/>
    <n v="-0.373"/>
    <d v="2020-03-17T00:00:00"/>
    <s v="−0,379"/>
    <x v="1"/>
  </r>
  <r>
    <x v="1273"/>
    <n v="-0.36"/>
    <d v="2020-03-18T00:00:00"/>
    <s v="−0,363"/>
    <x v="1"/>
  </r>
  <r>
    <x v="1274"/>
    <n v="-0.34499999999999997"/>
    <d v="2020-03-19T00:00:00"/>
    <s v="−0,349"/>
    <x v="1"/>
  </r>
  <r>
    <x v="1275"/>
    <n v="-0.313"/>
    <d v="2020-03-20T00:00:00"/>
    <s v="−0,335"/>
    <x v="1"/>
  </r>
  <r>
    <x v="1276"/>
    <n v="-0.307"/>
    <d v="2020-03-23T00:00:00"/>
    <s v="−0,322"/>
    <x v="1"/>
  </r>
  <r>
    <x v="1277"/>
    <n v="-0.30599999999999999"/>
    <d v="2020-03-24T00:00:00"/>
    <s v="−0,306"/>
    <x v="1"/>
  </r>
  <r>
    <x v="1278"/>
    <n v="-0.29799999999999999"/>
    <d v="2020-03-25T00:00:00"/>
    <s v="−0,287"/>
    <x v="1"/>
  </r>
  <r>
    <x v="1279"/>
    <n v="-0.27400000000000002"/>
    <d v="2020-03-26T00:00:00"/>
    <s v="−0,268"/>
    <x v="1"/>
  </r>
  <r>
    <x v="1280"/>
    <n v="-0.28100000000000003"/>
    <d v="2020-03-27T00:00:00"/>
    <s v="−0,256"/>
    <x v="1"/>
  </r>
  <r>
    <x v="1281"/>
    <n v="-0.28000000000000003"/>
    <d v="2020-03-30T00:00:00"/>
    <s v="−0,244"/>
    <x v="1"/>
  </r>
  <r>
    <x v="1282"/>
    <n v="-0.28699999999999998"/>
    <d v="2020-03-31T00:00:00"/>
    <s v="−0,232"/>
    <x v="1"/>
  </r>
  <r>
    <x v="1283"/>
    <n v="-0.27600000000000002"/>
    <d v="2020-04-01T00:00:00"/>
    <s v="−0,216"/>
    <x v="1"/>
  </r>
  <r>
    <x v="1284"/>
    <n v="-0.26800000000000002"/>
    <d v="2020-04-02T00:00:00"/>
    <s v="−0,193"/>
    <x v="1"/>
  </r>
  <r>
    <x v="1285"/>
    <n v="-0.27700000000000002"/>
    <d v="2020-04-03T00:00:00"/>
    <s v="−0,174"/>
    <x v="1"/>
  </r>
  <r>
    <x v="1286"/>
    <n v="-0.253"/>
    <d v="2020-04-06T00:00:00"/>
    <s v="−0,152"/>
    <x v="1"/>
  </r>
  <r>
    <x v="1287"/>
    <n v="-0.23200000000000001"/>
    <d v="2020-04-07T00:00:00"/>
    <s v="−0,132"/>
    <x v="1"/>
  </r>
  <r>
    <x v="1288"/>
    <n v="-0.19600000000000001"/>
    <d v="2020-04-08T00:00:00"/>
    <s v="−0,110"/>
    <x v="1"/>
  </r>
  <r>
    <x v="1289"/>
    <n v="-0.17899999999999999"/>
    <d v="2020-04-09T00:00:00"/>
    <s v="−0,091"/>
    <x v="1"/>
  </r>
  <r>
    <x v="1290"/>
    <n v="-0.17899999999999999"/>
    <d v="2020-04-10T00:00:00"/>
    <s v="−0,081"/>
    <x v="1"/>
  </r>
  <r>
    <x v="1291"/>
    <n v="-0.17899999999999999"/>
    <m/>
    <s v="−0,081"/>
    <x v="1"/>
  </r>
  <r>
    <x v="1292"/>
    <n v="-0.19500000000000001"/>
    <d v="2020-04-14T00:00:00"/>
    <s v="−0,076"/>
    <x v="1"/>
  </r>
  <r>
    <x v="1293"/>
    <n v="-0.19600000000000001"/>
    <d v="2020-04-15T00:00:00"/>
    <s v="−0,078"/>
    <x v="1"/>
  </r>
  <r>
    <x v="1294"/>
    <n v="-0.187"/>
    <d v="2020-04-16T00:00:00"/>
    <s v="−0,087"/>
    <x v="1"/>
  </r>
  <r>
    <x v="1295"/>
    <n v="-0.19500000000000001"/>
    <d v="2020-04-17T00:00:00"/>
    <s v="−0,093"/>
    <x v="1"/>
  </r>
  <r>
    <x v="1296"/>
    <n v="-0.185"/>
    <d v="2020-04-20T00:00:00"/>
    <s v="−0,099"/>
    <x v="1"/>
  </r>
  <r>
    <x v="1297"/>
    <n v="-0.17799999999999999"/>
    <d v="2020-04-21T00:00:00"/>
    <s v="−0,101"/>
    <x v="1"/>
  </r>
  <r>
    <x v="1298"/>
    <n v="-0.124"/>
    <d v="2020-04-22T00:00:00"/>
    <s v="−0,105"/>
    <x v="1"/>
  </r>
  <r>
    <x v="1299"/>
    <n v="-0.114"/>
    <d v="2020-04-23T00:00:00"/>
    <s v="−0,112"/>
    <x v="1"/>
  </r>
  <r>
    <x v="1300"/>
    <n v="-0.13600000000000001"/>
    <d v="2020-04-24T00:00:00"/>
    <s v="−0,119"/>
    <x v="1"/>
  </r>
  <r>
    <x v="1301"/>
    <n v="-0.14699999999999999"/>
    <d v="2020-04-27T00:00:00"/>
    <s v="−0,119"/>
    <x v="1"/>
  </r>
  <r>
    <x v="1302"/>
    <n v="-0.16300000000000001"/>
    <d v="2020-04-28T00:00:00"/>
    <s v="−0,117"/>
    <x v="1"/>
  </r>
  <r>
    <x v="1303"/>
    <n v="-0.16900000000000001"/>
    <d v="2020-04-29T00:00:00"/>
    <s v="−0,120"/>
    <x v="1"/>
  </r>
  <r>
    <x v="1304"/>
    <n v="-0.17"/>
    <d v="2020-04-30T00:00:00"/>
    <s v="−0,127"/>
    <x v="1"/>
  </r>
  <r>
    <x v="1305"/>
    <n v="-0.17"/>
    <m/>
    <n v="-0.127"/>
    <x v="11"/>
  </r>
  <r>
    <x v="1306"/>
    <n v="-0.157"/>
    <d v="2020-05-04T00:00:00"/>
    <s v="−0,136"/>
    <x v="1"/>
  </r>
  <r>
    <x v="1307"/>
    <n v="-0.16500000000000001"/>
    <d v="2020-05-05T00:00:00"/>
    <s v="−0,145"/>
    <x v="1"/>
  </r>
  <r>
    <x v="1308"/>
    <n v="-0.13600000000000001"/>
    <d v="2020-05-06T00:00:00"/>
    <s v="−0,154"/>
    <x v="1"/>
  </r>
  <r>
    <x v="1309"/>
    <n v="-0.114"/>
    <d v="2020-05-07T00:00:00"/>
    <s v="−0,161"/>
    <x v="1"/>
  </r>
  <r>
    <x v="1310"/>
    <n v="-0.14499999999999999"/>
    <d v="2020-05-08T00:00:00"/>
    <s v="−0,174"/>
    <x v="1"/>
  </r>
  <r>
    <x v="1311"/>
    <n v="-0.14699999999999999"/>
    <d v="2020-05-11T00:00:00"/>
    <s v="−0,184"/>
    <x v="1"/>
  </r>
  <r>
    <x v="1312"/>
    <n v="-0.14699999999999999"/>
    <d v="2020-05-12T00:00:00"/>
    <s v="−0,187"/>
    <x v="1"/>
  </r>
  <r>
    <x v="1313"/>
    <n v="-0.14199999999999999"/>
    <d v="2020-05-13T00:00:00"/>
    <s v="−0,196"/>
    <x v="1"/>
  </r>
  <r>
    <x v="1314"/>
    <n v="-0.13700000000000001"/>
    <d v="2020-05-14T00:00:00"/>
    <s v="−0,203"/>
    <x v="1"/>
  </r>
  <r>
    <x v="1315"/>
    <n v="-0.13100000000000001"/>
    <d v="2020-05-15T00:00:00"/>
    <s v="−0,209"/>
    <x v="1"/>
  </r>
  <r>
    <x v="1316"/>
    <n v="-0.13700000000000001"/>
    <d v="2020-05-18T00:00:00"/>
    <s v="−0,214"/>
    <x v="1"/>
  </r>
  <r>
    <x v="1317"/>
    <n v="-0.13800000000000001"/>
    <d v="2020-05-19T00:00:00"/>
    <s v="−0,218"/>
    <x v="1"/>
  </r>
  <r>
    <x v="1318"/>
    <n v="-0.13900000000000001"/>
    <d v="2020-05-20T00:00:00"/>
    <s v="−0,223"/>
    <x v="1"/>
  </r>
  <r>
    <x v="1319"/>
    <n v="-0.14499999999999999"/>
    <m/>
    <s v="−0,223"/>
    <x v="1"/>
  </r>
  <r>
    <x v="1320"/>
    <n v="-0.154"/>
    <d v="2020-05-22T00:00:00"/>
    <s v="−0,230"/>
    <x v="1"/>
  </r>
  <r>
    <x v="1321"/>
    <n v="-0.14499999999999999"/>
    <d v="2020-05-25T00:00:00"/>
    <s v="−0,237"/>
    <x v="1"/>
  </r>
  <r>
    <x v="1322"/>
    <n v="-0.13300000000000001"/>
    <d v="2020-05-26T00:00:00"/>
    <s v="−0,239"/>
    <x v="1"/>
  </r>
  <r>
    <x v="1323"/>
    <n v="-0.14899999999999999"/>
    <d v="2020-05-27T00:00:00"/>
    <s v="−0,242"/>
    <x v="1"/>
  </r>
  <r>
    <x v="1324"/>
    <n v="-0.14199999999999999"/>
    <d v="2020-05-28T00:00:00"/>
    <s v="−0,244"/>
    <x v="1"/>
  </r>
  <r>
    <x v="1325"/>
    <n v="-0.158"/>
    <d v="2020-05-29T00:00:00"/>
    <s v="−0,246"/>
    <x v="1"/>
  </r>
  <r>
    <x v="1326"/>
    <n v="-0.16300000000000001"/>
    <m/>
    <s v="−0,246"/>
    <x v="1"/>
  </r>
  <r>
    <x v="1327"/>
    <n v="-0.182"/>
    <d v="2020-06-02T00:00:00"/>
    <s v="−0,245"/>
    <x v="1"/>
  </r>
  <r>
    <x v="1328"/>
    <n v="-0.17399999999999999"/>
    <d v="2020-06-03T00:00:00"/>
    <s v="−0,242"/>
    <x v="1"/>
  </r>
  <r>
    <x v="1329"/>
    <n v="-0.17899999999999999"/>
    <d v="2020-06-04T00:00:00"/>
    <s v="−0,238"/>
    <x v="1"/>
  </r>
  <r>
    <x v="1330"/>
    <n v="-0.19600000000000001"/>
    <d v="2020-06-05T00:00:00"/>
    <s v="−0,234"/>
    <x v="1"/>
  </r>
  <r>
    <x v="1331"/>
    <n v="-0.19500000000000001"/>
    <d v="2020-06-08T00:00:00"/>
    <s v="−0,232"/>
    <x v="1"/>
  </r>
  <r>
    <x v="1332"/>
    <n v="-0.19400000000000001"/>
    <d v="2020-06-09T00:00:00"/>
    <s v="−0,229"/>
    <x v="1"/>
  </r>
  <r>
    <x v="1333"/>
    <n v="-0.193"/>
    <d v="2020-06-10T00:00:00"/>
    <s v="−0,225"/>
    <x v="1"/>
  </r>
  <r>
    <x v="1334"/>
    <n v="-0.183"/>
    <m/>
    <s v="−0,225"/>
    <x v="1"/>
  </r>
  <r>
    <x v="1335"/>
    <n v="-0.19900000000000001"/>
    <d v="2020-06-12T00:00:00"/>
    <s v="−0,227"/>
    <x v="1"/>
  </r>
  <r>
    <x v="1336"/>
    <n v="-0.20599999999999999"/>
    <d v="2020-06-15T00:00:00"/>
    <s v="−0,227"/>
    <x v="1"/>
  </r>
  <r>
    <x v="1337"/>
    <n v="-0.20599999999999999"/>
    <d v="2020-06-16T00:00:00"/>
    <s v="−0,226"/>
    <x v="1"/>
  </r>
  <r>
    <x v="1338"/>
    <n v="-0.215"/>
    <d v="2020-06-17T00:00:00"/>
    <s v="−0,226"/>
    <x v="1"/>
  </r>
  <r>
    <x v="1339"/>
    <n v="-0.22800000000000001"/>
    <d v="2020-06-18T00:00:00"/>
    <s v="−0,227"/>
    <x v="1"/>
  </r>
  <r>
    <x v="1340"/>
    <n v="-0.23400000000000001"/>
    <d v="2020-06-19T00:00:00"/>
    <s v="−0,230"/>
    <x v="1"/>
  </r>
  <r>
    <x v="1341"/>
    <n v="-0.25900000000000001"/>
    <d v="2020-06-22T00:00:00"/>
    <s v="−0,234"/>
    <x v="1"/>
  </r>
  <r>
    <x v="1342"/>
    <n v="-0.26900000000000002"/>
    <d v="2020-06-23T00:00:00"/>
    <s v="−0,236"/>
    <x v="1"/>
  </r>
  <r>
    <x v="1343"/>
    <n v="-0.27800000000000002"/>
    <d v="2020-06-24T00:00:00"/>
    <s v="−0,238"/>
    <x v="1"/>
  </r>
  <r>
    <x v="1344"/>
    <n v="-0.26800000000000002"/>
    <d v="2020-06-25T00:00:00"/>
    <s v="−0,244"/>
    <x v="1"/>
  </r>
  <r>
    <x v="1345"/>
    <n v="-0.28299999999999997"/>
    <d v="2020-06-26T00:00:00"/>
    <s v="−0,250"/>
    <x v="1"/>
  </r>
  <r>
    <x v="1346"/>
    <n v="-0.28699999999999998"/>
    <d v="2020-06-29T00:00:00"/>
    <s v="−0,255"/>
    <x v="1"/>
  </r>
  <r>
    <x v="1347"/>
    <n v="-0.308"/>
    <d v="2020-06-30T00:00:00"/>
    <s v="−0,250"/>
    <x v="1"/>
  </r>
  <r>
    <x v="1348"/>
    <n v="-0.29499999999999998"/>
    <d v="2020-07-01T00:00:00"/>
    <s v="−0,252"/>
    <x v="1"/>
  </r>
  <r>
    <x v="1349"/>
    <n v="-0.30199999999999999"/>
    <d v="2020-07-02T00:00:00"/>
    <s v="−0,257"/>
    <x v="1"/>
  </r>
  <r>
    <x v="1350"/>
    <n v="-0.314"/>
    <d v="2020-07-03T00:00:00"/>
    <s v="−0,263"/>
    <x v="1"/>
  </r>
  <r>
    <x v="1351"/>
    <n v="-0.308"/>
    <d v="2020-07-06T00:00:00"/>
    <s v="−0,270"/>
    <x v="1"/>
  </r>
  <r>
    <x v="1352"/>
    <n v="-0.313"/>
    <d v="2020-07-07T00:00:00"/>
    <s v="−0,277"/>
    <x v="1"/>
  </r>
  <r>
    <x v="1353"/>
    <n v="-0.32200000000000001"/>
    <d v="2020-07-08T00:00:00"/>
    <s v="−0,282"/>
    <x v="1"/>
  </r>
  <r>
    <x v="1354"/>
    <n v="-0.32800000000000001"/>
    <d v="2020-07-09T00:00:00"/>
    <s v="−0,287"/>
    <x v="1"/>
  </r>
  <r>
    <x v="1355"/>
    <n v="-0.33"/>
    <d v="2020-07-10T00:00:00"/>
    <s v="−0,291"/>
    <x v="1"/>
  </r>
  <r>
    <x v="1356"/>
    <n v="-0.33200000000000002"/>
    <d v="2020-07-13T00:00:00"/>
    <s v="−0,296"/>
    <x v="1"/>
  </r>
  <r>
    <x v="1357"/>
    <n v="-0.33"/>
    <d v="2020-07-14T00:00:00"/>
    <s v="−0,299"/>
    <x v="1"/>
  </r>
  <r>
    <x v="1358"/>
    <n v="-0.33300000000000002"/>
    <d v="2020-07-15T00:00:00"/>
    <s v="−0,302"/>
    <x v="1"/>
  </r>
  <r>
    <x v="1359"/>
    <n v="-0.35199999999999998"/>
    <d v="2020-07-16T00:00:00"/>
    <s v="−0,305"/>
    <x v="1"/>
  </r>
  <r>
    <x v="1360"/>
    <n v="-0.35099999999999998"/>
    <d v="2020-07-17T00:00:00"/>
    <s v="−0,309"/>
    <x v="1"/>
  </r>
  <r>
    <x v="1361"/>
    <n v="-0.34799999999999998"/>
    <d v="2020-07-20T00:00:00"/>
    <s v="−0,311"/>
    <x v="1"/>
  </r>
  <r>
    <x v="1362"/>
    <n v="-0.35299999999999998"/>
    <d v="2020-07-21T00:00:00"/>
    <s v="−0,315"/>
    <x v="1"/>
  </r>
  <r>
    <x v="1363"/>
    <n v="-0.35499999999999998"/>
    <d v="2020-07-22T00:00:00"/>
    <s v="−0,319"/>
    <x v="1"/>
  </r>
  <r>
    <x v="1364"/>
    <n v="-0.373"/>
    <d v="2020-07-23T00:00:00"/>
    <s v="−0,322"/>
    <x v="1"/>
  </r>
  <r>
    <x v="1365"/>
    <n v="-0.373"/>
    <d v="2020-07-24T00:00:00"/>
    <s v="−0,324"/>
    <x v="1"/>
  </r>
  <r>
    <x v="1366"/>
    <n v="-0.375"/>
    <d v="2020-07-27T00:00:00"/>
    <s v="−0,326"/>
    <x v="1"/>
  </r>
  <r>
    <x v="1367"/>
    <n v="-0.379"/>
    <d v="2020-07-28T00:00:00"/>
    <s v="−0,329"/>
    <x v="1"/>
  </r>
  <r>
    <x v="1368"/>
    <n v="-0.38900000000000001"/>
    <d v="2020-07-29T00:00:00"/>
    <s v="−0,334"/>
    <x v="1"/>
  </r>
  <r>
    <x v="1369"/>
    <n v="-0.39900000000000002"/>
    <d v="2020-07-30T00:00:00"/>
    <s v="−0,340"/>
    <x v="1"/>
  </r>
  <r>
    <x v="1370"/>
    <n v="-0.40699999999999997"/>
    <d v="2020-07-31T00:00:00"/>
    <s v="−0,344"/>
    <x v="1"/>
  </r>
  <r>
    <x v="1371"/>
    <n v="-0.41699999999999998"/>
    <d v="2020-08-03T00:00:00"/>
    <s v="−0,349"/>
    <x v="1"/>
  </r>
  <r>
    <x v="1372"/>
    <n v="-0.42099999999999999"/>
    <d v="2020-08-04T00:00:00"/>
    <s v="−0,354"/>
    <x v="1"/>
  </r>
  <r>
    <x v="1373"/>
    <n v="-0.41799999999999998"/>
    <d v="2020-08-05T00:00:00"/>
    <s v="−0,358"/>
    <x v="1"/>
  </r>
  <r>
    <x v="1374"/>
    <n v="-0.41699999999999998"/>
    <d v="2020-08-06T00:00:00"/>
    <s v="−0,363"/>
    <x v="1"/>
  </r>
  <r>
    <x v="1375"/>
    <n v="-0.41799999999999998"/>
    <d v="2020-08-07T00:00:00"/>
    <s v="−0,366"/>
    <x v="1"/>
  </r>
  <r>
    <x v="1376"/>
    <n v="-0.42199999999999999"/>
    <d v="2020-08-10T00:00:00"/>
    <s v="−0,371"/>
    <x v="1"/>
  </r>
  <r>
    <x v="1377"/>
    <n v="-0.42599999999999999"/>
    <d v="2020-08-11T00:00:00"/>
    <s v="−0,375"/>
    <x v="1"/>
  </r>
  <r>
    <x v="1378"/>
    <n v="-0.42799999999999999"/>
    <d v="2020-08-12T00:00:00"/>
    <s v="−0,378"/>
    <x v="1"/>
  </r>
  <r>
    <x v="1379"/>
    <n v="-0.433"/>
    <d v="2020-08-13T00:00:00"/>
    <s v="−0,379"/>
    <x v="1"/>
  </r>
  <r>
    <x v="1380"/>
    <n v="-0.432"/>
    <d v="2020-08-14T00:00:00"/>
    <s v="−0,378"/>
    <x v="1"/>
  </r>
  <r>
    <x v="1381"/>
    <n v="-0.433"/>
    <d v="2020-08-17T00:00:00"/>
    <s v="−0,378"/>
    <x v="1"/>
  </r>
  <r>
    <x v="1382"/>
    <n v="-0.44"/>
    <d v="2020-08-18T00:00:00"/>
    <s v="−0,377"/>
    <x v="1"/>
  </r>
  <r>
    <x v="1383"/>
    <n v="-0.442"/>
    <d v="2020-08-19T00:00:00"/>
    <s v="−0,378"/>
    <x v="1"/>
  </r>
  <r>
    <x v="1384"/>
    <n v="-0.44400000000000001"/>
    <d v="2020-08-20T00:00:00"/>
    <s v="−0,378"/>
    <x v="1"/>
  </r>
  <r>
    <x v="1385"/>
    <n v="-0.441"/>
    <d v="2020-08-21T00:00:00"/>
    <s v="−0,380"/>
    <x v="1"/>
  </r>
  <r>
    <x v="1386"/>
    <n v="-0.442"/>
    <d v="2020-08-24T00:00:00"/>
    <s v="−0,381"/>
    <x v="1"/>
  </r>
  <r>
    <x v="1387"/>
    <n v="-0.443"/>
    <d v="2020-08-25T00:00:00"/>
    <s v="−0,380"/>
    <x v="1"/>
  </r>
  <r>
    <x v="1388"/>
    <n v="-0.443"/>
    <d v="2020-08-26T00:00:00"/>
    <s v="−0,378"/>
    <x v="1"/>
  </r>
  <r>
    <x v="1389"/>
    <n v="-0.439"/>
    <d v="2020-08-27T00:00:00"/>
    <s v="−0,375"/>
    <x v="1"/>
  </r>
  <r>
    <x v="1390"/>
    <n v="-0.44400000000000001"/>
    <d v="2020-08-28T00:00:00"/>
    <s v="−0,371"/>
    <x v="1"/>
  </r>
  <r>
    <x v="1391"/>
    <n v="-0.44800000000000001"/>
    <d v="2020-08-31T00:00:00"/>
    <s v="−0,367"/>
    <x v="1"/>
  </r>
  <r>
    <x v="1392"/>
    <n v="-0.441"/>
    <d v="2020-09-01T00:00:00"/>
    <s v="−0,364"/>
    <x v="1"/>
  </r>
  <r>
    <x v="1393"/>
    <n v="-0.45100000000000001"/>
    <d v="2020-09-02T00:00:00"/>
    <s v="−0,362"/>
    <x v="1"/>
  </r>
  <r>
    <x v="1394"/>
    <n v="-0.45500000000000002"/>
    <d v="2020-09-03T00:00:00"/>
    <s v="−0,361"/>
    <x v="1"/>
  </r>
  <r>
    <x v="1395"/>
    <n v="-0.45100000000000001"/>
    <d v="2020-09-04T00:00:00"/>
    <s v="−0,360"/>
    <x v="1"/>
  </r>
  <r>
    <x v="1396"/>
    <n v="-0.45900000000000002"/>
    <d v="2020-09-07T00:00:00"/>
    <s v="−0,359"/>
    <x v="1"/>
  </r>
  <r>
    <x v="1397"/>
    <n v="-0.45900000000000002"/>
    <d v="2020-09-08T00:00:00"/>
    <s v="−0,358"/>
    <x v="1"/>
  </r>
  <r>
    <x v="1398"/>
    <n v="-0.46300000000000002"/>
    <d v="2020-09-09T00:00:00"/>
    <s v="−0,359"/>
    <x v="1"/>
  </r>
  <r>
    <x v="1399"/>
    <n v="-0.45800000000000002"/>
    <d v="2020-09-10T00:00:00"/>
    <s v="−0,358"/>
    <x v="1"/>
  </r>
  <r>
    <x v="1400"/>
    <n v="-0.45500000000000002"/>
    <d v="2020-09-11T00:00:00"/>
    <s v="−0,361"/>
    <x v="1"/>
  </r>
  <r>
    <x v="1401"/>
    <n v="-0.46"/>
    <d v="2020-09-14T00:00:00"/>
    <s v="−0,363"/>
    <x v="1"/>
  </r>
  <r>
    <x v="1402"/>
    <n v="-0.45800000000000002"/>
    <d v="2020-09-15T00:00:00"/>
    <s v="−0,351"/>
    <x v="1"/>
  </r>
  <r>
    <x v="1403"/>
    <n v="-0.46200000000000002"/>
    <d v="2020-09-16T00:00:00"/>
    <s v="−0,352"/>
    <x v="1"/>
  </r>
  <r>
    <x v="1404"/>
    <n v="-0.46300000000000002"/>
    <d v="2020-09-17T00:00:00"/>
    <s v="−0,353"/>
    <x v="1"/>
  </r>
  <r>
    <x v="1405"/>
    <n v="-0.46800000000000003"/>
    <d v="2020-09-18T00:00:00"/>
    <s v="−0,353"/>
    <x v="1"/>
  </r>
  <r>
    <x v="1406"/>
    <n v="-0.47"/>
    <d v="2020-09-21T00:00:00"/>
    <s v="−0,355"/>
    <x v="1"/>
  </r>
  <r>
    <x v="1407"/>
    <n v="-0.47299999999999998"/>
    <d v="2020-09-22T00:00:00"/>
    <s v="−0,359"/>
    <x v="1"/>
  </r>
  <r>
    <x v="1408"/>
    <n v="-0.46800000000000003"/>
    <d v="2020-09-23T00:00:00"/>
    <s v="−0,363"/>
    <x v="1"/>
  </r>
  <r>
    <x v="1409"/>
    <n v="-0.47199999999999998"/>
    <d v="2020-09-24T00:00:00"/>
    <s v="−0,367"/>
    <x v="1"/>
  </r>
  <r>
    <x v="1410"/>
    <n v="-0.46800000000000003"/>
    <d v="2020-09-25T00:00:00"/>
    <s v="−0,373"/>
    <x v="1"/>
  </r>
  <r>
    <x v="1411"/>
    <n v="-0.47"/>
    <d v="2020-09-28T00:00:00"/>
    <s v="−0,378"/>
    <x v="1"/>
  </r>
  <r>
    <x v="1412"/>
    <n v="-0.47399999999999998"/>
    <d v="2020-09-29T00:00:00"/>
    <s v="−0,383"/>
    <x v="1"/>
  </r>
  <r>
    <x v="1413"/>
    <n v="-0.48"/>
    <d v="2020-09-30T00:00:00"/>
    <s v="−0,386"/>
    <x v="1"/>
  </r>
  <r>
    <x v="1414"/>
    <n v="-0.48099999999999998"/>
    <d v="2020-10-01T00:00:00"/>
    <s v="−0,388"/>
    <x v="1"/>
  </r>
  <r>
    <x v="1415"/>
    <n v="-0.47299999999999998"/>
    <d v="2020-10-02T00:00:00"/>
    <s v="−0,390"/>
    <x v="1"/>
  </r>
  <r>
    <x v="1416"/>
    <n v="-0.48799999999999999"/>
    <d v="2020-10-05T00:00:00"/>
    <s v="−0,392"/>
    <x v="1"/>
  </r>
  <r>
    <x v="1417"/>
    <n v="-0.47899999999999998"/>
    <d v="2020-10-06T00:00:00"/>
    <s v="−0,394"/>
    <x v="1"/>
  </r>
  <r>
    <x v="1418"/>
    <n v="-0.48799999999999999"/>
    <d v="2020-10-07T00:00:00"/>
    <s v="−0,395"/>
    <x v="1"/>
  </r>
  <r>
    <x v="1419"/>
    <n v="-0.48599999999999999"/>
    <d v="2020-10-08T00:00:00"/>
    <s v="−0,399"/>
    <x v="1"/>
  </r>
  <r>
    <x v="1420"/>
    <n v="-0.48599999999999999"/>
    <d v="2020-10-09T00:00:00"/>
    <s v="−0,402"/>
    <x v="1"/>
  </r>
  <r>
    <x v="1421"/>
    <n v="-0.48499999999999999"/>
    <d v="2020-10-12T00:00:00"/>
    <s v="−0,405"/>
    <x v="1"/>
  </r>
  <r>
    <x v="1422"/>
    <n v="-0.48299999999999998"/>
    <d v="2020-10-13T00:00:00"/>
    <s v="−0,409"/>
    <x v="1"/>
  </r>
  <r>
    <x v="1423"/>
    <n v="-0.49299999999999999"/>
    <d v="2020-10-14T00:00:00"/>
    <s v="−0,413"/>
    <x v="1"/>
  </r>
  <r>
    <x v="1424"/>
    <n v="-0.497"/>
    <d v="2020-10-15T00:00:00"/>
    <s v="−0,419"/>
    <x v="1"/>
  </r>
  <r>
    <x v="1425"/>
    <n v="-0.498"/>
    <d v="2020-10-16T00:00:00"/>
    <s v="−0,424"/>
    <x v="1"/>
  </r>
  <r>
    <x v="1426"/>
    <n v="-0.497"/>
    <d v="2020-10-19T00:00:00"/>
    <s v="−0,428"/>
    <x v="1"/>
  </r>
  <r>
    <x v="1427"/>
    <n v="-0.498"/>
    <d v="2020-10-20T00:00:00"/>
    <s v="−0,432"/>
    <x v="1"/>
  </r>
  <r>
    <x v="1428"/>
    <n v="-0.498"/>
    <d v="2020-10-21T00:00:00"/>
    <s v="−0,435"/>
    <x v="1"/>
  </r>
  <r>
    <x v="1429"/>
    <n v="-0.498"/>
    <d v="2020-10-22T00:00:00"/>
    <s v="−0,433"/>
    <x v="1"/>
  </r>
  <r>
    <x v="1430"/>
    <n v="-0.496"/>
    <d v="2020-10-23T00:00:00"/>
    <s v="−0,435"/>
    <x v="1"/>
  </r>
  <r>
    <x v="1431"/>
    <n v="-0.496"/>
    <m/>
    <s v="−0,435"/>
    <x v="1"/>
  </r>
  <r>
    <x v="1432"/>
    <n v="-0.50700000000000001"/>
    <d v="2020-10-27T00:00:00"/>
    <s v="−0,438"/>
    <x v="1"/>
  </r>
  <r>
    <x v="1433"/>
    <n v="-0.505"/>
    <d v="2020-10-28T00:00:00"/>
    <s v="−0,442"/>
    <x v="1"/>
  </r>
  <r>
    <x v="1434"/>
    <n v="-0.51500000000000001"/>
    <d v="2020-10-29T00:00:00"/>
    <s v="−0,446"/>
    <x v="1"/>
  </r>
  <r>
    <x v="1435"/>
    <n v="-0.52100000000000002"/>
    <d v="2020-10-30T00:00:00"/>
    <s v="−0,450"/>
    <x v="1"/>
  </r>
  <r>
    <x v="1436"/>
    <n v="-0.51300000000000001"/>
    <d v="2020-11-02T00:00:00"/>
    <n v="-0.45500000000000002"/>
    <x v="12"/>
  </r>
  <r>
    <x v="1437"/>
    <n v="-0.51300000000000001"/>
    <d v="2020-11-03T00:00:00"/>
    <s v="−0,459"/>
    <x v="1"/>
  </r>
  <r>
    <x v="1438"/>
    <n v="-0.51500000000000001"/>
    <d v="2020-11-04T00:00:00"/>
    <s v="−0,464"/>
    <x v="1"/>
  </r>
  <r>
    <x v="1439"/>
    <n v="-0.51100000000000001"/>
    <d v="2020-11-05T00:00:00"/>
    <s v="−0,468"/>
    <x v="1"/>
  </r>
  <r>
    <x v="1440"/>
    <n v="-0.51200000000000001"/>
    <d v="2020-11-06T00:00:00"/>
    <s v="−0,472"/>
    <x v="1"/>
  </r>
  <r>
    <x v="1441"/>
    <n v="-0.51100000000000001"/>
    <d v="2020-11-09T00:00:00"/>
    <s v="−0,474"/>
    <x v="1"/>
  </r>
  <r>
    <x v="1442"/>
    <n v="-0.505"/>
    <d v="2020-11-10T00:00:00"/>
    <s v="−0,473"/>
    <x v="1"/>
  </r>
  <r>
    <x v="1443"/>
    <n v="-0.50700000000000001"/>
    <d v="2020-11-11T00:00:00"/>
    <s v="−0,471"/>
    <x v="1"/>
  </r>
  <r>
    <x v="1444"/>
    <n v="-0.504"/>
    <d v="2020-11-12T00:00:00"/>
    <s v="−0,469"/>
    <x v="1"/>
  </r>
  <r>
    <x v="1445"/>
    <n v="-0.503"/>
    <d v="2020-11-13T00:00:00"/>
    <s v="−0,467"/>
    <x v="1"/>
  </r>
  <r>
    <x v="1446"/>
    <n v="-0.505"/>
    <d v="2020-11-16T00:00:00"/>
    <s v="−0,465"/>
    <x v="1"/>
  </r>
  <r>
    <x v="1447"/>
    <n v="-0.50800000000000001"/>
    <d v="2020-11-17T00:00:00"/>
    <s v="−0,463"/>
    <x v="1"/>
  </r>
  <r>
    <x v="1448"/>
    <n v="-0.51300000000000001"/>
    <d v="2020-11-18T00:00:00"/>
    <s v="−0,462"/>
    <x v="1"/>
  </r>
  <r>
    <x v="1449"/>
    <n v="-0.51200000000000001"/>
    <d v="2020-11-19T00:00:00"/>
    <s v="−0,462"/>
    <x v="1"/>
  </r>
  <r>
    <x v="1450"/>
    <n v="-0.50900000000000001"/>
    <d v="2020-11-20T00:00:00"/>
    <s v="−0,463"/>
    <x v="1"/>
  </r>
  <r>
    <x v="1451"/>
    <n v="-0.50900000000000001"/>
    <d v="2020-11-23T00:00:00"/>
    <s v="−0,465"/>
    <x v="1"/>
  </r>
  <r>
    <x v="1452"/>
    <n v="-0.51"/>
    <d v="2020-11-24T00:00:00"/>
    <s v="−0,466"/>
    <x v="1"/>
  </r>
  <r>
    <x v="1453"/>
    <n v="-0.50800000000000001"/>
    <d v="2020-11-25T00:00:00"/>
    <s v="−0,465"/>
    <x v="1"/>
  </r>
  <r>
    <x v="1454"/>
    <n v="-0.50600000000000001"/>
    <d v="2020-11-26T00:00:00"/>
    <s v="−0,464"/>
    <x v="1"/>
  </r>
  <r>
    <x v="1455"/>
    <n v="-0.50700000000000001"/>
    <d v="2020-11-27T00:00:00"/>
    <s v="−0,463"/>
    <x v="1"/>
  </r>
  <r>
    <x v="1456"/>
    <n v="-0.50800000000000001"/>
    <d v="2020-11-30T00:00:00"/>
    <s v="−0,462"/>
    <x v="1"/>
  </r>
  <r>
    <x v="1457"/>
    <n v="-0.50800000000000001"/>
    <d v="2020-12-01T00:00:00"/>
    <s v="−0,460"/>
    <x v="1"/>
  </r>
  <r>
    <x v="1458"/>
    <n v="-0.50800000000000001"/>
    <d v="2020-12-02T00:00:00"/>
    <s v="−0,455"/>
    <x v="1"/>
  </r>
  <r>
    <x v="1459"/>
    <n v="-0.51"/>
    <d v="2020-12-03T00:00:00"/>
    <s v="−0,453"/>
    <x v="1"/>
  </r>
  <r>
    <x v="1460"/>
    <n v="-0.51200000000000001"/>
    <d v="2020-12-04T00:00:00"/>
    <s v="−0,450"/>
    <x v="1"/>
  </r>
  <r>
    <x v="1461"/>
    <n v="-0.51300000000000001"/>
    <d v="2020-12-07T00:00:00"/>
    <s v="−0,450"/>
    <x v="1"/>
  </r>
  <r>
    <x v="1462"/>
    <n v="-0.51800000000000002"/>
    <m/>
    <s v="−0,450"/>
    <x v="1"/>
  </r>
  <r>
    <x v="1463"/>
    <n v="-0.52400000000000002"/>
    <d v="2020-12-09T00:00:00"/>
    <s v="−0,454"/>
    <x v="1"/>
  </r>
  <r>
    <x v="1464"/>
    <n v="-0.52300000000000002"/>
    <d v="2020-12-10T00:00:00"/>
    <s v="−0,458"/>
    <x v="1"/>
  </r>
  <r>
    <x v="1465"/>
    <n v="-0.52"/>
    <d v="2020-12-11T00:00:00"/>
    <s v="−0,462"/>
    <x v="1"/>
  </r>
  <r>
    <x v="1466"/>
    <n v="-0.52200000000000002"/>
    <d v="2020-12-14T00:00:00"/>
    <s v="−0,465"/>
    <x v="1"/>
  </r>
  <r>
    <x v="1467"/>
    <n v="-0.52"/>
    <d v="2020-12-15T00:00:00"/>
    <s v="−0,466"/>
    <x v="1"/>
  </r>
  <r>
    <x v="1468"/>
    <n v="-0.52500000000000002"/>
    <d v="2020-12-16T00:00:00"/>
    <s v="−0,466"/>
    <x v="1"/>
  </r>
  <r>
    <x v="1469"/>
    <n v="-0.51800000000000002"/>
    <d v="2020-12-17T00:00:00"/>
    <s v="−0,466"/>
    <x v="1"/>
  </r>
  <r>
    <x v="1470"/>
    <n v="-0.52"/>
    <d v="2020-12-18T00:00:00"/>
    <s v="−0,465"/>
    <x v="1"/>
  </r>
  <r>
    <x v="1471"/>
    <n v="-0.51800000000000002"/>
    <d v="2020-12-21T00:00:00"/>
    <s v="−0,466"/>
    <x v="1"/>
  </r>
  <r>
    <x v="1472"/>
    <n v="-0.52200000000000002"/>
    <d v="2020-12-22T00:00:00"/>
    <s v="−0,466"/>
    <x v="1"/>
  </r>
  <r>
    <x v="1473"/>
    <n v="-0.52100000000000002"/>
    <d v="2020-12-23T00:00:00"/>
    <s v="−0,466"/>
    <x v="1"/>
  </r>
  <r>
    <x v="1474"/>
    <n v="-0.51900000000000002"/>
    <m/>
    <s v="−0,466"/>
    <x v="1"/>
  </r>
  <r>
    <x v="1475"/>
    <n v="-0.51900000000000002"/>
    <m/>
    <s v="−0,466"/>
    <x v="1"/>
  </r>
  <r>
    <x v="1476"/>
    <n v="-0.52"/>
    <d v="2020-12-28T00:00:00"/>
    <s v="−0,465"/>
    <x v="1"/>
  </r>
  <r>
    <x v="1477"/>
    <n v="-0.52300000000000002"/>
    <d v="2020-12-29T00:00:00"/>
    <s v="−0,465"/>
    <x v="1"/>
  </r>
  <r>
    <x v="1478"/>
    <n v="-0.52"/>
    <d v="2020-12-30T00:00:00"/>
    <s v="−0,464"/>
    <x v="1"/>
  </r>
  <r>
    <x v="1479"/>
    <n v="-0.52600000000000002"/>
    <d v="2020-12-31T00:00:00"/>
    <s v="−0,464"/>
    <x v="1"/>
  </r>
  <r>
    <x v="1480"/>
    <n v="-0.52600000000000002"/>
    <m/>
    <s v="−0,464"/>
    <x v="1"/>
  </r>
  <r>
    <x v="1481"/>
    <n v="-0.53200000000000003"/>
    <d v="2021-01-04T00:00:00"/>
    <s v="−0,465"/>
    <x v="1"/>
  </r>
  <r>
    <x v="1482"/>
    <n v="-0.52400000000000002"/>
    <d v="2021-01-05T00:00:00"/>
    <s v="−0,468"/>
    <x v="1"/>
  </r>
  <r>
    <x v="1483"/>
    <n v="-0.53"/>
    <m/>
    <s v="−0,468"/>
    <x v="1"/>
  </r>
  <r>
    <x v="1484"/>
    <n v="-0.52400000000000002"/>
    <d v="2021-01-07T00:00:00"/>
    <s v="−0,469"/>
    <x v="1"/>
  </r>
  <r>
    <x v="1485"/>
    <n v="-0.53"/>
    <d v="2021-01-08T00:00:00"/>
    <s v="−0,469"/>
    <x v="1"/>
  </r>
  <r>
    <x v="1486"/>
    <n v="-0.52300000000000002"/>
    <d v="2021-01-11T00:00:00"/>
    <s v="−0,467"/>
    <x v="1"/>
  </r>
  <r>
    <x v="1487"/>
    <n v="-0.53"/>
    <d v="2021-01-12T00:00:00"/>
    <s v="−0,464"/>
    <x v="1"/>
  </r>
  <r>
    <x v="1488"/>
    <n v="-0.52700000000000002"/>
    <d v="2021-01-13T00:00:00"/>
    <s v="−0,460"/>
    <x v="1"/>
  </r>
  <r>
    <x v="1489"/>
    <n v="-0.53300000000000003"/>
    <d v="2021-01-14T00:00:00"/>
    <s v="−0,456"/>
    <x v="1"/>
  </r>
  <r>
    <x v="1490"/>
    <n v="-0.53200000000000003"/>
    <d v="2021-01-15T00:00:00"/>
    <s v="−0,453"/>
    <x v="1"/>
  </r>
  <r>
    <x v="1491"/>
    <n v="-0.53300000000000003"/>
    <d v="2021-01-18T00:00:00"/>
    <s v="−0,451"/>
    <x v="1"/>
  </r>
  <r>
    <x v="1492"/>
    <n v="-0.52800000000000002"/>
    <d v="2021-01-19T00:00:00"/>
    <s v="−0,450"/>
    <x v="1"/>
  </r>
  <r>
    <x v="1493"/>
    <n v="-0.53200000000000003"/>
    <d v="2021-01-20T00:00:00"/>
    <s v="−0,448"/>
    <x v="1"/>
  </r>
  <r>
    <x v="1494"/>
    <n v="-0.52700000000000002"/>
    <d v="2021-01-21T00:00:00"/>
    <s v="−0,446"/>
    <x v="1"/>
  </r>
  <r>
    <x v="1495"/>
    <n v="-0.52500000000000002"/>
    <d v="2021-01-22T00:00:00"/>
    <s v="−0,442"/>
    <x v="1"/>
  </r>
  <r>
    <x v="1496"/>
    <n v="-0.52100000000000002"/>
    <d v="2021-01-25T00:00:00"/>
    <s v="−0,440"/>
    <x v="1"/>
  </r>
  <r>
    <x v="1497"/>
    <n v="-0.52800000000000002"/>
    <d v="2021-01-26T00:00:00"/>
    <s v="−0,438"/>
    <x v="1"/>
  </r>
  <r>
    <x v="1498"/>
    <n v="-0.52600000000000002"/>
    <d v="2021-01-27T00:00:00"/>
    <s v="−0,437"/>
    <x v="1"/>
  </r>
  <r>
    <x v="1499"/>
    <n v="-0.53400000000000003"/>
    <d v="2021-01-28T00:00:00"/>
    <s v="−0,436"/>
    <x v="1"/>
  </r>
  <r>
    <x v="1500"/>
    <n v="-0.53100000000000003"/>
    <d v="2021-01-29T00:00:00"/>
    <s v="−0,434"/>
    <x v="1"/>
  </r>
  <r>
    <x v="1501"/>
    <n v="-0.52800000000000002"/>
    <d v="2021-02-01T00:00:00"/>
    <s v="−0,433"/>
    <x v="1"/>
  </r>
  <r>
    <x v="1502"/>
    <n v="-0.52600000000000002"/>
    <d v="2021-02-02T00:00:00"/>
    <s v="−0,429"/>
    <x v="1"/>
  </r>
  <r>
    <x v="1503"/>
    <n v="-0.52100000000000002"/>
    <d v="2021-02-03T00:00:00"/>
    <s v="−0,423"/>
    <x v="1"/>
  </r>
  <r>
    <x v="1504"/>
    <n v="-0.52500000000000002"/>
    <d v="2021-02-04T00:00:00"/>
    <s v="−0,419"/>
    <x v="1"/>
  </r>
  <r>
    <x v="1505"/>
    <n v="-0.51900000000000002"/>
    <d v="2021-02-05T00:00:00"/>
    <s v="−0,415"/>
    <x v="1"/>
  </r>
  <r>
    <x v="1506"/>
    <n v="-0.52100000000000002"/>
    <d v="2021-02-08T00:00:00"/>
    <s v="−0,412"/>
    <x v="1"/>
  </r>
  <r>
    <x v="1507"/>
    <n v="-0.52300000000000002"/>
    <d v="2021-02-09T00:00:00"/>
    <s v="−0,410"/>
    <x v="1"/>
  </r>
  <r>
    <x v="1508"/>
    <n v="-0.52200000000000002"/>
    <d v="2021-02-10T00:00:00"/>
    <s v="−0,408"/>
    <x v="1"/>
  </r>
  <r>
    <x v="1509"/>
    <n v="-0.52100000000000002"/>
    <d v="2021-02-11T00:00:00"/>
    <s v="−0,404"/>
    <x v="1"/>
  </r>
  <r>
    <x v="1510"/>
    <n v="-0.52200000000000002"/>
    <d v="2021-02-12T00:00:00"/>
    <s v="−0,400"/>
    <x v="1"/>
  </r>
  <r>
    <x v="1511"/>
    <n v="-0.52100000000000002"/>
    <d v="2021-02-15T00:00:00"/>
    <s v="−0,394"/>
    <x v="1"/>
  </r>
  <r>
    <x v="1512"/>
    <n v="-0.52"/>
    <d v="2021-02-16T00:00:00"/>
    <s v="−0,388"/>
    <x v="1"/>
  </r>
  <r>
    <x v="1513"/>
    <n v="-0.52100000000000002"/>
    <d v="2021-02-17T00:00:00"/>
    <s v="−0,382"/>
    <x v="1"/>
  </r>
  <r>
    <x v="1514"/>
    <n v="-0.51800000000000002"/>
    <d v="2021-02-18T00:00:00"/>
    <s v="−0,375"/>
    <x v="1"/>
  </r>
  <r>
    <x v="1515"/>
    <n v="-0.51700000000000002"/>
    <d v="2021-02-19T00:00:00"/>
    <s v="−0,367"/>
    <x v="1"/>
  </r>
  <r>
    <x v="1516"/>
    <n v="-0.51600000000000001"/>
    <d v="2021-02-22T00:00:00"/>
    <s v="−0,358"/>
    <x v="1"/>
  </r>
  <r>
    <x v="1517"/>
    <n v="-0.51700000000000002"/>
    <d v="2021-02-23T00:00:00"/>
    <s v="−0,349"/>
    <x v="1"/>
  </r>
  <r>
    <x v="1518"/>
    <n v="-0.51800000000000002"/>
    <d v="2021-02-24T00:00:00"/>
    <s v="−0,339"/>
    <x v="1"/>
  </r>
  <r>
    <x v="1519"/>
    <n v="-0.51800000000000002"/>
    <d v="2021-02-25T00:00:00"/>
    <s v="−0,328"/>
    <x v="1"/>
  </r>
  <r>
    <x v="1520"/>
    <n v="-0.51600000000000001"/>
    <d v="2021-02-26T00:00:00"/>
    <s v="−0,318"/>
    <x v="1"/>
  </r>
  <r>
    <x v="1521"/>
    <n v="-0.50800000000000001"/>
    <d v="2021-03-01T00:00:00"/>
    <s v="−0,310"/>
    <x v="1"/>
  </r>
  <r>
    <x v="1522"/>
    <n v="-0.51600000000000001"/>
    <d v="2021-03-02T00:00:00"/>
    <s v="−0,304"/>
    <x v="1"/>
  </r>
  <r>
    <x v="1523"/>
    <n v="-0.51700000000000002"/>
    <d v="2021-03-03T00:00:00"/>
    <s v="−0,298"/>
    <x v="1"/>
  </r>
  <r>
    <x v="1524"/>
    <n v="-0.51800000000000002"/>
    <d v="2021-03-04T00:00:00"/>
    <s v="−0,292"/>
    <x v="1"/>
  </r>
  <r>
    <x v="1525"/>
    <n v="-0.51400000000000001"/>
    <d v="2021-03-05T00:00:00"/>
    <s v="−0,286"/>
    <x v="1"/>
  </r>
  <r>
    <x v="1526"/>
    <n v="-0.51500000000000001"/>
    <d v="2021-03-08T00:00:00"/>
    <s v="−0,280"/>
    <x v="1"/>
  </r>
  <r>
    <x v="1527"/>
    <n v="-0.51800000000000002"/>
    <d v="2021-03-09T00:00:00"/>
    <s v="−0,275"/>
    <x v="1"/>
  </r>
  <r>
    <x v="1528"/>
    <n v="-0.52"/>
    <d v="2021-03-10T00:00:00"/>
    <s v="−0,269"/>
    <x v="1"/>
  </r>
  <r>
    <x v="1529"/>
    <n v="-0.51800000000000002"/>
    <d v="2021-03-11T00:00:00"/>
    <s v="−0,263"/>
    <x v="1"/>
  </r>
  <r>
    <x v="1530"/>
    <n v="-0.51400000000000001"/>
    <d v="2021-03-12T00:00:00"/>
    <s v="−0,259"/>
    <x v="1"/>
  </r>
  <r>
    <x v="1531"/>
    <n v="-0.51500000000000001"/>
    <d v="2021-03-15T00:00:00"/>
    <s v="−0,257"/>
    <x v="1"/>
  </r>
  <r>
    <x v="1532"/>
    <n v="-0.52"/>
    <d v="2021-03-16T00:00:00"/>
    <s v="−0,256"/>
    <x v="1"/>
  </r>
  <r>
    <x v="1533"/>
    <n v="-0.52"/>
    <d v="2021-03-17T00:00:00"/>
    <s v="−0,254"/>
    <x v="1"/>
  </r>
  <r>
    <x v="1534"/>
    <n v="-0.51900000000000002"/>
    <d v="2021-03-18T00:00:00"/>
    <s v="−0,252"/>
    <x v="1"/>
  </r>
  <r>
    <x v="1535"/>
    <n v="-0.51500000000000001"/>
    <d v="2021-03-19T00:00:00"/>
    <s v="−0,252"/>
    <x v="1"/>
  </r>
  <r>
    <x v="1536"/>
    <n v="-0.51800000000000002"/>
    <d v="2021-03-22T00:00:00"/>
    <s v="−0,252"/>
    <x v="1"/>
  </r>
  <r>
    <x v="1537"/>
    <n v="-0.51800000000000002"/>
    <d v="2021-03-23T00:00:00"/>
    <s v="−0,253"/>
    <x v="1"/>
  </r>
  <r>
    <x v="1538"/>
    <n v="-0.51600000000000001"/>
    <d v="2021-03-24T00:00:00"/>
    <s v="−0,255"/>
    <x v="1"/>
  </r>
  <r>
    <x v="1539"/>
    <n v="-0.51400000000000001"/>
    <d v="2021-03-25T00:00:00"/>
    <s v="−0,260"/>
    <x v="1"/>
  </r>
  <r>
    <x v="1540"/>
    <n v="-0.51400000000000001"/>
    <d v="2021-03-26T00:00:00"/>
    <s v="−0,263"/>
    <x v="1"/>
  </r>
  <r>
    <x v="1541"/>
    <n v="-0.51300000000000001"/>
    <d v="2021-03-29T00:00:00"/>
    <s v="−0,265"/>
    <x v="1"/>
  </r>
  <r>
    <x v="1542"/>
    <n v="-0.51900000000000002"/>
    <d v="2021-03-30T00:00:00"/>
    <s v="−0,264"/>
    <x v="1"/>
  </r>
  <r>
    <x v="1543"/>
    <n v="-0.50900000000000001"/>
    <d v="2021-03-31T00:00:00"/>
    <s v="−0,263"/>
    <x v="1"/>
  </r>
  <r>
    <x v="1544"/>
    <n v="-0.51200000000000001"/>
    <d v="2021-04-01T00:00:00"/>
    <s v="−0,264"/>
    <x v="1"/>
  </r>
  <r>
    <x v="1545"/>
    <n v="-0.51200000000000001"/>
    <d v="2021-04-02T00:00:00"/>
    <s v="−0,265"/>
    <x v="1"/>
  </r>
  <r>
    <x v="1546"/>
    <n v="-0.51200000000000001"/>
    <m/>
    <s v="−0,265"/>
    <x v="1"/>
  </r>
  <r>
    <x v="1547"/>
    <n v="-0.51700000000000002"/>
    <d v="2021-04-06T00:00:00"/>
    <s v="−0,267"/>
    <x v="1"/>
  </r>
  <r>
    <x v="1548"/>
    <n v="-0.51700000000000002"/>
    <d v="2021-04-07T00:00:00"/>
    <s v="−0,268"/>
    <x v="1"/>
  </r>
  <r>
    <x v="1549"/>
    <n v="-0.51800000000000002"/>
    <d v="2021-04-08T00:00:00"/>
    <s v="−0,266"/>
    <x v="1"/>
  </r>
  <r>
    <x v="1550"/>
    <n v="-0.52200000000000002"/>
    <d v="2021-04-09T00:00:00"/>
    <s v="−0,266"/>
    <x v="1"/>
  </r>
  <r>
    <x v="1551"/>
    <n v="-0.51700000000000002"/>
    <d v="2021-04-12T00:00:00"/>
    <s v="−0,266"/>
    <x v="1"/>
  </r>
  <r>
    <x v="1552"/>
    <n v="-0.52300000000000002"/>
    <d v="2021-04-13T00:00:00"/>
    <s v="−0,265"/>
    <x v="1"/>
  </r>
  <r>
    <x v="1553"/>
    <n v="-0.50900000000000001"/>
    <d v="2021-04-14T00:00:00"/>
    <s v="−0,263"/>
    <x v="1"/>
  </r>
  <r>
    <x v="1554"/>
    <n v="-0.51200000000000001"/>
    <d v="2021-04-15T00:00:00"/>
    <s v="−0,261"/>
    <x v="1"/>
  </r>
  <r>
    <x v="1555"/>
    <n v="-0.51100000000000001"/>
    <d v="2021-04-16T00:00:00"/>
    <s v="−0,262"/>
    <x v="1"/>
  </r>
  <r>
    <x v="1556"/>
    <n v="-0.51300000000000001"/>
    <d v="2021-04-19T00:00:00"/>
    <s v="−0,261"/>
    <x v="1"/>
  </r>
  <r>
    <x v="1557"/>
    <n v="-0.51300000000000001"/>
    <d v="2021-04-20T00:00:00"/>
    <s v="−0,243"/>
    <x v="1"/>
  </r>
  <r>
    <x v="1558"/>
    <n v="-0.51300000000000001"/>
    <d v="2021-04-21T00:00:00"/>
    <s v="−0,240"/>
    <x v="1"/>
  </r>
  <r>
    <x v="1559"/>
    <n v="-0.51500000000000001"/>
    <d v="2021-04-22T00:00:00"/>
    <s v="−0,238"/>
    <x v="1"/>
  </r>
  <r>
    <x v="1560"/>
    <n v="-0.51500000000000001"/>
    <d v="2021-04-23T00:00:00"/>
    <s v="−0,235"/>
    <x v="1"/>
  </r>
  <r>
    <x v="1561"/>
    <n v="-0.51400000000000001"/>
    <d v="2021-04-26T00:00:00"/>
    <s v="−0,232"/>
    <x v="1"/>
  </r>
  <r>
    <x v="1562"/>
    <n v="-0.51800000000000002"/>
    <d v="2021-04-27T00:00:00"/>
    <s v="−0,229"/>
    <x v="1"/>
  </r>
  <r>
    <x v="1563"/>
    <n v="-0.51800000000000002"/>
    <d v="2021-04-28T00:00:00"/>
    <s v="−0,227"/>
    <x v="1"/>
  </r>
  <r>
    <x v="1564"/>
    <n v="-0.51800000000000002"/>
    <d v="2021-04-29T00:00:00"/>
    <s v="−0,224"/>
    <x v="1"/>
  </r>
  <r>
    <x v="1565"/>
    <n v="-0.52100000000000002"/>
    <d v="2021-04-30T00:00:00"/>
    <s v="−0,220"/>
    <x v="1"/>
  </r>
  <r>
    <x v="1566"/>
    <n v="-0.51800000000000002"/>
    <d v="2021-05-03T00:00:00"/>
    <n v="-0.217"/>
    <x v="13"/>
  </r>
  <r>
    <x v="1567"/>
    <n v="-0.51600000000000001"/>
    <d v="2021-05-04T00:00:00"/>
    <s v="−0,214"/>
    <x v="1"/>
  </r>
  <r>
    <x v="1568"/>
    <n v="-0.51500000000000001"/>
    <d v="2021-05-05T00:00:00"/>
    <s v="−0,210"/>
    <x v="1"/>
  </r>
  <r>
    <x v="1569"/>
    <n v="-0.51300000000000001"/>
    <d v="2021-05-06T00:00:00"/>
    <s v="−0,203"/>
    <x v="1"/>
  </r>
  <r>
    <x v="1570"/>
    <n v="-0.51400000000000001"/>
    <d v="2021-05-07T00:00:00"/>
    <s v="−0,199"/>
    <x v="1"/>
  </r>
  <r>
    <x v="1571"/>
    <n v="-0.51300000000000001"/>
    <d v="2021-05-10T00:00:00"/>
    <s v="−0,195"/>
    <x v="1"/>
  </r>
  <r>
    <x v="1572"/>
    <n v="-0.51300000000000001"/>
    <d v="2021-05-11T00:00:00"/>
    <s v="−0,191"/>
    <x v="1"/>
  </r>
  <r>
    <x v="1573"/>
    <n v="-0.51300000000000001"/>
    <d v="2021-05-12T00:00:00"/>
    <s v="−0,186"/>
    <x v="1"/>
  </r>
  <r>
    <x v="1574"/>
    <n v="-0.51500000000000001"/>
    <m/>
    <s v="−0,186"/>
    <x v="1"/>
  </r>
  <r>
    <x v="1575"/>
    <n v="-0.51300000000000001"/>
    <d v="2021-05-14T00:00:00"/>
    <s v="−0,180"/>
    <x v="1"/>
  </r>
  <r>
    <x v="1576"/>
    <n v="-0.51500000000000001"/>
    <d v="2021-05-17T00:00:00"/>
    <s v="−0,173"/>
    <x v="1"/>
  </r>
  <r>
    <x v="1577"/>
    <n v="-0.51500000000000001"/>
    <d v="2021-05-18T00:00:00"/>
    <s v="−0,167"/>
    <x v="1"/>
  </r>
  <r>
    <x v="1578"/>
    <n v="-0.51500000000000001"/>
    <d v="2021-05-19T00:00:00"/>
    <s v="−0,161"/>
    <x v="1"/>
  </r>
  <r>
    <x v="1579"/>
    <n v="-0.51700000000000002"/>
    <d v="2021-05-20T00:00:00"/>
    <s v="−0,154"/>
    <x v="1"/>
  </r>
  <r>
    <x v="1580"/>
    <n v="-0.51300000000000001"/>
    <d v="2021-05-21T00:00:00"/>
    <s v="−0,148"/>
    <x v="1"/>
  </r>
  <r>
    <x v="1581"/>
    <n v="-0.50900000000000001"/>
    <m/>
    <s v="−0,148"/>
    <x v="1"/>
  </r>
  <r>
    <x v="1582"/>
    <n v="-0.505"/>
    <d v="2021-05-25T00:00:00"/>
    <s v="−0,144"/>
    <x v="1"/>
  </r>
  <r>
    <x v="1583"/>
    <n v="-0.50700000000000001"/>
    <d v="2021-05-26T00:00:00"/>
    <s v="−0,142"/>
    <x v="1"/>
  </r>
  <r>
    <x v="1584"/>
    <n v="-0.50900000000000001"/>
    <d v="2021-05-27T00:00:00"/>
    <s v="−0,140"/>
    <x v="1"/>
  </r>
  <r>
    <x v="1585"/>
    <n v="-0.51200000000000001"/>
    <d v="2021-05-28T00:00:00"/>
    <s v="−0,138"/>
    <x v="1"/>
  </r>
  <r>
    <x v="1586"/>
    <n v="-0.51300000000000001"/>
    <d v="2021-05-31T00:00:00"/>
    <s v="−0,135"/>
    <x v="1"/>
  </r>
  <r>
    <x v="1587"/>
    <n v="-0.51700000000000002"/>
    <d v="2021-06-01T00:00:00"/>
    <s v="−0,134"/>
    <x v="1"/>
  </r>
  <r>
    <x v="1588"/>
    <n v="-0.51600000000000001"/>
    <d v="2021-06-02T00:00:00"/>
    <s v="−0,135"/>
    <x v="1"/>
  </r>
  <r>
    <x v="1589"/>
    <n v="-0.51700000000000002"/>
    <m/>
    <s v="−0,135"/>
    <x v="1"/>
  </r>
  <r>
    <x v="1590"/>
    <n v="-0.51300000000000001"/>
    <d v="2021-06-04T00:00:00"/>
    <s v="−0,133"/>
    <x v="1"/>
  </r>
  <r>
    <x v="1591"/>
    <n v="-0.51300000000000001"/>
    <d v="2021-06-07T00:00:00"/>
    <s v="−0,132"/>
    <x v="1"/>
  </r>
  <r>
    <x v="1592"/>
    <n v="-0.51600000000000001"/>
    <d v="2021-06-08T00:00:00"/>
    <s v="−0,131"/>
    <x v="1"/>
  </r>
  <r>
    <x v="1593"/>
    <n v="-0.51800000000000002"/>
    <d v="2021-06-09T00:00:00"/>
    <s v="−0,132"/>
    <x v="1"/>
  </r>
  <r>
    <x v="1594"/>
    <n v="-0.51900000000000002"/>
    <d v="2021-06-10T00:00:00"/>
    <s v="−0,134"/>
    <x v="1"/>
  </r>
  <r>
    <x v="1595"/>
    <n v="-0.52100000000000002"/>
    <d v="2021-06-11T00:00:00"/>
    <s v="−0,137"/>
    <x v="1"/>
  </r>
  <r>
    <x v="1596"/>
    <n v="-0.52200000000000002"/>
    <d v="2021-06-14T00:00:00"/>
    <s v="−0,142"/>
    <x v="1"/>
  </r>
  <r>
    <x v="1597"/>
    <n v="-0.52200000000000002"/>
    <d v="2021-06-15T00:00:00"/>
    <s v="−0,147"/>
    <x v="1"/>
  </r>
  <r>
    <x v="1598"/>
    <n v="-0.51900000000000002"/>
    <d v="2021-06-16T00:00:00"/>
    <s v="−0,152"/>
    <x v="1"/>
  </r>
  <r>
    <x v="1599"/>
    <n v="-0.51300000000000001"/>
    <d v="2021-06-17T00:00:00"/>
    <s v="−0,156"/>
    <x v="1"/>
  </r>
  <r>
    <x v="1600"/>
    <n v="-0.51300000000000001"/>
    <d v="2021-06-18T00:00:00"/>
    <s v="−0,161"/>
    <x v="1"/>
  </r>
  <r>
    <x v="1601"/>
    <n v="-0.51100000000000001"/>
    <d v="2021-06-21T00:00:00"/>
    <s v="−0,165"/>
    <x v="1"/>
  </r>
  <r>
    <x v="1602"/>
    <n v="-0.50800000000000001"/>
    <d v="2021-06-22T00:00:00"/>
    <s v="−0,169"/>
    <x v="1"/>
  </r>
  <r>
    <x v="1603"/>
    <n v="-0.50900000000000001"/>
    <d v="2021-06-23T00:00:00"/>
    <s v="−0,170"/>
    <x v="1"/>
  </r>
  <r>
    <x v="1604"/>
    <n v="-0.50800000000000001"/>
    <d v="2021-06-24T00:00:00"/>
    <s v="−0,170"/>
    <x v="1"/>
  </r>
  <r>
    <x v="1605"/>
    <n v="-0.51300000000000001"/>
    <d v="2021-06-25T00:00:00"/>
    <s v="−0,170"/>
    <x v="1"/>
  </r>
  <r>
    <x v="1606"/>
    <n v="-0.51300000000000001"/>
    <d v="2021-06-28T00:00:00"/>
    <s v="−0,170"/>
    <x v="1"/>
  </r>
  <r>
    <x v="1607"/>
    <n v="-0.51300000000000001"/>
    <d v="2021-06-29T00:00:00"/>
    <s v="−0,170"/>
    <x v="1"/>
  </r>
  <r>
    <x v="1608"/>
    <n v="-0.51500000000000001"/>
    <d v="2021-06-30T00:00:00"/>
    <s v="−0,171"/>
    <x v="1"/>
  </r>
  <r>
    <x v="1609"/>
    <n v="-0.51300000000000001"/>
    <d v="2021-07-01T00:00:00"/>
    <s v="−0,172"/>
    <x v="1"/>
  </r>
  <r>
    <x v="1610"/>
    <n v="-0.51200000000000001"/>
    <d v="2021-07-02T00:00:00"/>
    <s v="−0,174"/>
    <x v="1"/>
  </r>
  <r>
    <x v="1611"/>
    <n v="-0.51300000000000001"/>
    <d v="2021-07-05T00:00:00"/>
    <s v="−0,175"/>
    <x v="1"/>
  </r>
  <r>
    <x v="1612"/>
    <n v="-0.51300000000000001"/>
    <d v="2021-07-06T00:00:00"/>
    <s v="−0,177"/>
    <x v="1"/>
  </r>
  <r>
    <x v="1613"/>
    <n v="-0.51100000000000001"/>
    <d v="2021-07-07T00:00:00"/>
    <s v="−0,180"/>
    <x v="1"/>
  </r>
  <r>
    <x v="1614"/>
    <n v="-0.51500000000000001"/>
    <d v="2021-07-08T00:00:00"/>
    <s v="−0,185"/>
    <x v="1"/>
  </r>
  <r>
    <x v="1615"/>
    <n v="-0.51400000000000001"/>
    <d v="2021-07-09T00:00:00"/>
    <s v="−0,187"/>
    <x v="1"/>
  </r>
  <r>
    <x v="1616"/>
    <n v="-0.51100000000000001"/>
    <d v="2021-07-12T00:00:00"/>
    <s v="−0,189"/>
    <x v="1"/>
  </r>
  <r>
    <x v="1617"/>
    <n v="-0.51300000000000001"/>
    <d v="2021-07-13T00:00:00"/>
    <s v="−0,188"/>
    <x v="1"/>
  </r>
  <r>
    <x v="1618"/>
    <n v="-0.51300000000000001"/>
    <d v="2021-07-14T00:00:00"/>
    <s v="−0,192"/>
    <x v="1"/>
  </r>
  <r>
    <x v="1619"/>
    <n v="-0.51300000000000001"/>
    <d v="2021-07-15T00:00:00"/>
    <s v="−0,197"/>
    <x v="1"/>
  </r>
  <r>
    <x v="1620"/>
    <n v="-0.51500000000000001"/>
    <d v="2021-07-16T00:00:00"/>
    <s v="−0,202"/>
    <x v="1"/>
  </r>
  <r>
    <x v="1621"/>
    <n v="-0.51500000000000001"/>
    <d v="2021-07-19T00:00:00"/>
    <s v="−0,208"/>
    <x v="1"/>
  </r>
  <r>
    <x v="1622"/>
    <n v="-0.51800000000000002"/>
    <d v="2021-07-20T00:00:00"/>
    <s v="−0,215"/>
    <x v="1"/>
  </r>
  <r>
    <x v="1623"/>
    <n v="-0.51300000000000001"/>
    <d v="2021-07-21T00:00:00"/>
    <s v="−0,223"/>
    <x v="1"/>
  </r>
  <r>
    <x v="1624"/>
    <n v="-0.51700000000000002"/>
    <d v="2021-07-22T00:00:00"/>
    <s v="−0,230"/>
    <x v="1"/>
  </r>
  <r>
    <x v="1625"/>
    <n v="-0.51900000000000002"/>
    <d v="2021-07-23T00:00:00"/>
    <s v="−0,239"/>
    <x v="1"/>
  </r>
  <r>
    <x v="1626"/>
    <n v="-0.51900000000000002"/>
    <d v="2021-07-26T00:00:00"/>
    <s v="−0,248"/>
    <x v="1"/>
  </r>
  <r>
    <x v="1627"/>
    <n v="-0.52300000000000002"/>
    <d v="2021-07-27T00:00:00"/>
    <s v="−0,257"/>
    <x v="1"/>
  </r>
  <r>
    <x v="1628"/>
    <n v="-0.52400000000000002"/>
    <d v="2021-07-28T00:00:00"/>
    <s v="−0,266"/>
    <x v="1"/>
  </r>
  <r>
    <x v="1629"/>
    <n v="-0.52400000000000002"/>
    <d v="2021-07-29T00:00:00"/>
    <s v="−0,275"/>
    <x v="1"/>
  </r>
  <r>
    <x v="1630"/>
    <n v="-0.52300000000000002"/>
    <d v="2021-07-30T00:00:00"/>
    <s v="−0,283"/>
    <x v="1"/>
  </r>
  <r>
    <x v="1631"/>
    <n v="-0.52300000000000002"/>
    <d v="2021-08-02T00:00:00"/>
    <s v="−0,292"/>
    <x v="1"/>
  </r>
  <r>
    <x v="1632"/>
    <n v="-0.52500000000000002"/>
    <d v="2021-08-03T00:00:00"/>
    <s v="−0,300"/>
    <x v="1"/>
  </r>
  <r>
    <x v="1633"/>
    <n v="-0.53100000000000003"/>
    <d v="2021-08-04T00:00:00"/>
    <s v="−0,307"/>
    <x v="1"/>
  </r>
  <r>
    <x v="1634"/>
    <n v="-0.52700000000000002"/>
    <d v="2021-08-05T00:00:00"/>
    <s v="−0,314"/>
    <x v="1"/>
  </r>
  <r>
    <x v="1635"/>
    <n v="-0.52400000000000002"/>
    <d v="2021-08-06T00:00:00"/>
    <s v="−0,319"/>
    <x v="1"/>
  </r>
  <r>
    <x v="1636"/>
    <n v="-0.52700000000000002"/>
    <d v="2021-08-09T00:00:00"/>
    <s v="−0,324"/>
    <x v="1"/>
  </r>
  <r>
    <x v="1637"/>
    <n v="-0.52800000000000002"/>
    <d v="2021-08-10T00:00:00"/>
    <s v="−0,330"/>
    <x v="1"/>
  </r>
  <r>
    <x v="1638"/>
    <n v="-0.53"/>
    <d v="2021-08-11T00:00:00"/>
    <s v="−0,335"/>
    <x v="1"/>
  </r>
  <r>
    <x v="1639"/>
    <n v="-0.52700000000000002"/>
    <d v="2021-08-12T00:00:00"/>
    <s v="−0,340"/>
    <x v="1"/>
  </r>
  <r>
    <x v="1640"/>
    <n v="-0.52800000000000002"/>
    <d v="2021-08-13T00:00:00"/>
    <s v="−0,345"/>
    <x v="1"/>
  </r>
  <r>
    <x v="1641"/>
    <n v="-0.52700000000000002"/>
    <d v="2021-08-16T00:00:00"/>
    <s v="−0,348"/>
    <x v="1"/>
  </r>
  <r>
    <x v="1642"/>
    <n v="-0.52700000000000002"/>
    <d v="2021-08-17T00:00:00"/>
    <s v="−0,352"/>
    <x v="1"/>
  </r>
  <r>
    <x v="1643"/>
    <n v="-0.52700000000000002"/>
    <d v="2021-08-18T00:00:00"/>
    <s v="−0,355"/>
    <x v="1"/>
  </r>
  <r>
    <x v="1644"/>
    <n v="-0.52900000000000003"/>
    <d v="2021-08-19T00:00:00"/>
    <s v="−0,358"/>
    <x v="1"/>
  </r>
  <r>
    <x v="1645"/>
    <n v="-0.52800000000000002"/>
    <d v="2021-08-20T00:00:00"/>
    <s v="−0,354"/>
    <x v="1"/>
  </r>
  <r>
    <x v="1646"/>
    <n v="-0.52900000000000003"/>
    <d v="2021-08-23T00:00:00"/>
    <s v="−0,357"/>
    <x v="1"/>
  </r>
  <r>
    <x v="1647"/>
    <n v="-0.52700000000000002"/>
    <d v="2021-08-24T00:00:00"/>
    <s v="−0,359"/>
    <x v="1"/>
  </r>
  <r>
    <x v="1648"/>
    <n v="-0.52800000000000002"/>
    <d v="2021-08-25T00:00:00"/>
    <s v="−0,360"/>
    <x v="1"/>
  </r>
  <r>
    <x v="1649"/>
    <n v="-0.53"/>
    <d v="2021-08-26T00:00:00"/>
    <s v="−0,359"/>
    <x v="1"/>
  </r>
  <r>
    <x v="1650"/>
    <n v="-0.52900000000000003"/>
    <d v="2021-08-27T00:00:00"/>
    <s v="−0,358"/>
    <x v="1"/>
  </r>
  <r>
    <x v="1651"/>
    <n v="-0.52900000000000003"/>
    <d v="2021-08-30T00:00:00"/>
    <s v="−0,357"/>
    <x v="1"/>
  </r>
  <r>
    <x v="1652"/>
    <n v="-0.52200000000000002"/>
    <d v="2021-08-31T00:00:00"/>
    <s v="−0,355"/>
    <x v="1"/>
  </r>
  <r>
    <x v="1653"/>
    <n v="-0.52100000000000002"/>
    <d v="2021-09-01T00:00:00"/>
    <s v="−0,351"/>
    <x v="1"/>
  </r>
  <r>
    <x v="1654"/>
    <n v="-0.52"/>
    <d v="2021-09-02T00:00:00"/>
    <s v="−0,348"/>
    <x v="1"/>
  </r>
  <r>
    <x v="1655"/>
    <n v="-0.51900000000000002"/>
    <d v="2021-09-03T00:00:00"/>
    <s v="−0,346"/>
    <x v="1"/>
  </r>
  <r>
    <x v="1656"/>
    <n v="-0.52"/>
    <d v="2021-09-06T00:00:00"/>
    <s v="−0,342"/>
    <x v="1"/>
  </r>
  <r>
    <x v="1657"/>
    <n v="-0.51800000000000002"/>
    <d v="2021-09-07T00:00:00"/>
    <s v="−0,339"/>
    <x v="1"/>
  </r>
  <r>
    <x v="1658"/>
    <n v="-0.51700000000000002"/>
    <d v="2021-09-08T00:00:00"/>
    <s v="−0,335"/>
    <x v="1"/>
  </r>
  <r>
    <x v="1659"/>
    <n v="-0.52200000000000002"/>
    <d v="2021-09-09T00:00:00"/>
    <s v="−0,330"/>
    <x v="1"/>
  </r>
  <r>
    <x v="1660"/>
    <n v="-0.51900000000000002"/>
    <d v="2021-09-10T00:00:00"/>
    <s v="−0,326"/>
    <x v="1"/>
  </r>
  <r>
    <x v="1661"/>
    <n v="-0.52"/>
    <d v="2021-09-13T00:00:00"/>
    <s v="−0,323"/>
    <x v="1"/>
  </r>
  <r>
    <x v="1662"/>
    <n v="-0.52200000000000002"/>
    <d v="2021-09-14T00:00:00"/>
    <s v="−0,319"/>
    <x v="1"/>
  </r>
  <r>
    <x v="1663"/>
    <n v="-0.52400000000000002"/>
    <d v="2021-09-15T00:00:00"/>
    <s v="−0,314"/>
    <x v="1"/>
  </r>
  <r>
    <x v="1664"/>
    <n v="-0.52200000000000002"/>
    <d v="2021-09-16T00:00:00"/>
    <s v="−0,309"/>
    <x v="1"/>
  </r>
  <r>
    <x v="1665"/>
    <n v="-0.52600000000000002"/>
    <d v="2021-09-17T00:00:00"/>
    <s v="−0,309"/>
    <x v="1"/>
  </r>
  <r>
    <x v="1666"/>
    <n v="-0.52800000000000002"/>
    <d v="2021-09-20T00:00:00"/>
    <s v="−0,292"/>
    <x v="1"/>
  </r>
  <r>
    <x v="1667"/>
    <n v="-0.53"/>
    <d v="2021-09-21T00:00:00"/>
    <s v="−0,287"/>
    <x v="1"/>
  </r>
  <r>
    <x v="1668"/>
    <n v="-0.52300000000000002"/>
    <d v="2021-09-22T00:00:00"/>
    <s v="−0,283"/>
    <x v="1"/>
  </r>
  <r>
    <x v="1669"/>
    <n v="-0.52800000000000002"/>
    <d v="2021-09-23T00:00:00"/>
    <s v="−0,268"/>
    <x v="1"/>
  </r>
  <r>
    <x v="1670"/>
    <n v="-0.52300000000000002"/>
    <d v="2021-09-24T00:00:00"/>
    <s v="−0,263"/>
    <x v="1"/>
  </r>
  <r>
    <x v="1671"/>
    <n v="-0.51700000000000002"/>
    <d v="2021-09-27T00:00:00"/>
    <s v="−0,257"/>
    <x v="1"/>
  </r>
  <r>
    <x v="1672"/>
    <n v="-0.52300000000000002"/>
    <d v="2021-09-28T00:00:00"/>
    <s v="−0,249"/>
    <x v="1"/>
  </r>
  <r>
    <x v="1673"/>
    <n v="-0.52300000000000002"/>
    <d v="2021-09-29T00:00:00"/>
    <s v="−0,244"/>
    <x v="1"/>
  </r>
  <r>
    <x v="1674"/>
    <n v="-0.52800000000000002"/>
    <d v="2021-09-30T00:00:00"/>
    <s v="−0,238"/>
    <x v="1"/>
  </r>
  <r>
    <x v="1675"/>
    <n v="-0.52600000000000002"/>
    <d v="2021-10-01T00:00:00"/>
    <s v="−0,234"/>
    <x v="1"/>
  </r>
  <r>
    <x v="1676"/>
    <n v="-0.52700000000000002"/>
    <d v="2021-10-04T00:00:00"/>
    <s v="−0,229"/>
    <x v="1"/>
  </r>
  <r>
    <x v="1677"/>
    <n v="-0.52500000000000002"/>
    <d v="2021-10-05T00:00:00"/>
    <s v="−0,225"/>
    <x v="1"/>
  </r>
  <r>
    <x v="1678"/>
    <n v="-0.53"/>
    <d v="2021-10-06T00:00:00"/>
    <s v="−0,220"/>
    <x v="1"/>
  </r>
  <r>
    <x v="1679"/>
    <n v="-0.52600000000000002"/>
    <d v="2021-10-07T00:00:00"/>
    <s v="−0,216"/>
    <x v="1"/>
  </r>
  <r>
    <x v="1680"/>
    <n v="-0.51800000000000002"/>
    <d v="2021-10-08T00:00:00"/>
    <s v="−0,210"/>
    <x v="1"/>
  </r>
  <r>
    <x v="1681"/>
    <n v="-0.52100000000000002"/>
    <d v="2021-10-11T00:00:00"/>
    <s v="−0,204"/>
    <x v="1"/>
  </r>
  <r>
    <x v="1682"/>
    <n v="-0.52300000000000002"/>
    <d v="2021-10-12T00:00:00"/>
    <s v="−0,197"/>
    <x v="1"/>
  </r>
  <r>
    <x v="1683"/>
    <n v="-0.52400000000000002"/>
    <d v="2021-10-13T00:00:00"/>
    <s v="−0,189"/>
    <x v="1"/>
  </r>
  <r>
    <x v="1684"/>
    <n v="-0.52300000000000002"/>
    <d v="2021-10-14T00:00:00"/>
    <s v="−0,184"/>
    <x v="1"/>
  </r>
  <r>
    <x v="1685"/>
    <n v="-0.52800000000000002"/>
    <d v="2021-10-15T00:00:00"/>
    <s v="−0,180"/>
    <x v="1"/>
  </r>
  <r>
    <x v="1686"/>
    <n v="-0.52700000000000002"/>
    <d v="2021-10-18T00:00:00"/>
    <s v="−0,174"/>
    <x v="1"/>
  </r>
  <r>
    <x v="1687"/>
    <n v="-0.52400000000000002"/>
    <d v="2021-10-19T00:00:00"/>
    <s v="−0,167"/>
    <x v="1"/>
  </r>
  <r>
    <x v="1688"/>
    <n v="-0.52700000000000002"/>
    <d v="2021-10-20T00:00:00"/>
    <s v="−0,159"/>
    <x v="1"/>
  </r>
  <r>
    <x v="1689"/>
    <n v="-0.53200000000000003"/>
    <d v="2021-10-21T00:00:00"/>
    <s v="−0,153"/>
    <x v="1"/>
  </r>
  <r>
    <x v="1690"/>
    <n v="-0.53400000000000003"/>
    <d v="2021-10-22T00:00:00"/>
    <s v="−0,148"/>
    <x v="1"/>
  </r>
  <r>
    <x v="1691"/>
    <n v="-0.52800000000000002"/>
    <d v="2021-10-25T00:00:00"/>
    <s v="−0,144"/>
    <x v="1"/>
  </r>
  <r>
    <x v="1692"/>
    <n v="-0.53300000000000003"/>
    <m/>
    <s v="−0,144"/>
    <x v="1"/>
  </r>
  <r>
    <x v="1693"/>
    <n v="-0.53600000000000003"/>
    <d v="2021-10-27T00:00:00"/>
    <s v="−0,142"/>
    <x v="1"/>
  </r>
  <r>
    <x v="1694"/>
    <n v="-0.53300000000000003"/>
    <d v="2021-10-28T00:00:00"/>
    <s v="−0,139"/>
    <x v="1"/>
  </r>
  <r>
    <x v="1695"/>
    <n v="-0.52700000000000002"/>
    <d v="2021-10-29T00:00:00"/>
    <s v="−0,134"/>
    <x v="1"/>
  </r>
  <r>
    <x v="1696"/>
    <n v="-0.52900000000000003"/>
    <m/>
    <n v="-0.13400000000000001"/>
    <x v="14"/>
  </r>
  <r>
    <x v="1697"/>
    <n v="-0.53400000000000003"/>
    <d v="2021-11-02T00:00:00"/>
    <s v="−0,131"/>
    <x v="1"/>
  </r>
  <r>
    <x v="1698"/>
    <n v="-0.53800000000000003"/>
    <d v="2021-11-03T00:00:00"/>
    <s v="−0,129"/>
    <x v="1"/>
  </r>
  <r>
    <x v="1699"/>
    <n v="-0.53800000000000003"/>
    <d v="2021-11-04T00:00:00"/>
    <s v="−0,126"/>
    <x v="1"/>
  </r>
  <r>
    <x v="1700"/>
    <n v="-0.53600000000000003"/>
    <d v="2021-11-05T00:00:00"/>
    <s v="−0,128"/>
    <x v="1"/>
  </r>
  <r>
    <x v="1701"/>
    <n v="-0.53700000000000003"/>
    <d v="2021-11-08T00:00:00"/>
    <s v="−0,131"/>
    <x v="1"/>
  </r>
  <r>
    <x v="1702"/>
    <n v="-0.53300000000000003"/>
    <d v="2021-11-09T00:00:00"/>
    <s v="−0,135"/>
    <x v="1"/>
  </r>
  <r>
    <x v="1703"/>
    <n v="-0.53200000000000003"/>
    <d v="2021-11-10T00:00:00"/>
    <s v="−0,140"/>
    <x v="1"/>
  </r>
  <r>
    <x v="1704"/>
    <n v="-0.52700000000000002"/>
    <d v="2021-11-11T00:00:00"/>
    <s v="−0,145"/>
    <x v="1"/>
  </r>
  <r>
    <x v="1705"/>
    <n v="-0.53300000000000003"/>
    <d v="2021-11-12T00:00:00"/>
    <s v="−0,150"/>
    <x v="1"/>
  </r>
  <r>
    <x v="1706"/>
    <n v="-0.52800000000000002"/>
    <d v="2021-11-15T00:00:00"/>
    <s v="−0,154"/>
    <x v="1"/>
  </r>
  <r>
    <x v="1707"/>
    <n v="-0.53"/>
    <d v="2021-11-16T00:00:00"/>
    <s v="−0,157"/>
    <x v="1"/>
  </r>
  <r>
    <x v="1708"/>
    <n v="-0.53800000000000003"/>
    <d v="2021-11-17T00:00:00"/>
    <s v="−0,161"/>
    <x v="1"/>
  </r>
  <r>
    <x v="1709"/>
    <n v="-0.53300000000000003"/>
    <d v="2021-11-18T00:00:00"/>
    <s v="−0,167"/>
    <x v="1"/>
  </r>
  <r>
    <x v="1710"/>
    <n v="-0.52800000000000002"/>
    <d v="2021-11-19T00:00:00"/>
    <s v="−0,174"/>
    <x v="1"/>
  </r>
  <r>
    <x v="1711"/>
    <n v="-0.52800000000000002"/>
    <d v="2021-11-22T00:00:00"/>
    <s v="−0,160"/>
    <x v="1"/>
  </r>
  <r>
    <x v="1712"/>
    <n v="-0.53300000000000003"/>
    <d v="2021-11-23T00:00:00"/>
    <s v="−0,165"/>
    <x v="1"/>
  </r>
  <r>
    <x v="1713"/>
    <n v="-0.54"/>
    <d v="2021-11-24T00:00:00"/>
    <s v="−0,169"/>
    <x v="1"/>
  </r>
  <r>
    <x v="1714"/>
    <n v="-0.54200000000000004"/>
    <d v="2021-11-25T00:00:00"/>
    <s v="−0,171"/>
    <x v="1"/>
  </r>
  <r>
    <x v="1715"/>
    <n v="-0.53700000000000003"/>
    <d v="2021-11-26T00:00:00"/>
    <s v="−0,176"/>
    <x v="1"/>
  </r>
  <r>
    <x v="1716"/>
    <n v="-0.53600000000000003"/>
    <d v="2021-11-29T00:00:00"/>
    <s v="−0,184"/>
    <x v="1"/>
  </r>
  <r>
    <x v="1717"/>
    <n v="-0.53800000000000003"/>
    <d v="2021-11-30T00:00:00"/>
    <s v="−0,191"/>
    <x v="1"/>
  </r>
  <r>
    <x v="1718"/>
    <n v="-0.54100000000000004"/>
    <d v="2021-12-01T00:00:00"/>
    <s v="−0,195"/>
    <x v="1"/>
  </r>
  <r>
    <x v="1719"/>
    <n v="-0.54100000000000004"/>
    <d v="2021-12-02T00:00:00"/>
    <s v="−0,200"/>
    <x v="1"/>
  </r>
  <r>
    <x v="1720"/>
    <n v="-0.53700000000000003"/>
    <d v="2021-12-03T00:00:00"/>
    <s v="−0,203"/>
    <x v="1"/>
  </r>
  <r>
    <x v="1721"/>
    <n v="-0.54300000000000004"/>
    <d v="2021-12-06T00:00:00"/>
    <s v="−0,206"/>
    <x v="1"/>
  </r>
  <r>
    <x v="1722"/>
    <n v="-0.53800000000000003"/>
    <d v="2021-12-07T00:00:00"/>
    <s v="−0,208"/>
    <x v="1"/>
  </r>
  <r>
    <x v="1723"/>
    <n v="-0.54"/>
    <m/>
    <s v="−0,208"/>
    <x v="1"/>
  </r>
  <r>
    <x v="1724"/>
    <n v="-0.54600000000000004"/>
    <d v="2021-12-09T00:00:00"/>
    <s v="−0,208"/>
    <x v="1"/>
  </r>
  <r>
    <x v="1725"/>
    <n v="-0.54300000000000004"/>
    <d v="2021-12-10T00:00:00"/>
    <s v="−0,210"/>
    <x v="1"/>
  </r>
  <r>
    <x v="1726"/>
    <n v="-0.54700000000000004"/>
    <d v="2021-12-13T00:00:00"/>
    <s v="−0,212"/>
    <x v="1"/>
  </r>
  <r>
    <x v="1727"/>
    <n v="-0.54500000000000004"/>
    <d v="2021-12-14T00:00:00"/>
    <s v="−0,214"/>
    <x v="1"/>
  </r>
  <r>
    <x v="1728"/>
    <n v="-0.54700000000000004"/>
    <d v="2021-12-15T00:00:00"/>
    <s v="−0,216"/>
    <x v="1"/>
  </r>
  <r>
    <x v="1729"/>
    <n v="-0.54800000000000004"/>
    <d v="2021-12-16T00:00:00"/>
    <s v="−0,217"/>
    <x v="1"/>
  </r>
  <r>
    <x v="1730"/>
    <n v="-0.55100000000000005"/>
    <d v="2021-12-17T00:00:00"/>
    <s v="−0,219"/>
    <x v="1"/>
  </r>
  <r>
    <x v="1731"/>
    <n v="-0.55400000000000005"/>
    <d v="2021-12-20T00:00:00"/>
    <s v="−0,220"/>
    <x v="1"/>
  </r>
  <r>
    <x v="1732"/>
    <n v="-0.55100000000000005"/>
    <d v="2021-12-21T00:00:00"/>
    <s v="−0,219"/>
    <x v="1"/>
  </r>
  <r>
    <x v="1733"/>
    <n v="-0.54500000000000004"/>
    <d v="2021-12-22T00:00:00"/>
    <s v="−0,218"/>
    <x v="1"/>
  </r>
  <r>
    <x v="1734"/>
    <n v="-0.53700000000000003"/>
    <d v="2021-12-23T00:00:00"/>
    <s v="−0,219"/>
    <x v="1"/>
  </r>
  <r>
    <x v="1735"/>
    <n v="-0.54400000000000004"/>
    <m/>
    <s v="−0,219"/>
    <x v="1"/>
  </r>
  <r>
    <x v="1736"/>
    <n v="-0.54400000000000004"/>
    <d v="2021-12-27T00:00:00"/>
    <s v="−0,219"/>
    <x v="1"/>
  </r>
  <r>
    <x v="1737"/>
    <n v="-0.54800000000000004"/>
    <d v="2021-12-28T00:00:00"/>
    <s v="−0,215"/>
    <x v="1"/>
  </r>
  <r>
    <x v="1738"/>
    <n v="-0.54400000000000004"/>
    <d v="2021-12-29T00:00:00"/>
    <s v="−0,211"/>
    <x v="1"/>
  </r>
  <r>
    <x v="1739"/>
    <n v="-0.54600000000000004"/>
    <d v="2021-12-30T00:00:00"/>
    <s v="−0,204"/>
    <x v="1"/>
  </r>
  <r>
    <x v="1740"/>
    <n v="-0.54600000000000004"/>
    <d v="2021-12-31T00:00:00"/>
    <s v="−0,198"/>
    <x v="1"/>
  </r>
  <r>
    <x v="1741"/>
    <n v="-0.53900000000000003"/>
    <d v="2022-01-03T00:00:00"/>
    <s v="−0,190"/>
    <x v="1"/>
  </r>
  <r>
    <x v="1742"/>
    <n v="-0.53500000000000003"/>
    <d v="2022-01-04T00:00:00"/>
    <s v="−0,180"/>
    <x v="1"/>
  </r>
  <r>
    <x v="1743"/>
    <n v="-0.54100000000000004"/>
    <d v="2022-01-05T00:00:00"/>
    <s v="−0,171"/>
    <x v="1"/>
  </r>
  <r>
    <x v="1744"/>
    <n v="-0.53400000000000003"/>
    <m/>
    <s v="−0,171"/>
    <x v="1"/>
  </r>
  <r>
    <x v="1745"/>
    <n v="-0.53600000000000003"/>
    <d v="2022-01-07T00:00:00"/>
    <s v="−0,160"/>
    <x v="1"/>
  </r>
  <r>
    <x v="1746"/>
    <n v="-0.53100000000000003"/>
    <d v="2022-01-10T00:00:00"/>
    <s v="−0,149"/>
    <x v="1"/>
  </r>
  <r>
    <x v="1747"/>
    <n v="-0.52800000000000002"/>
    <d v="2022-01-11T00:00:00"/>
    <s v="−0,138"/>
    <x v="1"/>
  </r>
  <r>
    <x v="1748"/>
    <n v="-0.52900000000000003"/>
    <d v="2022-01-12T00:00:00"/>
    <s v="−0,127"/>
    <x v="1"/>
  </r>
  <r>
    <x v="1749"/>
    <n v="-0.53400000000000003"/>
    <d v="2022-01-13T00:00:00"/>
    <s v="−0,114"/>
    <x v="1"/>
  </r>
  <r>
    <x v="1750"/>
    <n v="-0.53300000000000003"/>
    <d v="2022-01-14T00:00:00"/>
    <s v="−0,104"/>
    <x v="1"/>
  </r>
  <r>
    <x v="1751"/>
    <n v="-0.52300000000000002"/>
    <d v="2022-01-17T00:00:00"/>
    <s v="−0,094"/>
    <x v="1"/>
  </r>
  <r>
    <x v="1752"/>
    <n v="-0.52400000000000002"/>
    <d v="2022-01-18T00:00:00"/>
    <s v="−0,081"/>
    <x v="1"/>
  </r>
  <r>
    <x v="1753"/>
    <n v="-0.52400000000000002"/>
    <d v="2022-01-19T00:00:00"/>
    <s v="−0,067"/>
    <x v="1"/>
  </r>
  <r>
    <x v="1754"/>
    <n v="-0.52100000000000002"/>
    <d v="2022-01-20T00:00:00"/>
    <s v="−0,056"/>
    <x v="1"/>
  </r>
  <r>
    <x v="1755"/>
    <n v="-0.52200000000000002"/>
    <d v="2022-01-21T00:00:00"/>
    <s v="−0,048"/>
    <x v="1"/>
  </r>
  <r>
    <x v="1756"/>
    <n v="-0.52200000000000002"/>
    <d v="2022-01-24T00:00:00"/>
    <s v="−0,043"/>
    <x v="1"/>
  </r>
  <r>
    <x v="1757"/>
    <n v="-0.52300000000000002"/>
    <d v="2022-01-25T00:00:00"/>
    <s v="−0,039"/>
    <x v="1"/>
  </r>
  <r>
    <x v="1758"/>
    <n v="-0.52400000000000002"/>
    <d v="2022-01-26T00:00:00"/>
    <s v="−0,026"/>
    <x v="1"/>
  </r>
  <r>
    <x v="1759"/>
    <n v="-0.51800000000000002"/>
    <d v="2022-01-27T00:00:00"/>
    <s v="−0,020"/>
    <x v="1"/>
  </r>
  <r>
    <x v="1760"/>
    <n v="-0.51900000000000002"/>
    <d v="2022-01-28T00:00:00"/>
    <s v="−0,015"/>
    <x v="1"/>
  </r>
  <r>
    <x v="1761"/>
    <n v="-0.51400000000000001"/>
    <d v="2022-01-31T00:00:00"/>
    <s v="−0,008"/>
    <x v="1"/>
  </r>
  <r>
    <x v="1762"/>
    <n v="-0.503"/>
    <d v="2022-02-01T00:00:00"/>
    <n v="0"/>
    <x v="1"/>
  </r>
  <r>
    <x v="1763"/>
    <n v="-0.502"/>
    <d v="2022-02-02T00:00:00"/>
    <n v="7.0000000000000001E-3"/>
    <x v="1"/>
  </r>
  <r>
    <x v="1764"/>
    <n v="-0.499"/>
    <d v="2022-02-03T00:00:00"/>
    <n v="1.6E-2"/>
    <x v="1"/>
  </r>
  <r>
    <x v="1765"/>
    <n v="-0.47299999999999998"/>
    <d v="2022-02-04T00:00:00"/>
    <n v="0.03"/>
    <x v="1"/>
  </r>
  <r>
    <x v="1766"/>
    <n v="-0.45600000000000002"/>
    <d v="2022-02-07T00:00:00"/>
    <n v="4.5999999999999999E-2"/>
    <x v="1"/>
  </r>
  <r>
    <x v="1767"/>
    <n v="-0.46300000000000002"/>
    <d v="2022-02-08T00:00:00"/>
    <n v="6.2E-2"/>
    <x v="1"/>
  </r>
  <r>
    <x v="1768"/>
    <n v="-0.45700000000000002"/>
    <d v="2022-02-09T00:00:00"/>
    <n v="7.6999999999999999E-2"/>
    <x v="1"/>
  </r>
  <r>
    <x v="1769"/>
    <n v="-0.46700000000000003"/>
    <d v="2022-02-10T00:00:00"/>
    <n v="9.4E-2"/>
    <x v="1"/>
  </r>
  <r>
    <x v="1770"/>
    <n v="-0.45800000000000002"/>
    <d v="2022-02-11T00:00:00"/>
    <n v="0.114"/>
    <x v="1"/>
  </r>
  <r>
    <x v="1771"/>
    <n v="-0.44800000000000001"/>
    <d v="2022-02-14T00:00:00"/>
    <n v="0.13"/>
    <x v="1"/>
  </r>
  <r>
    <x v="1772"/>
    <n v="-0.45500000000000002"/>
    <d v="2022-02-15T00:00:00"/>
    <n v="0.14699999999999999"/>
    <x v="1"/>
  </r>
  <r>
    <x v="1773"/>
    <n v="-0.46100000000000002"/>
    <d v="2022-02-16T00:00:00"/>
    <n v="0.16300000000000001"/>
    <x v="1"/>
  </r>
  <r>
    <x v="1774"/>
    <n v="-0.47799999999999998"/>
    <d v="2022-02-17T00:00:00"/>
    <n v="0.17899999999999999"/>
    <x v="1"/>
  </r>
  <r>
    <x v="1775"/>
    <n v="-0.48699999999999999"/>
    <d v="2022-02-18T00:00:00"/>
    <n v="0.193"/>
    <x v="1"/>
  </r>
  <r>
    <x v="1776"/>
    <n v="-0.48199999999999998"/>
    <d v="2022-02-21T00:00:00"/>
    <n v="0.21"/>
    <x v="1"/>
  </r>
  <r>
    <x v="1777"/>
    <n v="-0.49"/>
    <d v="2022-02-22T00:00:00"/>
    <n v="0.22700000000000001"/>
    <x v="1"/>
  </r>
  <r>
    <x v="1778"/>
    <n v="-0.48299999999999998"/>
    <d v="2022-02-23T00:00:00"/>
    <n v="0.24399999999999999"/>
    <x v="1"/>
  </r>
  <r>
    <x v="1779"/>
    <n v="-0.48"/>
    <d v="2022-02-24T00:00:00"/>
    <n v="0.25700000000000001"/>
    <x v="1"/>
  </r>
  <r>
    <x v="1780"/>
    <n v="-0.48799999999999999"/>
    <d v="2022-02-25T00:00:00"/>
    <n v="0.27100000000000002"/>
    <x v="1"/>
  </r>
  <r>
    <x v="1781"/>
    <n v="-0.49299999999999999"/>
    <d v="2022-02-28T00:00:00"/>
    <n v="0.28199999999999997"/>
    <x v="1"/>
  </r>
  <r>
    <x v="1782"/>
    <n v="-0.496"/>
    <d v="2022-03-01T00:00:00"/>
    <n v="0.28499999999999998"/>
    <x v="1"/>
  </r>
  <r>
    <x v="1783"/>
    <n v="-0.502"/>
    <d v="2022-03-02T00:00:00"/>
    <n v="0.28599999999999998"/>
    <x v="1"/>
  </r>
  <r>
    <x v="1784"/>
    <n v="-0.48499999999999999"/>
    <d v="2022-03-03T00:00:00"/>
    <n v="0.28899999999999998"/>
    <x v="1"/>
  </r>
  <r>
    <x v="1785"/>
    <n v="-0.48199999999999998"/>
    <d v="2022-03-04T00:00:00"/>
    <n v="0.28100000000000003"/>
    <x v="1"/>
  </r>
  <r>
    <x v="1786"/>
    <n v="-0.45300000000000001"/>
    <d v="2022-03-07T00:00:00"/>
    <n v="0.27200000000000002"/>
    <x v="1"/>
  </r>
  <r>
    <x v="1787"/>
    <n v="-0.443"/>
    <d v="2022-03-08T00:00:00"/>
    <n v="0.26600000000000001"/>
    <x v="1"/>
  </r>
  <r>
    <x v="1788"/>
    <n v="-0.42399999999999999"/>
    <d v="2022-03-09T00:00:00"/>
    <n v="0.26500000000000001"/>
    <x v="1"/>
  </r>
  <r>
    <x v="1789"/>
    <n v="-0.42699999999999999"/>
    <d v="2022-03-10T00:00:00"/>
    <n v="0.26300000000000001"/>
    <x v="1"/>
  </r>
  <r>
    <x v="1790"/>
    <n v="-0.41399999999999998"/>
    <d v="2022-03-11T00:00:00"/>
    <n v="0.26500000000000001"/>
    <x v="1"/>
  </r>
  <r>
    <x v="1791"/>
    <n v="-0.41299999999999998"/>
    <d v="2022-03-14T00:00:00"/>
    <n v="0.27200000000000002"/>
    <x v="1"/>
  </r>
  <r>
    <x v="1792"/>
    <n v="-0.40699999999999997"/>
    <d v="2022-03-15T00:00:00"/>
    <n v="0.27400000000000002"/>
    <x v="1"/>
  </r>
  <r>
    <x v="1793"/>
    <n v="-0.39300000000000002"/>
    <d v="2022-03-16T00:00:00"/>
    <n v="0.27800000000000002"/>
    <x v="1"/>
  </r>
  <r>
    <x v="1794"/>
    <n v="-0.40200000000000002"/>
    <d v="2022-03-17T00:00:00"/>
    <n v="0.28399999999999997"/>
    <x v="1"/>
  </r>
  <r>
    <x v="1795"/>
    <n v="-0.39300000000000002"/>
    <d v="2022-03-18T00:00:00"/>
    <n v="0.28999999999999998"/>
    <x v="1"/>
  </r>
  <r>
    <x v="1796"/>
    <n v="-0.39100000000000001"/>
    <d v="2022-03-21T00:00:00"/>
    <n v="0.29899999999999999"/>
    <x v="1"/>
  </r>
  <r>
    <x v="1797"/>
    <n v="-0.39300000000000002"/>
    <d v="2022-03-22T00:00:00"/>
    <n v="0.31"/>
    <x v="1"/>
  </r>
  <r>
    <x v="1798"/>
    <n v="-0.39200000000000002"/>
    <d v="2022-03-23T00:00:00"/>
    <n v="0.31900000000000001"/>
    <x v="1"/>
  </r>
  <r>
    <x v="1799"/>
    <n v="-0.39700000000000002"/>
    <d v="2022-03-24T00:00:00"/>
    <n v="0.33200000000000002"/>
    <x v="1"/>
  </r>
  <r>
    <x v="1800"/>
    <n v="-0.39200000000000002"/>
    <d v="2022-03-25T00:00:00"/>
    <n v="0.34399999999999997"/>
    <x v="1"/>
  </r>
  <r>
    <x v="1801"/>
    <n v="-0.38800000000000001"/>
    <d v="2022-03-28T00:00:00"/>
    <n v="0.36"/>
    <x v="1"/>
  </r>
  <r>
    <x v="1802"/>
    <n v="-0.38100000000000001"/>
    <d v="2022-03-29T00:00:00"/>
    <n v="0.38700000000000001"/>
    <x v="1"/>
  </r>
  <r>
    <x v="1803"/>
    <n v="-0.371"/>
    <d v="2022-03-30T00:00:00"/>
    <n v="0.42799999999999999"/>
    <x v="1"/>
  </r>
  <r>
    <x v="1804"/>
    <n v="-0.36699999999999999"/>
    <d v="2022-03-31T00:00:00"/>
    <n v="0.44900000000000001"/>
    <x v="1"/>
  </r>
  <r>
    <x v="1805"/>
    <n v="-0.36199999999999999"/>
    <d v="2022-04-01T00:00:00"/>
    <n v="0.47399999999999998"/>
    <x v="1"/>
  </r>
  <r>
    <x v="1806"/>
    <n v="-0.35799999999999998"/>
    <d v="2022-04-04T00:00:00"/>
    <n v="0.497"/>
    <x v="1"/>
  </r>
  <r>
    <x v="1807"/>
    <n v="-0.375"/>
    <d v="2022-04-05T00:00:00"/>
    <n v="0.52200000000000002"/>
    <x v="1"/>
  </r>
  <r>
    <x v="1808"/>
    <n v="-0.36099999999999999"/>
    <d v="2022-04-06T00:00:00"/>
    <n v="0.54600000000000004"/>
    <x v="1"/>
  </r>
  <r>
    <x v="1809"/>
    <n v="-0.35499999999999998"/>
    <d v="2022-04-07T00:00:00"/>
    <n v="0.57099999999999995"/>
    <x v="1"/>
  </r>
  <r>
    <x v="1810"/>
    <n v="-0.35"/>
    <d v="2022-04-08T00:00:00"/>
    <n v="0.59099999999999997"/>
    <x v="1"/>
  </r>
  <r>
    <x v="1811"/>
    <n v="-0.33400000000000002"/>
    <d v="2022-04-11T00:00:00"/>
    <n v="0.61199999999999999"/>
    <x v="1"/>
  </r>
  <r>
    <x v="1812"/>
    <n v="-0.32"/>
    <d v="2022-04-12T00:00:00"/>
    <n v="0.63300000000000001"/>
    <x v="1"/>
  </r>
  <r>
    <x v="1813"/>
    <n v="-0.32800000000000001"/>
    <d v="2022-04-13T00:00:00"/>
    <n v="0.65300000000000002"/>
    <x v="1"/>
  </r>
  <r>
    <x v="1814"/>
    <n v="-0.317"/>
    <d v="2022-04-14T00:00:00"/>
    <n v="0.67100000000000004"/>
    <x v="1"/>
  </r>
  <r>
    <x v="1815"/>
    <n v="-0.317"/>
    <d v="2022-04-15T00:00:00"/>
    <n v="0.68400000000000005"/>
    <x v="1"/>
  </r>
  <r>
    <x v="1816"/>
    <n v="-0.317"/>
    <m/>
    <n v="0.68400000000000005"/>
    <x v="1"/>
  </r>
  <r>
    <x v="1817"/>
    <n v="-0.33300000000000002"/>
    <d v="2022-04-19T00:00:00"/>
    <n v="0.70699999999999996"/>
    <x v="1"/>
  </r>
  <r>
    <x v="1818"/>
    <n v="-0.33200000000000002"/>
    <d v="2022-04-20T00:00:00"/>
    <n v="0.754"/>
    <x v="1"/>
  </r>
  <r>
    <x v="1819"/>
    <n v="-0.31"/>
    <d v="2022-04-21T00:00:00"/>
    <n v="0.77300000000000002"/>
    <x v="1"/>
  </r>
  <r>
    <x v="1820"/>
    <n v="-0.26800000000000002"/>
    <d v="2022-04-22T00:00:00"/>
    <n v="0.79400000000000004"/>
    <x v="1"/>
  </r>
  <r>
    <x v="1821"/>
    <n v="-0.23899999999999999"/>
    <d v="2022-04-25T00:00:00"/>
    <n v="0.81200000000000006"/>
    <x v="1"/>
  </r>
  <r>
    <x v="1822"/>
    <n v="-0.246"/>
    <d v="2022-04-26T00:00:00"/>
    <n v="0.82399999999999995"/>
    <x v="1"/>
  </r>
  <r>
    <x v="1823"/>
    <n v="-0.251"/>
    <d v="2022-04-27T00:00:00"/>
    <n v="0.83299999999999996"/>
    <x v="1"/>
  </r>
  <r>
    <x v="1824"/>
    <n v="-0.24199999999999999"/>
    <d v="2022-04-28T00:00:00"/>
    <n v="0.84199999999999997"/>
    <x v="1"/>
  </r>
  <r>
    <x v="1825"/>
    <n v="-0.22600000000000001"/>
    <d v="2022-04-29T00:00:00"/>
    <n v="0.86"/>
    <x v="1"/>
  </r>
  <r>
    <x v="1826"/>
    <n v="-0.20399999999999999"/>
    <d v="2022-05-02T00:00:00"/>
    <n v="0.877"/>
    <x v="15"/>
  </r>
  <r>
    <x v="1827"/>
    <n v="-0.19800000000000001"/>
    <d v="2022-05-03T00:00:00"/>
    <n v="0.89800000000000002"/>
    <x v="1"/>
  </r>
  <r>
    <x v="1828"/>
    <n v="-0.20499999999999999"/>
    <d v="2022-05-04T00:00:00"/>
    <n v="0.91700000000000004"/>
    <x v="1"/>
  </r>
  <r>
    <x v="1829"/>
    <n v="-0.20599999999999999"/>
    <d v="2022-05-05T00:00:00"/>
    <n v="0.92900000000000005"/>
    <x v="1"/>
  </r>
  <r>
    <x v="1830"/>
    <n v="-0.20599999999999999"/>
    <d v="2022-05-06T00:00:00"/>
    <n v="0.94799999999999995"/>
    <x v="1"/>
  </r>
  <r>
    <x v="1831"/>
    <n v="-0.183"/>
    <d v="2022-05-09T00:00:00"/>
    <n v="0.96599999999999997"/>
    <x v="1"/>
  </r>
  <r>
    <x v="1832"/>
    <n v="-0.20200000000000001"/>
    <d v="2022-05-10T00:00:00"/>
    <n v="0.97499999999999998"/>
    <x v="1"/>
  </r>
  <r>
    <x v="1833"/>
    <n v="-0.20799999999999999"/>
    <d v="2022-05-11T00:00:00"/>
    <n v="0.98199999999999998"/>
    <x v="1"/>
  </r>
  <r>
    <x v="1834"/>
    <n v="-0.21099999999999999"/>
    <d v="2022-05-12T00:00:00"/>
    <n v="0.98699999999999999"/>
    <x v="1"/>
  </r>
  <r>
    <x v="1835"/>
    <n v="-0.20899999999999999"/>
    <d v="2022-05-13T00:00:00"/>
    <n v="0.99299999999999999"/>
    <x v="1"/>
  </r>
  <r>
    <x v="1836"/>
    <n v="-0.192"/>
    <d v="2022-05-16T00:00:00"/>
    <n v="0.995"/>
    <x v="1"/>
  </r>
  <r>
    <x v="1837"/>
    <n v="-0.16600000000000001"/>
    <d v="2022-05-17T00:00:00"/>
    <n v="1.0009999999999999"/>
    <x v="1"/>
  </r>
  <r>
    <x v="1838"/>
    <n v="-0.126"/>
    <d v="2022-05-18T00:00:00"/>
    <n v="1.0109999999999999"/>
    <x v="1"/>
  </r>
  <r>
    <x v="1839"/>
    <n v="-9.6000000000000002E-2"/>
    <d v="2022-05-19T00:00:00"/>
    <n v="1.0169999999999999"/>
    <x v="1"/>
  </r>
  <r>
    <x v="1840"/>
    <n v="-7.8E-2"/>
    <d v="2022-05-20T00:00:00"/>
    <n v="1.0209999999999999"/>
    <x v="1"/>
  </r>
  <r>
    <x v="1841"/>
    <n v="-8.5000000000000006E-2"/>
    <d v="2022-05-23T00:00:00"/>
    <n v="1.0289999999999999"/>
    <x v="1"/>
  </r>
  <r>
    <x v="1842"/>
    <n v="-7.2999999999999995E-2"/>
    <d v="2022-05-24T00:00:00"/>
    <n v="1.0409999999999999"/>
    <x v="1"/>
  </r>
  <r>
    <x v="1843"/>
    <n v="-6.2E-2"/>
    <d v="2022-05-25T00:00:00"/>
    <n v="1.0509999999999999"/>
    <x v="1"/>
  </r>
  <r>
    <x v="1844"/>
    <n v="-6.0999999999999999E-2"/>
    <m/>
    <n v="1.0509999999999999"/>
    <x v="1"/>
  </r>
  <r>
    <x v="1845"/>
    <n v="-7.5999999999999998E-2"/>
    <d v="2022-05-27T00:00:00"/>
    <n v="1.0609999999999999"/>
    <x v="1"/>
  </r>
  <r>
    <x v="1846"/>
    <n v="-6.8000000000000005E-2"/>
    <d v="2022-05-30T00:00:00"/>
    <n v="1.07"/>
    <x v="1"/>
  </r>
  <r>
    <x v="1847"/>
    <n v="-4.4999999999999998E-2"/>
    <d v="2022-05-31T00:00:00"/>
    <n v="1.095"/>
    <x v="1"/>
  </r>
  <r>
    <x v="1848"/>
    <n v="-3.4000000000000002E-2"/>
    <d v="2022-06-01T00:00:00"/>
    <n v="1.1060000000000001"/>
    <x v="1"/>
  </r>
  <r>
    <x v="1849"/>
    <n v="-1.7000000000000001E-2"/>
    <d v="2022-06-02T00:00:00"/>
    <n v="1.119"/>
    <x v="1"/>
  </r>
  <r>
    <x v="1850"/>
    <n v="-8.0000000000000002E-3"/>
    <d v="2022-06-03T00:00:00"/>
    <n v="1.135"/>
    <x v="1"/>
  </r>
  <r>
    <x v="1851"/>
    <n v="8.9999999999999993E-3"/>
    <m/>
    <n v="1.135"/>
    <x v="1"/>
  </r>
  <r>
    <x v="1852"/>
    <n v="2.9000000000000001E-2"/>
    <d v="2022-06-07T00:00:00"/>
    <n v="1.147"/>
    <x v="1"/>
  </r>
  <r>
    <x v="1853"/>
    <n v="3.4000000000000002E-2"/>
    <d v="2022-06-08T00:00:00"/>
    <n v="1.161"/>
    <x v="1"/>
  </r>
  <r>
    <x v="1854"/>
    <n v="6.3E-2"/>
    <d v="2022-06-09T00:00:00"/>
    <n v="1.1819999999999999"/>
    <x v="1"/>
  </r>
  <r>
    <x v="1855"/>
    <n v="8.3000000000000004E-2"/>
    <d v="2022-06-10T00:00:00"/>
    <n v="1.2090000000000001"/>
    <x v="1"/>
  </r>
  <r>
    <x v="1856"/>
    <n v="0.108"/>
    <d v="2022-06-13T00:00:00"/>
    <n v="1.2490000000000001"/>
    <x v="1"/>
  </r>
  <r>
    <x v="1857"/>
    <n v="0.17499999999999999"/>
    <d v="2022-06-14T00:00:00"/>
    <n v="1.2929999999999999"/>
    <x v="1"/>
  </r>
  <r>
    <x v="1858"/>
    <n v="0.23699999999999999"/>
    <d v="2022-06-15T00:00:00"/>
    <n v="1.333"/>
    <x v="1"/>
  </r>
  <r>
    <x v="1859"/>
    <n v="0.249"/>
    <m/>
    <n v="1.333"/>
    <x v="1"/>
  </r>
  <r>
    <x v="1860"/>
    <n v="0.29099999999999998"/>
    <d v="2022-06-17T00:00:00"/>
    <n v="1.371"/>
    <x v="1"/>
  </r>
  <r>
    <x v="1861"/>
    <n v="0.27300000000000002"/>
    <d v="2022-06-20T00:00:00"/>
    <n v="1.405"/>
    <x v="1"/>
  </r>
  <r>
    <x v="1862"/>
    <n v="0.28899999999999998"/>
    <d v="2022-06-21T00:00:00"/>
    <n v="1.448"/>
    <x v="1"/>
  </r>
  <r>
    <x v="1863"/>
    <n v="0.29099999999999998"/>
    <d v="2022-06-22T00:00:00"/>
    <n v="1.4850000000000001"/>
    <x v="1"/>
  </r>
  <r>
    <x v="1864"/>
    <n v="0.27300000000000002"/>
    <d v="2022-06-23T00:00:00"/>
    <n v="1.5089999999999999"/>
    <x v="1"/>
  </r>
  <r>
    <x v="1865"/>
    <n v="0.223"/>
    <d v="2022-06-24T00:00:00"/>
    <n v="1.532"/>
    <x v="1"/>
  </r>
  <r>
    <x v="1866"/>
    <n v="0.223"/>
    <d v="2022-06-27T00:00:00"/>
    <n v="1.5609999999999999"/>
    <x v="1"/>
  </r>
  <r>
    <x v="1867"/>
    <n v="0.22500000000000001"/>
    <d v="2022-06-28T00:00:00"/>
    <n v="1.593"/>
    <x v="1"/>
  </r>
  <r>
    <x v="1868"/>
    <n v="0.27800000000000002"/>
    <d v="2022-06-29T00:00:00"/>
    <n v="1.6180000000000001"/>
    <x v="1"/>
  </r>
  <r>
    <x v="1869"/>
    <n v="0.26300000000000001"/>
    <d v="2022-06-30T00:00:00"/>
    <n v="1.633"/>
    <x v="1"/>
  </r>
  <r>
    <x v="1870"/>
    <n v="0.23799999999999999"/>
    <d v="2022-07-01T00:00:00"/>
    <n v="1.641"/>
    <x v="1"/>
  </r>
  <r>
    <x v="1871"/>
    <n v="0.24099999999999999"/>
    <d v="2022-07-04T00:00:00"/>
    <n v="1.645"/>
    <x v="1"/>
  </r>
  <r>
    <x v="1872"/>
    <n v="0.23400000000000001"/>
    <d v="2022-07-05T00:00:00"/>
    <n v="1.6459999999999999"/>
    <x v="1"/>
  </r>
  <r>
    <x v="1873"/>
    <n v="0.22600000000000001"/>
    <d v="2022-07-06T00:00:00"/>
    <n v="1.641"/>
    <x v="1"/>
  </r>
  <r>
    <x v="1874"/>
    <n v="0.23799999999999999"/>
    <d v="2022-07-07T00:00:00"/>
    <n v="1.641"/>
    <x v="1"/>
  </r>
  <r>
    <x v="1875"/>
    <n v="0.32200000000000001"/>
    <d v="2022-07-08T00:00:00"/>
    <n v="1.637"/>
    <x v="1"/>
  </r>
  <r>
    <x v="1876"/>
    <n v="0.36499999999999999"/>
    <d v="2022-07-11T00:00:00"/>
    <n v="1.6259999999999999"/>
    <x v="1"/>
  </r>
  <r>
    <x v="1877"/>
    <n v="0.379"/>
    <d v="2022-07-12T00:00:00"/>
    <n v="1.6020000000000001"/>
    <x v="1"/>
  </r>
  <r>
    <x v="1878"/>
    <n v="0.36299999999999999"/>
    <d v="2022-07-13T00:00:00"/>
    <n v="1.573"/>
    <x v="1"/>
  </r>
  <r>
    <x v="1879"/>
    <n v="0.44800000000000001"/>
    <d v="2022-07-14T00:00:00"/>
    <n v="1.55"/>
    <x v="1"/>
  </r>
  <r>
    <x v="1880"/>
    <n v="0.53200000000000003"/>
    <d v="2022-07-15T00:00:00"/>
    <n v="1.5629999999999999"/>
    <x v="1"/>
  </r>
  <r>
    <x v="1881"/>
    <n v="0.503"/>
    <d v="2022-07-18T00:00:00"/>
    <n v="1.54"/>
    <x v="1"/>
  </r>
  <r>
    <x v="1882"/>
    <n v="0.53400000000000003"/>
    <d v="2022-07-19T00:00:00"/>
    <n v="1.514"/>
    <x v="1"/>
  </r>
  <r>
    <x v="1883"/>
    <n v="0.63500000000000001"/>
    <d v="2022-07-20T00:00:00"/>
    <n v="1.4930000000000001"/>
    <x v="1"/>
  </r>
  <r>
    <x v="1884"/>
    <n v="0.63200000000000001"/>
    <d v="2022-07-21T00:00:00"/>
    <n v="1.4830000000000001"/>
    <x v="1"/>
  </r>
  <r>
    <x v="1885"/>
    <n v="0.70599999999999996"/>
    <d v="2022-07-22T00:00:00"/>
    <n v="1.4650000000000001"/>
    <x v="1"/>
  </r>
  <r>
    <x v="1886"/>
    <n v="0.63300000000000001"/>
    <d v="2022-07-25T00:00:00"/>
    <n v="1.4419999999999999"/>
    <x v="1"/>
  </r>
  <r>
    <x v="1887"/>
    <n v="0.623"/>
    <d v="2022-07-26T00:00:00"/>
    <n v="1.411"/>
    <x v="1"/>
  </r>
  <r>
    <x v="1888"/>
    <n v="0.63100000000000001"/>
    <d v="2022-07-27T00:00:00"/>
    <n v="1.383"/>
    <x v="1"/>
  </r>
  <r>
    <x v="1889"/>
    <n v="0.66"/>
    <d v="2022-07-28T00:00:00"/>
    <n v="1.36"/>
    <x v="1"/>
  </r>
  <r>
    <x v="1890"/>
    <n v="0.65300000000000002"/>
    <d v="2022-07-29T00:00:00"/>
    <n v="1.341"/>
    <x v="1"/>
  </r>
  <r>
    <x v="1891"/>
    <n v="0.65400000000000003"/>
    <d v="2022-08-01T00:00:00"/>
    <n v="1.319"/>
    <x v="1"/>
  </r>
  <r>
    <x v="1892"/>
    <n v="0.65200000000000002"/>
    <d v="2022-08-02T00:00:00"/>
    <n v="1.296"/>
    <x v="1"/>
  </r>
  <r>
    <x v="1893"/>
    <n v="0.66700000000000004"/>
    <d v="2022-08-03T00:00:00"/>
    <n v="1.284"/>
    <x v="1"/>
  </r>
  <r>
    <x v="1894"/>
    <n v="0.68899999999999995"/>
    <d v="2022-08-04T00:00:00"/>
    <n v="1.266"/>
    <x v="1"/>
  </r>
  <r>
    <x v="1895"/>
    <n v="0.67800000000000005"/>
    <d v="2022-08-05T00:00:00"/>
    <n v="1.248"/>
    <x v="1"/>
  </r>
  <r>
    <x v="1896"/>
    <n v="0.72899999999999998"/>
    <d v="2022-08-08T00:00:00"/>
    <n v="1.234"/>
    <x v="1"/>
  </r>
  <r>
    <x v="1897"/>
    <n v="0.73699999999999999"/>
    <d v="2022-08-09T00:00:00"/>
    <n v="1.2290000000000001"/>
    <x v="1"/>
  </r>
  <r>
    <x v="1898"/>
    <n v="0.77400000000000002"/>
    <d v="2022-08-10T00:00:00"/>
    <n v="1.2190000000000001"/>
    <x v="1"/>
  </r>
  <r>
    <x v="1899"/>
    <n v="0.76400000000000001"/>
    <d v="2022-08-11T00:00:00"/>
    <n v="1.21"/>
    <x v="1"/>
  </r>
  <r>
    <x v="1900"/>
    <n v="0.76600000000000001"/>
    <d v="2022-08-12T00:00:00"/>
    <n v="1.206"/>
    <x v="1"/>
  </r>
  <r>
    <x v="1901"/>
    <n v="0.745"/>
    <m/>
    <n v="1.206"/>
    <x v="1"/>
  </r>
  <r>
    <x v="1902"/>
    <n v="0.73499999999999999"/>
    <d v="2022-08-16T00:00:00"/>
    <n v="1.198"/>
    <x v="1"/>
  </r>
  <r>
    <x v="1903"/>
    <n v="0.753"/>
    <d v="2022-08-17T00:00:00"/>
    <n v="1.1919999999999999"/>
    <x v="1"/>
  </r>
  <r>
    <x v="1904"/>
    <n v="0.82599999999999996"/>
    <d v="2022-08-18T00:00:00"/>
    <n v="1.1870000000000001"/>
    <x v="1"/>
  </r>
  <r>
    <x v="1905"/>
    <n v="0.86199999999999999"/>
    <d v="2022-08-19T00:00:00"/>
    <n v="1.1879999999999999"/>
    <x v="1"/>
  </r>
  <r>
    <x v="1906"/>
    <n v="0.90800000000000003"/>
    <d v="2022-08-22T00:00:00"/>
    <n v="1.2"/>
    <x v="1"/>
  </r>
  <r>
    <x v="1907"/>
    <n v="0.92600000000000005"/>
    <d v="2022-08-23T00:00:00"/>
    <n v="1.216"/>
    <x v="1"/>
  </r>
  <r>
    <x v="1908"/>
    <n v="0.94699999999999995"/>
    <d v="2022-08-24T00:00:00"/>
    <n v="1.238"/>
    <x v="1"/>
  </r>
  <r>
    <x v="1909"/>
    <n v="0.98399999999999999"/>
    <d v="2022-08-25T00:00:00"/>
    <n v="1.2589999999999999"/>
    <x v="1"/>
  </r>
  <r>
    <x v="1910"/>
    <n v="0.98299999999999998"/>
    <d v="2022-08-26T00:00:00"/>
    <n v="1.286"/>
    <x v="1"/>
  </r>
  <r>
    <x v="1911"/>
    <n v="1.077"/>
    <d v="2022-08-29T00:00:00"/>
    <n v="1.3220000000000001"/>
    <x v="1"/>
  </r>
  <r>
    <x v="1912"/>
    <n v="1.1930000000000001"/>
    <d v="2022-08-30T00:00:00"/>
    <n v="1.361"/>
    <x v="1"/>
  </r>
  <r>
    <x v="1913"/>
    <n v="1.2030000000000001"/>
    <d v="2022-08-31T00:00:00"/>
    <n v="1.4039999999999999"/>
    <x v="1"/>
  </r>
  <r>
    <x v="1914"/>
    <n v="1.24"/>
    <d v="2022-09-01T00:00:00"/>
    <n v="1.4430000000000001"/>
    <x v="1"/>
  </r>
  <r>
    <x v="1915"/>
    <n v="1.29"/>
    <d v="2022-09-02T00:00:00"/>
    <n v="1.4810000000000001"/>
    <x v="1"/>
  </r>
  <r>
    <x v="1916"/>
    <n v="1.298"/>
    <d v="2022-09-05T00:00:00"/>
    <n v="1.5189999999999999"/>
    <x v="1"/>
  </r>
  <r>
    <x v="1917"/>
    <n v="1.337"/>
    <d v="2022-09-06T00:00:00"/>
    <n v="1.5529999999999999"/>
    <x v="1"/>
  </r>
  <r>
    <x v="1918"/>
    <n v="1.363"/>
    <d v="2022-09-07T00:00:00"/>
    <n v="1.585"/>
    <x v="1"/>
  </r>
  <r>
    <x v="1919"/>
    <n v="1.3540000000000001"/>
    <d v="2022-09-08T00:00:00"/>
    <n v="1.6240000000000001"/>
    <x v="1"/>
  </r>
  <r>
    <x v="1920"/>
    <n v="1.4419999999999999"/>
    <d v="2022-09-09T00:00:00"/>
    <n v="1.663"/>
    <x v="1"/>
  </r>
  <r>
    <x v="1921"/>
    <n v="1.494"/>
    <d v="2022-09-12T00:00:00"/>
    <n v="1.7"/>
    <x v="1"/>
  </r>
  <r>
    <x v="1922"/>
    <n v="1.538"/>
    <d v="2022-09-13T00:00:00"/>
    <n v="1.738"/>
    <x v="1"/>
  </r>
  <r>
    <x v="1923"/>
    <n v="1.548"/>
    <d v="2022-09-14T00:00:00"/>
    <n v="1.7729999999999999"/>
    <x v="1"/>
  </r>
  <r>
    <x v="1924"/>
    <n v="1.6080000000000001"/>
    <d v="2022-09-15T00:00:00"/>
    <n v="1.8069999999999999"/>
    <x v="1"/>
  </r>
  <r>
    <x v="1925"/>
    <n v="1.6719999999999999"/>
    <d v="2022-09-16T00:00:00"/>
    <n v="1.8380000000000001"/>
    <x v="1"/>
  </r>
  <r>
    <x v="1926"/>
    <n v="1.7370000000000001"/>
    <d v="2022-09-19T00:00:00"/>
    <n v="1.869"/>
    <x v="1"/>
  </r>
  <r>
    <x v="1927"/>
    <n v="1.74"/>
    <d v="2022-09-20T00:00:00"/>
    <n v="1.9019999999999999"/>
    <x v="1"/>
  </r>
  <r>
    <x v="1928"/>
    <n v="1.766"/>
    <d v="2022-09-21T00:00:00"/>
    <n v="1.9330000000000001"/>
    <x v="1"/>
  </r>
  <r>
    <x v="1929"/>
    <n v="1.7629999999999999"/>
    <d v="2022-09-22T00:00:00"/>
    <n v="1.9670000000000001"/>
    <x v="1"/>
  </r>
  <r>
    <x v="1930"/>
    <n v="1.8029999999999999"/>
    <d v="2022-09-23T00:00:00"/>
    <n v="2.0009999999999999"/>
    <x v="1"/>
  </r>
  <r>
    <x v="1931"/>
    <n v="1.8029999999999999"/>
    <d v="2022-09-26T00:00:00"/>
    <n v="2.0329999999999999"/>
    <x v="1"/>
  </r>
  <r>
    <x v="1932"/>
    <n v="1.851"/>
    <d v="2022-09-27T00:00:00"/>
    <n v="2.0659999999999998"/>
    <x v="1"/>
  </r>
  <r>
    <x v="1933"/>
    <n v="1.8580000000000001"/>
    <d v="2022-09-28T00:00:00"/>
    <n v="2.1030000000000002"/>
    <x v="1"/>
  </r>
  <r>
    <x v="1934"/>
    <n v="1.8"/>
    <d v="2022-09-29T00:00:00"/>
    <n v="2.1349999999999998"/>
    <x v="1"/>
  </r>
  <r>
    <x v="1935"/>
    <n v="1.8089999999999999"/>
    <d v="2022-09-30T00:00:00"/>
    <n v="2.1629999999999998"/>
    <x v="1"/>
  </r>
  <r>
    <x v="1936"/>
    <n v="1.7749999999999999"/>
    <d v="2022-10-03T00:00:00"/>
    <n v="2.1869999999999998"/>
    <x v="1"/>
  </r>
  <r>
    <x v="1937"/>
    <n v="1.762"/>
    <d v="2022-10-04T00:00:00"/>
    <n v="2.2040000000000002"/>
    <x v="1"/>
  </r>
  <r>
    <x v="1938"/>
    <n v="1.7310000000000001"/>
    <d v="2022-10-05T00:00:00"/>
    <n v="2.2269999999999999"/>
    <x v="1"/>
  </r>
  <r>
    <x v="1939"/>
    <n v="1.8380000000000001"/>
    <d v="2022-10-06T00:00:00"/>
    <n v="2.2519999999999998"/>
    <x v="1"/>
  </r>
  <r>
    <x v="1940"/>
    <n v="1.897"/>
    <d v="2022-10-07T00:00:00"/>
    <n v="2.2770000000000001"/>
    <x v="1"/>
  </r>
  <r>
    <x v="1941"/>
    <n v="1.962"/>
    <d v="2022-10-10T00:00:00"/>
    <n v="2.3050000000000002"/>
    <x v="1"/>
  </r>
  <r>
    <x v="1942"/>
    <n v="2.0030000000000001"/>
    <d v="2022-10-11T00:00:00"/>
    <n v="2.3359999999999999"/>
    <x v="1"/>
  </r>
  <r>
    <x v="1943"/>
    <n v="1.998"/>
    <d v="2022-10-12T00:00:00"/>
    <n v="2.367"/>
    <x v="1"/>
  </r>
  <r>
    <x v="1944"/>
    <n v="2.012"/>
    <d v="2022-10-13T00:00:00"/>
    <n v="2.3959999999999999"/>
    <x v="1"/>
  </r>
  <r>
    <x v="1945"/>
    <n v="2.0270000000000001"/>
    <d v="2022-10-14T00:00:00"/>
    <n v="2.42"/>
    <x v="1"/>
  </r>
  <r>
    <x v="1946"/>
    <n v="2.032"/>
    <d v="2022-10-17T00:00:00"/>
    <n v="2.444"/>
    <x v="1"/>
  </r>
  <r>
    <x v="1947"/>
    <n v="2.0379999999999998"/>
    <d v="2022-10-18T00:00:00"/>
    <n v="2.4649999999999999"/>
    <x v="1"/>
  </r>
  <r>
    <x v="1948"/>
    <n v="2.0569999999999999"/>
    <d v="2022-10-19T00:00:00"/>
    <n v="2.488"/>
    <x v="1"/>
  </r>
  <r>
    <x v="1949"/>
    <n v="2.0830000000000002"/>
    <d v="2022-10-20T00:00:00"/>
    <n v="2.552"/>
    <x v="1"/>
  </r>
  <r>
    <x v="1950"/>
    <n v="2.1070000000000002"/>
    <d v="2022-10-21T00:00:00"/>
    <n v="2.5750000000000002"/>
    <x v="1"/>
  </r>
  <r>
    <x v="1951"/>
    <n v="2.1320000000000001"/>
    <d v="2022-10-24T00:00:00"/>
    <n v="2.5859999999999999"/>
    <x v="1"/>
  </r>
  <r>
    <x v="1952"/>
    <n v="2.1059999999999999"/>
    <d v="2022-10-25T00:00:00"/>
    <n v="2.593"/>
    <x v="1"/>
  </r>
  <r>
    <x v="1953"/>
    <n v="2.1030000000000002"/>
    <m/>
    <n v="2.593"/>
    <x v="1"/>
  </r>
  <r>
    <x v="1954"/>
    <n v="2.1179999999999999"/>
    <d v="2022-10-27T00:00:00"/>
    <n v="2.593"/>
    <x v="1"/>
  </r>
  <r>
    <x v="1955"/>
    <n v="2.0339999999999998"/>
    <d v="2022-10-28T00:00:00"/>
    <n v="2.5880000000000001"/>
    <x v="1"/>
  </r>
  <r>
    <x v="1956"/>
    <n v="2.13"/>
    <d v="2022-10-31T00:00:00"/>
    <n v="2.5910000000000002"/>
    <x v="1"/>
  </r>
  <r>
    <x v="1957"/>
    <n v="2.1680000000000001"/>
    <m/>
    <n v="2.5910000000000002"/>
    <x v="16"/>
  </r>
  <r>
    <x v="1958"/>
    <n v="2.198"/>
    <d v="2022-11-02T00:00:00"/>
    <n v="2.5990000000000002"/>
    <x v="1"/>
  </r>
  <r>
    <x v="1959"/>
    <n v="2.2250000000000001"/>
    <d v="2022-11-03T00:00:00"/>
    <n v="2.6190000000000002"/>
    <x v="1"/>
  </r>
  <r>
    <x v="1960"/>
    <n v="2.278"/>
    <d v="2022-11-04T00:00:00"/>
    <n v="2.6339999999999999"/>
    <x v="1"/>
  </r>
  <r>
    <x v="1961"/>
    <n v="2.2959999999999998"/>
    <d v="2022-11-07T00:00:00"/>
    <n v="2.6469999999999998"/>
    <x v="1"/>
  </r>
  <r>
    <x v="1962"/>
    <n v="2.3159999999999998"/>
    <d v="2022-11-08T00:00:00"/>
    <n v="2.6549999999999998"/>
    <x v="1"/>
  </r>
  <r>
    <x v="1963"/>
    <n v="2.3330000000000002"/>
    <d v="2022-11-09T00:00:00"/>
    <n v="2.6579999999999999"/>
    <x v="1"/>
  </r>
  <r>
    <x v="1964"/>
    <n v="2.319"/>
    <d v="2022-11-10T00:00:00"/>
    <n v="2.6509999999999998"/>
    <x v="1"/>
  </r>
  <r>
    <x v="1965"/>
    <n v="2.2909999999999999"/>
    <d v="2022-11-11T00:00:00"/>
    <n v="2.6419999999999999"/>
    <x v="1"/>
  </r>
  <r>
    <x v="1966"/>
    <n v="2.3370000000000002"/>
    <d v="2022-11-14T00:00:00"/>
    <n v="2.6349999999999998"/>
    <x v="1"/>
  </r>
  <r>
    <x v="1967"/>
    <n v="2.2999999999999998"/>
    <d v="2022-11-15T00:00:00"/>
    <n v="2.63"/>
    <x v="1"/>
  </r>
  <r>
    <x v="1968"/>
    <n v="2.3109999999999999"/>
    <d v="2022-11-16T00:00:00"/>
    <n v="2.62"/>
    <x v="1"/>
  </r>
  <r>
    <x v="1969"/>
    <n v="2.294"/>
    <d v="2022-11-17T00:00:00"/>
    <n v="2.6070000000000002"/>
    <x v="1"/>
  </r>
  <r>
    <x v="1970"/>
    <n v="2.3420000000000001"/>
    <d v="2022-11-18T00:00:00"/>
    <n v="2.5920000000000001"/>
    <x v="1"/>
  </r>
  <r>
    <x v="1971"/>
    <n v="2.327"/>
    <d v="2022-11-21T00:00:00"/>
    <n v="2.5720000000000001"/>
    <x v="1"/>
  </r>
  <r>
    <x v="1972"/>
    <n v="2.3380000000000001"/>
    <d v="2022-11-22T00:00:00"/>
    <n v="2.5499999999999998"/>
    <x v="1"/>
  </r>
  <r>
    <x v="1973"/>
    <n v="2.36"/>
    <d v="2022-11-23T00:00:00"/>
    <n v="2.5329999999999999"/>
    <x v="1"/>
  </r>
  <r>
    <x v="1974"/>
    <n v="2.3679999999999999"/>
    <d v="2022-11-24T00:00:00"/>
    <n v="2.5139999999999998"/>
    <x v="1"/>
  </r>
  <r>
    <x v="1975"/>
    <n v="2.3740000000000001"/>
    <d v="2022-11-25T00:00:00"/>
    <n v="2.504"/>
    <x v="1"/>
  </r>
  <r>
    <x v="1976"/>
    <n v="2.4359999999999999"/>
    <d v="2022-11-28T00:00:00"/>
    <n v="2.4990000000000001"/>
    <x v="1"/>
  </r>
  <r>
    <x v="1977"/>
    <n v="2.4420000000000002"/>
    <d v="2022-11-29T00:00:00"/>
    <n v="2.4870000000000001"/>
    <x v="1"/>
  </r>
  <r>
    <x v="1978"/>
    <n v="2.4140000000000001"/>
    <d v="2022-11-30T00:00:00"/>
    <n v="2.476"/>
    <x v="1"/>
  </r>
  <r>
    <x v="1979"/>
    <n v="2.4049999999999998"/>
    <d v="2022-12-01T00:00:00"/>
    <n v="2.456"/>
    <x v="1"/>
  </r>
  <r>
    <x v="1980"/>
    <n v="2.4060000000000001"/>
    <d v="2022-12-02T00:00:00"/>
    <n v="2.4329999999999998"/>
    <x v="1"/>
  </r>
  <r>
    <x v="1981"/>
    <n v="2.4359999999999999"/>
    <m/>
    <m/>
    <x v="1"/>
  </r>
  <r>
    <x v="1982"/>
    <n v="2.4430000000000001"/>
    <m/>
    <m/>
    <x v="1"/>
  </r>
  <r>
    <x v="1983"/>
    <n v="2.4420000000000002"/>
    <m/>
    <m/>
    <x v="1"/>
  </r>
  <r>
    <x v="1984"/>
    <n v="2.456"/>
    <m/>
    <m/>
    <x v="1"/>
  </r>
  <r>
    <x v="1985"/>
    <n v="2.4660000000000002"/>
    <m/>
    <m/>
    <x v="1"/>
  </r>
  <r>
    <x v="1986"/>
    <n v="2.5270000000000001"/>
    <m/>
    <m/>
    <x v="1"/>
  </r>
  <r>
    <x v="1987"/>
    <n v="2.4790000000000001"/>
    <m/>
    <m/>
    <x v="1"/>
  </r>
  <r>
    <x v="1988"/>
    <n v="2.519000000000000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B3A416-62FD-46F1-BC3E-4CB09F73CF38}" name="PivotTable2" cacheId="0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W29:AX54" firstHeaderRow="1" firstDataRow="1" firstDataCol="1" rowPageCount="1" colPageCount="1"/>
  <pivotFields count="7">
    <pivotField axis="axisPage" numFmtId="168" multipleItemSelectionAllowed="1" showAll="0">
      <items count="15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x="11"/>
        <item h="1" x="12"/>
        <item h="1" x="13"/>
        <item t="default"/>
      </items>
    </pivotField>
    <pivotField showAll="0"/>
    <pivotField showAll="0"/>
    <pivotField showAll="0"/>
    <pivotField dataField="1" showAll="0">
      <items count="18">
        <item x="12"/>
        <item x="13"/>
        <item x="14"/>
        <item x="10"/>
        <item x="4"/>
        <item x="11"/>
        <item x="9"/>
        <item x="5"/>
        <item x="6"/>
        <item x="3"/>
        <item x="7"/>
        <item x="8"/>
        <item x="0"/>
        <item x="2"/>
        <item x="15"/>
        <item x="16"/>
        <item x="1"/>
        <item t="default"/>
      </items>
    </pivotField>
    <pivotField axis="axisRow" multipleItemSelectionAllowed="1" showAll="0">
      <items count="7">
        <item h="1" sd="0" x="0"/>
        <item h="1" sd="0" x="1"/>
        <item sd="0" x="2"/>
        <item h="1" sd="0" x="3"/>
        <item sd="0" x="4"/>
        <item h="1" sd="0" x="5"/>
        <item t="default"/>
      </items>
    </pivotField>
    <pivotField axis="axisRow" showAll="0">
      <items count="11">
        <item sd="0" x="0"/>
        <item x="1"/>
        <item x="2"/>
        <item x="3"/>
        <item x="4"/>
        <item x="5"/>
        <item x="6"/>
        <item x="7"/>
        <item x="8"/>
        <item sd="0" x="9"/>
        <item t="default"/>
      </items>
    </pivotField>
  </pivotFields>
  <rowFields count="2">
    <field x="6"/>
    <field x="5"/>
  </rowFields>
  <rowItems count="25">
    <i>
      <x v="1"/>
    </i>
    <i r="1">
      <x v="2"/>
    </i>
    <i r="1">
      <x v="4"/>
    </i>
    <i>
      <x v="2"/>
    </i>
    <i r="1">
      <x v="2"/>
    </i>
    <i r="1">
      <x v="4"/>
    </i>
    <i>
      <x v="3"/>
    </i>
    <i r="1">
      <x v="2"/>
    </i>
    <i r="1">
      <x v="4"/>
    </i>
    <i>
      <x v="4"/>
    </i>
    <i r="1">
      <x v="2"/>
    </i>
    <i r="1">
      <x v="4"/>
    </i>
    <i>
      <x v="5"/>
    </i>
    <i r="1">
      <x v="2"/>
    </i>
    <i r="1">
      <x v="4"/>
    </i>
    <i>
      <x v="6"/>
    </i>
    <i r="1">
      <x v="2"/>
    </i>
    <i r="1">
      <x v="4"/>
    </i>
    <i>
      <x v="7"/>
    </i>
    <i r="1">
      <x v="2"/>
    </i>
    <i r="1">
      <x v="4"/>
    </i>
    <i>
      <x v="8"/>
    </i>
    <i r="1">
      <x v="2"/>
    </i>
    <i r="1">
      <x v="4"/>
    </i>
    <i t="grand">
      <x/>
    </i>
  </rowItems>
  <colItems count="1">
    <i/>
  </colItems>
  <pageFields count="1">
    <pageField fld="0" hier="-1"/>
  </pageFields>
  <dataFields count="1">
    <dataField name="Summe von Zinssatz" fld="4" baseField="0" baseItem="0" numFmtId="16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enb.at/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https://www.oenb.at/isaweb/meta.jsp;jsessionid=21D02462B6829581EA2DC8549133B43A?lang=DE&amp;pos=VDBZIUDRB" TargetMode="External"/><Relationship Id="rId7" Type="http://schemas.openxmlformats.org/officeDocument/2006/relationships/hyperlink" Target="https://www.oenb.at/isaweb/meta.jsp;jsessionid=21D02462B6829581EA2DC8549133B43A?lang=DE&amp;pos=VDBZIUDRBRLZ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https://www.oenb.at/isaweb/meta.jsp;jsessionid=21D02462B6829581EA2DC8549133B43A?lang=DE&amp;pos=VDBZIUDRB" TargetMode="External"/><Relationship Id="rId16" Type="http://schemas.openxmlformats.org/officeDocument/2006/relationships/image" Target="../media/image2.emf"/><Relationship Id="rId1" Type="http://schemas.openxmlformats.org/officeDocument/2006/relationships/hyperlink" Target="https://www.oenb.at/isaweb/report.do?report=2.11.1" TargetMode="External"/><Relationship Id="rId6" Type="http://schemas.openxmlformats.org/officeDocument/2006/relationships/hyperlink" Target="https://www.oenb.at/isaweb/meta.jsp;jsessionid=21D02462B6829581EA2DC8549133B43A?lang=DE&amp;pos=VDBZIUDRBRLZ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oenb.at/isaweb/meta.jsp;jsessionid=21D02462B6829581EA2DC8549133B43A?lang=DE&amp;pos=VDBZIUDRB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www.oenb.at/isaweb/meta.jsp;jsessionid=21D02462B6829581EA2DC8549133B43A?lang=DE&amp;pos=VDBZIUDRB" TargetMode="External"/><Relationship Id="rId9" Type="http://schemas.openxmlformats.org/officeDocument/2006/relationships/hyperlink" Target="https://www.oenb.at/Statistik/Standardisierte-Tabellen/zinssaetze-und-wechselkurse/renditen-oesterreichischer-bundesanleihen.html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enb.at/isaweb/meta.jsp;jsessionid=21D02462B6829581EA2DC8549133B43A?lang=DE&amp;pos=VDBZIUDRBRLZ" TargetMode="External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https://www.oenb.at/isaweb/meta.jsp;jsessionid=21D02462B6829581EA2DC8549133B43A?lang=DE&amp;pos=VDBZIUDRB" TargetMode="External"/><Relationship Id="rId7" Type="http://schemas.openxmlformats.org/officeDocument/2006/relationships/hyperlink" Target="https://www.oenb.at/isaweb/meta.jsp;jsessionid=21D02462B6829581EA2DC8549133B43A?lang=DE&amp;pos=VDBZIUDRBRLZ" TargetMode="External"/><Relationship Id="rId12" Type="http://schemas.openxmlformats.org/officeDocument/2006/relationships/vmlDrawing" Target="../drawings/vmlDrawing2.vml"/><Relationship Id="rId17" Type="http://schemas.openxmlformats.org/officeDocument/2006/relationships/control" Target="../activeX/activeX6.xml"/><Relationship Id="rId2" Type="http://schemas.openxmlformats.org/officeDocument/2006/relationships/hyperlink" Target="https://www.oenb.at/isaweb/report.do?report=2.11.1" TargetMode="External"/><Relationship Id="rId16" Type="http://schemas.openxmlformats.org/officeDocument/2006/relationships/image" Target="../media/image5.emf"/><Relationship Id="rId1" Type="http://schemas.openxmlformats.org/officeDocument/2006/relationships/pivotTable" Target="../pivotTables/pivotTable1.xml"/><Relationship Id="rId6" Type="http://schemas.openxmlformats.org/officeDocument/2006/relationships/hyperlink" Target="https://www.oenb.at/isaweb/meta.jsp;jsessionid=21D02462B6829581EA2DC8549133B43A?lang=DE&amp;pos=VDBZIUDRB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www.oenb.at/isaweb/meta.jsp;jsessionid=21D02462B6829581EA2DC8549133B43A?lang=DE&amp;pos=VDBZIUDRB" TargetMode="External"/><Relationship Id="rId15" Type="http://schemas.openxmlformats.org/officeDocument/2006/relationships/control" Target="../activeX/activeX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www.oenb.at/isaweb/meta.jsp;jsessionid=21D02462B6829581EA2DC8549133B43A?lang=DE&amp;pos=VDBZIUDRB" TargetMode="External"/><Relationship Id="rId9" Type="http://schemas.openxmlformats.org/officeDocument/2006/relationships/hyperlink" Target="https://www.oenb.at/" TargetMode="Externa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2EC-1FEC-46DC-91D0-D520F457DBE9}">
  <sheetPr codeName="Tabelle2"/>
  <dimension ref="A1:BL2031"/>
  <sheetViews>
    <sheetView tabSelected="1" zoomScale="86" zoomScaleNormal="86" workbookViewId="0">
      <pane ySplit="10" topLeftCell="A25" activePane="bottomLeft" state="frozen"/>
      <selection pane="bottomLeft" activeCell="B35" sqref="B35"/>
    </sheetView>
  </sheetViews>
  <sheetFormatPr baseColWidth="10" defaultRowHeight="13.2" x14ac:dyDescent="0.25"/>
  <cols>
    <col min="1" max="1" width="20.44140625" style="225" customWidth="1"/>
    <col min="2" max="2" width="17.6640625" customWidth="1"/>
    <col min="3" max="3" width="26.33203125" style="1" customWidth="1"/>
    <col min="4" max="4" width="11.33203125" bestFit="1" customWidth="1"/>
    <col min="5" max="5" width="15.109375" customWidth="1"/>
    <col min="6" max="6" width="12.88671875" bestFit="1" customWidth="1"/>
    <col min="7" max="7" width="13.88671875" bestFit="1" customWidth="1"/>
    <col min="8" max="8" width="11.33203125" customWidth="1"/>
    <col min="9" max="9" width="16.5546875" customWidth="1"/>
    <col min="10" max="10" width="15.6640625" customWidth="1"/>
    <col min="11" max="11" width="16" customWidth="1"/>
    <col min="14" max="14" width="15" customWidth="1"/>
    <col min="17" max="17" width="13.109375" bestFit="1" customWidth="1"/>
    <col min="18" max="18" width="19.6640625" customWidth="1"/>
    <col min="19" max="19" width="17" customWidth="1"/>
    <col min="20" max="20" width="17.5546875" bestFit="1" customWidth="1"/>
    <col min="21" max="23" width="12" bestFit="1" customWidth="1"/>
    <col min="24" max="24" width="21.109375" customWidth="1"/>
    <col min="27" max="27" width="13.44140625" customWidth="1"/>
    <col min="28" max="28" width="13.109375" customWidth="1"/>
    <col min="31" max="31" width="11.44140625" style="303"/>
    <col min="32" max="32" width="12.88671875" style="303" customWidth="1"/>
    <col min="33" max="33" width="12.6640625" style="303" customWidth="1"/>
    <col min="34" max="34" width="10.6640625" style="303" customWidth="1"/>
    <col min="35" max="35" width="7.109375" style="303" bestFit="1" customWidth="1"/>
    <col min="36" max="36" width="5.109375" style="303" customWidth="1"/>
    <col min="37" max="37" width="8" style="303" customWidth="1"/>
    <col min="38" max="38" width="9.44140625" style="303" customWidth="1"/>
    <col min="39" max="48" width="5.109375" style="303" customWidth="1"/>
    <col min="49" max="49" width="22.44140625" style="303" bestFit="1" customWidth="1"/>
    <col min="50" max="50" width="19.6640625" style="303" bestFit="1" customWidth="1"/>
    <col min="51" max="53" width="11.44140625" style="303"/>
    <col min="56" max="57" width="11.44140625" style="104"/>
    <col min="58" max="58" width="20.109375" customWidth="1"/>
  </cols>
  <sheetData>
    <row r="1" spans="1:62" x14ac:dyDescent="0.25">
      <c r="A1" s="330"/>
      <c r="B1" s="331"/>
      <c r="C1" s="201"/>
      <c r="D1" s="202"/>
      <c r="E1" s="332">
        <f>+E2+D2</f>
        <v>20104.919999999998</v>
      </c>
      <c r="F1" s="332">
        <f t="shared" ref="F1:K1" si="0">+F2+E2</f>
        <v>27546.36</v>
      </c>
      <c r="G1" s="332">
        <f t="shared" si="0"/>
        <v>28212</v>
      </c>
      <c r="H1" s="332">
        <f t="shared" si="0"/>
        <v>28407.72</v>
      </c>
      <c r="I1" s="332">
        <f t="shared" si="0"/>
        <v>28604.160000000003</v>
      </c>
      <c r="J1" s="332">
        <f t="shared" si="0"/>
        <v>27788.28</v>
      </c>
      <c r="K1" s="332">
        <f t="shared" si="0"/>
        <v>26394.239999999998</v>
      </c>
      <c r="L1" s="202"/>
      <c r="M1" s="202"/>
      <c r="N1" s="333"/>
      <c r="O1" s="333"/>
      <c r="P1" s="333"/>
      <c r="Q1" s="334"/>
      <c r="R1" s="310"/>
      <c r="S1" s="310"/>
      <c r="T1" s="309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</row>
    <row r="2" spans="1:62" x14ac:dyDescent="0.25">
      <c r="A2" s="335"/>
      <c r="B2" s="64"/>
      <c r="C2" s="336"/>
      <c r="D2" s="205">
        <f>SUM(D5:D7)*6</f>
        <v>6664.92</v>
      </c>
      <c r="E2" s="205">
        <f>SUM(E5:E7)*12</f>
        <v>13440</v>
      </c>
      <c r="F2" s="205">
        <f t="shared" ref="F2:K2" si="1">SUM(F5:F7)*12</f>
        <v>14106.36</v>
      </c>
      <c r="G2" s="205">
        <f t="shared" si="1"/>
        <v>14105.64</v>
      </c>
      <c r="H2" s="205">
        <f t="shared" si="1"/>
        <v>14302.080000000002</v>
      </c>
      <c r="I2" s="205">
        <f t="shared" si="1"/>
        <v>14302.080000000002</v>
      </c>
      <c r="J2" s="205">
        <f t="shared" si="1"/>
        <v>13486.199999999999</v>
      </c>
      <c r="K2" s="205">
        <f t="shared" si="1"/>
        <v>12908.04</v>
      </c>
      <c r="L2" s="64"/>
      <c r="M2" s="64"/>
      <c r="N2" s="310"/>
      <c r="O2" s="310"/>
      <c r="P2" s="310"/>
      <c r="Q2" s="337"/>
      <c r="R2" s="310"/>
      <c r="S2" s="310"/>
      <c r="T2" s="310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7"/>
      <c r="AF2" s="387"/>
      <c r="AG2" s="310"/>
      <c r="AH2" s="310"/>
      <c r="AI2" s="310"/>
      <c r="AJ2" s="310"/>
      <c r="BH2" s="89" t="s">
        <v>524</v>
      </c>
    </row>
    <row r="3" spans="1:62" s="5" customFormat="1" x14ac:dyDescent="0.25">
      <c r="A3" s="338"/>
      <c r="B3" s="339">
        <f>+B10*10*12</f>
        <v>109615.71428571429</v>
      </c>
      <c r="C3" s="230"/>
      <c r="D3" s="15">
        <v>2015</v>
      </c>
      <c r="E3" s="74">
        <v>2016</v>
      </c>
      <c r="F3" s="15">
        <v>2017</v>
      </c>
      <c r="G3" s="74">
        <v>2018</v>
      </c>
      <c r="H3" s="15">
        <v>2019</v>
      </c>
      <c r="I3" s="74">
        <v>2020</v>
      </c>
      <c r="J3" s="15">
        <v>2021</v>
      </c>
      <c r="K3" s="74">
        <v>2022</v>
      </c>
      <c r="L3" s="15">
        <v>2023</v>
      </c>
      <c r="M3" s="324">
        <v>2024</v>
      </c>
      <c r="N3" s="313"/>
      <c r="O3" s="313"/>
      <c r="P3" s="313"/>
      <c r="Q3" s="340"/>
      <c r="R3" s="313"/>
      <c r="S3" s="313"/>
      <c r="T3" s="313"/>
      <c r="U3" s="314"/>
      <c r="V3" s="315"/>
      <c r="W3" s="316"/>
      <c r="X3" s="317"/>
      <c r="Y3" s="316"/>
      <c r="Z3" s="315"/>
      <c r="AA3" s="316"/>
      <c r="AB3" s="317"/>
      <c r="AC3" s="316"/>
      <c r="AD3" s="315"/>
      <c r="AE3" s="316"/>
      <c r="AF3" s="317"/>
      <c r="AG3" s="313"/>
      <c r="AH3" s="313"/>
      <c r="AI3" s="313"/>
      <c r="AJ3" s="313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180" t="s">
        <v>48</v>
      </c>
      <c r="BC3" s="181">
        <v>42125</v>
      </c>
      <c r="BD3" s="188"/>
      <c r="BE3" s="188"/>
    </row>
    <row r="4" spans="1:62" x14ac:dyDescent="0.25">
      <c r="A4" s="335"/>
      <c r="B4" s="64"/>
      <c r="C4" s="336"/>
      <c r="D4" s="64"/>
      <c r="E4" s="64"/>
      <c r="F4" s="64"/>
      <c r="G4" s="64"/>
      <c r="H4" s="64"/>
      <c r="I4" s="64"/>
      <c r="J4" s="64"/>
      <c r="K4" s="64"/>
      <c r="L4" s="64"/>
      <c r="M4" s="64"/>
      <c r="N4" s="310"/>
      <c r="O4" s="310"/>
      <c r="P4" s="310"/>
      <c r="Q4" s="337"/>
      <c r="R4" s="310"/>
      <c r="S4" s="310"/>
      <c r="T4" s="318"/>
      <c r="U4" s="310"/>
      <c r="V4" s="310"/>
      <c r="W4" s="310"/>
      <c r="X4" s="319"/>
      <c r="Y4" s="310"/>
      <c r="Z4" s="310"/>
      <c r="AA4" s="310"/>
      <c r="AB4" s="319"/>
      <c r="AC4" s="310"/>
      <c r="AD4" s="310"/>
      <c r="AE4" s="310"/>
      <c r="AF4" s="319"/>
      <c r="AG4" s="310"/>
      <c r="AH4" s="310"/>
      <c r="AI4" s="310"/>
      <c r="AJ4" s="310"/>
      <c r="BB4" s="180" t="s">
        <v>49</v>
      </c>
      <c r="BC4" s="182">
        <v>44909</v>
      </c>
      <c r="BH4" s="89" t="s">
        <v>52</v>
      </c>
    </row>
    <row r="5" spans="1:62" x14ac:dyDescent="0.25">
      <c r="A5" s="335"/>
      <c r="B5" s="86">
        <f>+AC2</f>
        <v>0</v>
      </c>
      <c r="C5" s="341" t="s">
        <v>0</v>
      </c>
      <c r="D5" s="342">
        <v>390.14</v>
      </c>
      <c r="E5" s="342">
        <v>390</v>
      </c>
      <c r="F5" s="342">
        <v>390.14</v>
      </c>
      <c r="G5" s="342">
        <v>390.14</v>
      </c>
      <c r="H5" s="342">
        <v>390.14</v>
      </c>
      <c r="I5" s="342">
        <v>390.14</v>
      </c>
      <c r="J5" s="342">
        <v>390.14</v>
      </c>
      <c r="K5" s="342">
        <v>390.14</v>
      </c>
      <c r="L5" s="342">
        <v>390.14</v>
      </c>
      <c r="M5" s="343">
        <f t="shared" ref="M5:M9" si="2">+L5/J5-1</f>
        <v>0</v>
      </c>
      <c r="N5" s="310"/>
      <c r="O5" s="310"/>
      <c r="P5" s="310"/>
      <c r="Q5" s="337"/>
      <c r="R5" s="310"/>
      <c r="S5" s="318"/>
      <c r="T5" s="318"/>
      <c r="U5" s="310"/>
      <c r="V5" s="310"/>
      <c r="W5" s="310"/>
      <c r="X5" s="319"/>
      <c r="Y5" s="310"/>
      <c r="Z5" s="310"/>
      <c r="AA5" s="310"/>
      <c r="AB5" s="319"/>
      <c r="AC5" s="310"/>
      <c r="AD5" s="310"/>
      <c r="AE5" s="310"/>
      <c r="AF5" s="319"/>
      <c r="AG5" s="310"/>
      <c r="AH5" s="310"/>
      <c r="AI5" s="310"/>
      <c r="AJ5" s="310"/>
      <c r="BB5" s="180"/>
      <c r="BC5" s="180"/>
    </row>
    <row r="6" spans="1:62" x14ac:dyDescent="0.25">
      <c r="A6" s="335"/>
      <c r="B6" s="87">
        <f>+Y2</f>
        <v>0</v>
      </c>
      <c r="C6" s="344" t="s">
        <v>1</v>
      </c>
      <c r="D6" s="345">
        <v>720.68</v>
      </c>
      <c r="E6" s="345">
        <v>730</v>
      </c>
      <c r="F6" s="345">
        <v>785.39</v>
      </c>
      <c r="G6" s="346">
        <v>785.33</v>
      </c>
      <c r="H6" s="345">
        <v>801.7</v>
      </c>
      <c r="I6" s="345">
        <v>801.7</v>
      </c>
      <c r="J6" s="345">
        <v>546.87</v>
      </c>
      <c r="K6" s="345">
        <v>529.09</v>
      </c>
      <c r="L6" s="345">
        <v>791.22</v>
      </c>
      <c r="M6" s="347">
        <f>+L6/K6-1</f>
        <v>0.49543555916762738</v>
      </c>
      <c r="N6" s="310"/>
      <c r="O6" s="310"/>
      <c r="P6" s="310"/>
      <c r="Q6" s="337"/>
      <c r="R6" s="310"/>
      <c r="S6" s="318"/>
      <c r="T6" s="318"/>
      <c r="U6" s="310"/>
      <c r="V6" s="310"/>
      <c r="W6" s="310"/>
      <c r="X6" s="319"/>
      <c r="Y6" s="310"/>
      <c r="Z6" s="310"/>
      <c r="AA6" s="310"/>
      <c r="AB6" s="319"/>
      <c r="AC6" s="310"/>
      <c r="AD6" s="310"/>
      <c r="AE6" s="310"/>
      <c r="AF6" s="319"/>
      <c r="AG6" s="310"/>
      <c r="AH6" s="310"/>
      <c r="AI6" s="310"/>
      <c r="AJ6" s="310"/>
      <c r="BB6" s="180"/>
      <c r="BC6" s="180"/>
    </row>
    <row r="7" spans="1:62" x14ac:dyDescent="0.25">
      <c r="A7" s="335"/>
      <c r="B7" s="88">
        <f>+U2</f>
        <v>0</v>
      </c>
      <c r="C7" s="344" t="s">
        <v>34</v>
      </c>
      <c r="D7" s="345"/>
      <c r="E7" s="345"/>
      <c r="F7" s="345"/>
      <c r="G7" s="346"/>
      <c r="H7" s="345"/>
      <c r="I7" s="345"/>
      <c r="J7" s="345">
        <v>186.84</v>
      </c>
      <c r="K7" s="345">
        <v>156.44</v>
      </c>
      <c r="L7" s="345">
        <v>233.96</v>
      </c>
      <c r="M7" s="347">
        <f>+L7/K7-1</f>
        <v>0.49552544106366669</v>
      </c>
      <c r="N7" s="310"/>
      <c r="O7" s="310"/>
      <c r="P7" s="310"/>
      <c r="Q7" s="337"/>
      <c r="R7" s="310"/>
      <c r="S7" s="318"/>
      <c r="T7" s="318"/>
      <c r="U7" s="310"/>
      <c r="V7" s="310"/>
      <c r="W7" s="310"/>
      <c r="X7" s="319"/>
      <c r="Y7" s="310"/>
      <c r="Z7" s="310"/>
      <c r="AA7" s="310"/>
      <c r="AB7" s="319"/>
      <c r="AC7" s="310"/>
      <c r="AD7" s="310"/>
      <c r="AE7" s="310"/>
      <c r="AF7" s="319"/>
      <c r="AG7" s="310"/>
      <c r="AH7" s="310"/>
      <c r="AI7" s="310"/>
      <c r="AJ7" s="310"/>
      <c r="BB7" s="180"/>
      <c r="BC7" s="183" t="s">
        <v>50</v>
      </c>
    </row>
    <row r="8" spans="1:62" x14ac:dyDescent="0.25">
      <c r="A8" s="335"/>
      <c r="B8" s="64"/>
      <c r="C8" s="83" t="s">
        <v>2</v>
      </c>
      <c r="D8" s="84">
        <v>-390.14</v>
      </c>
      <c r="E8" s="84">
        <v>-390.14</v>
      </c>
      <c r="F8" s="84">
        <v>-390.14</v>
      </c>
      <c r="G8" s="84">
        <v>-390.14</v>
      </c>
      <c r="H8" s="84">
        <v>-390.14</v>
      </c>
      <c r="I8" s="84">
        <v>-390.14</v>
      </c>
      <c r="J8" s="84">
        <v>-390.14</v>
      </c>
      <c r="K8" s="84">
        <v>-390.14</v>
      </c>
      <c r="L8" s="84">
        <v>-390.14</v>
      </c>
      <c r="M8" s="325">
        <f t="shared" si="2"/>
        <v>0</v>
      </c>
      <c r="N8" s="310"/>
      <c r="O8" s="310"/>
      <c r="P8" s="310"/>
      <c r="Q8" s="337"/>
      <c r="R8" s="310"/>
      <c r="S8" s="318"/>
      <c r="T8" s="318"/>
      <c r="U8" s="310"/>
      <c r="V8" s="310"/>
      <c r="W8" s="311"/>
      <c r="X8" s="319"/>
      <c r="Y8" s="310"/>
      <c r="Z8" s="310"/>
      <c r="AA8" s="311"/>
      <c r="AB8" s="319"/>
      <c r="AC8" s="310"/>
      <c r="AD8" s="310"/>
      <c r="AE8" s="310"/>
      <c r="AF8" s="319"/>
      <c r="AG8" s="310"/>
      <c r="AH8" s="310"/>
      <c r="AI8" s="310"/>
      <c r="AJ8" s="310"/>
      <c r="BB8" s="184" t="s">
        <v>51</v>
      </c>
      <c r="BC8" s="184" t="s">
        <v>401</v>
      </c>
      <c r="BD8" s="103" t="s">
        <v>404</v>
      </c>
      <c r="BE8" s="103" t="s">
        <v>402</v>
      </c>
      <c r="BF8" s="106" t="s">
        <v>405</v>
      </c>
      <c r="BH8" s="89" t="s">
        <v>53</v>
      </c>
    </row>
    <row r="9" spans="1:62" x14ac:dyDescent="0.25">
      <c r="A9" s="335"/>
      <c r="B9" s="64"/>
      <c r="C9" s="336" t="s">
        <v>3</v>
      </c>
      <c r="D9" s="64">
        <v>133.76</v>
      </c>
      <c r="E9" s="64">
        <v>133</v>
      </c>
      <c r="F9" s="64">
        <v>133.76</v>
      </c>
      <c r="G9" s="64">
        <v>133.76</v>
      </c>
      <c r="H9" s="64">
        <v>167.2</v>
      </c>
      <c r="I9" s="64">
        <v>167.2</v>
      </c>
      <c r="J9" s="64">
        <v>167.2</v>
      </c>
      <c r="K9" s="64">
        <v>167.2</v>
      </c>
      <c r="L9" s="64">
        <v>183.92</v>
      </c>
      <c r="M9" s="348">
        <f t="shared" si="2"/>
        <v>0.10000000000000009</v>
      </c>
      <c r="N9" s="310"/>
      <c r="O9" s="310"/>
      <c r="P9" s="310"/>
      <c r="Q9" s="337"/>
      <c r="R9" s="310"/>
      <c r="S9" s="318"/>
      <c r="T9" s="318"/>
      <c r="U9" s="310"/>
      <c r="V9" s="310"/>
      <c r="W9" s="311"/>
      <c r="X9" s="319"/>
      <c r="Y9" s="310"/>
      <c r="Z9" s="310"/>
      <c r="AA9" s="311"/>
      <c r="AB9" s="319"/>
      <c r="AC9" s="310"/>
      <c r="AD9" s="310"/>
      <c r="AE9" s="310"/>
      <c r="AF9" s="319"/>
      <c r="AG9" s="310"/>
      <c r="AH9" s="310"/>
      <c r="AI9" s="310"/>
      <c r="AJ9" s="310"/>
      <c r="BB9" s="185" t="str">
        <f>_xll.BDH(BC$7,BC$8,$BC3,$BC4,"Dir=V","CDR=5D","Days=A","Dts=S")</f>
        <v>#N/A Connection</v>
      </c>
      <c r="BC9" s="186"/>
      <c r="BE9" s="105">
        <v>0.12</v>
      </c>
      <c r="BF9" s="111">
        <f>+(BC9+BE9)/2+0.37</f>
        <v>0.43</v>
      </c>
      <c r="BH9" s="89" t="s">
        <v>54</v>
      </c>
    </row>
    <row r="10" spans="1:62" ht="13.8" x14ac:dyDescent="0.25">
      <c r="A10" s="335"/>
      <c r="B10" s="64">
        <f>+AVERAGE(D10:J10)</f>
        <v>913.46428571428567</v>
      </c>
      <c r="C10" s="349" t="s">
        <v>4</v>
      </c>
      <c r="D10" s="350">
        <f t="shared" ref="D10:L10" si="3">SUM(D5:D9)</f>
        <v>854.43999999999994</v>
      </c>
      <c r="E10" s="350">
        <f t="shared" si="3"/>
        <v>862.86</v>
      </c>
      <c r="F10" s="350">
        <f t="shared" si="3"/>
        <v>919.15</v>
      </c>
      <c r="G10" s="350">
        <f t="shared" si="3"/>
        <v>919.09</v>
      </c>
      <c r="H10" s="350">
        <f t="shared" si="3"/>
        <v>968.90000000000009</v>
      </c>
      <c r="I10" s="350">
        <f t="shared" si="3"/>
        <v>968.90000000000009</v>
      </c>
      <c r="J10" s="350">
        <f t="shared" si="3"/>
        <v>900.90999999999985</v>
      </c>
      <c r="K10" s="350">
        <f t="shared" si="3"/>
        <v>852.73</v>
      </c>
      <c r="L10" s="350">
        <f t="shared" si="3"/>
        <v>1209.1000000000004</v>
      </c>
      <c r="M10" s="348">
        <f>+L10/J10-1</f>
        <v>0.34208744491680698</v>
      </c>
      <c r="N10" s="310"/>
      <c r="O10" s="310"/>
      <c r="P10" s="310"/>
      <c r="Q10" s="337"/>
      <c r="R10" s="310"/>
      <c r="S10" s="318"/>
      <c r="T10" s="318"/>
      <c r="U10" s="310"/>
      <c r="V10" s="310"/>
      <c r="W10" s="311"/>
      <c r="X10" s="320"/>
      <c r="Y10" s="310"/>
      <c r="Z10" s="310"/>
      <c r="AA10" s="311"/>
      <c r="AB10" s="320"/>
      <c r="AC10" s="310"/>
      <c r="AD10" s="310"/>
      <c r="AE10" s="310"/>
      <c r="AF10" s="319"/>
      <c r="AG10" s="310"/>
      <c r="AH10" s="310"/>
      <c r="AI10" s="310"/>
      <c r="AJ10" s="310"/>
      <c r="BB10" s="185"/>
      <c r="BC10" s="186"/>
      <c r="BD10" s="189">
        <v>42128</v>
      </c>
      <c r="BE10" s="190">
        <v>0.127</v>
      </c>
    </row>
    <row r="11" spans="1:62" ht="39.6" x14ac:dyDescent="0.25">
      <c r="A11" s="335"/>
      <c r="B11" s="310"/>
      <c r="C11" s="336"/>
      <c r="D11" s="64"/>
      <c r="E11" s="64"/>
      <c r="F11" s="64"/>
      <c r="G11" s="64"/>
      <c r="H11" s="64"/>
      <c r="I11" s="64"/>
      <c r="J11" s="64"/>
      <c r="K11" s="64"/>
      <c r="L11" s="64"/>
      <c r="M11" s="348"/>
      <c r="N11" s="310"/>
      <c r="O11" s="310"/>
      <c r="P11" s="310"/>
      <c r="Q11" s="337"/>
      <c r="R11" s="310"/>
      <c r="S11" s="318"/>
      <c r="T11" s="318"/>
      <c r="U11" s="310"/>
      <c r="V11" s="321"/>
      <c r="W11" s="310"/>
      <c r="X11" s="310"/>
      <c r="Y11" s="310"/>
      <c r="Z11" s="321"/>
      <c r="AA11" s="310"/>
      <c r="AB11" s="310"/>
      <c r="AC11" s="310"/>
      <c r="AD11" s="321"/>
      <c r="AE11" s="310"/>
      <c r="AF11" s="320"/>
      <c r="AG11" s="322"/>
      <c r="AH11" s="311"/>
      <c r="AI11" s="322"/>
      <c r="AJ11" s="32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  <c r="BB11" s="185"/>
      <c r="BC11" s="186"/>
      <c r="BD11" s="189">
        <v>42129</v>
      </c>
      <c r="BE11" s="190">
        <v>0.13500000000000001</v>
      </c>
      <c r="BI11" s="92"/>
      <c r="BJ11" s="97" t="s">
        <v>55</v>
      </c>
    </row>
    <row r="12" spans="1:62" ht="26.4" x14ac:dyDescent="0.25">
      <c r="A12" s="335"/>
      <c r="B12" s="310"/>
      <c r="C12" s="336" t="s">
        <v>5</v>
      </c>
      <c r="D12" s="64">
        <v>177.38</v>
      </c>
      <c r="E12" s="64">
        <v>177.38</v>
      </c>
      <c r="F12" s="64">
        <v>177.38</v>
      </c>
      <c r="G12" s="64">
        <v>91.85</v>
      </c>
      <c r="H12" s="64">
        <v>94.17</v>
      </c>
      <c r="I12" s="64">
        <v>95.65</v>
      </c>
      <c r="J12" s="64">
        <v>95.65</v>
      </c>
      <c r="K12" s="64">
        <v>104.29</v>
      </c>
      <c r="L12" s="64">
        <v>96.48</v>
      </c>
      <c r="M12" s="348"/>
      <c r="N12" s="310"/>
      <c r="O12" s="310"/>
      <c r="P12" s="310"/>
      <c r="Q12" s="337"/>
      <c r="R12" s="310"/>
      <c r="S12" s="318"/>
      <c r="T12" s="318"/>
      <c r="U12" s="310"/>
      <c r="V12" s="310"/>
      <c r="W12" s="311"/>
      <c r="X12" s="320"/>
      <c r="Y12" s="310"/>
      <c r="Z12" s="310"/>
      <c r="AA12" s="310"/>
      <c r="AB12" s="319"/>
      <c r="AC12" s="310"/>
      <c r="AD12" s="310"/>
      <c r="AE12" s="310"/>
      <c r="AF12" s="319"/>
      <c r="AG12" s="310"/>
      <c r="AH12" s="311"/>
      <c r="AI12" s="310"/>
      <c r="AJ12" s="310"/>
      <c r="BB12" s="185"/>
      <c r="BC12" s="186"/>
      <c r="BD12" s="189">
        <v>42130</v>
      </c>
      <c r="BE12" s="190">
        <v>0.14699999999999999</v>
      </c>
      <c r="BI12" s="93" t="s">
        <v>53</v>
      </c>
      <c r="BJ12" s="97" t="s">
        <v>56</v>
      </c>
    </row>
    <row r="13" spans="1:62" ht="14.4" thickBot="1" x14ac:dyDescent="0.3">
      <c r="A13" s="335"/>
      <c r="B13" s="310"/>
      <c r="C13" s="336" t="s">
        <v>6</v>
      </c>
      <c r="D13" s="64">
        <v>20.239999999999998</v>
      </c>
      <c r="E13" s="64">
        <v>20.239999999999998</v>
      </c>
      <c r="F13" s="64">
        <v>20.46</v>
      </c>
      <c r="G13" s="64">
        <v>20.65</v>
      </c>
      <c r="H13" s="64">
        <v>21.08</v>
      </c>
      <c r="I13" s="64">
        <v>21.51</v>
      </c>
      <c r="J13" s="64">
        <v>21.84</v>
      </c>
      <c r="K13" s="64">
        <v>22.14</v>
      </c>
      <c r="L13" s="64">
        <v>22.75</v>
      </c>
      <c r="M13" s="348"/>
      <c r="N13" s="310"/>
      <c r="O13" s="310"/>
      <c r="P13" s="310"/>
      <c r="Q13" s="337"/>
      <c r="R13" s="310"/>
      <c r="S13" s="310"/>
      <c r="T13" s="318"/>
      <c r="U13" s="310"/>
      <c r="V13" s="310"/>
      <c r="W13" s="311"/>
      <c r="X13" s="320"/>
      <c r="Y13" s="310"/>
      <c r="Z13" s="310"/>
      <c r="AA13" s="310"/>
      <c r="AB13" s="319"/>
      <c r="AC13" s="310"/>
      <c r="AD13" s="310"/>
      <c r="AE13" s="310"/>
      <c r="AF13" s="319"/>
      <c r="AG13" s="310"/>
      <c r="AH13" s="311"/>
      <c r="AI13" s="310"/>
      <c r="AJ13" s="310"/>
      <c r="BB13" s="185"/>
      <c r="BC13" s="186"/>
      <c r="BD13" s="189">
        <v>42131</v>
      </c>
      <c r="BE13" s="190">
        <v>0.16200000000000001</v>
      </c>
      <c r="BI13" s="93" t="s">
        <v>54</v>
      </c>
      <c r="BJ13" s="90"/>
    </row>
    <row r="14" spans="1:62" ht="13.8" x14ac:dyDescent="0.25">
      <c r="A14" s="335"/>
      <c r="B14" s="310"/>
      <c r="C14" s="336" t="s">
        <v>7</v>
      </c>
      <c r="D14" s="64">
        <v>60.56</v>
      </c>
      <c r="E14" s="64">
        <v>60.56</v>
      </c>
      <c r="F14" s="64">
        <v>70.459999999999994</v>
      </c>
      <c r="G14" s="64">
        <v>70.41</v>
      </c>
      <c r="H14" s="64">
        <v>71.819999999999993</v>
      </c>
      <c r="I14" s="64">
        <v>71.819999999999993</v>
      </c>
      <c r="J14" s="64">
        <v>84.5</v>
      </c>
      <c r="K14" s="64">
        <v>92.95</v>
      </c>
      <c r="L14" s="64">
        <v>107.03</v>
      </c>
      <c r="M14" s="348"/>
      <c r="N14" s="310"/>
      <c r="O14" s="310"/>
      <c r="P14" s="310"/>
      <c r="Q14" s="337"/>
      <c r="R14" s="310"/>
      <c r="S14" s="207"/>
      <c r="T14" s="208" t="s">
        <v>429</v>
      </c>
      <c r="U14" s="209" t="s">
        <v>435</v>
      </c>
      <c r="V14" s="210"/>
      <c r="W14" s="310"/>
      <c r="X14" s="319"/>
      <c r="Y14" s="310"/>
      <c r="Z14" s="310"/>
      <c r="AA14" s="310"/>
      <c r="AB14" s="319"/>
      <c r="AC14" s="310"/>
      <c r="AD14" s="310"/>
      <c r="AE14" s="310"/>
      <c r="AF14" s="319"/>
      <c r="AG14" s="310"/>
      <c r="AH14" s="311"/>
      <c r="AI14" s="310"/>
      <c r="AJ14" s="310"/>
      <c r="BB14" s="185"/>
      <c r="BC14" s="186"/>
      <c r="BD14" s="189">
        <v>42132</v>
      </c>
      <c r="BE14" s="190">
        <v>0.17399999999999999</v>
      </c>
      <c r="BH14" s="388"/>
      <c r="BI14" s="388"/>
      <c r="BJ14" s="388"/>
    </row>
    <row r="15" spans="1:62" ht="13.8" x14ac:dyDescent="0.25">
      <c r="A15" s="335"/>
      <c r="B15" s="310"/>
      <c r="C15" s="336" t="s">
        <v>8</v>
      </c>
      <c r="D15" s="64">
        <v>18.3</v>
      </c>
      <c r="E15" s="64">
        <v>18.489999999999998</v>
      </c>
      <c r="F15" s="64">
        <v>19.79</v>
      </c>
      <c r="G15" s="64">
        <v>19.79</v>
      </c>
      <c r="H15" s="64">
        <v>20.81</v>
      </c>
      <c r="I15" s="64">
        <v>20.81</v>
      </c>
      <c r="J15" s="64">
        <v>19.71</v>
      </c>
      <c r="K15" s="64">
        <v>18.91</v>
      </c>
      <c r="L15" s="64">
        <v>26.32</v>
      </c>
      <c r="M15" s="348"/>
      <c r="N15" s="310"/>
      <c r="O15" s="310"/>
      <c r="P15" s="310"/>
      <c r="Q15" s="337"/>
      <c r="R15" s="310"/>
      <c r="S15" s="211"/>
      <c r="T15" s="212" t="s">
        <v>427</v>
      </c>
      <c r="U15" s="212">
        <v>11415</v>
      </c>
      <c r="V15" s="213" t="s">
        <v>428</v>
      </c>
      <c r="W15" s="310"/>
      <c r="X15" s="319"/>
      <c r="Y15" s="310"/>
      <c r="Z15" s="310"/>
      <c r="AA15" s="310"/>
      <c r="AB15" s="319"/>
      <c r="AC15" s="310"/>
      <c r="AD15" s="310"/>
      <c r="AE15" s="310"/>
      <c r="AF15" s="319"/>
      <c r="AG15" s="310"/>
      <c r="AH15" s="311"/>
      <c r="AI15" s="310"/>
      <c r="AJ15" s="310"/>
      <c r="BB15" s="187"/>
      <c r="BC15" s="180"/>
      <c r="BD15" s="191">
        <v>42135</v>
      </c>
      <c r="BE15" s="192">
        <v>0.187</v>
      </c>
      <c r="BH15" s="94">
        <v>42095</v>
      </c>
      <c r="BI15" s="95">
        <v>0.16400000000000001</v>
      </c>
      <c r="BJ15" s="96">
        <v>8.65</v>
      </c>
    </row>
    <row r="16" spans="1:62" ht="13.8" x14ac:dyDescent="0.25">
      <c r="A16" s="335"/>
      <c r="B16" s="310"/>
      <c r="C16" s="336" t="s">
        <v>9</v>
      </c>
      <c r="D16" s="64">
        <v>4.42</v>
      </c>
      <c r="E16" s="64">
        <v>4.42</v>
      </c>
      <c r="F16" s="64">
        <v>4.46</v>
      </c>
      <c r="G16" s="64">
        <v>4.5</v>
      </c>
      <c r="H16" s="64">
        <v>4.5999999999999996</v>
      </c>
      <c r="I16" s="64">
        <v>4.6900000000000004</v>
      </c>
      <c r="J16" s="64">
        <v>4.76</v>
      </c>
      <c r="K16" s="64">
        <v>4.84</v>
      </c>
      <c r="L16" s="64">
        <v>4.97</v>
      </c>
      <c r="M16" s="348"/>
      <c r="N16" s="310"/>
      <c r="O16" s="310"/>
      <c r="P16" s="310"/>
      <c r="Q16" s="337"/>
      <c r="R16" s="310"/>
      <c r="S16" s="211"/>
      <c r="T16" s="214" t="s">
        <v>432</v>
      </c>
      <c r="U16" s="214"/>
      <c r="V16" s="215"/>
      <c r="W16" s="310"/>
      <c r="X16" s="319"/>
      <c r="Y16" s="310"/>
      <c r="Z16" s="310"/>
      <c r="AA16" s="310"/>
      <c r="AB16" s="319"/>
      <c r="AC16" s="310"/>
      <c r="AD16" s="310"/>
      <c r="AE16" s="310"/>
      <c r="AF16" s="319"/>
      <c r="AG16" s="310"/>
      <c r="AH16" s="311"/>
      <c r="AI16" s="310"/>
      <c r="AJ16" s="310"/>
      <c r="BB16" s="187"/>
      <c r="BC16" s="180"/>
      <c r="BD16" s="191">
        <v>42136</v>
      </c>
      <c r="BE16" s="192">
        <v>0.20399999999999999</v>
      </c>
      <c r="BH16" s="94">
        <v>42096</v>
      </c>
      <c r="BI16" s="95">
        <v>0.159</v>
      </c>
      <c r="BJ16" s="96">
        <v>8.65</v>
      </c>
    </row>
    <row r="17" spans="1:62" ht="13.8" x14ac:dyDescent="0.25">
      <c r="A17" s="335"/>
      <c r="B17" s="310"/>
      <c r="C17" s="336" t="s">
        <v>10</v>
      </c>
      <c r="D17" s="64">
        <v>12.1</v>
      </c>
      <c r="E17" s="64">
        <v>12.24</v>
      </c>
      <c r="F17" s="64">
        <v>12.31</v>
      </c>
      <c r="G17" s="64">
        <v>12.56</v>
      </c>
      <c r="H17" s="64">
        <v>12.83</v>
      </c>
      <c r="I17" s="64">
        <v>13.02</v>
      </c>
      <c r="J17" s="64">
        <v>13.24</v>
      </c>
      <c r="K17" s="64">
        <v>13.63</v>
      </c>
      <c r="L17" s="64">
        <v>14.9</v>
      </c>
      <c r="M17" s="348"/>
      <c r="N17" s="310"/>
      <c r="O17" s="310"/>
      <c r="P17" s="310"/>
      <c r="Q17" s="337"/>
      <c r="R17" s="310"/>
      <c r="S17" s="216" t="s">
        <v>431</v>
      </c>
      <c r="T17" s="217">
        <v>3750</v>
      </c>
      <c r="U17" s="218">
        <f>+T17/U15</f>
        <v>0.32851511169513797</v>
      </c>
      <c r="V17" s="215" t="s">
        <v>433</v>
      </c>
      <c r="W17" s="310"/>
      <c r="X17" s="319"/>
      <c r="Y17" s="310"/>
      <c r="Z17" s="310"/>
      <c r="AA17" s="310"/>
      <c r="AB17" s="319"/>
      <c r="AC17" s="310"/>
      <c r="AD17" s="310"/>
      <c r="AE17" s="310"/>
      <c r="AF17" s="319"/>
      <c r="AG17" s="310"/>
      <c r="AH17" s="311"/>
      <c r="AI17" s="310"/>
      <c r="AJ17" s="310"/>
      <c r="BB17" s="187"/>
      <c r="BC17" s="180"/>
      <c r="BD17" s="191">
        <v>42137</v>
      </c>
      <c r="BE17" s="192">
        <v>0.221</v>
      </c>
      <c r="BH17" s="94">
        <v>42097</v>
      </c>
      <c r="BI17" s="95">
        <v>0.156</v>
      </c>
      <c r="BJ17" s="96">
        <v>8.65</v>
      </c>
    </row>
    <row r="18" spans="1:62" ht="13.8" x14ac:dyDescent="0.25">
      <c r="A18" s="335"/>
      <c r="B18" s="310"/>
      <c r="C18" s="336" t="s">
        <v>11</v>
      </c>
      <c r="D18" s="64">
        <v>6.88</v>
      </c>
      <c r="E18" s="64">
        <v>6.88</v>
      </c>
      <c r="F18" s="64">
        <v>6.88</v>
      </c>
      <c r="G18" s="64">
        <v>6.88</v>
      </c>
      <c r="H18" s="64">
        <v>6.88</v>
      </c>
      <c r="I18" s="64">
        <v>6.88</v>
      </c>
      <c r="J18" s="64">
        <v>6.88</v>
      </c>
      <c r="K18" s="64">
        <v>6.88</v>
      </c>
      <c r="L18" s="64">
        <v>6.88</v>
      </c>
      <c r="M18" s="348"/>
      <c r="N18" s="310"/>
      <c r="O18" s="310"/>
      <c r="P18" s="310"/>
      <c r="Q18" s="337"/>
      <c r="R18" s="310"/>
      <c r="S18" s="216" t="s">
        <v>430</v>
      </c>
      <c r="T18" s="217">
        <v>29140</v>
      </c>
      <c r="U18" s="218">
        <f>+T18/U15</f>
        <v>2.5527814279456855</v>
      </c>
      <c r="V18" s="215" t="s">
        <v>433</v>
      </c>
      <c r="W18" s="310"/>
      <c r="X18" s="319"/>
      <c r="Y18" s="310"/>
      <c r="Z18" s="310"/>
      <c r="AA18" s="310"/>
      <c r="AB18" s="319"/>
      <c r="AC18" s="310"/>
      <c r="AD18" s="310"/>
      <c r="AE18" s="310"/>
      <c r="AF18" s="319"/>
      <c r="AG18" s="310"/>
      <c r="AH18" s="311"/>
      <c r="AI18" s="310"/>
      <c r="AJ18" s="310"/>
      <c r="BB18" s="187"/>
      <c r="BC18" s="180"/>
      <c r="BD18" s="191"/>
      <c r="BE18" s="193">
        <f>+BE17</f>
        <v>0.221</v>
      </c>
      <c r="BH18" s="94">
        <v>42101</v>
      </c>
      <c r="BI18" s="95">
        <v>0.153</v>
      </c>
      <c r="BJ18" s="96">
        <v>8.64</v>
      </c>
    </row>
    <row r="19" spans="1:62" ht="13.8" x14ac:dyDescent="0.25">
      <c r="A19" s="335"/>
      <c r="B19" s="310"/>
      <c r="C19" s="336" t="s">
        <v>12</v>
      </c>
      <c r="D19" s="351">
        <f>SUM(D12:D18)</f>
        <v>299.88000000000005</v>
      </c>
      <c r="E19" s="351">
        <f>SUM(E12:E18)</f>
        <v>300.21000000000004</v>
      </c>
      <c r="F19" s="351">
        <f>SUM(F12:F18)</f>
        <v>311.74</v>
      </c>
      <c r="G19" s="351">
        <f>SUM(G12:G18)</f>
        <v>226.64</v>
      </c>
      <c r="H19" s="351">
        <f>SUM(H12:H18)</f>
        <v>232.19</v>
      </c>
      <c r="I19" s="351">
        <f t="shared" ref="I19:L19" si="4">SUM(I12:I18)</f>
        <v>234.38000000000002</v>
      </c>
      <c r="J19" s="351">
        <f t="shared" si="4"/>
        <v>246.58</v>
      </c>
      <c r="K19" s="351">
        <f t="shared" si="4"/>
        <v>263.64</v>
      </c>
      <c r="L19" s="351">
        <f t="shared" si="4"/>
        <v>279.33</v>
      </c>
      <c r="M19" s="348">
        <f t="shared" ref="M19" si="5">+L19/J19-1</f>
        <v>0.13281693568010366</v>
      </c>
      <c r="N19" s="310"/>
      <c r="O19" s="310"/>
      <c r="P19" s="310"/>
      <c r="Q19" s="337"/>
      <c r="R19" s="310"/>
      <c r="S19" s="216" t="s">
        <v>426</v>
      </c>
      <c r="T19" s="214"/>
      <c r="U19" s="219">
        <f>+-(U18-V19)</f>
        <v>-1.2777814279456856</v>
      </c>
      <c r="V19" s="220">
        <v>1.2749999999999999</v>
      </c>
      <c r="W19" s="310"/>
      <c r="X19" s="319"/>
      <c r="Y19" s="310"/>
      <c r="Z19" s="310"/>
      <c r="AA19" s="310"/>
      <c r="AB19" s="319"/>
      <c r="AC19" s="310"/>
      <c r="AD19" s="310"/>
      <c r="AE19" s="310"/>
      <c r="AF19" s="319"/>
      <c r="AG19" s="310"/>
      <c r="AH19" s="311"/>
      <c r="AI19" s="310"/>
      <c r="AJ19" s="310"/>
      <c r="BB19" s="187"/>
      <c r="BC19" s="180"/>
      <c r="BD19" s="191">
        <v>42139</v>
      </c>
      <c r="BE19" s="192">
        <v>0.23799999999999999</v>
      </c>
      <c r="BH19" s="94">
        <v>42102</v>
      </c>
      <c r="BI19" s="95">
        <v>0.152</v>
      </c>
      <c r="BJ19" s="96">
        <v>8.6300000000000008</v>
      </c>
    </row>
    <row r="20" spans="1:62" ht="14.4" thickBot="1" x14ac:dyDescent="0.3">
      <c r="A20" s="335"/>
      <c r="B20" s="310"/>
      <c r="C20" s="336"/>
      <c r="D20" s="64"/>
      <c r="E20" s="64"/>
      <c r="F20" s="64"/>
      <c r="G20" s="64"/>
      <c r="H20" s="64"/>
      <c r="I20" s="64"/>
      <c r="J20" s="64"/>
      <c r="K20" s="64"/>
      <c r="L20" s="64"/>
      <c r="M20" s="348"/>
      <c r="N20" s="310"/>
      <c r="O20" s="310"/>
      <c r="P20" s="310"/>
      <c r="Q20" s="337"/>
      <c r="R20" s="310"/>
      <c r="S20" s="221"/>
      <c r="T20" s="222" t="s">
        <v>425</v>
      </c>
      <c r="U20" s="223">
        <f>SUM(U17:U19)</f>
        <v>1.6035151116951378</v>
      </c>
      <c r="V20" s="224" t="s">
        <v>433</v>
      </c>
      <c r="W20" s="311"/>
      <c r="X20" s="320"/>
      <c r="Y20" s="323"/>
      <c r="Z20" s="323"/>
      <c r="AA20" s="311"/>
      <c r="AB20" s="320"/>
      <c r="AC20" s="323"/>
      <c r="AD20" s="323"/>
      <c r="AE20" s="311"/>
      <c r="AF20" s="320"/>
      <c r="AG20" s="310"/>
      <c r="AH20" s="311"/>
      <c r="AI20" s="310"/>
      <c r="AJ20" s="310"/>
      <c r="BB20" s="187"/>
      <c r="BC20" s="180"/>
      <c r="BD20" s="191">
        <v>42142</v>
      </c>
      <c r="BE20" s="192">
        <v>0.25600000000000001</v>
      </c>
      <c r="BH20" s="94">
        <v>42103</v>
      </c>
      <c r="BI20" s="95">
        <v>0.153</v>
      </c>
      <c r="BJ20" s="96">
        <v>8.6300000000000008</v>
      </c>
    </row>
    <row r="21" spans="1:62" ht="13.8" x14ac:dyDescent="0.25">
      <c r="A21" s="335"/>
      <c r="B21" s="310"/>
      <c r="C21" s="352" t="s">
        <v>13</v>
      </c>
      <c r="D21" s="11">
        <f t="shared" ref="D21:L21" si="6">+D19+D10</f>
        <v>1154.32</v>
      </c>
      <c r="E21" s="11">
        <f t="shared" si="6"/>
        <v>1163.0700000000002</v>
      </c>
      <c r="F21" s="11">
        <f t="shared" si="6"/>
        <v>1230.8899999999999</v>
      </c>
      <c r="G21" s="11">
        <f t="shared" si="6"/>
        <v>1145.73</v>
      </c>
      <c r="H21" s="11">
        <f t="shared" si="6"/>
        <v>1201.0900000000001</v>
      </c>
      <c r="I21" s="11">
        <f t="shared" si="6"/>
        <v>1203.2800000000002</v>
      </c>
      <c r="J21" s="11">
        <f t="shared" si="6"/>
        <v>1147.4899999999998</v>
      </c>
      <c r="K21" s="11">
        <f t="shared" si="6"/>
        <v>1116.3699999999999</v>
      </c>
      <c r="L21" s="11">
        <f t="shared" si="6"/>
        <v>1488.4300000000003</v>
      </c>
      <c r="M21" s="326">
        <f>+L21/K21-1</f>
        <v>0.33327660184347518</v>
      </c>
      <c r="N21" s="310"/>
      <c r="O21" s="310"/>
      <c r="P21" s="310"/>
      <c r="Q21" s="337"/>
      <c r="R21" s="310"/>
      <c r="S21" s="310"/>
      <c r="T21" s="318"/>
      <c r="U21" s="323"/>
      <c r="V21" s="321"/>
      <c r="W21" s="311"/>
      <c r="X21" s="320"/>
      <c r="Y21" s="323"/>
      <c r="Z21" s="321"/>
      <c r="AA21" s="311"/>
      <c r="AB21" s="320"/>
      <c r="AC21" s="323"/>
      <c r="AD21" s="321"/>
      <c r="AE21" s="311"/>
      <c r="AF21" s="320"/>
      <c r="AG21" s="322"/>
      <c r="AH21" s="311"/>
      <c r="AI21" s="322"/>
      <c r="AJ21" s="322"/>
      <c r="AK21" s="312"/>
      <c r="AL21" s="312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BB21" s="187"/>
      <c r="BC21" s="180"/>
      <c r="BD21" s="191">
        <v>42143</v>
      </c>
      <c r="BE21" s="192">
        <v>0.27200000000000002</v>
      </c>
      <c r="BH21" s="94">
        <v>42104</v>
      </c>
      <c r="BI21" s="95">
        <v>0.152</v>
      </c>
      <c r="BJ21" s="96">
        <v>8.6300000000000008</v>
      </c>
    </row>
    <row r="22" spans="1:62" ht="13.8" x14ac:dyDescent="0.25">
      <c r="A22" s="335"/>
      <c r="B22" s="310"/>
      <c r="C22" s="353">
        <f>SUM(D22:E22)</f>
        <v>23191.4</v>
      </c>
      <c r="D22" s="205">
        <f>+D21*8</f>
        <v>9234.56</v>
      </c>
      <c r="E22" s="205">
        <f t="shared" ref="E22:J22" si="7">+E21*12</f>
        <v>13956.840000000002</v>
      </c>
      <c r="F22" s="205">
        <f t="shared" si="7"/>
        <v>14770.679999999998</v>
      </c>
      <c r="G22" s="205">
        <f t="shared" si="7"/>
        <v>13748.76</v>
      </c>
      <c r="H22" s="205">
        <f t="shared" si="7"/>
        <v>14413.080000000002</v>
      </c>
      <c r="I22" s="205">
        <f t="shared" si="7"/>
        <v>14439.360000000002</v>
      </c>
      <c r="J22" s="205">
        <f t="shared" si="7"/>
        <v>13769.879999999997</v>
      </c>
      <c r="K22" s="64"/>
      <c r="L22" s="64"/>
      <c r="M22" s="354">
        <f>+L21-K21</f>
        <v>372.0600000000004</v>
      </c>
      <c r="N22" s="310"/>
      <c r="O22" s="310"/>
      <c r="P22" s="310"/>
      <c r="Q22" s="337"/>
      <c r="R22" s="310"/>
      <c r="S22" s="310"/>
      <c r="T22" s="318"/>
      <c r="U22" s="310"/>
      <c r="V22" s="310"/>
      <c r="W22" s="310"/>
      <c r="X22" s="319"/>
      <c r="Y22" s="310"/>
      <c r="Z22" s="310"/>
      <c r="AA22" s="310"/>
      <c r="AB22" s="319"/>
      <c r="AC22" s="310"/>
      <c r="AD22" s="310"/>
      <c r="AE22" s="310"/>
      <c r="AF22" s="319"/>
      <c r="AG22" s="310"/>
      <c r="AH22" s="310"/>
      <c r="AI22" s="310"/>
      <c r="AJ22" s="310"/>
      <c r="BB22" s="187"/>
      <c r="BC22" s="180"/>
      <c r="BD22" s="191">
        <v>42144</v>
      </c>
      <c r="BE22" s="192">
        <v>0.28699999999999998</v>
      </c>
      <c r="BH22" s="94">
        <v>42107</v>
      </c>
      <c r="BI22" s="95">
        <v>0.15</v>
      </c>
      <c r="BJ22" s="96">
        <v>8.6199999999999992</v>
      </c>
    </row>
    <row r="23" spans="1:62" ht="14.4" thickBot="1" x14ac:dyDescent="0.3">
      <c r="A23" s="355"/>
      <c r="B23" s="356"/>
      <c r="C23" s="357">
        <f>+C22/2</f>
        <v>11595.7</v>
      </c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356"/>
      <c r="O23" s="356"/>
      <c r="P23" s="356"/>
      <c r="Q23" s="358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9"/>
      <c r="AC23" s="310"/>
      <c r="AD23" s="310"/>
      <c r="AE23" s="310"/>
      <c r="AF23" s="319"/>
      <c r="AG23" s="310"/>
      <c r="AH23" s="310"/>
      <c r="AI23" s="310"/>
      <c r="AJ23" s="310"/>
      <c r="BB23" s="187"/>
      <c r="BC23" s="180"/>
      <c r="BD23" s="191">
        <v>42145</v>
      </c>
      <c r="BE23" s="192">
        <v>0.30499999999999999</v>
      </c>
      <c r="BH23" s="94">
        <v>42108</v>
      </c>
      <c r="BI23" s="95">
        <v>0.14699999999999999</v>
      </c>
      <c r="BJ23" s="96">
        <v>8.6199999999999992</v>
      </c>
    </row>
    <row r="24" spans="1:62" ht="13.8" x14ac:dyDescent="0.25">
      <c r="A24" s="303"/>
      <c r="B24" s="303"/>
      <c r="C24" s="304"/>
      <c r="D24" s="306"/>
      <c r="E24" s="307"/>
      <c r="F24" s="303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19"/>
      <c r="Y24" s="310"/>
      <c r="Z24" s="310"/>
      <c r="AA24" s="310"/>
      <c r="AB24" s="319"/>
      <c r="AC24" s="310"/>
      <c r="AD24" s="310"/>
      <c r="AE24" s="310"/>
      <c r="AF24" s="319"/>
      <c r="AG24" s="310"/>
      <c r="AH24" s="310"/>
      <c r="AI24" s="310"/>
      <c r="AJ24" s="310"/>
      <c r="BB24" s="187"/>
      <c r="BC24" s="180"/>
      <c r="BD24" s="191">
        <v>42146</v>
      </c>
      <c r="BE24" s="192">
        <v>0.31900000000000001</v>
      </c>
      <c r="BH24" s="94">
        <v>42109</v>
      </c>
      <c r="BI24" s="95">
        <v>0.14299999999999999</v>
      </c>
      <c r="BJ24" s="96">
        <v>8.61</v>
      </c>
    </row>
    <row r="25" spans="1:62" ht="14.4" thickBot="1" x14ac:dyDescent="0.3">
      <c r="A25" s="303"/>
      <c r="B25" s="303"/>
      <c r="C25" s="304"/>
      <c r="D25" s="305"/>
      <c r="E25" s="307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19"/>
      <c r="Y25" s="310"/>
      <c r="Z25" s="310"/>
      <c r="AA25" s="310"/>
      <c r="AB25" s="319"/>
      <c r="AC25" s="310"/>
      <c r="AD25" s="310"/>
      <c r="AE25" s="310"/>
      <c r="AF25" s="319"/>
      <c r="AG25" s="310"/>
      <c r="AH25" s="310"/>
      <c r="AI25" s="310"/>
      <c r="AJ25" s="310"/>
      <c r="BB25" s="187"/>
      <c r="BC25" s="180"/>
      <c r="BD25" s="191"/>
      <c r="BE25" s="193">
        <f>+BE24</f>
        <v>0.31900000000000001</v>
      </c>
      <c r="BH25" s="94">
        <v>42110</v>
      </c>
      <c r="BI25" s="95">
        <v>0.13900000000000001</v>
      </c>
      <c r="BJ25" s="96">
        <v>8.61</v>
      </c>
    </row>
    <row r="26" spans="1:62" ht="21" x14ac:dyDescent="0.4">
      <c r="A26" s="229" t="s">
        <v>28</v>
      </c>
      <c r="B26" s="225"/>
      <c r="C26" s="225"/>
      <c r="D26" s="225"/>
      <c r="E26" s="225"/>
      <c r="F26" s="272" t="s">
        <v>443</v>
      </c>
      <c r="G26" s="273" t="s">
        <v>451</v>
      </c>
      <c r="H26" s="248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319"/>
      <c r="Y26" s="310"/>
      <c r="Z26" s="310"/>
      <c r="AA26" s="310"/>
      <c r="AB26" s="319"/>
      <c r="AC26" s="310"/>
      <c r="AD26" s="310"/>
      <c r="AE26" s="310"/>
      <c r="AF26" s="319"/>
      <c r="AG26" s="310"/>
      <c r="AH26" s="310"/>
      <c r="AI26" s="310"/>
      <c r="AJ26" s="310"/>
      <c r="BB26" s="187"/>
      <c r="BC26" s="180"/>
      <c r="BD26" s="191">
        <v>42150</v>
      </c>
      <c r="BE26" s="192">
        <v>0.33200000000000002</v>
      </c>
      <c r="BH26" s="94">
        <v>42111</v>
      </c>
      <c r="BI26" s="95">
        <v>0.13600000000000001</v>
      </c>
      <c r="BJ26" s="96">
        <v>8.61</v>
      </c>
    </row>
    <row r="27" spans="1:62" ht="14.4" thickBot="1" x14ac:dyDescent="0.3">
      <c r="B27" s="225"/>
      <c r="C27" s="225"/>
      <c r="D27" s="225"/>
      <c r="E27" s="225"/>
      <c r="F27" s="203">
        <v>592.36</v>
      </c>
      <c r="G27" s="249">
        <v>98.63</v>
      </c>
      <c r="H27" s="271" t="s">
        <v>438</v>
      </c>
      <c r="I27" s="225"/>
      <c r="J27" s="225"/>
      <c r="K27" s="225"/>
      <c r="L27" s="225"/>
      <c r="M27" s="225"/>
      <c r="N27" s="225"/>
      <c r="O27" s="225"/>
      <c r="P27" s="225" t="s">
        <v>465</v>
      </c>
      <c r="Q27" s="225"/>
      <c r="R27" s="225"/>
      <c r="S27" s="225"/>
      <c r="T27" s="225"/>
      <c r="U27" s="225"/>
      <c r="V27" s="225"/>
      <c r="W27" s="225"/>
      <c r="X27" s="303"/>
      <c r="Y27" s="303"/>
      <c r="Z27" s="303"/>
      <c r="AA27" s="303"/>
      <c r="AB27" s="303"/>
      <c r="AC27" s="303"/>
      <c r="AD27" s="303"/>
      <c r="AG27" s="310"/>
      <c r="AH27" s="310"/>
      <c r="AI27" s="310"/>
      <c r="AJ27" s="310"/>
      <c r="AK27" s="310"/>
      <c r="AL27" s="310"/>
      <c r="AM27" s="310"/>
      <c r="AN27" s="310"/>
      <c r="AO27" s="310"/>
      <c r="BB27" s="187"/>
      <c r="BC27" s="180"/>
      <c r="BD27" s="191">
        <v>42151</v>
      </c>
      <c r="BE27" s="192">
        <v>0.34399999999999997</v>
      </c>
      <c r="BH27" s="94">
        <v>42114</v>
      </c>
      <c r="BI27" s="95">
        <v>0.13300000000000001</v>
      </c>
      <c r="BJ27" s="96">
        <v>8.6</v>
      </c>
    </row>
    <row r="28" spans="1:62" ht="14.4" thickBot="1" x14ac:dyDescent="0.3">
      <c r="B28" s="225"/>
      <c r="C28" s="225"/>
      <c r="D28" s="225"/>
      <c r="E28" s="225"/>
      <c r="F28" s="203">
        <v>766</v>
      </c>
      <c r="G28" s="64">
        <v>129</v>
      </c>
      <c r="H28" s="271" t="s">
        <v>439</v>
      </c>
      <c r="I28" s="225"/>
      <c r="J28" s="225"/>
      <c r="K28" s="225"/>
      <c r="L28" s="116"/>
      <c r="M28" s="179">
        <v>44225</v>
      </c>
      <c r="N28" s="117"/>
      <c r="O28" s="118"/>
      <c r="P28" s="297" t="s">
        <v>457</v>
      </c>
      <c r="Q28" s="225"/>
      <c r="R28" s="225"/>
      <c r="S28" s="226"/>
      <c r="T28" s="381" t="s">
        <v>522</v>
      </c>
      <c r="U28" s="381" t="s">
        <v>402</v>
      </c>
      <c r="V28" s="225"/>
      <c r="W28" s="225"/>
      <c r="X28" s="303"/>
      <c r="Y28" s="303"/>
      <c r="Z28" s="303"/>
      <c r="AA28" s="303"/>
      <c r="AB28" s="303"/>
      <c r="AC28" s="303"/>
      <c r="AD28" s="303"/>
      <c r="AG28" s="310"/>
      <c r="AH28" s="310"/>
      <c r="AI28" s="310"/>
      <c r="AJ28" s="310"/>
      <c r="AK28" s="310"/>
      <c r="AL28" s="310"/>
      <c r="AM28" s="310"/>
      <c r="AN28" s="310"/>
      <c r="AO28" s="310"/>
      <c r="BB28" s="187"/>
      <c r="BC28" s="180"/>
      <c r="BD28" s="191">
        <v>42152</v>
      </c>
      <c r="BE28" s="192">
        <v>0.35599999999999998</v>
      </c>
      <c r="BH28" s="94">
        <v>42115</v>
      </c>
      <c r="BI28" s="95">
        <v>0.129</v>
      </c>
      <c r="BJ28" s="96">
        <v>8.6</v>
      </c>
    </row>
    <row r="29" spans="1:62" ht="14.4" thickBot="1" x14ac:dyDescent="0.3">
      <c r="B29" s="225"/>
      <c r="C29" s="225"/>
      <c r="D29" s="225"/>
      <c r="E29" s="225"/>
      <c r="F29" s="203">
        <v>470.19</v>
      </c>
      <c r="G29" s="64">
        <v>73.69</v>
      </c>
      <c r="H29" s="271" t="s">
        <v>440</v>
      </c>
      <c r="I29" s="225"/>
      <c r="J29" s="225"/>
      <c r="K29" s="225"/>
      <c r="L29" s="131"/>
      <c r="M29" s="132" t="s">
        <v>43</v>
      </c>
      <c r="N29" s="132"/>
      <c r="O29" s="133"/>
      <c r="P29" s="297" t="s">
        <v>458</v>
      </c>
      <c r="Q29" s="225"/>
      <c r="R29" s="225"/>
      <c r="S29" s="384">
        <v>42489</v>
      </c>
      <c r="T29" s="381" t="e">
        <f>+VLOOKUP(S29,BB8:BC1997,2,FALSE)</f>
        <v>#N/A</v>
      </c>
      <c r="U29" s="381" t="e">
        <f>+VLOOKUP(S29,BB8:BE1997,4,FALSE)</f>
        <v>#N/A</v>
      </c>
      <c r="V29" s="225"/>
      <c r="W29" s="225"/>
      <c r="X29" s="303"/>
      <c r="Y29" s="165">
        <f>+Y30/6</f>
        <v>1725.1933333333334</v>
      </c>
      <c r="Z29" s="303"/>
      <c r="AA29" s="303"/>
      <c r="AB29" s="107">
        <v>1.2500000000000001E-2</v>
      </c>
      <c r="AC29" s="108"/>
      <c r="AD29" s="108"/>
      <c r="AG29" s="310"/>
      <c r="AH29" s="313"/>
      <c r="AI29" s="313"/>
      <c r="AJ29" s="310"/>
      <c r="AK29" s="310"/>
      <c r="AL29" s="310"/>
      <c r="AM29" s="310"/>
      <c r="AN29" s="310"/>
      <c r="AO29" s="310"/>
      <c r="BB29" s="187"/>
      <c r="BC29" s="180"/>
      <c r="BD29" s="191">
        <v>42153</v>
      </c>
      <c r="BE29" s="192">
        <v>0.36699999999999999</v>
      </c>
      <c r="BH29" s="94">
        <v>42116</v>
      </c>
      <c r="BI29" s="95">
        <v>0.125</v>
      </c>
      <c r="BJ29" s="96">
        <v>8.59</v>
      </c>
    </row>
    <row r="30" spans="1:62" ht="14.4" thickBot="1" x14ac:dyDescent="0.3">
      <c r="B30" s="225"/>
      <c r="C30" s="225"/>
      <c r="D30" s="225"/>
      <c r="E30" s="225"/>
      <c r="F30" s="203">
        <v>37.44</v>
      </c>
      <c r="G30" s="249">
        <v>6.24</v>
      </c>
      <c r="H30" s="271" t="s">
        <v>441</v>
      </c>
      <c r="I30" s="274">
        <f>+L36</f>
        <v>0.94713656387665224</v>
      </c>
      <c r="J30" s="225"/>
      <c r="K30" s="225"/>
      <c r="L30" s="119"/>
      <c r="M30" s="122" t="s">
        <v>44</v>
      </c>
      <c r="N30" s="123">
        <v>344868.47</v>
      </c>
      <c r="O30" s="121"/>
      <c r="P30" s="297" t="s">
        <v>459</v>
      </c>
      <c r="Q30" s="225"/>
      <c r="R30" s="225"/>
      <c r="S30" s="383" t="s">
        <v>523</v>
      </c>
      <c r="T30" s="382" t="e">
        <f>+(T29+T29)/2+0.37</f>
        <v>#N/A</v>
      </c>
      <c r="U30" s="226"/>
      <c r="V30" s="225"/>
      <c r="W30" s="225"/>
      <c r="X30" s="371">
        <v>53851926633</v>
      </c>
      <c r="Y30" s="372">
        <v>10351.16</v>
      </c>
      <c r="Z30" s="51" t="s">
        <v>36</v>
      </c>
      <c r="AA30" s="176">
        <v>1.805E-3</v>
      </c>
      <c r="AB30" s="109" t="s">
        <v>403</v>
      </c>
      <c r="AC30" s="110"/>
      <c r="AD30" s="110"/>
      <c r="AG30" s="310"/>
      <c r="AH30" s="313"/>
      <c r="AI30" s="313"/>
      <c r="AJ30" s="310"/>
      <c r="AK30" s="310"/>
      <c r="AL30" s="310"/>
      <c r="AM30" s="310"/>
      <c r="AN30" s="310"/>
      <c r="AO30" s="310"/>
      <c r="BB30" s="187"/>
      <c r="BC30" s="180"/>
      <c r="BD30" s="191">
        <v>42156</v>
      </c>
      <c r="BE30" s="192">
        <v>0.374</v>
      </c>
      <c r="BH30" s="94">
        <v>42117</v>
      </c>
      <c r="BI30" s="95">
        <v>0.122</v>
      </c>
      <c r="BJ30" s="96">
        <v>8.59</v>
      </c>
    </row>
    <row r="31" spans="1:62" ht="15.6" x14ac:dyDescent="0.3">
      <c r="B31" s="225"/>
      <c r="C31" s="225"/>
      <c r="D31" s="288" t="s">
        <v>445</v>
      </c>
      <c r="E31" s="252"/>
      <c r="F31" s="247">
        <v>138.38</v>
      </c>
      <c r="G31" s="250">
        <v>23.27</v>
      </c>
      <c r="H31" s="271" t="s">
        <v>442</v>
      </c>
      <c r="I31" s="274">
        <f>+L36</f>
        <v>0.94713656387665224</v>
      </c>
      <c r="J31" s="225"/>
      <c r="K31" s="225"/>
      <c r="L31" s="119"/>
      <c r="M31" s="122" t="s">
        <v>45</v>
      </c>
      <c r="N31" s="123">
        <v>36480</v>
      </c>
      <c r="O31" s="121"/>
      <c r="P31" s="297" t="s">
        <v>460</v>
      </c>
      <c r="Q31" s="225"/>
      <c r="R31" s="225"/>
      <c r="S31" s="225"/>
      <c r="T31" s="225"/>
      <c r="U31" s="225"/>
      <c r="V31" s="225"/>
      <c r="W31" s="225"/>
      <c r="X31" s="303"/>
      <c r="Y31" s="303"/>
      <c r="AG31" s="310"/>
      <c r="AH31" s="313"/>
      <c r="AI31" s="310"/>
      <c r="AJ31" s="310"/>
      <c r="AK31" s="310"/>
      <c r="AL31" s="310"/>
      <c r="AM31" s="310"/>
      <c r="AN31" s="310"/>
      <c r="AO31" s="310"/>
      <c r="BB31" s="187"/>
      <c r="BC31" s="180"/>
      <c r="BD31" s="191">
        <v>42157</v>
      </c>
      <c r="BE31" s="192">
        <v>0.38200000000000001</v>
      </c>
      <c r="BH31" s="94">
        <v>42118</v>
      </c>
      <c r="BI31" s="95">
        <v>0.11899999999999999</v>
      </c>
      <c r="BJ31" s="96">
        <v>8.59</v>
      </c>
    </row>
    <row r="32" spans="1:62" ht="21.6" thickBot="1" x14ac:dyDescent="0.45">
      <c r="C32" s="225"/>
      <c r="D32" s="280">
        <v>766</v>
      </c>
      <c r="E32" s="281" t="s">
        <v>452</v>
      </c>
      <c r="F32" s="203">
        <f>SUM(F27:F31)</f>
        <v>2004.3700000000003</v>
      </c>
      <c r="G32" s="64">
        <f>SUM(G27:G31)</f>
        <v>330.83</v>
      </c>
      <c r="H32" s="204"/>
      <c r="I32" s="225"/>
      <c r="J32" s="225"/>
      <c r="K32" s="225"/>
      <c r="L32" s="169"/>
      <c r="M32" s="170" t="s">
        <v>46</v>
      </c>
      <c r="N32" s="171">
        <v>82579</v>
      </c>
      <c r="O32" s="121"/>
      <c r="P32" s="297" t="s">
        <v>461</v>
      </c>
      <c r="Q32" s="225"/>
      <c r="R32" s="225"/>
      <c r="S32" s="225"/>
      <c r="T32" s="225"/>
      <c r="U32" s="225"/>
      <c r="V32" s="225"/>
      <c r="W32" s="225"/>
      <c r="X32" s="52" t="s">
        <v>30</v>
      </c>
      <c r="Y32" s="15" t="s">
        <v>31</v>
      </c>
      <c r="Z32" s="52" t="s">
        <v>27</v>
      </c>
      <c r="AA32" s="52" t="s">
        <v>26</v>
      </c>
      <c r="AB32" s="52" t="s">
        <v>32</v>
      </c>
      <c r="AC32" s="52" t="s">
        <v>35</v>
      </c>
      <c r="AG32" s="310"/>
      <c r="AH32" s="313"/>
      <c r="AI32" s="327"/>
      <c r="AJ32" s="310"/>
      <c r="AK32" s="310"/>
      <c r="AL32" s="310"/>
      <c r="AM32" s="310"/>
      <c r="AN32" s="310"/>
      <c r="AO32" s="310"/>
      <c r="BB32" s="187"/>
      <c r="BC32" s="180"/>
      <c r="BD32" s="191">
        <v>42158</v>
      </c>
      <c r="BE32" s="192">
        <v>0.39300000000000002</v>
      </c>
      <c r="BH32" s="94">
        <v>42121</v>
      </c>
      <c r="BI32" s="95">
        <v>0.11600000000000001</v>
      </c>
      <c r="BJ32" s="96">
        <v>8.58</v>
      </c>
    </row>
    <row r="33" spans="1:62" ht="21.6" thickBot="1" x14ac:dyDescent="0.45">
      <c r="B33" s="225"/>
      <c r="C33" s="225"/>
      <c r="D33" s="359">
        <v>126.58</v>
      </c>
      <c r="E33" s="360" t="s">
        <v>444</v>
      </c>
      <c r="F33" s="244"/>
      <c r="G33" s="64"/>
      <c r="H33" s="204"/>
      <c r="I33" s="368">
        <f>+(G30+G31)*L36</f>
        <v>27.950000000000006</v>
      </c>
      <c r="J33" s="225"/>
      <c r="K33" s="225"/>
      <c r="L33" s="119"/>
      <c r="M33" s="163">
        <f>+N33-AB33</f>
        <v>-2124.5400000000373</v>
      </c>
      <c r="N33" s="168">
        <f>SUM(N30:N32)</f>
        <v>463927.47</v>
      </c>
      <c r="O33" s="121"/>
      <c r="P33" s="298" t="s">
        <v>462</v>
      </c>
      <c r="Q33" s="225"/>
      <c r="R33" s="225"/>
      <c r="S33" s="225"/>
      <c r="T33" s="225"/>
      <c r="U33" s="225"/>
      <c r="V33" s="225"/>
      <c r="W33" s="225"/>
      <c r="X33" s="26">
        <v>42856</v>
      </c>
      <c r="Y33">
        <v>0</v>
      </c>
      <c r="Z33">
        <v>9919.2099999999991</v>
      </c>
      <c r="AB33" s="112">
        <v>466052.01</v>
      </c>
      <c r="AG33" s="310"/>
      <c r="AH33" s="313"/>
      <c r="AI33" s="327"/>
      <c r="AJ33" s="310"/>
      <c r="AK33" s="327"/>
      <c r="AL33" s="310"/>
      <c r="AM33" s="310"/>
      <c r="AN33" s="310"/>
      <c r="AO33" s="310"/>
      <c r="BB33" s="187"/>
      <c r="BC33" s="180"/>
      <c r="BD33" s="191"/>
      <c r="BE33" s="193">
        <f>+BE32</f>
        <v>0.39300000000000002</v>
      </c>
      <c r="BH33" s="94">
        <v>42122</v>
      </c>
      <c r="BI33" s="95">
        <v>0.113</v>
      </c>
      <c r="BJ33" s="96">
        <v>8.58</v>
      </c>
    </row>
    <row r="34" spans="1:62" ht="21.6" thickBot="1" x14ac:dyDescent="0.45">
      <c r="B34" s="225"/>
      <c r="C34" s="225"/>
      <c r="D34" s="361">
        <f>+D33/D32</f>
        <v>0.16524804177545691</v>
      </c>
      <c r="E34" s="362" t="s">
        <v>454</v>
      </c>
      <c r="F34" s="245"/>
      <c r="G34" s="251">
        <f>+G27+G30*I30+G31*I31</f>
        <v>126.58000000000001</v>
      </c>
      <c r="H34" s="206"/>
      <c r="I34" s="368">
        <f>+I33+G27</f>
        <v>126.58</v>
      </c>
      <c r="J34" s="225"/>
      <c r="K34" s="225"/>
      <c r="L34" s="119"/>
      <c r="M34" s="120"/>
      <c r="N34" s="120"/>
      <c r="O34" s="121"/>
      <c r="P34" s="297" t="s">
        <v>463</v>
      </c>
      <c r="Q34" s="225"/>
      <c r="R34" s="225"/>
      <c r="S34" s="225"/>
      <c r="T34" s="225"/>
      <c r="U34" s="225"/>
      <c r="V34" s="225"/>
      <c r="W34" s="225"/>
      <c r="X34" s="26">
        <v>43040</v>
      </c>
      <c r="Y34" s="7">
        <f t="shared" ref="Y34:Y79" si="8">+$Y$30</f>
        <v>10351.16</v>
      </c>
      <c r="Z34" s="7">
        <f>+Y34-AA34</f>
        <v>9921.2011289966667</v>
      </c>
      <c r="AA34" s="7">
        <f t="shared" ref="AA34:AA79" si="9">+AB33*$AA$30*(X34-X33)/360</f>
        <v>429.9588710033334</v>
      </c>
      <c r="AB34" s="7">
        <f>+AB33-Z34</f>
        <v>456130.80887100333</v>
      </c>
      <c r="AG34" s="310"/>
      <c r="AH34" s="313"/>
      <c r="AI34" s="327"/>
      <c r="AJ34" s="310"/>
      <c r="AK34" s="310"/>
      <c r="AL34" s="310"/>
      <c r="AM34" s="310"/>
      <c r="AN34" s="310"/>
      <c r="AO34" s="310"/>
      <c r="BB34" s="187"/>
      <c r="BC34" s="180"/>
      <c r="BD34" s="191">
        <v>42160</v>
      </c>
      <c r="BE34" s="192">
        <v>0.40600000000000003</v>
      </c>
      <c r="BH34" s="94">
        <v>42123</v>
      </c>
      <c r="BI34" s="95">
        <v>0.114</v>
      </c>
      <c r="BJ34" s="96">
        <v>8.57</v>
      </c>
    </row>
    <row r="35" spans="1:62" ht="14.4" thickBot="1" x14ac:dyDescent="0.3">
      <c r="B35" s="225"/>
      <c r="C35" s="225"/>
      <c r="D35" s="227">
        <v>1</v>
      </c>
      <c r="E35" s="225"/>
      <c r="F35" s="225"/>
      <c r="G35" s="225"/>
      <c r="H35" s="225"/>
      <c r="I35" s="225"/>
      <c r="J35" s="225"/>
      <c r="K35" s="225"/>
      <c r="L35" s="124"/>
      <c r="M35" s="161" t="s">
        <v>420</v>
      </c>
      <c r="N35" s="162">
        <v>5776.89</v>
      </c>
      <c r="O35" s="125"/>
      <c r="P35" s="297" t="s">
        <v>464</v>
      </c>
      <c r="Q35" s="225"/>
      <c r="R35" s="225"/>
      <c r="S35" s="225"/>
      <c r="T35" s="225"/>
      <c r="U35" s="225"/>
      <c r="V35" s="225"/>
      <c r="W35" s="225"/>
      <c r="X35" s="26">
        <v>43221</v>
      </c>
      <c r="Y35" s="7">
        <f t="shared" si="8"/>
        <v>10351.16</v>
      </c>
      <c r="Z35" s="7">
        <f>+Y35-AA35</f>
        <v>9937.2149557994417</v>
      </c>
      <c r="AA35" s="7">
        <f t="shared" si="9"/>
        <v>413.9450442005587</v>
      </c>
      <c r="AB35" s="7">
        <f>+AB34-Z35</f>
        <v>446193.59391520388</v>
      </c>
      <c r="AG35" s="310"/>
      <c r="AH35" s="313"/>
      <c r="AI35" s="327"/>
      <c r="AJ35" s="310"/>
      <c r="AK35" s="310"/>
      <c r="AL35" s="310"/>
      <c r="AM35" s="310"/>
      <c r="AN35" s="310"/>
      <c r="AO35" s="310"/>
      <c r="BB35" s="187"/>
      <c r="BC35" s="180"/>
      <c r="BD35" s="191">
        <v>42163</v>
      </c>
      <c r="BE35" s="192">
        <v>0.41499999999999998</v>
      </c>
      <c r="BH35" s="94">
        <v>42124</v>
      </c>
      <c r="BI35" s="95">
        <v>0.12</v>
      </c>
      <c r="BJ35" s="96">
        <v>8.57</v>
      </c>
    </row>
    <row r="36" spans="1:62" ht="13.8" x14ac:dyDescent="0.25">
      <c r="B36" s="225"/>
      <c r="C36" s="225"/>
      <c r="D36" s="225"/>
      <c r="E36" s="225"/>
      <c r="F36" s="225"/>
      <c r="G36" s="225"/>
      <c r="H36" s="225"/>
      <c r="I36" s="225"/>
      <c r="J36" s="225"/>
      <c r="K36" s="225"/>
      <c r="L36" s="275">
        <v>0.94713656387665224</v>
      </c>
      <c r="M36" s="225"/>
      <c r="N36" s="225"/>
      <c r="O36" s="225"/>
      <c r="P36" s="225"/>
      <c r="Q36" s="225"/>
      <c r="R36" s="225"/>
      <c r="S36" s="225"/>
      <c r="T36" s="225"/>
      <c r="U36" s="225"/>
      <c r="V36" s="225"/>
      <c r="W36" s="225"/>
      <c r="X36" s="26">
        <v>43405</v>
      </c>
      <c r="Y36" s="7">
        <f t="shared" si="8"/>
        <v>10351.16</v>
      </c>
      <c r="Z36" s="7">
        <f t="shared" ref="Z36:Z79" si="10">+Y36-AA36</f>
        <v>9939.5216210802282</v>
      </c>
      <c r="AA36" s="7">
        <f t="shared" si="9"/>
        <v>411.6383789197709</v>
      </c>
      <c r="AB36" s="7">
        <f t="shared" ref="AB36:AB67" si="11">+AB35-Z36</f>
        <v>436254.07229412365</v>
      </c>
      <c r="AG36" s="310"/>
      <c r="AH36" s="313"/>
      <c r="AI36" s="327"/>
      <c r="AJ36" s="310"/>
      <c r="AK36" s="327"/>
      <c r="AL36" s="310"/>
      <c r="AM36" s="310"/>
      <c r="AN36" s="310"/>
      <c r="AO36" s="310"/>
      <c r="BB36" s="187"/>
      <c r="BC36" s="180"/>
      <c r="BD36" s="191">
        <v>42164</v>
      </c>
      <c r="BE36" s="192">
        <v>0.42399999999999999</v>
      </c>
      <c r="BH36" s="94">
        <v>42128</v>
      </c>
      <c r="BI36" s="95">
        <v>0.127</v>
      </c>
      <c r="BJ36" s="96">
        <v>8.56</v>
      </c>
    </row>
    <row r="37" spans="1:62" ht="13.8" x14ac:dyDescent="0.25">
      <c r="B37" s="225"/>
      <c r="C37" s="225"/>
      <c r="D37" s="225"/>
      <c r="E37" s="225"/>
      <c r="F37" s="225"/>
      <c r="G37" s="225"/>
      <c r="H37" s="225"/>
      <c r="I37" s="225"/>
      <c r="J37" s="225"/>
      <c r="K37" s="225"/>
      <c r="L37" s="225">
        <f>+I34-D33</f>
        <v>0</v>
      </c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6">
        <v>43586</v>
      </c>
      <c r="Y37" s="7">
        <f t="shared" si="8"/>
        <v>10351.16</v>
      </c>
      <c r="Z37" s="7">
        <f t="shared" si="10"/>
        <v>9955.2533703087447</v>
      </c>
      <c r="AA37" s="7">
        <f t="shared" si="9"/>
        <v>395.90662969125464</v>
      </c>
      <c r="AB37" s="7">
        <f t="shared" si="11"/>
        <v>426298.81892381492</v>
      </c>
      <c r="AG37" s="310"/>
      <c r="AH37" s="313"/>
      <c r="AI37" s="327"/>
      <c r="AJ37" s="310"/>
      <c r="AK37" s="310"/>
      <c r="AL37" s="310"/>
      <c r="AM37" s="310"/>
      <c r="AN37" s="310"/>
      <c r="AO37" s="310"/>
      <c r="BB37" s="187"/>
      <c r="BC37" s="180"/>
      <c r="BD37" s="191">
        <v>42165</v>
      </c>
      <c r="BE37" s="192">
        <v>0.437</v>
      </c>
      <c r="BH37" s="94">
        <v>42129</v>
      </c>
      <c r="BI37" s="95">
        <v>0.13500000000000001</v>
      </c>
      <c r="BJ37" s="96">
        <v>8.56</v>
      </c>
    </row>
    <row r="38" spans="1:62" ht="17.399999999999999" x14ac:dyDescent="0.3">
      <c r="A38" s="385">
        <v>2701941</v>
      </c>
      <c r="B38" s="266"/>
      <c r="C38" s="225"/>
      <c r="D38" s="225"/>
      <c r="E38" s="225"/>
      <c r="F38" s="225">
        <v>1</v>
      </c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6">
        <v>43770</v>
      </c>
      <c r="Y38" s="7">
        <f t="shared" si="8"/>
        <v>10351.16</v>
      </c>
      <c r="Z38" s="7">
        <f t="shared" si="10"/>
        <v>9957.8756562750623</v>
      </c>
      <c r="AA38" s="7">
        <f t="shared" si="9"/>
        <v>393.28434372493723</v>
      </c>
      <c r="AB38" s="7">
        <f t="shared" si="11"/>
        <v>416340.94326753984</v>
      </c>
      <c r="AG38" s="310"/>
      <c r="AH38" s="313"/>
      <c r="AI38" s="327"/>
      <c r="AJ38" s="310"/>
      <c r="AK38" s="310"/>
      <c r="AL38" s="310"/>
      <c r="AM38" s="310"/>
      <c r="AN38" s="310"/>
      <c r="AO38" s="310"/>
      <c r="BB38" s="187"/>
      <c r="BC38" s="180"/>
      <c r="BD38" s="191">
        <v>42166</v>
      </c>
      <c r="BE38" s="192">
        <v>0.44900000000000001</v>
      </c>
      <c r="BH38" s="94">
        <v>42130</v>
      </c>
      <c r="BI38" s="95">
        <v>0.14699999999999999</v>
      </c>
      <c r="BJ38" s="96">
        <v>8.56</v>
      </c>
    </row>
    <row r="39" spans="1:62" ht="14.4" thickBot="1" x14ac:dyDescent="0.3">
      <c r="A39" s="267">
        <f>+E41+Q40+W40</f>
        <v>2217879</v>
      </c>
      <c r="B39" s="369">
        <f>+A38-A39</f>
        <v>484062</v>
      </c>
      <c r="C39" s="370" t="s">
        <v>453</v>
      </c>
      <c r="D39" s="225"/>
      <c r="E39" s="225"/>
      <c r="F39" s="277">
        <v>1427336.39</v>
      </c>
      <c r="G39" s="277">
        <f>+F39*D34</f>
        <v>235864.54340234984</v>
      </c>
      <c r="H39" s="225"/>
      <c r="I39" s="225"/>
      <c r="J39" s="225"/>
      <c r="K39" s="227"/>
      <c r="L39" s="225"/>
      <c r="M39" s="225"/>
      <c r="N39" s="225"/>
      <c r="O39" s="227"/>
      <c r="P39" s="225"/>
      <c r="Q39" s="225"/>
      <c r="R39" s="225"/>
      <c r="S39" s="225"/>
      <c r="T39" s="225"/>
      <c r="U39" s="225"/>
      <c r="V39" s="225"/>
      <c r="X39" s="26">
        <v>43952</v>
      </c>
      <c r="Y39" s="7">
        <f t="shared" si="8"/>
        <v>10351.16</v>
      </c>
      <c r="Z39" s="7">
        <f t="shared" si="10"/>
        <v>9971.2373242421672</v>
      </c>
      <c r="AA39" s="7">
        <f t="shared" si="9"/>
        <v>379.922675757832</v>
      </c>
      <c r="AB39" s="7">
        <f t="shared" si="11"/>
        <v>406369.70594329765</v>
      </c>
      <c r="AG39" s="310"/>
      <c r="AH39" s="313"/>
      <c r="AI39" s="327"/>
      <c r="AJ39" s="310"/>
      <c r="AK39" s="327"/>
      <c r="AL39" s="310"/>
      <c r="AM39" s="310"/>
      <c r="AN39" s="310"/>
      <c r="AO39" s="310"/>
      <c r="BB39" s="187"/>
      <c r="BC39" s="180"/>
      <c r="BD39" s="191">
        <v>42167</v>
      </c>
      <c r="BE39" s="192">
        <v>0.45600000000000002</v>
      </c>
      <c r="BH39" s="94">
        <v>42131</v>
      </c>
      <c r="BI39" s="95">
        <v>0.16200000000000001</v>
      </c>
      <c r="BJ39" s="96">
        <v>8.5399999999999991</v>
      </c>
    </row>
    <row r="40" spans="1:62" ht="18" thickBot="1" x14ac:dyDescent="0.35">
      <c r="A40" s="286">
        <f>+Q42+E43+W42</f>
        <v>1608843.9712793734</v>
      </c>
      <c r="B40" s="287">
        <f>+B39*D34</f>
        <v>79990.297597911223</v>
      </c>
      <c r="C40" s="284" t="s">
        <v>455</v>
      </c>
      <c r="D40" s="225"/>
      <c r="E40" s="225"/>
      <c r="F40" s="225"/>
      <c r="G40" s="296">
        <v>44910</v>
      </c>
      <c r="H40" s="225"/>
      <c r="I40" s="225"/>
      <c r="J40" s="225"/>
      <c r="K40" s="225"/>
      <c r="L40" s="225"/>
      <c r="M40" s="225"/>
      <c r="N40" s="253">
        <f>+EDATE(A43,12*25)</f>
        <v>51257</v>
      </c>
      <c r="O40" s="285" t="s">
        <v>450</v>
      </c>
      <c r="P40" s="225"/>
      <c r="Q40" s="267">
        <v>510720</v>
      </c>
      <c r="R40" s="225"/>
      <c r="S40" s="225"/>
      <c r="T40" s="253">
        <f>+EDATE(G43,12*34)</f>
        <v>12419</v>
      </c>
      <c r="U40" s="285" t="s">
        <v>449</v>
      </c>
      <c r="V40" s="225"/>
      <c r="W40" s="267">
        <v>218880</v>
      </c>
      <c r="X40" s="172">
        <v>44136</v>
      </c>
      <c r="Y40" s="173">
        <f t="shared" si="8"/>
        <v>10351.16</v>
      </c>
      <c r="Z40" s="173">
        <f t="shared" si="10"/>
        <v>9976.2613701725331</v>
      </c>
      <c r="AA40" s="173">
        <f t="shared" si="9"/>
        <v>374.89862982746666</v>
      </c>
      <c r="AB40" s="173">
        <f t="shared" si="11"/>
        <v>396393.4445731251</v>
      </c>
      <c r="AC40" s="72"/>
      <c r="AG40" s="310"/>
      <c r="AH40" s="313"/>
      <c r="AI40" s="327"/>
      <c r="AJ40" s="310"/>
      <c r="AK40" s="310"/>
      <c r="AL40" s="310"/>
      <c r="AM40" s="310"/>
      <c r="AN40" s="310"/>
      <c r="AO40" s="310"/>
      <c r="BB40" s="187"/>
      <c r="BC40" s="180"/>
      <c r="BD40" s="191">
        <v>42170</v>
      </c>
      <c r="BE40" s="192">
        <v>0.46300000000000002</v>
      </c>
      <c r="BH40" s="94">
        <v>42132</v>
      </c>
      <c r="BI40" s="95">
        <v>0.17399999999999999</v>
      </c>
      <c r="BJ40" s="96">
        <v>8.5399999999999991</v>
      </c>
    </row>
    <row r="41" spans="1:62" ht="18" thickBot="1" x14ac:dyDescent="0.35">
      <c r="A41" s="238">
        <f>+EDATE(A43,12*35)</f>
        <v>54909</v>
      </c>
      <c r="B41" s="285" t="s">
        <v>437</v>
      </c>
      <c r="C41" s="225"/>
      <c r="D41" s="225"/>
      <c r="E41" s="267">
        <v>1488279</v>
      </c>
      <c r="F41" s="225"/>
      <c r="G41" s="292" t="s">
        <v>456</v>
      </c>
      <c r="H41" s="225"/>
      <c r="I41" s="225"/>
      <c r="J41" s="225"/>
      <c r="K41" s="225"/>
      <c r="L41" s="225"/>
      <c r="M41" s="225"/>
      <c r="N41" s="256" t="s">
        <v>31</v>
      </c>
      <c r="O41" s="52" t="s">
        <v>27</v>
      </c>
      <c r="P41" s="52" t="s">
        <v>26</v>
      </c>
      <c r="Q41" s="231" t="s">
        <v>32</v>
      </c>
      <c r="R41" s="233" t="s">
        <v>436</v>
      </c>
      <c r="S41" s="254" t="s">
        <v>444</v>
      </c>
      <c r="T41" s="256" t="s">
        <v>31</v>
      </c>
      <c r="U41" s="52" t="s">
        <v>27</v>
      </c>
      <c r="V41" s="52" t="s">
        <v>26</v>
      </c>
      <c r="W41" s="231" t="s">
        <v>32</v>
      </c>
      <c r="X41" s="26">
        <v>44317</v>
      </c>
      <c r="Y41" s="7">
        <f t="shared" si="8"/>
        <v>10351.16</v>
      </c>
      <c r="Z41" s="7">
        <f t="shared" si="10"/>
        <v>9991.4274435853804</v>
      </c>
      <c r="AA41" s="7">
        <f t="shared" si="9"/>
        <v>359.73255641461895</v>
      </c>
      <c r="AB41" s="7">
        <f t="shared" si="11"/>
        <v>386402.01712953974</v>
      </c>
      <c r="AG41" s="310"/>
      <c r="AH41" s="313"/>
      <c r="AI41" s="327"/>
      <c r="AJ41" s="310"/>
      <c r="AK41" s="310"/>
      <c r="AL41" s="310"/>
      <c r="AM41" s="310"/>
      <c r="AN41" s="310"/>
      <c r="AO41" s="310"/>
      <c r="BB41" s="187"/>
      <c r="BC41" s="180"/>
      <c r="BD41" s="191">
        <v>42171</v>
      </c>
      <c r="BE41" s="192">
        <v>0.47</v>
      </c>
      <c r="BH41" s="94">
        <v>42135</v>
      </c>
      <c r="BI41" s="95">
        <v>0.187</v>
      </c>
      <c r="BJ41" s="96">
        <v>8.5299999999999994</v>
      </c>
    </row>
    <row r="42" spans="1:62" ht="27" thickBot="1" x14ac:dyDescent="0.3">
      <c r="A42" s="373" t="s">
        <v>30</v>
      </c>
      <c r="B42" s="374" t="s">
        <v>31</v>
      </c>
      <c r="C42" s="373" t="s">
        <v>27</v>
      </c>
      <c r="D42" s="373" t="s">
        <v>26</v>
      </c>
      <c r="E42" s="375" t="s">
        <v>32</v>
      </c>
      <c r="F42" s="376" t="s">
        <v>436</v>
      </c>
      <c r="G42" s="377" t="s">
        <v>448</v>
      </c>
      <c r="H42" s="378" t="s">
        <v>402</v>
      </c>
      <c r="I42" s="379" t="s">
        <v>466</v>
      </c>
      <c r="J42" s="376" t="s">
        <v>521</v>
      </c>
      <c r="L42" s="259" t="s">
        <v>447</v>
      </c>
      <c r="M42" s="260" t="s">
        <v>446</v>
      </c>
      <c r="N42" s="63"/>
      <c r="Q42" s="257">
        <f>+Q40*$D$34</f>
        <v>84395.479895561351</v>
      </c>
      <c r="S42" s="63"/>
      <c r="W42" s="257">
        <f>+W40*$D$34</f>
        <v>36169.491383812005</v>
      </c>
      <c r="X42" s="26">
        <v>44501</v>
      </c>
      <c r="Y42" s="7">
        <f t="shared" si="8"/>
        <v>10351.16</v>
      </c>
      <c r="Z42" s="7">
        <f t="shared" si="10"/>
        <v>9994.6826724192706</v>
      </c>
      <c r="AA42" s="7">
        <f t="shared" si="9"/>
        <v>356.47732758072982</v>
      </c>
      <c r="AB42" s="7">
        <f t="shared" si="11"/>
        <v>376407.33445712045</v>
      </c>
      <c r="AG42" s="310"/>
      <c r="AH42" s="313"/>
      <c r="AI42" s="327"/>
      <c r="AJ42" s="310"/>
      <c r="AK42" s="327"/>
      <c r="AL42" s="310"/>
      <c r="AM42" s="310"/>
      <c r="AN42" s="310"/>
      <c r="AO42" s="310"/>
      <c r="BB42" s="187"/>
      <c r="BC42" s="180"/>
      <c r="BD42" s="191">
        <v>42172</v>
      </c>
      <c r="BE42" s="192">
        <v>0.47799999999999998</v>
      </c>
      <c r="BH42" s="94">
        <v>42136</v>
      </c>
      <c r="BI42" s="95">
        <v>0.20399999999999999</v>
      </c>
      <c r="BJ42" s="96">
        <v>8.5299999999999994</v>
      </c>
    </row>
    <row r="43" spans="1:62" ht="14.4" thickBot="1" x14ac:dyDescent="0.3">
      <c r="A43" s="234">
        <v>42125</v>
      </c>
      <c r="E43" s="257">
        <v>1488279</v>
      </c>
      <c r="F43" s="255" t="e">
        <f>+VLOOKUP(A43,$BB$8:$BF$1048576,5,FALSE)/100</f>
        <v>#N/A</v>
      </c>
      <c r="G43" s="363"/>
      <c r="I43" s="363"/>
      <c r="J43" s="380">
        <v>6.0800000000000003E-3</v>
      </c>
      <c r="L43" s="263">
        <f>+D6</f>
        <v>720.68</v>
      </c>
      <c r="M43" s="265">
        <f>+L43*6</f>
        <v>4324.08</v>
      </c>
      <c r="N43" s="242">
        <v>10351.16</v>
      </c>
      <c r="O43" s="7" t="e">
        <f t="shared" ref="O43:O90" si="12">+N43-P43</f>
        <v>#N/A</v>
      </c>
      <c r="P43" s="7" t="e">
        <f t="shared" ref="P43:P90" si="13">+Q42*$F$43*(A44-A43)/360</f>
        <v>#N/A</v>
      </c>
      <c r="Q43" s="7" t="e">
        <f t="shared" ref="Q43:Q90" si="14">+Q42-O43</f>
        <v>#N/A</v>
      </c>
      <c r="S43" s="63"/>
      <c r="X43" s="26">
        <v>44682</v>
      </c>
      <c r="Y43" s="7">
        <f t="shared" si="8"/>
        <v>10351.16</v>
      </c>
      <c r="Z43" s="7">
        <f t="shared" si="10"/>
        <v>10009.565116100517</v>
      </c>
      <c r="AA43" s="7">
        <f t="shared" si="9"/>
        <v>341.59488389948206</v>
      </c>
      <c r="AB43" s="7">
        <f t="shared" si="11"/>
        <v>366397.76934101991</v>
      </c>
      <c r="AC43" s="43">
        <v>319549.96999999997</v>
      </c>
      <c r="AG43" s="310"/>
      <c r="AH43" s="313"/>
      <c r="AI43" s="327"/>
      <c r="AJ43" s="310"/>
      <c r="AK43" s="310"/>
      <c r="AL43" s="310"/>
      <c r="AM43" s="310"/>
      <c r="AN43" s="310"/>
      <c r="AO43" s="310"/>
      <c r="BB43" s="187"/>
      <c r="BC43" s="180"/>
      <c r="BD43" s="191">
        <v>42173</v>
      </c>
      <c r="BE43" s="192">
        <v>0.48599999999999999</v>
      </c>
      <c r="BH43" s="94">
        <v>42137</v>
      </c>
      <c r="BI43" s="95">
        <v>0.221</v>
      </c>
      <c r="BJ43" s="96">
        <v>8.5299999999999994</v>
      </c>
    </row>
    <row r="44" spans="1:62" ht="14.4" thickBot="1" x14ac:dyDescent="0.3">
      <c r="A44" s="241">
        <f>+EDATE(A43,6)+1</f>
        <v>42310</v>
      </c>
      <c r="B44" s="242"/>
      <c r="C44" s="7"/>
      <c r="D44" s="7"/>
      <c r="E44" s="7"/>
      <c r="F44" s="255" t="e">
        <f t="shared" ref="F44:F58" si="15">+VLOOKUP(A44,$BB$8:$BF$1048576,5,FALSE)/100</f>
        <v>#N/A</v>
      </c>
      <c r="G44" s="364"/>
      <c r="I44" s="363"/>
      <c r="L44" s="264">
        <f>+E6</f>
        <v>730</v>
      </c>
      <c r="M44" s="265">
        <f>+L44*12</f>
        <v>8760</v>
      </c>
      <c r="N44" s="243">
        <f t="shared" ref="N44:N90" si="16">+$N$43</f>
        <v>10351.16</v>
      </c>
      <c r="O44" s="7" t="e">
        <f t="shared" si="12"/>
        <v>#N/A</v>
      </c>
      <c r="P44" s="7" t="e">
        <f t="shared" si="13"/>
        <v>#N/A</v>
      </c>
      <c r="Q44" s="7" t="e">
        <f t="shared" si="14"/>
        <v>#N/A</v>
      </c>
      <c r="S44" s="63"/>
      <c r="X44" s="26">
        <v>44866</v>
      </c>
      <c r="Y44" s="7">
        <f t="shared" si="8"/>
        <v>10351.16</v>
      </c>
      <c r="Z44" s="7">
        <f t="shared" si="10"/>
        <v>10013.13770235128</v>
      </c>
      <c r="AA44" s="7">
        <f t="shared" si="9"/>
        <v>338.02229764872089</v>
      </c>
      <c r="AB44" s="7">
        <f t="shared" si="11"/>
        <v>356384.63163866865</v>
      </c>
      <c r="AG44" s="310"/>
      <c r="AH44" s="313"/>
      <c r="AI44" s="327"/>
      <c r="AJ44" s="310"/>
      <c r="AK44" s="310"/>
      <c r="AL44" s="310"/>
      <c r="AM44" s="310"/>
      <c r="AN44" s="310"/>
      <c r="AO44" s="310"/>
      <c r="BB44" s="187"/>
      <c r="BC44" s="180"/>
      <c r="BD44" s="191">
        <v>42174</v>
      </c>
      <c r="BE44" s="192">
        <v>0.49399999999999999</v>
      </c>
      <c r="BH44" s="94">
        <v>42139</v>
      </c>
      <c r="BI44" s="95">
        <v>0.23799999999999999</v>
      </c>
      <c r="BJ44" s="96">
        <v>8.52</v>
      </c>
    </row>
    <row r="45" spans="1:62" ht="13.8" x14ac:dyDescent="0.25">
      <c r="A45" s="236">
        <f t="shared" ref="A45" si="17">+EDATE(A44,6)</f>
        <v>42492</v>
      </c>
      <c r="B45" s="7">
        <f>+M44/2</f>
        <v>4380</v>
      </c>
      <c r="C45" s="7" t="e">
        <f>+B45-D45</f>
        <v>#N/A</v>
      </c>
      <c r="D45" s="7" t="e">
        <f t="shared" ref="D45:D108" si="18">+E44*F44*(A45-A44)/360</f>
        <v>#N/A</v>
      </c>
      <c r="E45" s="257">
        <f>+E41*$D$35</f>
        <v>1488279</v>
      </c>
      <c r="F45" s="255" t="e">
        <f t="shared" si="15"/>
        <v>#N/A</v>
      </c>
      <c r="G45" s="363"/>
      <c r="I45" s="363"/>
      <c r="J45" s="380">
        <v>3.8149999999999998E-3</v>
      </c>
      <c r="L45" s="264"/>
      <c r="M45" s="265"/>
      <c r="N45" s="243">
        <f t="shared" si="16"/>
        <v>10351.16</v>
      </c>
      <c r="O45" s="7" t="e">
        <f t="shared" si="12"/>
        <v>#N/A</v>
      </c>
      <c r="P45" s="7" t="e">
        <f t="shared" si="13"/>
        <v>#N/A</v>
      </c>
      <c r="Q45" s="7" t="e">
        <f t="shared" si="14"/>
        <v>#N/A</v>
      </c>
      <c r="S45" s="63"/>
      <c r="X45" s="26">
        <v>45047</v>
      </c>
      <c r="Y45" s="7">
        <f t="shared" si="8"/>
        <v>10351.16</v>
      </c>
      <c r="Z45" s="7">
        <f t="shared" si="10"/>
        <v>10027.735997001357</v>
      </c>
      <c r="AA45" s="7">
        <f t="shared" si="9"/>
        <v>323.42400299864232</v>
      </c>
      <c r="AB45" s="7">
        <f t="shared" si="11"/>
        <v>346356.8956416673</v>
      </c>
      <c r="AG45" s="310"/>
      <c r="AH45" s="313"/>
      <c r="AI45" s="327"/>
      <c r="AJ45" s="310"/>
      <c r="AK45" s="327"/>
      <c r="AL45" s="310"/>
      <c r="AM45" s="310"/>
      <c r="AN45" s="310"/>
      <c r="AO45" s="310"/>
      <c r="BB45" s="187"/>
      <c r="BC45" s="180"/>
      <c r="BD45" s="191">
        <v>42177</v>
      </c>
      <c r="BE45" s="192">
        <v>0.502</v>
      </c>
      <c r="BH45" s="94">
        <v>42142</v>
      </c>
      <c r="BI45" s="95">
        <v>0.25600000000000001</v>
      </c>
      <c r="BJ45" s="96">
        <v>8.51</v>
      </c>
    </row>
    <row r="46" spans="1:62" ht="13.8" x14ac:dyDescent="0.25">
      <c r="A46" s="237">
        <f>+EDATE(A45,6)</f>
        <v>42676</v>
      </c>
      <c r="B46" s="7">
        <f>+B45</f>
        <v>4380</v>
      </c>
      <c r="C46" s="7" t="e">
        <f t="shared" ref="C46:C109" si="19">+B46-D46</f>
        <v>#N/A</v>
      </c>
      <c r="D46" s="7" t="e">
        <f t="shared" si="18"/>
        <v>#N/A</v>
      </c>
      <c r="E46" s="7" t="e">
        <f t="shared" ref="E46:E109" si="20">+E45-C46</f>
        <v>#N/A</v>
      </c>
      <c r="F46" s="255" t="e">
        <f t="shared" si="15"/>
        <v>#N/A</v>
      </c>
      <c r="G46" s="363"/>
      <c r="I46" s="363"/>
      <c r="L46" s="264">
        <f>+F6</f>
        <v>785.39</v>
      </c>
      <c r="M46" s="265">
        <f>+L46*12</f>
        <v>9424.68</v>
      </c>
      <c r="N46" s="243">
        <f t="shared" si="16"/>
        <v>10351.16</v>
      </c>
      <c r="O46" s="7" t="e">
        <f t="shared" si="12"/>
        <v>#N/A</v>
      </c>
      <c r="P46" s="7" t="e">
        <f t="shared" si="13"/>
        <v>#N/A</v>
      </c>
      <c r="Q46" s="7" t="e">
        <f t="shared" si="14"/>
        <v>#N/A</v>
      </c>
      <c r="S46" s="63"/>
      <c r="X46" s="26">
        <v>45231</v>
      </c>
      <c r="Y46" s="7">
        <f t="shared" si="8"/>
        <v>10351.16</v>
      </c>
      <c r="Z46" s="7">
        <f t="shared" si="10"/>
        <v>10031.626521720804</v>
      </c>
      <c r="AA46" s="7">
        <f t="shared" si="9"/>
        <v>319.53347827919595</v>
      </c>
      <c r="AB46" s="7">
        <f t="shared" si="11"/>
        <v>336325.26911994652</v>
      </c>
      <c r="AG46" s="310"/>
      <c r="AH46" s="313"/>
      <c r="AI46" s="327"/>
      <c r="AJ46" s="310"/>
      <c r="AK46" s="310"/>
      <c r="AL46" s="310"/>
      <c r="AM46" s="310"/>
      <c r="AN46" s="310"/>
      <c r="AO46" s="310"/>
      <c r="BB46" s="187"/>
      <c r="BC46" s="180"/>
      <c r="BD46" s="191">
        <v>42178</v>
      </c>
      <c r="BE46" s="192">
        <v>0.51200000000000001</v>
      </c>
      <c r="BH46" s="94">
        <v>42143</v>
      </c>
      <c r="BI46" s="95">
        <v>0.27200000000000002</v>
      </c>
      <c r="BJ46" s="96">
        <v>8.51</v>
      </c>
    </row>
    <row r="47" spans="1:62" ht="13.8" x14ac:dyDescent="0.25">
      <c r="A47" s="234">
        <v>42856</v>
      </c>
      <c r="B47" s="7">
        <f>+M46/2</f>
        <v>4712.34</v>
      </c>
      <c r="C47" s="7" t="e">
        <f t="shared" si="19"/>
        <v>#N/A</v>
      </c>
      <c r="D47" s="7" t="e">
        <f t="shared" si="18"/>
        <v>#N/A</v>
      </c>
      <c r="E47" s="7" t="e">
        <f t="shared" si="20"/>
        <v>#N/A</v>
      </c>
      <c r="F47" s="255" t="e">
        <f t="shared" si="15"/>
        <v>#N/A</v>
      </c>
      <c r="G47" s="363"/>
      <c r="I47" s="363"/>
      <c r="J47" s="380">
        <v>1.805E-3</v>
      </c>
      <c r="L47" s="264"/>
      <c r="M47" s="265"/>
      <c r="N47" s="243">
        <f t="shared" si="16"/>
        <v>10351.16</v>
      </c>
      <c r="O47" s="7" t="e">
        <f t="shared" si="12"/>
        <v>#N/A</v>
      </c>
      <c r="P47" s="7" t="e">
        <f t="shared" si="13"/>
        <v>#N/A</v>
      </c>
      <c r="Q47" s="7" t="e">
        <f t="shared" si="14"/>
        <v>#N/A</v>
      </c>
      <c r="S47" s="63"/>
      <c r="X47" s="26">
        <v>45413</v>
      </c>
      <c r="Y47" s="7">
        <f t="shared" si="8"/>
        <v>10351.16</v>
      </c>
      <c r="Z47" s="7">
        <f t="shared" si="10"/>
        <v>10044.253849559462</v>
      </c>
      <c r="AA47" s="7">
        <f t="shared" si="9"/>
        <v>306.90615044053789</v>
      </c>
      <c r="AB47" s="7">
        <f t="shared" si="11"/>
        <v>326281.01527038706</v>
      </c>
      <c r="AG47" s="310"/>
      <c r="AH47" s="313"/>
      <c r="AI47" s="327"/>
      <c r="AJ47" s="310"/>
      <c r="AK47" s="310"/>
      <c r="AL47" s="310"/>
      <c r="AM47" s="310"/>
      <c r="AN47" s="310"/>
      <c r="AO47" s="310"/>
      <c r="BB47" s="187"/>
      <c r="BC47" s="180"/>
      <c r="BD47" s="191">
        <v>42179</v>
      </c>
      <c r="BE47" s="192">
        <v>0.53700000000000003</v>
      </c>
      <c r="BH47" s="94">
        <v>42144</v>
      </c>
      <c r="BI47" s="95">
        <v>0.28699999999999998</v>
      </c>
      <c r="BJ47" s="96">
        <v>8.51</v>
      </c>
    </row>
    <row r="48" spans="1:62" ht="13.8" x14ac:dyDescent="0.25">
      <c r="A48" s="235">
        <v>43040</v>
      </c>
      <c r="B48" s="7">
        <f>+B47</f>
        <v>4712.34</v>
      </c>
      <c r="C48" s="7" t="e">
        <f t="shared" si="19"/>
        <v>#N/A</v>
      </c>
      <c r="D48" s="7" t="e">
        <f t="shared" si="18"/>
        <v>#N/A</v>
      </c>
      <c r="E48" s="7" t="e">
        <f t="shared" si="20"/>
        <v>#N/A</v>
      </c>
      <c r="F48" s="255" t="e">
        <f t="shared" si="15"/>
        <v>#N/A</v>
      </c>
      <c r="G48" s="363"/>
      <c r="I48" s="363"/>
      <c r="L48" s="264">
        <f>+G6</f>
        <v>785.33</v>
      </c>
      <c r="M48" s="265">
        <f>+L48*12</f>
        <v>9423.9600000000009</v>
      </c>
      <c r="N48" s="243">
        <f t="shared" si="16"/>
        <v>10351.16</v>
      </c>
      <c r="O48" s="7" t="e">
        <f t="shared" si="12"/>
        <v>#N/A</v>
      </c>
      <c r="P48" s="7" t="e">
        <f t="shared" si="13"/>
        <v>#N/A</v>
      </c>
      <c r="Q48" s="7" t="e">
        <f t="shared" si="14"/>
        <v>#N/A</v>
      </c>
      <c r="S48" s="63"/>
      <c r="X48" s="26">
        <v>45597</v>
      </c>
      <c r="Y48" s="7">
        <f t="shared" si="8"/>
        <v>10351.16</v>
      </c>
      <c r="Z48" s="7">
        <f t="shared" si="10"/>
        <v>10050.147636689997</v>
      </c>
      <c r="AA48" s="7">
        <f t="shared" si="9"/>
        <v>301.01236331000263</v>
      </c>
      <c r="AB48" s="7">
        <f t="shared" si="11"/>
        <v>316230.86763369705</v>
      </c>
      <c r="AG48" s="310"/>
      <c r="AH48" s="328"/>
      <c r="AI48" s="329"/>
      <c r="AJ48" s="310"/>
      <c r="AK48" s="327"/>
      <c r="AL48" s="310"/>
      <c r="AM48" s="310"/>
      <c r="AN48" s="310"/>
      <c r="AO48" s="310"/>
      <c r="BB48" s="187"/>
      <c r="BC48" s="180"/>
      <c r="BD48" s="191">
        <v>42180</v>
      </c>
      <c r="BE48" s="192">
        <v>0.54800000000000004</v>
      </c>
      <c r="BH48" s="94">
        <v>42145</v>
      </c>
      <c r="BI48" s="95">
        <v>0.30499999999999999</v>
      </c>
      <c r="BJ48" s="96">
        <v>8.51</v>
      </c>
    </row>
    <row r="49" spans="1:62" ht="13.8" x14ac:dyDescent="0.25">
      <c r="A49" s="236">
        <v>43221</v>
      </c>
      <c r="B49" s="7">
        <f>+M48/2</f>
        <v>4711.9800000000005</v>
      </c>
      <c r="C49" s="7" t="e">
        <f t="shared" si="19"/>
        <v>#N/A</v>
      </c>
      <c r="D49" s="7" t="e">
        <f t="shared" si="18"/>
        <v>#N/A</v>
      </c>
      <c r="E49" s="7" t="e">
        <f t="shared" si="20"/>
        <v>#N/A</v>
      </c>
      <c r="F49" s="255" t="e">
        <f t="shared" si="15"/>
        <v>#N/A</v>
      </c>
      <c r="G49" s="363"/>
      <c r="I49" s="363"/>
      <c r="J49" s="380">
        <v>3.2299999999999998E-3</v>
      </c>
      <c r="L49" s="264"/>
      <c r="M49" s="265"/>
      <c r="N49" s="243">
        <f t="shared" si="16"/>
        <v>10351.16</v>
      </c>
      <c r="O49" s="7" t="e">
        <f t="shared" si="12"/>
        <v>#N/A</v>
      </c>
      <c r="P49" s="7" t="e">
        <f t="shared" si="13"/>
        <v>#N/A</v>
      </c>
      <c r="Q49" s="7" t="e">
        <f t="shared" si="14"/>
        <v>#N/A</v>
      </c>
      <c r="S49" s="63"/>
      <c r="X49" s="41">
        <v>45778</v>
      </c>
      <c r="Y49" s="42">
        <f t="shared" si="8"/>
        <v>10351.16</v>
      </c>
      <c r="Z49" s="42">
        <f t="shared" si="10"/>
        <v>10064.176095527037</v>
      </c>
      <c r="AA49" s="42">
        <f t="shared" si="9"/>
        <v>286.98390447296384</v>
      </c>
      <c r="AB49" s="42">
        <f t="shared" si="11"/>
        <v>306166.69153817004</v>
      </c>
      <c r="AG49" s="310"/>
      <c r="AH49" s="313"/>
      <c r="AI49" s="327"/>
      <c r="AJ49" s="310"/>
      <c r="AK49" s="310"/>
      <c r="AL49" s="310"/>
      <c r="AM49" s="310"/>
      <c r="AN49" s="310"/>
      <c r="AO49" s="310"/>
      <c r="BB49" s="187"/>
      <c r="BC49" s="180"/>
      <c r="BD49" s="191">
        <v>42181</v>
      </c>
      <c r="BE49" s="192">
        <v>0.56000000000000005</v>
      </c>
      <c r="BH49" s="94">
        <v>42146</v>
      </c>
      <c r="BI49" s="95">
        <v>0.31900000000000001</v>
      </c>
      <c r="BJ49" s="96">
        <v>8.5</v>
      </c>
    </row>
    <row r="50" spans="1:62" ht="13.8" x14ac:dyDescent="0.25">
      <c r="A50" s="237">
        <v>43405</v>
      </c>
      <c r="B50" s="7">
        <f>+B49</f>
        <v>4711.9800000000005</v>
      </c>
      <c r="C50" s="7" t="e">
        <f t="shared" si="19"/>
        <v>#N/A</v>
      </c>
      <c r="D50" s="7" t="e">
        <f t="shared" si="18"/>
        <v>#N/A</v>
      </c>
      <c r="E50" s="7" t="e">
        <f t="shared" si="20"/>
        <v>#N/A</v>
      </c>
      <c r="F50" s="255" t="e">
        <f t="shared" si="15"/>
        <v>#N/A</v>
      </c>
      <c r="G50" s="363"/>
      <c r="I50" s="363"/>
      <c r="L50" s="264">
        <f>+H6</f>
        <v>801.7</v>
      </c>
      <c r="M50" s="265">
        <f>+L50*12</f>
        <v>9620.4000000000015</v>
      </c>
      <c r="N50" s="243">
        <f t="shared" si="16"/>
        <v>10351.16</v>
      </c>
      <c r="O50" s="7" t="e">
        <f t="shared" si="12"/>
        <v>#N/A</v>
      </c>
      <c r="P50" s="7" t="e">
        <f t="shared" si="13"/>
        <v>#N/A</v>
      </c>
      <c r="Q50" s="7" t="e">
        <f t="shared" si="14"/>
        <v>#N/A</v>
      </c>
      <c r="S50" s="63"/>
      <c r="X50" s="26">
        <v>45962</v>
      </c>
      <c r="Y50" s="7">
        <f t="shared" si="8"/>
        <v>10351.16</v>
      </c>
      <c r="Z50" s="7">
        <f t="shared" si="10"/>
        <v>10068.704217795397</v>
      </c>
      <c r="AA50" s="7">
        <f t="shared" si="9"/>
        <v>282.45578220460288</v>
      </c>
      <c r="AB50" s="7">
        <f t="shared" si="11"/>
        <v>296097.98732037464</v>
      </c>
      <c r="AG50" s="310"/>
      <c r="AH50" s="313"/>
      <c r="AI50" s="327"/>
      <c r="AJ50" s="310"/>
      <c r="AK50" s="310"/>
      <c r="AL50" s="310"/>
      <c r="AM50" s="310"/>
      <c r="AN50" s="310"/>
      <c r="AO50" s="310"/>
      <c r="BB50" s="187"/>
      <c r="BC50" s="180"/>
      <c r="BD50" s="191">
        <v>42184</v>
      </c>
      <c r="BE50" s="192">
        <v>0.57199999999999995</v>
      </c>
      <c r="BH50" s="94">
        <v>42150</v>
      </c>
      <c r="BI50" s="95">
        <v>0.33200000000000002</v>
      </c>
      <c r="BJ50" s="96">
        <v>8.49</v>
      </c>
    </row>
    <row r="51" spans="1:62" ht="13.8" x14ac:dyDescent="0.25">
      <c r="A51" s="234">
        <v>43586</v>
      </c>
      <c r="B51" s="7">
        <f>+M50/2</f>
        <v>4810.2000000000007</v>
      </c>
      <c r="C51" s="7" t="e">
        <f t="shared" si="19"/>
        <v>#N/A</v>
      </c>
      <c r="D51" s="7" t="e">
        <f t="shared" si="18"/>
        <v>#N/A</v>
      </c>
      <c r="E51" s="7" t="e">
        <f t="shared" si="20"/>
        <v>#N/A</v>
      </c>
      <c r="F51" s="255" t="e">
        <f t="shared" si="15"/>
        <v>#N/A</v>
      </c>
      <c r="G51" s="363"/>
      <c r="I51" s="363"/>
      <c r="J51" s="380">
        <v>4.4200000000000003E-3</v>
      </c>
      <c r="L51" s="264"/>
      <c r="M51" s="265"/>
      <c r="N51" s="243">
        <f t="shared" si="16"/>
        <v>10351.16</v>
      </c>
      <c r="O51" s="7" t="e">
        <f t="shared" si="12"/>
        <v>#N/A</v>
      </c>
      <c r="P51" s="7" t="e">
        <f t="shared" si="13"/>
        <v>#N/A</v>
      </c>
      <c r="Q51" s="7" t="e">
        <f t="shared" si="14"/>
        <v>#N/A</v>
      </c>
      <c r="S51" s="63"/>
      <c r="X51" s="26">
        <v>46143</v>
      </c>
      <c r="Y51" s="7">
        <f t="shared" si="8"/>
        <v>10351.16</v>
      </c>
      <c r="Z51" s="7">
        <f t="shared" si="10"/>
        <v>10082.446964034714</v>
      </c>
      <c r="AA51" s="7">
        <f t="shared" si="9"/>
        <v>268.71303596528611</v>
      </c>
      <c r="AB51" s="7">
        <f t="shared" si="11"/>
        <v>286015.54035633994</v>
      </c>
      <c r="AG51" s="310"/>
      <c r="AH51" s="313"/>
      <c r="AI51" s="327"/>
      <c r="AJ51" s="310"/>
      <c r="AK51" s="327"/>
      <c r="AL51" s="310"/>
      <c r="AM51" s="310"/>
      <c r="AN51" s="310"/>
      <c r="AO51" s="310"/>
      <c r="BB51" s="187"/>
      <c r="BC51" s="180"/>
      <c r="BD51" s="191">
        <v>42185</v>
      </c>
      <c r="BE51" s="192">
        <v>0.58299999999999996</v>
      </c>
      <c r="BH51" s="94">
        <v>42151</v>
      </c>
      <c r="BI51" s="95">
        <v>0.34399999999999997</v>
      </c>
      <c r="BJ51" s="96">
        <v>8.49</v>
      </c>
    </row>
    <row r="52" spans="1:62" ht="13.8" x14ac:dyDescent="0.25">
      <c r="A52" s="235">
        <v>43770</v>
      </c>
      <c r="B52" s="7">
        <f>+B51</f>
        <v>4810.2000000000007</v>
      </c>
      <c r="C52" s="7" t="e">
        <f t="shared" si="19"/>
        <v>#N/A</v>
      </c>
      <c r="D52" s="7" t="e">
        <f t="shared" si="18"/>
        <v>#N/A</v>
      </c>
      <c r="E52" s="7" t="e">
        <f t="shared" si="20"/>
        <v>#N/A</v>
      </c>
      <c r="F52" s="255" t="e">
        <f t="shared" si="15"/>
        <v>#N/A</v>
      </c>
      <c r="G52" s="363"/>
      <c r="I52" s="363"/>
      <c r="L52" s="264">
        <f>+I6</f>
        <v>801.7</v>
      </c>
      <c r="M52" s="265">
        <f>+L52*12</f>
        <v>9620.4000000000015</v>
      </c>
      <c r="N52" s="243">
        <f t="shared" si="16"/>
        <v>10351.16</v>
      </c>
      <c r="O52" s="7" t="e">
        <f t="shared" si="12"/>
        <v>#N/A</v>
      </c>
      <c r="P52" s="7" t="e">
        <f t="shared" si="13"/>
        <v>#N/A</v>
      </c>
      <c r="Q52" s="7" t="e">
        <f t="shared" si="14"/>
        <v>#N/A</v>
      </c>
      <c r="S52" s="63"/>
      <c r="X52" s="26">
        <v>46327</v>
      </c>
      <c r="Y52" s="7">
        <f t="shared" si="8"/>
        <v>10351.16</v>
      </c>
      <c r="Z52" s="7">
        <f t="shared" si="10"/>
        <v>10087.294774269034</v>
      </c>
      <c r="AA52" s="7">
        <f t="shared" si="9"/>
        <v>263.86522573096568</v>
      </c>
      <c r="AB52" s="7">
        <f t="shared" si="11"/>
        <v>275928.2455820709</v>
      </c>
      <c r="AG52" s="310"/>
      <c r="AH52" s="313"/>
      <c r="AI52" s="327"/>
      <c r="AJ52" s="310"/>
      <c r="AK52" s="310"/>
      <c r="AL52" s="310"/>
      <c r="AM52" s="310"/>
      <c r="AN52" s="310"/>
      <c r="AO52" s="310"/>
      <c r="BB52" s="187"/>
      <c r="BC52" s="180"/>
      <c r="BD52" s="191">
        <v>42186</v>
      </c>
      <c r="BE52" s="192">
        <v>0.59</v>
      </c>
      <c r="BH52" s="94">
        <v>42152</v>
      </c>
      <c r="BI52" s="95">
        <v>0.35599999999999998</v>
      </c>
      <c r="BJ52" s="96">
        <v>8.49</v>
      </c>
    </row>
    <row r="53" spans="1:62" ht="13.8" x14ac:dyDescent="0.25">
      <c r="A53" s="236">
        <v>43952</v>
      </c>
      <c r="B53" s="7">
        <f>+M52/2</f>
        <v>4810.2000000000007</v>
      </c>
      <c r="C53" s="7" t="e">
        <f t="shared" si="19"/>
        <v>#N/A</v>
      </c>
      <c r="D53" s="7" t="e">
        <f t="shared" si="18"/>
        <v>#N/A</v>
      </c>
      <c r="E53" s="7" t="e">
        <f t="shared" si="20"/>
        <v>#N/A</v>
      </c>
      <c r="F53" s="255" t="e">
        <f t="shared" si="15"/>
        <v>#N/A</v>
      </c>
      <c r="G53" s="363"/>
      <c r="I53" s="363"/>
      <c r="J53" s="380">
        <v>3.8249999999999998E-3</v>
      </c>
      <c r="L53" s="264"/>
      <c r="M53" s="265"/>
      <c r="N53" s="243">
        <f t="shared" si="16"/>
        <v>10351.16</v>
      </c>
      <c r="O53" s="7" t="e">
        <f t="shared" si="12"/>
        <v>#N/A</v>
      </c>
      <c r="P53" s="7" t="e">
        <f t="shared" si="13"/>
        <v>#N/A</v>
      </c>
      <c r="Q53" s="7" t="e">
        <f t="shared" si="14"/>
        <v>#N/A</v>
      </c>
      <c r="S53" s="63"/>
      <c r="X53" s="26">
        <v>46508</v>
      </c>
      <c r="Y53" s="7">
        <f t="shared" si="8"/>
        <v>10351.16</v>
      </c>
      <c r="Z53" s="7">
        <f t="shared" si="10"/>
        <v>10100.751284797527</v>
      </c>
      <c r="AA53" s="7">
        <f t="shared" si="9"/>
        <v>250.40871520247356</v>
      </c>
      <c r="AB53" s="7">
        <f t="shared" si="11"/>
        <v>265827.4942972734</v>
      </c>
      <c r="AG53" s="310"/>
      <c r="AH53" s="313"/>
      <c r="AI53" s="327"/>
      <c r="AJ53" s="310"/>
      <c r="AK53" s="310"/>
      <c r="AL53" s="310"/>
      <c r="AM53" s="310"/>
      <c r="AN53" s="310"/>
      <c r="AO53" s="310"/>
      <c r="BB53" s="187"/>
      <c r="BC53" s="180"/>
      <c r="BD53" s="191">
        <v>42187</v>
      </c>
      <c r="BE53" s="192">
        <v>0.59599999999999997</v>
      </c>
      <c r="BH53" s="94">
        <v>42153</v>
      </c>
      <c r="BI53" s="95">
        <v>0.36699999999999999</v>
      </c>
      <c r="BJ53" s="96">
        <v>8.48</v>
      </c>
    </row>
    <row r="54" spans="1:62" ht="13.8" x14ac:dyDescent="0.25">
      <c r="A54" s="299">
        <v>44137</v>
      </c>
      <c r="B54" s="7">
        <f>+B53</f>
        <v>4810.2000000000007</v>
      </c>
      <c r="C54" s="7" t="e">
        <f t="shared" si="19"/>
        <v>#N/A</v>
      </c>
      <c r="D54" s="7" t="e">
        <f t="shared" si="18"/>
        <v>#N/A</v>
      </c>
      <c r="E54" s="7" t="e">
        <f t="shared" si="20"/>
        <v>#N/A</v>
      </c>
      <c r="F54" s="255" t="e">
        <f t="shared" si="15"/>
        <v>#N/A</v>
      </c>
      <c r="G54" s="363"/>
      <c r="I54" s="363"/>
      <c r="L54" s="264">
        <f>+J6+J7</f>
        <v>733.71</v>
      </c>
      <c r="M54" s="265">
        <f>+L54*12</f>
        <v>8804.52</v>
      </c>
      <c r="N54" s="243">
        <f t="shared" si="16"/>
        <v>10351.16</v>
      </c>
      <c r="O54" s="7" t="e">
        <f t="shared" si="12"/>
        <v>#N/A</v>
      </c>
      <c r="P54" s="7" t="e">
        <f t="shared" si="13"/>
        <v>#N/A</v>
      </c>
      <c r="Q54" s="7" t="e">
        <f t="shared" si="14"/>
        <v>#N/A</v>
      </c>
      <c r="S54" s="63"/>
      <c r="X54" s="26">
        <v>46692</v>
      </c>
      <c r="Y54" s="7">
        <f t="shared" si="8"/>
        <v>10351.16</v>
      </c>
      <c r="Z54" s="7">
        <f t="shared" si="10"/>
        <v>10105.919368316638</v>
      </c>
      <c r="AA54" s="7">
        <f t="shared" si="9"/>
        <v>245.24063168336232</v>
      </c>
      <c r="AB54" s="7">
        <f t="shared" si="11"/>
        <v>255721.57492895675</v>
      </c>
      <c r="AG54" s="310"/>
      <c r="AH54" s="313"/>
      <c r="AI54" s="327"/>
      <c r="AJ54" s="310"/>
      <c r="AK54" s="327"/>
      <c r="AL54" s="323"/>
      <c r="AM54" s="310"/>
      <c r="AN54" s="310"/>
      <c r="AO54" s="310"/>
      <c r="BB54" s="187"/>
      <c r="BC54" s="180"/>
      <c r="BD54" s="191">
        <v>42188</v>
      </c>
      <c r="BE54" s="192">
        <v>0.59799999999999998</v>
      </c>
      <c r="BH54" s="94">
        <v>42156</v>
      </c>
      <c r="BI54" s="95">
        <v>0.374</v>
      </c>
      <c r="BJ54" s="96">
        <v>8.48</v>
      </c>
    </row>
    <row r="55" spans="1:62" ht="13.8" x14ac:dyDescent="0.25">
      <c r="A55" s="234">
        <v>44319</v>
      </c>
      <c r="B55" s="300">
        <f>+M54/2</f>
        <v>4402.26</v>
      </c>
      <c r="C55" s="300" t="e">
        <f t="shared" si="19"/>
        <v>#N/A</v>
      </c>
      <c r="D55" s="301" t="e">
        <f t="shared" si="18"/>
        <v>#N/A</v>
      </c>
      <c r="E55" s="300" t="e">
        <f t="shared" si="20"/>
        <v>#N/A</v>
      </c>
      <c r="F55" s="302" t="e">
        <f t="shared" si="15"/>
        <v>#N/A</v>
      </c>
      <c r="G55" s="363"/>
      <c r="I55" s="363"/>
      <c r="J55" s="380">
        <v>3.3600000000000001E-3</v>
      </c>
      <c r="L55" s="264"/>
      <c r="M55" s="265"/>
      <c r="N55" s="243">
        <f t="shared" si="16"/>
        <v>10351.16</v>
      </c>
      <c r="O55" s="7" t="e">
        <f t="shared" si="12"/>
        <v>#N/A</v>
      </c>
      <c r="P55" s="7" t="e">
        <f t="shared" si="13"/>
        <v>#N/A</v>
      </c>
      <c r="Q55" s="7" t="e">
        <f t="shared" si="14"/>
        <v>#N/A</v>
      </c>
      <c r="S55" s="63"/>
      <c r="X55" s="26">
        <v>46874</v>
      </c>
      <c r="Y55" s="7">
        <f t="shared" si="8"/>
        <v>10351.16</v>
      </c>
      <c r="Z55" s="7">
        <f t="shared" si="10"/>
        <v>10117.806959500245</v>
      </c>
      <c r="AA55" s="7">
        <f t="shared" si="9"/>
        <v>233.35304049975437</v>
      </c>
      <c r="AB55" s="7">
        <f t="shared" si="11"/>
        <v>245603.7679694565</v>
      </c>
      <c r="AG55" s="310"/>
      <c r="AH55" s="310"/>
      <c r="AI55" s="327"/>
      <c r="AJ55" s="310"/>
      <c r="AK55" s="310"/>
      <c r="AL55" s="310"/>
      <c r="AM55" s="310"/>
      <c r="AN55" s="310"/>
      <c r="AO55" s="310"/>
      <c r="BB55" s="187"/>
      <c r="BC55" s="180"/>
      <c r="BD55" s="191">
        <v>42191</v>
      </c>
      <c r="BE55" s="192">
        <v>0.59799999999999998</v>
      </c>
      <c r="BH55" s="94">
        <v>42157</v>
      </c>
      <c r="BI55" s="95">
        <v>0.38200000000000001</v>
      </c>
      <c r="BJ55" s="96">
        <v>8.4700000000000006</v>
      </c>
    </row>
    <row r="56" spans="1:62" ht="13.8" x14ac:dyDescent="0.25">
      <c r="A56" s="235">
        <v>44501</v>
      </c>
      <c r="B56" s="7">
        <f>+B55</f>
        <v>4402.26</v>
      </c>
      <c r="C56" s="7" t="e">
        <f t="shared" si="19"/>
        <v>#N/A</v>
      </c>
      <c r="D56" s="7" t="e">
        <f t="shared" si="18"/>
        <v>#N/A</v>
      </c>
      <c r="E56" s="7" t="e">
        <f t="shared" si="20"/>
        <v>#N/A</v>
      </c>
      <c r="F56" s="255" t="e">
        <f t="shared" si="15"/>
        <v>#N/A</v>
      </c>
      <c r="G56" s="363"/>
      <c r="I56" s="363"/>
      <c r="L56" s="264">
        <f>+K6+K7</f>
        <v>685.53</v>
      </c>
      <c r="M56" s="265">
        <f>+L56*12</f>
        <v>8226.36</v>
      </c>
      <c r="N56" s="243">
        <f t="shared" si="16"/>
        <v>10351.16</v>
      </c>
      <c r="O56" s="7" t="e">
        <f t="shared" si="12"/>
        <v>#N/A</v>
      </c>
      <c r="P56" s="7" t="e">
        <f t="shared" si="13"/>
        <v>#N/A</v>
      </c>
      <c r="Q56" s="7" t="e">
        <f t="shared" si="14"/>
        <v>#N/A</v>
      </c>
      <c r="S56" s="63"/>
      <c r="X56" s="26">
        <v>47058</v>
      </c>
      <c r="Y56" s="7">
        <f t="shared" si="8"/>
        <v>10351.16</v>
      </c>
      <c r="Z56" s="7">
        <f t="shared" si="10"/>
        <v>10124.576879394401</v>
      </c>
      <c r="AA56" s="7">
        <f t="shared" si="9"/>
        <v>226.5831206055997</v>
      </c>
      <c r="AB56" s="7">
        <f t="shared" si="11"/>
        <v>235479.19109006209</v>
      </c>
      <c r="AG56" s="310"/>
      <c r="AH56" s="310"/>
      <c r="AI56" s="310"/>
      <c r="AJ56" s="310"/>
      <c r="AK56" s="310"/>
      <c r="AL56" s="310"/>
      <c r="AM56" s="310"/>
      <c r="AN56" s="310"/>
      <c r="AO56" s="310"/>
      <c r="BB56" s="187"/>
      <c r="BC56" s="180"/>
      <c r="BD56" s="191">
        <v>42192</v>
      </c>
      <c r="BE56" s="192">
        <v>0.59499999999999997</v>
      </c>
      <c r="BH56" s="94">
        <v>42158</v>
      </c>
      <c r="BI56" s="95">
        <v>0.39300000000000002</v>
      </c>
      <c r="BJ56" s="96">
        <v>8.4700000000000006</v>
      </c>
    </row>
    <row r="57" spans="1:62" ht="13.8" x14ac:dyDescent="0.25">
      <c r="A57" s="236">
        <v>44683</v>
      </c>
      <c r="B57" s="7">
        <f>+M56/2</f>
        <v>4113.18</v>
      </c>
      <c r="C57" s="7" t="e">
        <f t="shared" si="19"/>
        <v>#N/A</v>
      </c>
      <c r="D57" s="7" t="e">
        <f t="shared" si="18"/>
        <v>#N/A</v>
      </c>
      <c r="E57" s="7" t="e">
        <f t="shared" si="20"/>
        <v>#N/A</v>
      </c>
      <c r="F57" s="255" t="e">
        <f t="shared" si="15"/>
        <v>#N/A</v>
      </c>
      <c r="G57" s="363"/>
      <c r="I57" s="363"/>
      <c r="J57" s="380">
        <v>9.9999999999999995E-8</v>
      </c>
      <c r="L57" s="264"/>
      <c r="M57" s="265"/>
      <c r="N57" s="243">
        <f t="shared" si="16"/>
        <v>10351.16</v>
      </c>
      <c r="O57" s="7" t="e">
        <f t="shared" si="12"/>
        <v>#N/A</v>
      </c>
      <c r="P57" s="7" t="e">
        <f t="shared" si="13"/>
        <v>#N/A</v>
      </c>
      <c r="Q57" s="7" t="e">
        <f t="shared" si="14"/>
        <v>#N/A</v>
      </c>
      <c r="S57" s="63"/>
      <c r="X57" s="26">
        <v>47239</v>
      </c>
      <c r="Y57" s="7">
        <f t="shared" si="8"/>
        <v>10351.16</v>
      </c>
      <c r="Z57" s="7">
        <f t="shared" si="10"/>
        <v>10137.459363541448</v>
      </c>
      <c r="AA57" s="7">
        <f t="shared" si="9"/>
        <v>213.700636458552</v>
      </c>
      <c r="AB57" s="7">
        <f t="shared" si="11"/>
        <v>225341.73172652064</v>
      </c>
      <c r="BB57" s="187"/>
      <c r="BC57" s="180"/>
      <c r="BD57" s="191">
        <v>42193</v>
      </c>
      <c r="BE57" s="192">
        <v>0.58699999999999997</v>
      </c>
      <c r="BH57" s="94">
        <v>42160</v>
      </c>
      <c r="BI57" s="95">
        <v>0.40600000000000003</v>
      </c>
      <c r="BJ57" s="96">
        <v>8.4700000000000006</v>
      </c>
    </row>
    <row r="58" spans="1:62" ht="14.4" thickBot="1" x14ac:dyDescent="0.3">
      <c r="A58" s="237">
        <v>44866</v>
      </c>
      <c r="B58" s="7">
        <f>+B57</f>
        <v>4113.18</v>
      </c>
      <c r="C58" s="7" t="e">
        <f t="shared" si="19"/>
        <v>#N/A</v>
      </c>
      <c r="D58" s="7" t="e">
        <f t="shared" si="18"/>
        <v>#N/A</v>
      </c>
      <c r="E58" s="7" t="e">
        <f t="shared" si="20"/>
        <v>#N/A</v>
      </c>
      <c r="F58" s="255" t="e">
        <f t="shared" si="15"/>
        <v>#N/A</v>
      </c>
      <c r="G58" s="363"/>
      <c r="I58" s="363"/>
      <c r="L58" s="293">
        <f>+L6+L7</f>
        <v>1025.18</v>
      </c>
      <c r="M58" s="265">
        <f>+L58*12</f>
        <v>12302.16</v>
      </c>
      <c r="N58" s="243">
        <f t="shared" si="16"/>
        <v>10351.16</v>
      </c>
      <c r="O58" s="7" t="e">
        <f t="shared" si="12"/>
        <v>#N/A</v>
      </c>
      <c r="P58" s="7" t="e">
        <f t="shared" si="13"/>
        <v>#N/A</v>
      </c>
      <c r="Q58" s="7" t="e">
        <f t="shared" si="14"/>
        <v>#N/A</v>
      </c>
      <c r="S58" s="63"/>
      <c r="X58" s="26">
        <v>47423</v>
      </c>
      <c r="Y58" s="7">
        <f t="shared" si="8"/>
        <v>10351.16</v>
      </c>
      <c r="Z58" s="7">
        <f t="shared" si="10"/>
        <v>10143.269733497189</v>
      </c>
      <c r="AA58" s="7">
        <f t="shared" si="9"/>
        <v>207.89026650281122</v>
      </c>
      <c r="AB58" s="7">
        <f t="shared" si="11"/>
        <v>215198.46199302346</v>
      </c>
      <c r="BB58" s="187"/>
      <c r="BC58" s="180"/>
      <c r="BD58" s="191">
        <v>42194</v>
      </c>
      <c r="BE58" s="192">
        <v>0.58399999999999996</v>
      </c>
      <c r="BH58" s="94">
        <v>42163</v>
      </c>
      <c r="BI58" s="95">
        <v>0.41499999999999998</v>
      </c>
      <c r="BJ58" s="96">
        <v>8.4600000000000009</v>
      </c>
    </row>
    <row r="59" spans="1:62" ht="14.4" thickBot="1" x14ac:dyDescent="0.3">
      <c r="A59" s="294">
        <v>45049</v>
      </c>
      <c r="B59" s="295">
        <v>4775.6788399534489</v>
      </c>
      <c r="C59" s="7" t="e">
        <f t="shared" si="19"/>
        <v>#N/A</v>
      </c>
      <c r="D59" s="7" t="e">
        <f>+E58*F58*(A59-A58)/360</f>
        <v>#N/A</v>
      </c>
      <c r="E59" s="7" t="e">
        <f>+E58-C59</f>
        <v>#N/A</v>
      </c>
      <c r="F59" s="269">
        <f>+(G59+H59)/2/100+0.37%</f>
        <v>3.1164050000000006E-2</v>
      </c>
      <c r="G59" s="365">
        <v>3.0598100000000001</v>
      </c>
      <c r="H59">
        <f>+BE1989</f>
        <v>2.4329999999999998</v>
      </c>
      <c r="I59" s="363" t="s">
        <v>467</v>
      </c>
      <c r="J59" s="380">
        <v>9.5999999999999992E-3</v>
      </c>
      <c r="L59" s="47"/>
      <c r="M59" s="258"/>
      <c r="N59" s="243">
        <f t="shared" si="16"/>
        <v>10351.16</v>
      </c>
      <c r="O59" s="7" t="e">
        <f t="shared" si="12"/>
        <v>#N/A</v>
      </c>
      <c r="P59" s="7" t="e">
        <f t="shared" si="13"/>
        <v>#N/A</v>
      </c>
      <c r="Q59" s="7" t="e">
        <f t="shared" si="14"/>
        <v>#N/A</v>
      </c>
      <c r="S59" s="63"/>
      <c r="X59" s="26">
        <v>47604</v>
      </c>
      <c r="Y59" s="7">
        <f t="shared" si="8"/>
        <v>10351.16</v>
      </c>
      <c r="Z59" s="7">
        <f t="shared" si="10"/>
        <v>10155.864406873803</v>
      </c>
      <c r="AA59" s="7">
        <f t="shared" si="9"/>
        <v>195.29559312619648</v>
      </c>
      <c r="AB59" s="7">
        <f t="shared" si="11"/>
        <v>205042.59758614967</v>
      </c>
      <c r="BB59" s="187"/>
      <c r="BC59" s="180"/>
      <c r="BD59" s="191">
        <v>42195</v>
      </c>
      <c r="BE59" s="192">
        <v>0.58299999999999996</v>
      </c>
      <c r="BH59" s="94">
        <v>42164</v>
      </c>
      <c r="BI59" s="95">
        <v>0.42399999999999999</v>
      </c>
      <c r="BJ59" s="96">
        <v>8.4499999999999993</v>
      </c>
    </row>
    <row r="60" spans="1:62" ht="13.8" x14ac:dyDescent="0.25">
      <c r="A60" s="235">
        <v>45232</v>
      </c>
      <c r="B60" s="7">
        <f>+$B$59</f>
        <v>4775.6788399534489</v>
      </c>
      <c r="C60" s="7" t="e">
        <f t="shared" si="19"/>
        <v>#N/A</v>
      </c>
      <c r="D60" s="7" t="e">
        <f>+E59*F59*(A60-A59)/360</f>
        <v>#N/A</v>
      </c>
      <c r="E60" s="7" t="e">
        <f t="shared" si="20"/>
        <v>#N/A</v>
      </c>
      <c r="F60" s="269">
        <f t="shared" ref="F60:F112" si="21">+(G60+H60)/2/100+0.37%</f>
        <v>3.0865499999999997E-2</v>
      </c>
      <c r="G60" s="365">
        <v>3.0001000000000002</v>
      </c>
      <c r="H60">
        <f>+$H$59</f>
        <v>2.4329999999999998</v>
      </c>
      <c r="I60" s="363" t="s">
        <v>468</v>
      </c>
      <c r="L60" s="47"/>
      <c r="M60" s="258"/>
      <c r="N60" s="243">
        <f t="shared" si="16"/>
        <v>10351.16</v>
      </c>
      <c r="O60" s="7" t="e">
        <f t="shared" si="12"/>
        <v>#N/A</v>
      </c>
      <c r="P60" s="7" t="e">
        <f t="shared" si="13"/>
        <v>#N/A</v>
      </c>
      <c r="Q60" s="7" t="e">
        <f t="shared" si="14"/>
        <v>#N/A</v>
      </c>
      <c r="S60" s="63"/>
      <c r="X60" s="26">
        <v>47788</v>
      </c>
      <c r="Y60" s="7">
        <f t="shared" si="8"/>
        <v>10351.16</v>
      </c>
      <c r="Z60" s="7">
        <f t="shared" si="10"/>
        <v>10161.996812471356</v>
      </c>
      <c r="AA60" s="7">
        <f t="shared" si="9"/>
        <v>189.16318752864456</v>
      </c>
      <c r="AB60" s="7">
        <f t="shared" si="11"/>
        <v>194880.60077367831</v>
      </c>
      <c r="BB60" s="187"/>
      <c r="BC60" s="180"/>
      <c r="BD60" s="191">
        <v>42198</v>
      </c>
      <c r="BE60" s="192">
        <v>0.58499999999999996</v>
      </c>
      <c r="BH60" s="94">
        <v>42165</v>
      </c>
      <c r="BI60" s="95">
        <v>0.437</v>
      </c>
      <c r="BJ60" s="96">
        <v>8.4499999999999993</v>
      </c>
    </row>
    <row r="61" spans="1:62" ht="13.8" x14ac:dyDescent="0.25">
      <c r="A61" s="236">
        <v>45413</v>
      </c>
      <c r="B61" s="7">
        <f>+$B$60</f>
        <v>4775.6788399534489</v>
      </c>
      <c r="C61" s="7" t="e">
        <f t="shared" si="19"/>
        <v>#N/A</v>
      </c>
      <c r="D61" s="7" t="e">
        <f t="shared" si="18"/>
        <v>#N/A</v>
      </c>
      <c r="E61" s="7" t="e">
        <f t="shared" si="20"/>
        <v>#N/A</v>
      </c>
      <c r="F61" s="269">
        <f t="shared" si="21"/>
        <v>2.9881749999999999E-2</v>
      </c>
      <c r="G61" s="365">
        <v>2.80335</v>
      </c>
      <c r="H61">
        <f t="shared" ref="H61:H112" si="22">+$H$59</f>
        <v>2.4329999999999998</v>
      </c>
      <c r="I61" s="363" t="s">
        <v>469</v>
      </c>
      <c r="L61" s="47"/>
      <c r="M61" s="258"/>
      <c r="N61" s="243">
        <f t="shared" si="16"/>
        <v>10351.16</v>
      </c>
      <c r="O61" s="7" t="e">
        <f t="shared" si="12"/>
        <v>#N/A</v>
      </c>
      <c r="P61" s="7" t="e">
        <f t="shared" si="13"/>
        <v>#N/A</v>
      </c>
      <c r="Q61" s="7" t="e">
        <f t="shared" si="14"/>
        <v>#N/A</v>
      </c>
      <c r="S61" s="63"/>
      <c r="X61" s="26">
        <v>47969</v>
      </c>
      <c r="Y61" s="7">
        <f t="shared" si="8"/>
        <v>10351.16</v>
      </c>
      <c r="Z61" s="7">
        <f t="shared" si="10"/>
        <v>10174.303148122875</v>
      </c>
      <c r="AA61" s="7">
        <f t="shared" si="9"/>
        <v>176.8568518771238</v>
      </c>
      <c r="AB61" s="7">
        <f t="shared" si="11"/>
        <v>184706.29762555542</v>
      </c>
      <c r="BB61" s="187"/>
      <c r="BC61" s="180"/>
      <c r="BD61" s="191">
        <v>42199</v>
      </c>
      <c r="BE61" s="192">
        <v>0.58499999999999996</v>
      </c>
      <c r="BH61" s="94">
        <v>42166</v>
      </c>
      <c r="BI61" s="95">
        <v>0.44900000000000001</v>
      </c>
      <c r="BJ61" s="96">
        <v>8.44</v>
      </c>
    </row>
    <row r="62" spans="1:62" ht="13.8" x14ac:dyDescent="0.25">
      <c r="A62" s="237">
        <v>45597</v>
      </c>
      <c r="B62" s="7">
        <f t="shared" ref="B62:B113" si="23">+$B$60</f>
        <v>4775.6788399534489</v>
      </c>
      <c r="C62" s="7" t="e">
        <f t="shared" si="19"/>
        <v>#N/A</v>
      </c>
      <c r="D62" s="7" t="e">
        <f t="shared" si="18"/>
        <v>#N/A</v>
      </c>
      <c r="E62" s="7" t="e">
        <f t="shared" si="20"/>
        <v>#N/A</v>
      </c>
      <c r="F62" s="269">
        <f t="shared" si="21"/>
        <v>2.8797999999999997E-2</v>
      </c>
      <c r="G62" s="365">
        <v>2.5865999999999998</v>
      </c>
      <c r="H62">
        <f t="shared" si="22"/>
        <v>2.4329999999999998</v>
      </c>
      <c r="I62" s="363" t="s">
        <v>470</v>
      </c>
      <c r="L62" s="47"/>
      <c r="M62" s="258"/>
      <c r="N62" s="243">
        <f t="shared" si="16"/>
        <v>10351.16</v>
      </c>
      <c r="O62" s="7" t="e">
        <f t="shared" si="12"/>
        <v>#N/A</v>
      </c>
      <c r="P62" s="7" t="e">
        <f t="shared" si="13"/>
        <v>#N/A</v>
      </c>
      <c r="Q62" s="7" t="e">
        <f t="shared" si="14"/>
        <v>#N/A</v>
      </c>
      <c r="S62" s="63"/>
      <c r="X62" s="26">
        <v>48153</v>
      </c>
      <c r="Y62" s="7">
        <f t="shared" si="8"/>
        <v>10351.16</v>
      </c>
      <c r="Z62" s="7">
        <f t="shared" si="10"/>
        <v>10180.758178979446</v>
      </c>
      <c r="AA62" s="7">
        <f t="shared" si="9"/>
        <v>170.40182102055408</v>
      </c>
      <c r="AB62" s="7">
        <f t="shared" si="11"/>
        <v>174525.53944657597</v>
      </c>
      <c r="BB62" s="187"/>
      <c r="BC62" s="180"/>
      <c r="BD62" s="191">
        <v>42200</v>
      </c>
      <c r="BE62" s="192">
        <v>0.58199999999999996</v>
      </c>
      <c r="BH62" s="94">
        <v>42167</v>
      </c>
      <c r="BI62" s="95">
        <v>0.45600000000000002</v>
      </c>
      <c r="BJ62" s="96">
        <v>8.43</v>
      </c>
    </row>
    <row r="63" spans="1:62" ht="13.8" x14ac:dyDescent="0.25">
      <c r="A63" s="234">
        <v>45778</v>
      </c>
      <c r="B63" s="7">
        <f t="shared" si="23"/>
        <v>4775.6788399534489</v>
      </c>
      <c r="C63" s="7" t="e">
        <f t="shared" si="19"/>
        <v>#N/A</v>
      </c>
      <c r="D63" s="7" t="e">
        <f t="shared" si="18"/>
        <v>#N/A</v>
      </c>
      <c r="E63" s="7" t="e">
        <f t="shared" si="20"/>
        <v>#N/A</v>
      </c>
      <c r="F63" s="269">
        <f t="shared" si="21"/>
        <v>2.8538750000000002E-2</v>
      </c>
      <c r="G63" s="365">
        <v>2.5347499999999998</v>
      </c>
      <c r="H63">
        <f t="shared" si="22"/>
        <v>2.4329999999999998</v>
      </c>
      <c r="I63" s="363" t="s">
        <v>471</v>
      </c>
      <c r="L63" s="47"/>
      <c r="M63" s="258"/>
      <c r="N63" s="243">
        <f t="shared" si="16"/>
        <v>10351.16</v>
      </c>
      <c r="O63" s="7" t="e">
        <f t="shared" si="12"/>
        <v>#N/A</v>
      </c>
      <c r="P63" s="7" t="e">
        <f t="shared" si="13"/>
        <v>#N/A</v>
      </c>
      <c r="Q63" s="7" t="e">
        <f t="shared" si="14"/>
        <v>#N/A</v>
      </c>
      <c r="S63" s="63"/>
      <c r="X63" s="26">
        <v>48335</v>
      </c>
      <c r="Y63" s="7">
        <f t="shared" si="8"/>
        <v>10351.16</v>
      </c>
      <c r="Z63" s="7">
        <f t="shared" si="10"/>
        <v>10191.900597323349</v>
      </c>
      <c r="AA63" s="7">
        <f t="shared" si="9"/>
        <v>159.25940267665186</v>
      </c>
      <c r="AB63" s="7">
        <f t="shared" si="11"/>
        <v>164333.63884925263</v>
      </c>
      <c r="BB63" s="187"/>
      <c r="BC63" s="180"/>
      <c r="BD63" s="191">
        <v>42201</v>
      </c>
      <c r="BE63" s="192">
        <v>0.57999999999999996</v>
      </c>
      <c r="BH63" s="94">
        <v>42170</v>
      </c>
      <c r="BI63" s="95">
        <v>0.46300000000000002</v>
      </c>
      <c r="BJ63" s="96">
        <v>8.43</v>
      </c>
    </row>
    <row r="64" spans="1:62" ht="13.8" x14ac:dyDescent="0.25">
      <c r="A64" s="235">
        <v>45962</v>
      </c>
      <c r="B64" s="7">
        <f t="shared" si="23"/>
        <v>4775.6788399534489</v>
      </c>
      <c r="C64" s="7" t="e">
        <f t="shared" si="19"/>
        <v>#N/A</v>
      </c>
      <c r="D64" s="7" t="e">
        <f t="shared" si="18"/>
        <v>#N/A</v>
      </c>
      <c r="E64" s="7" t="e">
        <f t="shared" si="20"/>
        <v>#N/A</v>
      </c>
      <c r="F64" s="269">
        <f t="shared" si="21"/>
        <v>2.8149250000000001E-2</v>
      </c>
      <c r="G64" s="365">
        <v>2.4568500000000002</v>
      </c>
      <c r="H64">
        <f t="shared" si="22"/>
        <v>2.4329999999999998</v>
      </c>
      <c r="I64" s="363" t="s">
        <v>472</v>
      </c>
      <c r="L64" s="47"/>
      <c r="M64" s="258"/>
      <c r="N64" s="243">
        <f t="shared" si="16"/>
        <v>10351.16</v>
      </c>
      <c r="O64" s="7" t="e">
        <f t="shared" si="12"/>
        <v>#N/A</v>
      </c>
      <c r="P64" s="7" t="e">
        <f t="shared" si="13"/>
        <v>#N/A</v>
      </c>
      <c r="Q64" s="7" t="e">
        <f t="shared" si="14"/>
        <v>#N/A</v>
      </c>
      <c r="S64" s="63"/>
      <c r="X64" s="26">
        <v>48519</v>
      </c>
      <c r="Y64" s="7">
        <f t="shared" si="8"/>
        <v>10351.16</v>
      </c>
      <c r="Z64" s="7">
        <f t="shared" si="10"/>
        <v>10199.553088514962</v>
      </c>
      <c r="AA64" s="7">
        <f t="shared" si="9"/>
        <v>151.6069114850383</v>
      </c>
      <c r="AB64" s="7">
        <f t="shared" si="11"/>
        <v>154134.08576073768</v>
      </c>
      <c r="BB64" s="187"/>
      <c r="BC64" s="180"/>
      <c r="BD64" s="191">
        <v>42202</v>
      </c>
      <c r="BE64" s="192">
        <v>0.57799999999999996</v>
      </c>
      <c r="BH64" s="94">
        <v>42171</v>
      </c>
      <c r="BI64" s="95">
        <v>0.47</v>
      </c>
      <c r="BJ64" s="96">
        <v>8.42</v>
      </c>
    </row>
    <row r="65" spans="1:62" ht="13.8" x14ac:dyDescent="0.25">
      <c r="A65" s="236">
        <v>46143</v>
      </c>
      <c r="B65" s="7">
        <f t="shared" si="23"/>
        <v>4775.6788399534489</v>
      </c>
      <c r="C65" s="7" t="e">
        <f t="shared" si="19"/>
        <v>#N/A</v>
      </c>
      <c r="D65" s="7" t="e">
        <f t="shared" si="18"/>
        <v>#N/A</v>
      </c>
      <c r="E65" s="7" t="e">
        <f t="shared" si="20"/>
        <v>#N/A</v>
      </c>
      <c r="F65" s="269">
        <f t="shared" si="21"/>
        <v>2.8018799999999996E-2</v>
      </c>
      <c r="G65" s="365">
        <v>2.4307599999999998</v>
      </c>
      <c r="H65">
        <f t="shared" si="22"/>
        <v>2.4329999999999998</v>
      </c>
      <c r="I65" s="363" t="s">
        <v>473</v>
      </c>
      <c r="L65" s="47"/>
      <c r="M65" s="258"/>
      <c r="N65" s="243">
        <f t="shared" si="16"/>
        <v>10351.16</v>
      </c>
      <c r="O65" s="7" t="e">
        <f t="shared" si="12"/>
        <v>#N/A</v>
      </c>
      <c r="P65" s="7" t="e">
        <f t="shared" si="13"/>
        <v>#N/A</v>
      </c>
      <c r="Q65" s="7" t="e">
        <f t="shared" si="14"/>
        <v>#N/A</v>
      </c>
      <c r="S65" s="63"/>
      <c r="X65" s="26">
        <v>48700</v>
      </c>
      <c r="Y65" s="7">
        <f t="shared" si="8"/>
        <v>10351.16</v>
      </c>
      <c r="Z65" s="7">
        <f t="shared" si="10"/>
        <v>10211.28117642094</v>
      </c>
      <c r="AA65" s="7">
        <f t="shared" si="9"/>
        <v>139.87882357906057</v>
      </c>
      <c r="AB65" s="7">
        <f t="shared" si="11"/>
        <v>143922.80458431673</v>
      </c>
      <c r="BB65" s="187"/>
      <c r="BC65" s="180"/>
      <c r="BD65" s="191">
        <v>42205</v>
      </c>
      <c r="BE65" s="192">
        <v>0.57099999999999995</v>
      </c>
      <c r="BH65" s="94">
        <v>42172</v>
      </c>
      <c r="BI65" s="95">
        <v>0.47799999999999998</v>
      </c>
      <c r="BJ65" s="96">
        <v>8.42</v>
      </c>
    </row>
    <row r="66" spans="1:62" ht="13.8" x14ac:dyDescent="0.25">
      <c r="A66" s="237">
        <v>46327</v>
      </c>
      <c r="B66" s="7">
        <f t="shared" si="23"/>
        <v>4775.6788399534489</v>
      </c>
      <c r="C66" s="7" t="e">
        <f t="shared" si="19"/>
        <v>#N/A</v>
      </c>
      <c r="D66" s="7" t="e">
        <f t="shared" si="18"/>
        <v>#N/A</v>
      </c>
      <c r="E66" s="7" t="e">
        <f t="shared" si="20"/>
        <v>#N/A</v>
      </c>
      <c r="F66" s="269">
        <f t="shared" si="21"/>
        <v>2.7998450000000001E-2</v>
      </c>
      <c r="G66" s="365">
        <v>2.4266899999999998</v>
      </c>
      <c r="H66">
        <f t="shared" si="22"/>
        <v>2.4329999999999998</v>
      </c>
      <c r="I66" s="363" t="s">
        <v>474</v>
      </c>
      <c r="L66" s="47"/>
      <c r="M66" s="258"/>
      <c r="N66" s="243">
        <f t="shared" si="16"/>
        <v>10351.16</v>
      </c>
      <c r="O66" s="7" t="e">
        <f t="shared" si="12"/>
        <v>#N/A</v>
      </c>
      <c r="P66" s="7" t="e">
        <f t="shared" si="13"/>
        <v>#N/A</v>
      </c>
      <c r="Q66" s="7" t="e">
        <f t="shared" si="14"/>
        <v>#N/A</v>
      </c>
      <c r="S66" s="63"/>
      <c r="X66" s="26">
        <v>48884</v>
      </c>
      <c r="Y66" s="7">
        <f t="shared" si="8"/>
        <v>10351.16</v>
      </c>
      <c r="Z66" s="7">
        <f t="shared" si="10"/>
        <v>10218.383217059602</v>
      </c>
      <c r="AA66" s="7">
        <f t="shared" si="9"/>
        <v>132.77678294039796</v>
      </c>
      <c r="AB66" s="7">
        <f t="shared" si="11"/>
        <v>133704.42136725713</v>
      </c>
      <c r="BB66" s="187"/>
      <c r="BC66" s="180"/>
      <c r="BD66" s="191">
        <v>42206</v>
      </c>
      <c r="BE66" s="192">
        <v>0.56399999999999995</v>
      </c>
      <c r="BH66" s="94">
        <v>42173</v>
      </c>
      <c r="BI66" s="95">
        <v>0.48599999999999999</v>
      </c>
      <c r="BJ66" s="96">
        <v>8.42</v>
      </c>
    </row>
    <row r="67" spans="1:62" ht="13.8" x14ac:dyDescent="0.25">
      <c r="A67" s="234">
        <v>46508</v>
      </c>
      <c r="B67" s="7">
        <f t="shared" si="23"/>
        <v>4775.6788399534489</v>
      </c>
      <c r="C67" s="7" t="e">
        <f t="shared" si="19"/>
        <v>#N/A</v>
      </c>
      <c r="D67" s="7" t="e">
        <f t="shared" si="18"/>
        <v>#N/A</v>
      </c>
      <c r="E67" s="7" t="e">
        <f t="shared" si="20"/>
        <v>#N/A</v>
      </c>
      <c r="F67" s="269">
        <f t="shared" si="21"/>
        <v>2.7992099999999999E-2</v>
      </c>
      <c r="G67" s="365">
        <v>2.4254199999999999</v>
      </c>
      <c r="H67">
        <f t="shared" si="22"/>
        <v>2.4329999999999998</v>
      </c>
      <c r="I67" s="363" t="s">
        <v>475</v>
      </c>
      <c r="L67" s="47"/>
      <c r="M67" s="258"/>
      <c r="N67" s="243">
        <f t="shared" si="16"/>
        <v>10351.16</v>
      </c>
      <c r="O67" s="7" t="e">
        <f t="shared" si="12"/>
        <v>#N/A</v>
      </c>
      <c r="P67" s="7" t="e">
        <f t="shared" si="13"/>
        <v>#N/A</v>
      </c>
      <c r="Q67" s="7" t="e">
        <f t="shared" si="14"/>
        <v>#N/A</v>
      </c>
      <c r="S67" s="63"/>
      <c r="X67" s="26">
        <v>49065</v>
      </c>
      <c r="Y67" s="7">
        <f t="shared" si="8"/>
        <v>10351.16</v>
      </c>
      <c r="Z67" s="7">
        <f t="shared" si="10"/>
        <v>10229.821380603362</v>
      </c>
      <c r="AA67" s="7">
        <f t="shared" si="9"/>
        <v>121.33861939663817</v>
      </c>
      <c r="AB67" s="7">
        <f t="shared" si="11"/>
        <v>123474.59998665377</v>
      </c>
      <c r="BB67" s="187"/>
      <c r="BC67" s="180"/>
      <c r="BD67" s="191">
        <v>42207</v>
      </c>
      <c r="BE67" s="192">
        <v>0.55800000000000005</v>
      </c>
      <c r="BH67" s="94">
        <v>42174</v>
      </c>
      <c r="BI67" s="95">
        <v>0.49399999999999999</v>
      </c>
      <c r="BJ67" s="96">
        <v>8.41</v>
      </c>
    </row>
    <row r="68" spans="1:62" ht="13.8" x14ac:dyDescent="0.25">
      <c r="A68" s="235">
        <v>46692</v>
      </c>
      <c r="B68" s="7">
        <f t="shared" si="23"/>
        <v>4775.6788399534489</v>
      </c>
      <c r="C68" s="7" t="e">
        <f t="shared" si="19"/>
        <v>#N/A</v>
      </c>
      <c r="D68" s="7" t="e">
        <f t="shared" si="18"/>
        <v>#N/A</v>
      </c>
      <c r="E68" s="7" t="e">
        <f t="shared" si="20"/>
        <v>#N/A</v>
      </c>
      <c r="F68" s="269">
        <f t="shared" si="21"/>
        <v>2.799455E-2</v>
      </c>
      <c r="G68" s="365">
        <v>2.42591</v>
      </c>
      <c r="H68">
        <f t="shared" si="22"/>
        <v>2.4329999999999998</v>
      </c>
      <c r="I68" s="363" t="s">
        <v>476</v>
      </c>
      <c r="L68" s="47"/>
      <c r="M68" s="258"/>
      <c r="N68" s="243">
        <f t="shared" si="16"/>
        <v>10351.16</v>
      </c>
      <c r="O68" s="7" t="e">
        <f t="shared" si="12"/>
        <v>#N/A</v>
      </c>
      <c r="P68" s="7" t="e">
        <f t="shared" si="13"/>
        <v>#N/A</v>
      </c>
      <c r="Q68" s="7" t="e">
        <f t="shared" si="14"/>
        <v>#N/A</v>
      </c>
      <c r="S68" s="63"/>
      <c r="X68" s="26">
        <v>49249</v>
      </c>
      <c r="Y68" s="7">
        <f t="shared" si="8"/>
        <v>10351.16</v>
      </c>
      <c r="Z68" s="7">
        <f>+Y68-AA68</f>
        <v>10237.247821812312</v>
      </c>
      <c r="AA68" s="7">
        <f t="shared" si="9"/>
        <v>113.91217818768736</v>
      </c>
      <c r="AB68" s="7">
        <f>+AB67-Z68</f>
        <v>113237.35216484146</v>
      </c>
      <c r="BB68" s="187"/>
      <c r="BC68" s="180"/>
      <c r="BD68" s="191">
        <v>42208</v>
      </c>
      <c r="BE68" s="192">
        <v>0.55100000000000005</v>
      </c>
      <c r="BH68" s="94">
        <v>42177</v>
      </c>
      <c r="BI68" s="95">
        <v>0.502</v>
      </c>
      <c r="BJ68" s="96">
        <v>8.41</v>
      </c>
    </row>
    <row r="69" spans="1:62" ht="13.8" x14ac:dyDescent="0.25">
      <c r="A69" s="236">
        <v>46874</v>
      </c>
      <c r="B69" s="7">
        <f t="shared" si="23"/>
        <v>4775.6788399534489</v>
      </c>
      <c r="C69" s="7" t="e">
        <f t="shared" si="19"/>
        <v>#N/A</v>
      </c>
      <c r="D69" s="7" t="e">
        <f t="shared" si="18"/>
        <v>#N/A</v>
      </c>
      <c r="E69" s="7" t="e">
        <f t="shared" si="20"/>
        <v>#N/A</v>
      </c>
      <c r="F69" s="269">
        <f t="shared" si="21"/>
        <v>2.7996550000000002E-2</v>
      </c>
      <c r="G69" s="365">
        <v>2.42631</v>
      </c>
      <c r="H69">
        <f t="shared" si="22"/>
        <v>2.4329999999999998</v>
      </c>
      <c r="I69" s="363" t="s">
        <v>477</v>
      </c>
      <c r="L69" s="47"/>
      <c r="M69" s="258"/>
      <c r="N69" s="243">
        <f t="shared" si="16"/>
        <v>10351.16</v>
      </c>
      <c r="O69" s="7" t="e">
        <f t="shared" si="12"/>
        <v>#N/A</v>
      </c>
      <c r="P69" s="7" t="e">
        <f t="shared" si="13"/>
        <v>#N/A</v>
      </c>
      <c r="Q69" s="7" t="e">
        <f t="shared" si="14"/>
        <v>#N/A</v>
      </c>
      <c r="S69" s="63"/>
      <c r="X69" s="26">
        <v>49430</v>
      </c>
      <c r="Y69" s="7">
        <f t="shared" si="8"/>
        <v>10351.16</v>
      </c>
      <c r="Z69" s="7">
        <f t="shared" si="10"/>
        <v>10248.395530169404</v>
      </c>
      <c r="AA69" s="7">
        <f t="shared" si="9"/>
        <v>102.76446983059591</v>
      </c>
      <c r="AB69" s="7">
        <f t="shared" ref="AB69:AB79" si="24">+AB68-Z69</f>
        <v>102988.95663467205</v>
      </c>
      <c r="BB69" s="187"/>
      <c r="BC69" s="180"/>
      <c r="BD69" s="191">
        <v>42209</v>
      </c>
      <c r="BE69" s="192">
        <v>0.54300000000000004</v>
      </c>
      <c r="BH69" s="94">
        <v>42178</v>
      </c>
      <c r="BI69" s="95">
        <v>0.51200000000000001</v>
      </c>
      <c r="BJ69" s="96">
        <v>8.4</v>
      </c>
    </row>
    <row r="70" spans="1:62" ht="13.8" x14ac:dyDescent="0.25">
      <c r="A70" s="237">
        <v>47058</v>
      </c>
      <c r="B70" s="7">
        <f t="shared" si="23"/>
        <v>4775.6788399534489</v>
      </c>
      <c r="C70" s="7" t="e">
        <f t="shared" si="19"/>
        <v>#N/A</v>
      </c>
      <c r="D70" s="7" t="e">
        <f t="shared" si="18"/>
        <v>#N/A</v>
      </c>
      <c r="E70" s="7" t="e">
        <f t="shared" si="20"/>
        <v>#N/A</v>
      </c>
      <c r="F70" s="269">
        <f t="shared" si="21"/>
        <v>2.7975800000000002E-2</v>
      </c>
      <c r="G70" s="365">
        <v>2.4221599999999999</v>
      </c>
      <c r="H70">
        <f t="shared" si="22"/>
        <v>2.4329999999999998</v>
      </c>
      <c r="I70" s="363" t="s">
        <v>478</v>
      </c>
      <c r="L70" s="47"/>
      <c r="M70" s="258"/>
      <c r="N70" s="243">
        <f t="shared" si="16"/>
        <v>10351.16</v>
      </c>
      <c r="O70" s="7" t="e">
        <f t="shared" si="12"/>
        <v>#N/A</v>
      </c>
      <c r="P70" s="7" t="e">
        <f t="shared" si="13"/>
        <v>#N/A</v>
      </c>
      <c r="Q70" s="7" t="e">
        <f t="shared" si="14"/>
        <v>#N/A</v>
      </c>
      <c r="S70" s="63"/>
      <c r="X70" s="26">
        <v>49614</v>
      </c>
      <c r="Y70" s="7">
        <f t="shared" si="8"/>
        <v>10351.16</v>
      </c>
      <c r="Z70" s="7">
        <f t="shared" si="10"/>
        <v>10256.146965895812</v>
      </c>
      <c r="AA70" s="7">
        <f t="shared" si="9"/>
        <v>95.0130341041869</v>
      </c>
      <c r="AB70" s="7">
        <f t="shared" si="24"/>
        <v>92732.809668776245</v>
      </c>
      <c r="BB70" s="187"/>
      <c r="BC70" s="180"/>
      <c r="BD70" s="191">
        <v>42212</v>
      </c>
      <c r="BE70" s="192">
        <v>0.53500000000000003</v>
      </c>
      <c r="BH70" s="94">
        <v>42179</v>
      </c>
      <c r="BI70" s="95">
        <v>0.53700000000000003</v>
      </c>
      <c r="BJ70" s="96">
        <v>8.44</v>
      </c>
    </row>
    <row r="71" spans="1:62" ht="13.8" x14ac:dyDescent="0.25">
      <c r="A71" s="234">
        <v>47239</v>
      </c>
      <c r="B71" s="7">
        <f t="shared" si="23"/>
        <v>4775.6788399534489</v>
      </c>
      <c r="C71" s="7" t="e">
        <f t="shared" si="19"/>
        <v>#N/A</v>
      </c>
      <c r="D71" s="7" t="e">
        <f t="shared" si="18"/>
        <v>#N/A</v>
      </c>
      <c r="E71" s="7" t="e">
        <f t="shared" si="20"/>
        <v>#N/A</v>
      </c>
      <c r="F71" s="269">
        <f t="shared" si="21"/>
        <v>2.7970200000000001E-2</v>
      </c>
      <c r="G71" s="365">
        <v>2.4210400000000001</v>
      </c>
      <c r="H71">
        <f t="shared" si="22"/>
        <v>2.4329999999999998</v>
      </c>
      <c r="I71" s="363" t="s">
        <v>479</v>
      </c>
      <c r="L71" s="47"/>
      <c r="M71" s="47"/>
      <c r="N71" s="243">
        <f t="shared" si="16"/>
        <v>10351.16</v>
      </c>
      <c r="O71" s="7" t="e">
        <f t="shared" si="12"/>
        <v>#N/A</v>
      </c>
      <c r="P71" s="7" t="e">
        <f t="shared" si="13"/>
        <v>#N/A</v>
      </c>
      <c r="Q71" s="7" t="e">
        <f t="shared" si="14"/>
        <v>#N/A</v>
      </c>
      <c r="S71" s="63"/>
      <c r="X71" s="26">
        <v>49796</v>
      </c>
      <c r="Y71" s="7">
        <f t="shared" si="8"/>
        <v>10351.16</v>
      </c>
      <c r="Z71" s="7">
        <f t="shared" si="10"/>
        <v>10266.538735265862</v>
      </c>
      <c r="AA71" s="7">
        <f t="shared" si="9"/>
        <v>84.621264734138009</v>
      </c>
      <c r="AB71" s="7">
        <f t="shared" si="24"/>
        <v>82466.270933510386</v>
      </c>
      <c r="BB71" s="187"/>
      <c r="BC71" s="180"/>
      <c r="BD71" s="191">
        <v>42213</v>
      </c>
      <c r="BE71" s="192">
        <v>0.52900000000000003</v>
      </c>
      <c r="BH71" s="94">
        <v>42180</v>
      </c>
      <c r="BI71" s="95">
        <v>0.54800000000000004</v>
      </c>
      <c r="BJ71" s="96">
        <v>8.44</v>
      </c>
    </row>
    <row r="72" spans="1:62" ht="13.8" x14ac:dyDescent="0.25">
      <c r="A72" s="235">
        <v>47423</v>
      </c>
      <c r="B72" s="7">
        <f t="shared" si="23"/>
        <v>4775.6788399534489</v>
      </c>
      <c r="C72" s="7" t="e">
        <f t="shared" si="19"/>
        <v>#N/A</v>
      </c>
      <c r="D72" s="7" t="e">
        <f t="shared" si="18"/>
        <v>#N/A</v>
      </c>
      <c r="E72" s="7" t="e">
        <f t="shared" si="20"/>
        <v>#N/A</v>
      </c>
      <c r="F72" s="269">
        <f t="shared" si="21"/>
        <v>2.8218899999999998E-2</v>
      </c>
      <c r="G72" s="365">
        <v>2.47078</v>
      </c>
      <c r="H72">
        <f t="shared" si="22"/>
        <v>2.4329999999999998</v>
      </c>
      <c r="I72" s="363" t="s">
        <v>480</v>
      </c>
      <c r="L72" s="47"/>
      <c r="M72" s="47"/>
      <c r="N72" s="243">
        <f t="shared" si="16"/>
        <v>10351.16</v>
      </c>
      <c r="O72" s="7" t="e">
        <f t="shared" si="12"/>
        <v>#N/A</v>
      </c>
      <c r="P72" s="7" t="e">
        <f t="shared" si="13"/>
        <v>#N/A</v>
      </c>
      <c r="Q72" s="7" t="e">
        <f t="shared" si="14"/>
        <v>#N/A</v>
      </c>
      <c r="S72" s="63"/>
      <c r="X72" s="26">
        <v>49980</v>
      </c>
      <c r="Y72" s="7">
        <f t="shared" si="8"/>
        <v>10351.16</v>
      </c>
      <c r="Z72" s="7">
        <f t="shared" si="10"/>
        <v>10275.08028360434</v>
      </c>
      <c r="AA72" s="7">
        <f t="shared" si="9"/>
        <v>76.079716395659631</v>
      </c>
      <c r="AB72" s="7">
        <f t="shared" si="24"/>
        <v>72191.190649906042</v>
      </c>
      <c r="BB72" s="187"/>
      <c r="BC72" s="180"/>
      <c r="BD72" s="191">
        <v>42214</v>
      </c>
      <c r="BE72" s="192">
        <v>0.52200000000000002</v>
      </c>
      <c r="BH72" s="94">
        <v>42181</v>
      </c>
      <c r="BI72" s="95">
        <v>0.56000000000000005</v>
      </c>
      <c r="BJ72" s="96">
        <v>8.44</v>
      </c>
    </row>
    <row r="73" spans="1:62" ht="13.8" x14ac:dyDescent="0.25">
      <c r="A73" s="236">
        <v>47604</v>
      </c>
      <c r="B73" s="7">
        <f t="shared" si="23"/>
        <v>4775.6788399534489</v>
      </c>
      <c r="C73" s="7" t="e">
        <f t="shared" si="19"/>
        <v>#N/A</v>
      </c>
      <c r="D73" s="7" t="e">
        <f t="shared" si="18"/>
        <v>#N/A</v>
      </c>
      <c r="E73" s="7" t="e">
        <f t="shared" si="20"/>
        <v>#N/A</v>
      </c>
      <c r="F73" s="269">
        <f t="shared" si="21"/>
        <v>2.8308699999999999E-2</v>
      </c>
      <c r="G73" s="365">
        <v>2.48874</v>
      </c>
      <c r="H73">
        <f t="shared" si="22"/>
        <v>2.4329999999999998</v>
      </c>
      <c r="I73" s="363" t="s">
        <v>481</v>
      </c>
      <c r="L73" s="47"/>
      <c r="M73" s="47"/>
      <c r="N73" s="243">
        <f t="shared" si="16"/>
        <v>10351.16</v>
      </c>
      <c r="O73" s="7" t="e">
        <f t="shared" si="12"/>
        <v>#N/A</v>
      </c>
      <c r="P73" s="7" t="e">
        <f t="shared" si="13"/>
        <v>#N/A</v>
      </c>
      <c r="Q73" s="7" t="e">
        <f t="shared" si="14"/>
        <v>#N/A</v>
      </c>
      <c r="S73" s="63"/>
      <c r="X73" s="26">
        <v>50161</v>
      </c>
      <c r="Y73" s="7">
        <f t="shared" si="8"/>
        <v>10351.16</v>
      </c>
      <c r="Z73" s="7">
        <f t="shared" si="10"/>
        <v>10285.645491829784</v>
      </c>
      <c r="AA73" s="7">
        <f t="shared" si="9"/>
        <v>65.514508170215422</v>
      </c>
      <c r="AB73" s="7">
        <f t="shared" si="24"/>
        <v>61905.54515807626</v>
      </c>
      <c r="BB73" s="187"/>
      <c r="BC73" s="180"/>
      <c r="BD73" s="191">
        <v>42215</v>
      </c>
      <c r="BE73" s="192">
        <v>0.51100000000000001</v>
      </c>
      <c r="BH73" s="94">
        <v>42184</v>
      </c>
      <c r="BI73" s="95">
        <v>0.57199999999999995</v>
      </c>
      <c r="BJ73" s="96">
        <v>8.43</v>
      </c>
    </row>
    <row r="74" spans="1:62" ht="13.8" x14ac:dyDescent="0.25">
      <c r="A74" s="237">
        <v>47788</v>
      </c>
      <c r="B74" s="7">
        <f t="shared" si="23"/>
        <v>4775.6788399534489</v>
      </c>
      <c r="C74" s="7" t="e">
        <f t="shared" si="19"/>
        <v>#N/A</v>
      </c>
      <c r="D74" s="7" t="e">
        <f t="shared" si="18"/>
        <v>#N/A</v>
      </c>
      <c r="E74" s="7" t="e">
        <f t="shared" si="20"/>
        <v>#N/A</v>
      </c>
      <c r="F74" s="269">
        <f t="shared" si="21"/>
        <v>2.8530649999999998E-2</v>
      </c>
      <c r="G74" s="365">
        <v>2.5331299999999999</v>
      </c>
      <c r="H74">
        <f t="shared" si="22"/>
        <v>2.4329999999999998</v>
      </c>
      <c r="I74" s="363" t="s">
        <v>482</v>
      </c>
      <c r="L74" s="47"/>
      <c r="M74" s="47"/>
      <c r="N74" s="243">
        <f t="shared" si="16"/>
        <v>10351.16</v>
      </c>
      <c r="O74" s="7" t="e">
        <f t="shared" si="12"/>
        <v>#N/A</v>
      </c>
      <c r="P74" s="7" t="e">
        <f t="shared" si="13"/>
        <v>#N/A</v>
      </c>
      <c r="Q74" s="7" t="e">
        <f t="shared" si="14"/>
        <v>#N/A</v>
      </c>
      <c r="S74" s="63"/>
      <c r="X74" s="26">
        <v>50345</v>
      </c>
      <c r="Y74" s="7">
        <f t="shared" si="8"/>
        <v>10351.16</v>
      </c>
      <c r="Z74" s="7">
        <f t="shared" si="10"/>
        <v>10294.048695394722</v>
      </c>
      <c r="AA74" s="7">
        <f t="shared" si="9"/>
        <v>57.111304605278576</v>
      </c>
      <c r="AB74" s="7">
        <f t="shared" si="24"/>
        <v>51611.496462681534</v>
      </c>
      <c r="BB74" s="187"/>
      <c r="BC74" s="180"/>
      <c r="BD74" s="191">
        <v>42216</v>
      </c>
      <c r="BE74" s="192">
        <v>0.501</v>
      </c>
      <c r="BH74" s="94">
        <v>42185</v>
      </c>
      <c r="BI74" s="95">
        <v>0.58299999999999996</v>
      </c>
      <c r="BJ74" s="96">
        <v>8.43</v>
      </c>
    </row>
    <row r="75" spans="1:62" ht="13.8" x14ac:dyDescent="0.25">
      <c r="A75" s="234">
        <v>47969</v>
      </c>
      <c r="B75" s="7">
        <f t="shared" si="23"/>
        <v>4775.6788399534489</v>
      </c>
      <c r="C75" s="7" t="e">
        <f t="shared" si="19"/>
        <v>#N/A</v>
      </c>
      <c r="D75" s="7" t="e">
        <f t="shared" si="18"/>
        <v>#N/A</v>
      </c>
      <c r="E75" s="7" t="e">
        <f t="shared" si="20"/>
        <v>#N/A</v>
      </c>
      <c r="F75" s="269">
        <f t="shared" si="21"/>
        <v>2.8605449999999998E-2</v>
      </c>
      <c r="G75" s="365">
        <v>2.5480900000000002</v>
      </c>
      <c r="H75">
        <f t="shared" si="22"/>
        <v>2.4329999999999998</v>
      </c>
      <c r="I75" s="363" t="s">
        <v>483</v>
      </c>
      <c r="L75" s="47"/>
      <c r="M75" s="47"/>
      <c r="N75" s="243">
        <f t="shared" si="16"/>
        <v>10351.16</v>
      </c>
      <c r="O75" s="7" t="e">
        <f t="shared" si="12"/>
        <v>#N/A</v>
      </c>
      <c r="P75" s="7" t="e">
        <f t="shared" si="13"/>
        <v>#N/A</v>
      </c>
      <c r="Q75" s="7" t="e">
        <f t="shared" si="14"/>
        <v>#N/A</v>
      </c>
      <c r="S75" s="63"/>
      <c r="X75" s="26">
        <v>50526</v>
      </c>
      <c r="Y75" s="7">
        <f t="shared" si="8"/>
        <v>10351.16</v>
      </c>
      <c r="Z75" s="7">
        <f t="shared" si="10"/>
        <v>10304.321850133776</v>
      </c>
      <c r="AA75" s="7">
        <f t="shared" si="9"/>
        <v>46.838149866223247</v>
      </c>
      <c r="AB75" s="7">
        <f t="shared" si="24"/>
        <v>41307.174612547758</v>
      </c>
      <c r="BB75" s="187"/>
      <c r="BC75" s="180"/>
      <c r="BD75" s="191">
        <v>42219</v>
      </c>
      <c r="BE75" s="192">
        <v>0.49199999999999999</v>
      </c>
      <c r="BH75" s="94">
        <v>42186</v>
      </c>
      <c r="BI75" s="95">
        <v>0.59</v>
      </c>
      <c r="BJ75" s="96">
        <v>8.42</v>
      </c>
    </row>
    <row r="76" spans="1:62" ht="13.8" x14ac:dyDescent="0.25">
      <c r="A76" s="235">
        <v>48153</v>
      </c>
      <c r="B76" s="7">
        <f t="shared" si="23"/>
        <v>4775.6788399534489</v>
      </c>
      <c r="C76" s="7" t="e">
        <f t="shared" si="19"/>
        <v>#N/A</v>
      </c>
      <c r="D76" s="7" t="e">
        <f t="shared" si="18"/>
        <v>#N/A</v>
      </c>
      <c r="E76" s="7" t="e">
        <f t="shared" si="20"/>
        <v>#N/A</v>
      </c>
      <c r="F76" s="269">
        <f t="shared" si="21"/>
        <v>2.8801649999999998E-2</v>
      </c>
      <c r="G76" s="365">
        <v>2.5873300000000001</v>
      </c>
      <c r="H76">
        <f t="shared" si="22"/>
        <v>2.4329999999999998</v>
      </c>
      <c r="I76" s="363" t="s">
        <v>484</v>
      </c>
      <c r="L76" s="47"/>
      <c r="M76" s="47"/>
      <c r="N76" s="243">
        <f t="shared" si="16"/>
        <v>10351.16</v>
      </c>
      <c r="O76" s="7" t="e">
        <f t="shared" si="12"/>
        <v>#N/A</v>
      </c>
      <c r="P76" s="7" t="e">
        <f t="shared" si="13"/>
        <v>#N/A</v>
      </c>
      <c r="Q76" s="7" t="e">
        <f t="shared" si="14"/>
        <v>#N/A</v>
      </c>
      <c r="S76" s="63"/>
      <c r="X76" s="26">
        <v>50710</v>
      </c>
      <c r="Y76" s="7">
        <f t="shared" si="8"/>
        <v>10351.16</v>
      </c>
      <c r="Z76" s="7">
        <f t="shared" si="10"/>
        <v>10313.051836576891</v>
      </c>
      <c r="AA76" s="7">
        <f t="shared" si="9"/>
        <v>38.108163423109339</v>
      </c>
      <c r="AB76" s="7">
        <f t="shared" si="24"/>
        <v>30994.122775970867</v>
      </c>
      <c r="BB76" s="187"/>
      <c r="BC76" s="180"/>
      <c r="BD76" s="191">
        <v>42220</v>
      </c>
      <c r="BE76" s="192">
        <v>0.48399999999999999</v>
      </c>
      <c r="BH76" s="94">
        <v>42187</v>
      </c>
      <c r="BI76" s="95">
        <v>0.59599999999999997</v>
      </c>
      <c r="BJ76" s="96">
        <v>8.42</v>
      </c>
    </row>
    <row r="77" spans="1:62" ht="13.8" x14ac:dyDescent="0.25">
      <c r="A77" s="236">
        <v>48335</v>
      </c>
      <c r="B77" s="7">
        <f t="shared" si="23"/>
        <v>4775.6788399534489</v>
      </c>
      <c r="C77" s="7" t="e">
        <f t="shared" si="19"/>
        <v>#N/A</v>
      </c>
      <c r="D77" s="7" t="e">
        <f t="shared" si="18"/>
        <v>#N/A</v>
      </c>
      <c r="E77" s="7" t="e">
        <f t="shared" si="20"/>
        <v>#N/A</v>
      </c>
      <c r="F77" s="269">
        <f t="shared" si="21"/>
        <v>2.8869399999999996E-2</v>
      </c>
      <c r="G77" s="365">
        <v>2.6008800000000001</v>
      </c>
      <c r="H77">
        <f t="shared" si="22"/>
        <v>2.4329999999999998</v>
      </c>
      <c r="I77" s="363" t="s">
        <v>485</v>
      </c>
      <c r="L77" s="47"/>
      <c r="M77" s="47"/>
      <c r="N77" s="243">
        <f t="shared" si="16"/>
        <v>10351.16</v>
      </c>
      <c r="O77" s="7" t="e">
        <f t="shared" si="12"/>
        <v>#N/A</v>
      </c>
      <c r="P77" s="7" t="e">
        <f t="shared" si="13"/>
        <v>#N/A</v>
      </c>
      <c r="Q77" s="7" t="e">
        <f t="shared" si="14"/>
        <v>#N/A</v>
      </c>
      <c r="S77" s="63"/>
      <c r="X77" s="164">
        <v>50891</v>
      </c>
      <c r="Y77" s="165">
        <f t="shared" si="8"/>
        <v>10351.16</v>
      </c>
      <c r="Z77" s="165">
        <f t="shared" si="10"/>
        <v>10323.032403106879</v>
      </c>
      <c r="AA77" s="165">
        <f t="shared" si="9"/>
        <v>28.127596893121009</v>
      </c>
      <c r="AB77" s="165">
        <f t="shared" si="24"/>
        <v>20671.09037286399</v>
      </c>
      <c r="BB77" s="187"/>
      <c r="BC77" s="180"/>
      <c r="BD77" s="191">
        <v>42221</v>
      </c>
      <c r="BE77" s="192">
        <v>0.48</v>
      </c>
      <c r="BH77" s="94">
        <v>42188</v>
      </c>
      <c r="BI77" s="95">
        <v>0.59799999999999998</v>
      </c>
      <c r="BJ77" s="96">
        <v>8.42</v>
      </c>
    </row>
    <row r="78" spans="1:62" ht="13.8" x14ac:dyDescent="0.25">
      <c r="A78" s="237">
        <v>48519</v>
      </c>
      <c r="B78" s="7">
        <f t="shared" si="23"/>
        <v>4775.6788399534489</v>
      </c>
      <c r="C78" s="7" t="e">
        <f t="shared" si="19"/>
        <v>#N/A</v>
      </c>
      <c r="D78" s="7" t="e">
        <f t="shared" si="18"/>
        <v>#N/A</v>
      </c>
      <c r="E78" s="7" t="e">
        <f t="shared" si="20"/>
        <v>#N/A</v>
      </c>
      <c r="F78" s="269">
        <f t="shared" si="21"/>
        <v>2.8935700000000002E-2</v>
      </c>
      <c r="G78" s="365">
        <v>2.6141399999999999</v>
      </c>
      <c r="H78">
        <f t="shared" si="22"/>
        <v>2.4329999999999998</v>
      </c>
      <c r="I78" s="363" t="s">
        <v>486</v>
      </c>
      <c r="L78" s="47"/>
      <c r="M78" s="47"/>
      <c r="N78" s="243">
        <f t="shared" si="16"/>
        <v>10351.16</v>
      </c>
      <c r="O78" s="7" t="e">
        <f t="shared" si="12"/>
        <v>#N/A</v>
      </c>
      <c r="P78" s="7" t="e">
        <f t="shared" si="13"/>
        <v>#N/A</v>
      </c>
      <c r="Q78" s="7" t="e">
        <f t="shared" si="14"/>
        <v>#N/A</v>
      </c>
      <c r="S78" s="63"/>
      <c r="X78" s="164">
        <v>51075</v>
      </c>
      <c r="Y78" s="165">
        <f t="shared" si="8"/>
        <v>10351.16</v>
      </c>
      <c r="Z78" s="165">
        <f t="shared" si="10"/>
        <v>10332.089770737124</v>
      </c>
      <c r="AA78" s="165">
        <f t="shared" si="9"/>
        <v>19.070229262876634</v>
      </c>
      <c r="AB78" s="165">
        <f t="shared" si="24"/>
        <v>10339.000602126865</v>
      </c>
      <c r="BB78" s="187"/>
      <c r="BC78" s="180"/>
      <c r="BD78" s="191">
        <v>42222</v>
      </c>
      <c r="BE78" s="192">
        <v>0.48099999999999998</v>
      </c>
      <c r="BH78" s="94">
        <v>42191</v>
      </c>
      <c r="BI78" s="95">
        <v>0.59799999999999998</v>
      </c>
      <c r="BJ78" s="96">
        <v>8.41</v>
      </c>
    </row>
    <row r="79" spans="1:62" ht="13.8" x14ac:dyDescent="0.25">
      <c r="A79" s="234">
        <v>48700</v>
      </c>
      <c r="B79" s="7">
        <f t="shared" si="23"/>
        <v>4775.6788399534489</v>
      </c>
      <c r="C79" s="7" t="e">
        <f t="shared" si="19"/>
        <v>#N/A</v>
      </c>
      <c r="D79" s="7" t="e">
        <f t="shared" si="18"/>
        <v>#N/A</v>
      </c>
      <c r="E79" s="7" t="e">
        <f t="shared" si="20"/>
        <v>#N/A</v>
      </c>
      <c r="F79" s="269">
        <f t="shared" si="21"/>
        <v>2.8962250000000002E-2</v>
      </c>
      <c r="G79" s="365">
        <v>2.6194500000000001</v>
      </c>
      <c r="H79">
        <f t="shared" si="22"/>
        <v>2.4329999999999998</v>
      </c>
      <c r="I79" s="363" t="s">
        <v>487</v>
      </c>
      <c r="L79" s="47"/>
      <c r="M79" s="47"/>
      <c r="N79" s="243">
        <f t="shared" si="16"/>
        <v>10351.16</v>
      </c>
      <c r="O79" s="7" t="e">
        <f t="shared" si="12"/>
        <v>#N/A</v>
      </c>
      <c r="P79" s="7" t="e">
        <f t="shared" si="13"/>
        <v>#N/A</v>
      </c>
      <c r="Q79" s="7" t="e">
        <f t="shared" si="14"/>
        <v>#N/A</v>
      </c>
      <c r="S79" s="63"/>
      <c r="X79" s="166">
        <v>51257</v>
      </c>
      <c r="Y79" s="167">
        <f t="shared" si="8"/>
        <v>10351.16</v>
      </c>
      <c r="Z79" s="167">
        <f t="shared" si="10"/>
        <v>10341.725374756097</v>
      </c>
      <c r="AA79" s="167">
        <f t="shared" si="9"/>
        <v>9.4346252439019356</v>
      </c>
      <c r="AB79" s="167">
        <f t="shared" si="24"/>
        <v>-2.7247726292316656</v>
      </c>
      <c r="BB79" s="187"/>
      <c r="BC79" s="180"/>
      <c r="BD79" s="191">
        <v>42223</v>
      </c>
      <c r="BE79" s="192">
        <v>0.47299999999999998</v>
      </c>
      <c r="BH79" s="94">
        <v>42192</v>
      </c>
      <c r="BI79" s="95">
        <v>0.59499999999999997</v>
      </c>
      <c r="BJ79" s="96">
        <v>8.41</v>
      </c>
    </row>
    <row r="80" spans="1:62" ht="13.8" x14ac:dyDescent="0.25">
      <c r="A80" s="235">
        <v>48884</v>
      </c>
      <c r="B80" s="7">
        <f t="shared" si="23"/>
        <v>4775.6788399534489</v>
      </c>
      <c r="C80" s="7" t="e">
        <f t="shared" si="19"/>
        <v>#N/A</v>
      </c>
      <c r="D80" s="7" t="e">
        <f t="shared" si="18"/>
        <v>#N/A</v>
      </c>
      <c r="E80" s="7" t="e">
        <f t="shared" si="20"/>
        <v>#N/A</v>
      </c>
      <c r="F80" s="269">
        <f t="shared" si="21"/>
        <v>2.8746899999999999E-2</v>
      </c>
      <c r="G80" s="365">
        <v>2.5763799999999999</v>
      </c>
      <c r="H80">
        <f t="shared" si="22"/>
        <v>2.4329999999999998</v>
      </c>
      <c r="I80" s="363" t="s">
        <v>488</v>
      </c>
      <c r="L80" s="47"/>
      <c r="M80" s="47"/>
      <c r="N80" s="243">
        <f t="shared" si="16"/>
        <v>10351.16</v>
      </c>
      <c r="O80" s="7" t="e">
        <f t="shared" si="12"/>
        <v>#N/A</v>
      </c>
      <c r="P80" s="7" t="e">
        <f t="shared" si="13"/>
        <v>#N/A</v>
      </c>
      <c r="Q80" s="7" t="e">
        <f t="shared" si="14"/>
        <v>#N/A</v>
      </c>
      <c r="S80" s="63"/>
      <c r="X80" s="7"/>
      <c r="BB80" s="187"/>
      <c r="BC80" s="180"/>
      <c r="BD80" s="191">
        <v>42226</v>
      </c>
      <c r="BE80" s="192">
        <v>0.46300000000000002</v>
      </c>
      <c r="BH80" s="94">
        <v>42193</v>
      </c>
      <c r="BI80" s="95">
        <v>0.58699999999999997</v>
      </c>
      <c r="BJ80" s="96">
        <v>8.4</v>
      </c>
    </row>
    <row r="81" spans="1:62" ht="13.8" x14ac:dyDescent="0.25">
      <c r="A81" s="236">
        <v>49065</v>
      </c>
      <c r="B81" s="7">
        <f t="shared" si="23"/>
        <v>4775.6788399534489</v>
      </c>
      <c r="C81" s="7" t="e">
        <f t="shared" si="19"/>
        <v>#N/A</v>
      </c>
      <c r="D81" s="7" t="e">
        <f t="shared" si="18"/>
        <v>#N/A</v>
      </c>
      <c r="E81" s="7" t="e">
        <f t="shared" si="20"/>
        <v>#N/A</v>
      </c>
      <c r="F81" s="269">
        <f t="shared" si="21"/>
        <v>2.8671100000000005E-2</v>
      </c>
      <c r="G81" s="365">
        <v>2.5612200000000001</v>
      </c>
      <c r="H81">
        <f t="shared" si="22"/>
        <v>2.4329999999999998</v>
      </c>
      <c r="I81" s="363" t="s">
        <v>489</v>
      </c>
      <c r="L81" s="47"/>
      <c r="M81" s="47"/>
      <c r="N81" s="243">
        <f t="shared" si="16"/>
        <v>10351.16</v>
      </c>
      <c r="O81" s="7" t="e">
        <f t="shared" si="12"/>
        <v>#N/A</v>
      </c>
      <c r="P81" s="7" t="e">
        <f t="shared" si="13"/>
        <v>#N/A</v>
      </c>
      <c r="Q81" s="7" t="e">
        <f t="shared" si="14"/>
        <v>#N/A</v>
      </c>
      <c r="S81" s="63"/>
      <c r="BB81" s="187"/>
      <c r="BC81" s="180"/>
      <c r="BD81" s="191">
        <v>42227</v>
      </c>
      <c r="BE81" s="192">
        <v>0.45300000000000001</v>
      </c>
      <c r="BH81" s="94">
        <v>42194</v>
      </c>
      <c r="BI81" s="95">
        <v>0.58399999999999996</v>
      </c>
      <c r="BJ81" s="96">
        <v>8.4</v>
      </c>
    </row>
    <row r="82" spans="1:62" ht="13.8" x14ac:dyDescent="0.25">
      <c r="A82" s="237">
        <v>49249</v>
      </c>
      <c r="B82" s="7">
        <f t="shared" si="23"/>
        <v>4775.6788399534489</v>
      </c>
      <c r="C82" s="7" t="e">
        <f t="shared" si="19"/>
        <v>#N/A</v>
      </c>
      <c r="D82" s="7" t="e">
        <f t="shared" si="18"/>
        <v>#N/A</v>
      </c>
      <c r="E82" s="7" t="e">
        <f t="shared" si="20"/>
        <v>#N/A</v>
      </c>
      <c r="F82" s="269">
        <f t="shared" si="21"/>
        <v>2.8353499999999997E-2</v>
      </c>
      <c r="G82" s="365">
        <v>2.4977</v>
      </c>
      <c r="H82">
        <f t="shared" si="22"/>
        <v>2.4329999999999998</v>
      </c>
      <c r="I82" s="363" t="s">
        <v>490</v>
      </c>
      <c r="L82" s="47"/>
      <c r="M82" s="47"/>
      <c r="N82" s="243">
        <f t="shared" si="16"/>
        <v>10351.16</v>
      </c>
      <c r="O82" s="7" t="e">
        <f t="shared" si="12"/>
        <v>#N/A</v>
      </c>
      <c r="P82" s="7" t="e">
        <f t="shared" si="13"/>
        <v>#N/A</v>
      </c>
      <c r="Q82" s="7" t="e">
        <f t="shared" si="14"/>
        <v>#N/A</v>
      </c>
      <c r="S82" s="63"/>
      <c r="BB82" s="187"/>
      <c r="BC82" s="180"/>
      <c r="BD82" s="191">
        <v>42228</v>
      </c>
      <c r="BE82" s="192">
        <v>0.44500000000000001</v>
      </c>
      <c r="BH82" s="94">
        <v>42195</v>
      </c>
      <c r="BI82" s="95">
        <v>0.58299999999999996</v>
      </c>
      <c r="BJ82" s="96">
        <v>8.39</v>
      </c>
    </row>
    <row r="83" spans="1:62" ht="13.8" x14ac:dyDescent="0.25">
      <c r="A83" s="234">
        <v>49430</v>
      </c>
      <c r="B83" s="7">
        <f t="shared" si="23"/>
        <v>4775.6788399534489</v>
      </c>
      <c r="C83" s="7" t="e">
        <f t="shared" si="19"/>
        <v>#N/A</v>
      </c>
      <c r="D83" s="7" t="e">
        <f t="shared" si="18"/>
        <v>#N/A</v>
      </c>
      <c r="E83" s="7" t="e">
        <f t="shared" si="20"/>
        <v>#N/A</v>
      </c>
      <c r="F83" s="269">
        <f t="shared" si="21"/>
        <v>2.8243900000000002E-2</v>
      </c>
      <c r="G83" s="365">
        <v>2.4757799999999999</v>
      </c>
      <c r="H83">
        <f t="shared" si="22"/>
        <v>2.4329999999999998</v>
      </c>
      <c r="I83" s="363" t="s">
        <v>491</v>
      </c>
      <c r="L83" s="47"/>
      <c r="M83" s="47"/>
      <c r="N83" s="243">
        <f t="shared" si="16"/>
        <v>10351.16</v>
      </c>
      <c r="O83" s="7" t="e">
        <f t="shared" si="12"/>
        <v>#N/A</v>
      </c>
      <c r="P83" s="7" t="e">
        <f t="shared" si="13"/>
        <v>#N/A</v>
      </c>
      <c r="Q83" s="7" t="e">
        <f t="shared" si="14"/>
        <v>#N/A</v>
      </c>
      <c r="S83" s="63"/>
      <c r="BB83" s="187"/>
      <c r="BC83" s="180"/>
      <c r="BD83" s="191">
        <v>42229</v>
      </c>
      <c r="BE83" s="192">
        <v>0.438</v>
      </c>
      <c r="BH83" s="94">
        <v>42198</v>
      </c>
      <c r="BI83" s="95">
        <v>0.58499999999999996</v>
      </c>
      <c r="BJ83" s="96">
        <v>8.39</v>
      </c>
    </row>
    <row r="84" spans="1:62" ht="13.8" x14ac:dyDescent="0.25">
      <c r="A84" s="235">
        <v>49614</v>
      </c>
      <c r="B84" s="7">
        <f t="shared" si="23"/>
        <v>4775.6788399534489</v>
      </c>
      <c r="C84" s="7" t="e">
        <f t="shared" si="19"/>
        <v>#N/A</v>
      </c>
      <c r="D84" s="7" t="e">
        <f t="shared" si="18"/>
        <v>#N/A</v>
      </c>
      <c r="E84" s="7" t="e">
        <f t="shared" si="20"/>
        <v>#N/A</v>
      </c>
      <c r="F84" s="269">
        <f t="shared" si="21"/>
        <v>2.7749799999999998E-2</v>
      </c>
      <c r="G84" s="365">
        <v>2.37696</v>
      </c>
      <c r="H84">
        <f t="shared" si="22"/>
        <v>2.4329999999999998</v>
      </c>
      <c r="I84" s="363" t="s">
        <v>492</v>
      </c>
      <c r="L84" s="47"/>
      <c r="M84" s="47"/>
      <c r="N84" s="243">
        <f t="shared" si="16"/>
        <v>10351.16</v>
      </c>
      <c r="O84" s="7" t="e">
        <f t="shared" si="12"/>
        <v>#N/A</v>
      </c>
      <c r="P84" s="7" t="e">
        <f t="shared" si="13"/>
        <v>#N/A</v>
      </c>
      <c r="Q84" s="7" t="e">
        <f t="shared" si="14"/>
        <v>#N/A</v>
      </c>
      <c r="S84" s="63"/>
      <c r="BB84" s="187"/>
      <c r="BC84" s="180"/>
      <c r="BD84" s="191">
        <v>42230</v>
      </c>
      <c r="BE84" s="192">
        <v>0.433</v>
      </c>
      <c r="BH84" s="94">
        <v>42199</v>
      </c>
      <c r="BI84" s="95">
        <v>0.58499999999999996</v>
      </c>
      <c r="BJ84" s="96">
        <v>8.3800000000000008</v>
      </c>
    </row>
    <row r="85" spans="1:62" ht="13.8" x14ac:dyDescent="0.25">
      <c r="A85" s="236">
        <v>49796</v>
      </c>
      <c r="B85" s="7">
        <f t="shared" si="23"/>
        <v>4775.6788399534489</v>
      </c>
      <c r="C85" s="7" t="e">
        <f t="shared" si="19"/>
        <v>#N/A</v>
      </c>
      <c r="D85" s="7" t="e">
        <f t="shared" si="18"/>
        <v>#N/A</v>
      </c>
      <c r="E85" s="7" t="e">
        <f t="shared" si="20"/>
        <v>#N/A</v>
      </c>
      <c r="F85" s="269">
        <f t="shared" si="21"/>
        <v>2.757925E-2</v>
      </c>
      <c r="G85" s="365">
        <v>2.3428499999999999</v>
      </c>
      <c r="H85">
        <f t="shared" si="22"/>
        <v>2.4329999999999998</v>
      </c>
      <c r="I85" s="363" t="s">
        <v>493</v>
      </c>
      <c r="L85" s="47"/>
      <c r="M85" s="47"/>
      <c r="N85" s="243">
        <f t="shared" si="16"/>
        <v>10351.16</v>
      </c>
      <c r="O85" s="7" t="e">
        <f t="shared" si="12"/>
        <v>#N/A</v>
      </c>
      <c r="P85" s="7" t="e">
        <f t="shared" si="13"/>
        <v>#N/A</v>
      </c>
      <c r="Q85" s="7" t="e">
        <f t="shared" si="14"/>
        <v>#N/A</v>
      </c>
      <c r="S85" s="63"/>
      <c r="BB85" s="187"/>
      <c r="BC85" s="180"/>
      <c r="BD85" s="191">
        <v>42233</v>
      </c>
      <c r="BE85" s="192">
        <v>0.42899999999999999</v>
      </c>
      <c r="BH85" s="94">
        <v>42200</v>
      </c>
      <c r="BI85" s="95">
        <v>0.58199999999999996</v>
      </c>
      <c r="BJ85" s="96">
        <v>8.3800000000000008</v>
      </c>
    </row>
    <row r="86" spans="1:62" ht="13.8" x14ac:dyDescent="0.25">
      <c r="A86" s="237">
        <v>49980</v>
      </c>
      <c r="B86" s="7">
        <f t="shared" si="23"/>
        <v>4775.6788399534489</v>
      </c>
      <c r="C86" s="7" t="e">
        <f t="shared" si="19"/>
        <v>#N/A</v>
      </c>
      <c r="D86" s="7" t="e">
        <f t="shared" si="18"/>
        <v>#N/A</v>
      </c>
      <c r="E86" s="7" t="e">
        <f t="shared" si="20"/>
        <v>#N/A</v>
      </c>
      <c r="F86" s="269">
        <f t="shared" si="21"/>
        <v>2.6983649999999998E-2</v>
      </c>
      <c r="G86" s="365">
        <v>2.2237300000000002</v>
      </c>
      <c r="H86">
        <f t="shared" si="22"/>
        <v>2.4329999999999998</v>
      </c>
      <c r="I86" s="363" t="s">
        <v>494</v>
      </c>
      <c r="L86" s="47"/>
      <c r="M86" s="47"/>
      <c r="N86" s="243">
        <f t="shared" si="16"/>
        <v>10351.16</v>
      </c>
      <c r="O86" s="7" t="e">
        <f t="shared" si="12"/>
        <v>#N/A</v>
      </c>
      <c r="P86" s="7" t="e">
        <f t="shared" si="13"/>
        <v>#N/A</v>
      </c>
      <c r="Q86" s="7" t="e">
        <f t="shared" si="14"/>
        <v>#N/A</v>
      </c>
      <c r="S86" s="63"/>
      <c r="BB86" s="187"/>
      <c r="BC86" s="180"/>
      <c r="BD86" s="191">
        <v>42234</v>
      </c>
      <c r="BE86" s="192">
        <v>0.42499999999999999</v>
      </c>
      <c r="BH86" s="94">
        <v>42201</v>
      </c>
      <c r="BI86" s="95">
        <v>0.57999999999999996</v>
      </c>
      <c r="BJ86" s="96">
        <v>8.3800000000000008</v>
      </c>
    </row>
    <row r="87" spans="1:62" ht="13.8" x14ac:dyDescent="0.25">
      <c r="A87" s="234">
        <v>50161</v>
      </c>
      <c r="B87" s="7">
        <f t="shared" si="23"/>
        <v>4775.6788399534489</v>
      </c>
      <c r="C87" s="7" t="e">
        <f t="shared" si="19"/>
        <v>#N/A</v>
      </c>
      <c r="D87" s="7" t="e">
        <f t="shared" si="18"/>
        <v>#N/A</v>
      </c>
      <c r="E87" s="7" t="e">
        <f t="shared" si="20"/>
        <v>#N/A</v>
      </c>
      <c r="F87" s="269">
        <f t="shared" si="21"/>
        <v>2.6783349999999997E-2</v>
      </c>
      <c r="G87" s="365">
        <v>2.1836700000000002</v>
      </c>
      <c r="H87">
        <f t="shared" si="22"/>
        <v>2.4329999999999998</v>
      </c>
      <c r="I87" s="363" t="s">
        <v>495</v>
      </c>
      <c r="L87" s="47"/>
      <c r="M87" s="47"/>
      <c r="N87" s="243">
        <f t="shared" si="16"/>
        <v>10351.16</v>
      </c>
      <c r="O87" s="7" t="e">
        <f t="shared" si="12"/>
        <v>#N/A</v>
      </c>
      <c r="P87" s="7" t="e">
        <f t="shared" si="13"/>
        <v>#N/A</v>
      </c>
      <c r="Q87" s="7" t="e">
        <f t="shared" si="14"/>
        <v>#N/A</v>
      </c>
      <c r="S87" s="63"/>
      <c r="BB87" s="187"/>
      <c r="BC87" s="180"/>
      <c r="BD87" s="191">
        <v>42235</v>
      </c>
      <c r="BE87" s="192">
        <v>0.42199999999999999</v>
      </c>
      <c r="BH87" s="94">
        <v>42202</v>
      </c>
      <c r="BI87" s="95">
        <v>0.57799999999999996</v>
      </c>
      <c r="BJ87" s="96">
        <v>8.3800000000000008</v>
      </c>
    </row>
    <row r="88" spans="1:62" ht="13.8" x14ac:dyDescent="0.25">
      <c r="A88" s="235">
        <v>50345</v>
      </c>
      <c r="B88" s="7">
        <f t="shared" si="23"/>
        <v>4775.6788399534489</v>
      </c>
      <c r="C88" s="7" t="e">
        <f t="shared" si="19"/>
        <v>#N/A</v>
      </c>
      <c r="D88" s="7" t="e">
        <f t="shared" si="18"/>
        <v>#N/A</v>
      </c>
      <c r="E88" s="7" t="e">
        <f t="shared" si="20"/>
        <v>#N/A</v>
      </c>
      <c r="F88" s="269">
        <f t="shared" si="21"/>
        <v>2.6107199999999997E-2</v>
      </c>
      <c r="G88" s="365">
        <v>2.0484399999999998</v>
      </c>
      <c r="H88">
        <f t="shared" si="22"/>
        <v>2.4329999999999998</v>
      </c>
      <c r="I88" s="363" t="s">
        <v>496</v>
      </c>
      <c r="L88" s="47"/>
      <c r="M88" s="47"/>
      <c r="N88" s="243">
        <f t="shared" si="16"/>
        <v>10351.16</v>
      </c>
      <c r="O88" s="7" t="e">
        <f t="shared" si="12"/>
        <v>#N/A</v>
      </c>
      <c r="P88" s="7" t="e">
        <f t="shared" si="13"/>
        <v>#N/A</v>
      </c>
      <c r="Q88" s="7" t="e">
        <f t="shared" si="14"/>
        <v>#N/A</v>
      </c>
      <c r="S88" s="63"/>
      <c r="BB88" s="187"/>
      <c r="BC88" s="180"/>
      <c r="BD88" s="191">
        <v>42236</v>
      </c>
      <c r="BE88" s="192">
        <v>0.41699999999999998</v>
      </c>
      <c r="BH88" s="94">
        <v>42205</v>
      </c>
      <c r="BI88" s="95">
        <v>0.57099999999999995</v>
      </c>
      <c r="BJ88" s="96">
        <v>8.3699999999999992</v>
      </c>
    </row>
    <row r="89" spans="1:62" ht="13.8" x14ac:dyDescent="0.25">
      <c r="A89" s="236">
        <v>50526</v>
      </c>
      <c r="B89" s="7">
        <f t="shared" si="23"/>
        <v>4775.6788399534489</v>
      </c>
      <c r="C89" s="7" t="e">
        <f t="shared" si="19"/>
        <v>#N/A</v>
      </c>
      <c r="D89" s="7" t="e">
        <f t="shared" si="18"/>
        <v>#N/A</v>
      </c>
      <c r="E89" s="7" t="e">
        <f t="shared" si="20"/>
        <v>#N/A</v>
      </c>
      <c r="F89" s="269">
        <f t="shared" si="21"/>
        <v>2.5859050000000001E-2</v>
      </c>
      <c r="G89" s="365">
        <v>1.99881</v>
      </c>
      <c r="H89">
        <f t="shared" si="22"/>
        <v>2.4329999999999998</v>
      </c>
      <c r="I89" s="363" t="s">
        <v>497</v>
      </c>
      <c r="L89" s="47"/>
      <c r="M89" s="47"/>
      <c r="N89" s="243">
        <f t="shared" si="16"/>
        <v>10351.16</v>
      </c>
      <c r="O89" s="7" t="e">
        <f t="shared" si="12"/>
        <v>#N/A</v>
      </c>
      <c r="P89" s="7" t="e">
        <f t="shared" si="13"/>
        <v>#N/A</v>
      </c>
      <c r="Q89" s="7" t="e">
        <f t="shared" si="14"/>
        <v>#N/A</v>
      </c>
      <c r="S89" s="63"/>
      <c r="BB89" s="187"/>
      <c r="BC89" s="180"/>
      <c r="BD89" s="191">
        <v>42237</v>
      </c>
      <c r="BE89" s="192">
        <v>0.41499999999999998</v>
      </c>
      <c r="BH89" s="94">
        <v>42206</v>
      </c>
      <c r="BI89" s="95">
        <v>0.56399999999999995</v>
      </c>
      <c r="BJ89" s="96">
        <v>8.36</v>
      </c>
    </row>
    <row r="90" spans="1:62" ht="13.8" x14ac:dyDescent="0.25">
      <c r="A90" s="237">
        <v>50710</v>
      </c>
      <c r="B90" s="7">
        <f t="shared" si="23"/>
        <v>4775.6788399534489</v>
      </c>
      <c r="C90" s="7" t="e">
        <f t="shared" si="19"/>
        <v>#N/A</v>
      </c>
      <c r="D90" s="7" t="e">
        <f t="shared" si="18"/>
        <v>#N/A</v>
      </c>
      <c r="E90" s="7" t="e">
        <f t="shared" si="20"/>
        <v>#N/A</v>
      </c>
      <c r="F90" s="269">
        <f t="shared" si="21"/>
        <v>2.5142649999999996E-2</v>
      </c>
      <c r="G90" s="365">
        <v>1.8555299999999999</v>
      </c>
      <c r="H90">
        <f t="shared" si="22"/>
        <v>2.4329999999999998</v>
      </c>
      <c r="I90" s="363" t="s">
        <v>498</v>
      </c>
      <c r="L90" s="47"/>
      <c r="M90" s="47"/>
      <c r="N90" s="243">
        <f t="shared" si="16"/>
        <v>10351.16</v>
      </c>
      <c r="O90" s="7" t="e">
        <f t="shared" si="12"/>
        <v>#N/A</v>
      </c>
      <c r="P90" s="7" t="e">
        <f t="shared" si="13"/>
        <v>#N/A</v>
      </c>
      <c r="Q90" s="7" t="e">
        <f t="shared" si="14"/>
        <v>#N/A</v>
      </c>
      <c r="S90" s="63"/>
      <c r="BB90" s="187"/>
      <c r="BC90" s="180"/>
      <c r="BD90" s="191">
        <v>42240</v>
      </c>
      <c r="BE90" s="192">
        <v>0.41299999999999998</v>
      </c>
      <c r="BH90" s="94">
        <v>42207</v>
      </c>
      <c r="BI90" s="95">
        <v>0.55800000000000005</v>
      </c>
      <c r="BJ90" s="96">
        <v>8.36</v>
      </c>
    </row>
    <row r="91" spans="1:62" ht="13.8" x14ac:dyDescent="0.25">
      <c r="A91" s="234">
        <v>50891</v>
      </c>
      <c r="B91" s="7">
        <f t="shared" si="23"/>
        <v>4775.6788399534489</v>
      </c>
      <c r="C91" s="7" t="e">
        <f t="shared" si="19"/>
        <v>#N/A</v>
      </c>
      <c r="D91" s="7" t="e">
        <f t="shared" si="18"/>
        <v>#N/A</v>
      </c>
      <c r="E91" s="7" t="e">
        <f t="shared" si="20"/>
        <v>#N/A</v>
      </c>
      <c r="F91" s="269">
        <f t="shared" si="21"/>
        <v>2.4877799999999999E-2</v>
      </c>
      <c r="G91" s="365">
        <v>1.8025599999999999</v>
      </c>
      <c r="H91">
        <f t="shared" si="22"/>
        <v>2.4329999999999998</v>
      </c>
      <c r="I91" s="363" t="s">
        <v>499</v>
      </c>
      <c r="L91" s="47"/>
      <c r="M91" s="47"/>
      <c r="N91" s="7" t="e">
        <f>+G92-O91</f>
        <v>#N/A</v>
      </c>
      <c r="O91" s="7" t="e">
        <f>+Q90*$F$43*(A92-A91)/360</f>
        <v>#N/A</v>
      </c>
      <c r="P91" s="7" t="e">
        <f>+Q90-N91</f>
        <v>#N/A</v>
      </c>
      <c r="R91" s="63"/>
      <c r="BB91" s="187"/>
      <c r="BC91" s="180"/>
      <c r="BD91" s="191">
        <v>42241</v>
      </c>
      <c r="BE91" s="192">
        <v>0.41299999999999998</v>
      </c>
      <c r="BH91" s="94">
        <v>42208</v>
      </c>
      <c r="BI91" s="95">
        <v>0.55100000000000005</v>
      </c>
      <c r="BJ91" s="96">
        <v>8.36</v>
      </c>
    </row>
    <row r="92" spans="1:62" ht="13.8" x14ac:dyDescent="0.25">
      <c r="A92" s="235">
        <v>51075</v>
      </c>
      <c r="B92" s="7">
        <f t="shared" si="23"/>
        <v>4775.6788399534489</v>
      </c>
      <c r="C92" s="7" t="e">
        <f t="shared" si="19"/>
        <v>#N/A</v>
      </c>
      <c r="D92" s="7" t="e">
        <f t="shared" si="18"/>
        <v>#N/A</v>
      </c>
      <c r="E92" s="7" t="e">
        <f t="shared" si="20"/>
        <v>#N/A</v>
      </c>
      <c r="F92" s="269">
        <f t="shared" si="21"/>
        <v>2.4200850000000003E-2</v>
      </c>
      <c r="G92" s="366">
        <v>1.66717</v>
      </c>
      <c r="H92">
        <f t="shared" si="22"/>
        <v>2.4329999999999998</v>
      </c>
      <c r="I92" s="363" t="s">
        <v>500</v>
      </c>
      <c r="L92" s="47"/>
      <c r="M92" s="47"/>
      <c r="N92" s="7"/>
      <c r="O92" s="7"/>
      <c r="P92" s="7"/>
      <c r="R92" s="63"/>
      <c r="BB92" s="187"/>
      <c r="BC92" s="180"/>
      <c r="BD92" s="191">
        <v>42242</v>
      </c>
      <c r="BE92" s="192">
        <v>0.41499999999999998</v>
      </c>
      <c r="BH92" s="94">
        <v>42209</v>
      </c>
      <c r="BI92" s="95">
        <v>0.54300000000000004</v>
      </c>
      <c r="BJ92" s="96">
        <v>8.36</v>
      </c>
    </row>
    <row r="93" spans="1:62" ht="13.8" x14ac:dyDescent="0.25">
      <c r="A93" s="236">
        <v>51257</v>
      </c>
      <c r="B93" s="7">
        <f t="shared" si="23"/>
        <v>4775.6788399534489</v>
      </c>
      <c r="C93" s="7" t="e">
        <f t="shared" si="19"/>
        <v>#N/A</v>
      </c>
      <c r="D93" s="7" t="e">
        <f t="shared" si="18"/>
        <v>#N/A</v>
      </c>
      <c r="E93" s="7" t="e">
        <f t="shared" si="20"/>
        <v>#N/A</v>
      </c>
      <c r="F93" s="269">
        <f t="shared" si="21"/>
        <v>2.3959000000000001E-2</v>
      </c>
      <c r="G93" s="366">
        <v>1.6188</v>
      </c>
      <c r="H93">
        <f t="shared" si="22"/>
        <v>2.4329999999999998</v>
      </c>
      <c r="I93" s="363" t="s">
        <v>501</v>
      </c>
      <c r="L93" s="47"/>
      <c r="M93" s="47"/>
      <c r="R93" s="63"/>
      <c r="BB93" s="187"/>
      <c r="BC93" s="180"/>
      <c r="BD93" s="191">
        <v>42243</v>
      </c>
      <c r="BE93" s="192">
        <v>0.41799999999999998</v>
      </c>
      <c r="BH93" s="94">
        <v>42212</v>
      </c>
      <c r="BI93" s="95">
        <v>0.53500000000000003</v>
      </c>
      <c r="BJ93" s="96">
        <v>8.35</v>
      </c>
    </row>
    <row r="94" spans="1:62" ht="13.8" x14ac:dyDescent="0.25">
      <c r="A94" s="237">
        <v>51441</v>
      </c>
      <c r="B94" s="7">
        <f t="shared" si="23"/>
        <v>4775.6788399534489</v>
      </c>
      <c r="C94" s="7" t="e">
        <f t="shared" si="19"/>
        <v>#N/A</v>
      </c>
      <c r="D94" s="7" t="e">
        <f t="shared" si="18"/>
        <v>#N/A</v>
      </c>
      <c r="E94" s="7" t="e">
        <f t="shared" si="20"/>
        <v>#N/A</v>
      </c>
      <c r="F94" s="269">
        <f t="shared" si="21"/>
        <v>2.3445050000000002E-2</v>
      </c>
      <c r="G94" s="367">
        <v>1.5160100000000001</v>
      </c>
      <c r="H94">
        <f t="shared" si="22"/>
        <v>2.4329999999999998</v>
      </c>
      <c r="I94" s="363" t="s">
        <v>502</v>
      </c>
      <c r="L94" s="47"/>
      <c r="M94" s="47"/>
      <c r="R94" s="63"/>
      <c r="BB94" s="187"/>
      <c r="BC94" s="180"/>
      <c r="BD94" s="191">
        <v>42244</v>
      </c>
      <c r="BE94" s="192">
        <v>0.42099999999999999</v>
      </c>
      <c r="BH94" s="94">
        <v>42213</v>
      </c>
      <c r="BI94" s="95">
        <v>0.52900000000000003</v>
      </c>
      <c r="BJ94" s="96">
        <v>8.35</v>
      </c>
    </row>
    <row r="95" spans="1:62" ht="13.8" x14ac:dyDescent="0.25">
      <c r="A95" s="234">
        <v>51622</v>
      </c>
      <c r="B95" s="7">
        <f t="shared" si="23"/>
        <v>4775.6788399534489</v>
      </c>
      <c r="C95" s="7" t="e">
        <f t="shared" si="19"/>
        <v>#N/A</v>
      </c>
      <c r="D95" s="7" t="e">
        <f t="shared" si="18"/>
        <v>#N/A</v>
      </c>
      <c r="E95" s="7" t="e">
        <f t="shared" si="20"/>
        <v>#N/A</v>
      </c>
      <c r="F95" s="269">
        <f t="shared" si="21"/>
        <v>2.3265799999999996E-2</v>
      </c>
      <c r="G95" s="367">
        <v>1.4801599999999999</v>
      </c>
      <c r="H95">
        <f t="shared" si="22"/>
        <v>2.4329999999999998</v>
      </c>
      <c r="I95" s="363" t="s">
        <v>503</v>
      </c>
      <c r="L95" s="47"/>
      <c r="M95" s="47"/>
      <c r="R95" s="63"/>
      <c r="BB95" s="187"/>
      <c r="BC95" s="180"/>
      <c r="BD95" s="191">
        <v>42247</v>
      </c>
      <c r="BE95" s="192">
        <v>0.42599999999999999</v>
      </c>
      <c r="BH95" s="94">
        <v>42214</v>
      </c>
      <c r="BI95" s="95">
        <v>0.52200000000000002</v>
      </c>
      <c r="BJ95" s="96">
        <v>8.34</v>
      </c>
    </row>
    <row r="96" spans="1:62" ht="13.8" x14ac:dyDescent="0.25">
      <c r="A96" s="261">
        <v>51806</v>
      </c>
      <c r="B96" s="262">
        <f t="shared" si="23"/>
        <v>4775.6788399534489</v>
      </c>
      <c r="C96" s="262" t="e">
        <f t="shared" si="19"/>
        <v>#N/A</v>
      </c>
      <c r="D96" s="262" t="e">
        <f t="shared" si="18"/>
        <v>#N/A</v>
      </c>
      <c r="E96" s="262" t="e">
        <f t="shared" si="20"/>
        <v>#N/A</v>
      </c>
      <c r="F96" s="269">
        <f t="shared" si="21"/>
        <v>2.271165E-2</v>
      </c>
      <c r="G96" s="367">
        <v>1.3693299999999999</v>
      </c>
      <c r="H96">
        <f t="shared" si="22"/>
        <v>2.4329999999999998</v>
      </c>
      <c r="I96" s="363" t="s">
        <v>504</v>
      </c>
      <c r="L96" s="47"/>
      <c r="M96" s="47"/>
      <c r="R96" s="63"/>
      <c r="BB96" s="187"/>
      <c r="BC96" s="180"/>
      <c r="BD96" s="191">
        <v>42248</v>
      </c>
      <c r="BE96" s="192">
        <v>0.433</v>
      </c>
      <c r="BH96" s="94">
        <v>42215</v>
      </c>
      <c r="BI96" s="95">
        <v>0.51100000000000001</v>
      </c>
      <c r="BJ96" s="96">
        <v>8.34</v>
      </c>
    </row>
    <row r="97" spans="1:62" ht="13.8" x14ac:dyDescent="0.25">
      <c r="A97" s="236">
        <v>51987</v>
      </c>
      <c r="B97" s="7">
        <f t="shared" si="23"/>
        <v>4775.6788399534489</v>
      </c>
      <c r="C97" s="7" t="e">
        <f t="shared" si="19"/>
        <v>#N/A</v>
      </c>
      <c r="D97" s="7" t="e">
        <f t="shared" si="18"/>
        <v>#N/A</v>
      </c>
      <c r="E97" s="7" t="e">
        <f t="shared" si="20"/>
        <v>#N/A</v>
      </c>
      <c r="F97" s="269">
        <f t="shared" si="21"/>
        <v>2.2530250000000002E-2</v>
      </c>
      <c r="G97" s="367">
        <v>1.3330500000000001</v>
      </c>
      <c r="H97">
        <f t="shared" si="22"/>
        <v>2.4329999999999998</v>
      </c>
      <c r="I97" s="363" t="s">
        <v>505</v>
      </c>
      <c r="L97" s="47"/>
      <c r="M97" s="47"/>
      <c r="R97" s="63"/>
      <c r="BB97" s="187"/>
      <c r="BC97" s="180"/>
      <c r="BD97" s="191">
        <v>42249</v>
      </c>
      <c r="BE97" s="192">
        <v>0.437</v>
      </c>
      <c r="BH97" s="94">
        <v>42216</v>
      </c>
      <c r="BI97" s="95">
        <v>0.501</v>
      </c>
      <c r="BJ97" s="96">
        <v>8.34</v>
      </c>
    </row>
    <row r="98" spans="1:62" ht="13.8" x14ac:dyDescent="0.25">
      <c r="A98" s="237">
        <v>52171</v>
      </c>
      <c r="B98" s="7">
        <f t="shared" si="23"/>
        <v>4775.6788399534489</v>
      </c>
      <c r="C98" s="7" t="e">
        <f t="shared" si="19"/>
        <v>#N/A</v>
      </c>
      <c r="D98" s="7" t="e">
        <f t="shared" si="18"/>
        <v>#N/A</v>
      </c>
      <c r="E98" s="7" t="e">
        <f t="shared" si="20"/>
        <v>#N/A</v>
      </c>
      <c r="F98" s="269">
        <f t="shared" si="21"/>
        <v>2.2006900000000003E-2</v>
      </c>
      <c r="G98" s="365">
        <v>1.22838</v>
      </c>
      <c r="H98">
        <f t="shared" si="22"/>
        <v>2.4329999999999998</v>
      </c>
      <c r="I98" s="363" t="s">
        <v>506</v>
      </c>
      <c r="L98" s="47"/>
      <c r="M98" s="47"/>
      <c r="BB98" s="187"/>
      <c r="BC98" s="180"/>
      <c r="BD98" s="191">
        <v>42250</v>
      </c>
      <c r="BE98" s="192">
        <v>0.439</v>
      </c>
      <c r="BH98" s="94">
        <v>42219</v>
      </c>
      <c r="BI98" s="95">
        <v>0.49199999999999999</v>
      </c>
      <c r="BJ98" s="96">
        <v>8.33</v>
      </c>
    </row>
    <row r="99" spans="1:62" ht="13.8" x14ac:dyDescent="0.25">
      <c r="A99" s="234">
        <v>52352</v>
      </c>
      <c r="B99" s="7">
        <f t="shared" si="23"/>
        <v>4775.6788399534489</v>
      </c>
      <c r="C99" s="7" t="e">
        <f t="shared" si="19"/>
        <v>#N/A</v>
      </c>
      <c r="D99" s="7" t="e">
        <f t="shared" si="18"/>
        <v>#N/A</v>
      </c>
      <c r="E99" s="7" t="e">
        <f t="shared" si="20"/>
        <v>#N/A</v>
      </c>
      <c r="F99" s="269">
        <f t="shared" si="21"/>
        <v>2.1830250000000002E-2</v>
      </c>
      <c r="G99" s="365">
        <v>1.1930499999999999</v>
      </c>
      <c r="H99">
        <f t="shared" si="22"/>
        <v>2.4329999999999998</v>
      </c>
      <c r="I99" s="363" t="s">
        <v>507</v>
      </c>
      <c r="L99" s="47"/>
      <c r="M99" s="47"/>
      <c r="BB99" s="187"/>
      <c r="BC99" s="180"/>
      <c r="BD99" s="191">
        <v>42251</v>
      </c>
      <c r="BE99" s="192">
        <v>0.44</v>
      </c>
      <c r="BH99" s="94">
        <v>42220</v>
      </c>
      <c r="BI99" s="95">
        <v>0.48399999999999999</v>
      </c>
      <c r="BJ99" s="96">
        <v>8.33</v>
      </c>
    </row>
    <row r="100" spans="1:62" ht="13.8" x14ac:dyDescent="0.25">
      <c r="A100" s="235">
        <v>52536</v>
      </c>
      <c r="B100" s="7">
        <f t="shared" si="23"/>
        <v>4775.6788399534489</v>
      </c>
      <c r="C100" s="7" t="e">
        <f t="shared" si="19"/>
        <v>#N/A</v>
      </c>
      <c r="D100" s="7" t="e">
        <f t="shared" si="18"/>
        <v>#N/A</v>
      </c>
      <c r="E100" s="7" t="e">
        <f t="shared" si="20"/>
        <v>#N/A</v>
      </c>
      <c r="F100" s="269">
        <f t="shared" si="21"/>
        <v>2.1832400000000002E-2</v>
      </c>
      <c r="G100" s="365">
        <v>1.1934800000000001</v>
      </c>
      <c r="H100">
        <f t="shared" si="22"/>
        <v>2.4329999999999998</v>
      </c>
      <c r="I100" s="363" t="s">
        <v>508</v>
      </c>
      <c r="L100" s="47"/>
      <c r="M100" s="47"/>
      <c r="BB100" s="187"/>
      <c r="BC100" s="180"/>
      <c r="BD100" s="191">
        <v>42254</v>
      </c>
      <c r="BE100" s="192">
        <v>0.441</v>
      </c>
      <c r="BH100" s="94">
        <v>42221</v>
      </c>
      <c r="BI100" s="95">
        <v>0.48</v>
      </c>
      <c r="BJ100" s="96">
        <v>8.32</v>
      </c>
    </row>
    <row r="101" spans="1:62" ht="13.8" x14ac:dyDescent="0.25">
      <c r="A101" s="236">
        <v>52718</v>
      </c>
      <c r="B101" s="7">
        <f t="shared" si="23"/>
        <v>4775.6788399534489</v>
      </c>
      <c r="C101" s="7" t="e">
        <f t="shared" si="19"/>
        <v>#N/A</v>
      </c>
      <c r="D101" s="7" t="e">
        <f t="shared" si="18"/>
        <v>#N/A</v>
      </c>
      <c r="E101" s="7" t="e">
        <f t="shared" si="20"/>
        <v>#N/A</v>
      </c>
      <c r="F101" s="269">
        <f t="shared" si="21"/>
        <v>2.1833449999999997E-2</v>
      </c>
      <c r="G101" s="365">
        <v>1.1936899999999999</v>
      </c>
      <c r="H101">
        <f t="shared" si="22"/>
        <v>2.4329999999999998</v>
      </c>
      <c r="I101" s="363" t="s">
        <v>509</v>
      </c>
      <c r="L101" s="47"/>
      <c r="M101" s="47"/>
      <c r="BB101" s="187"/>
      <c r="BC101" s="180"/>
      <c r="BD101" s="191">
        <v>42255</v>
      </c>
      <c r="BE101" s="192">
        <v>0.443</v>
      </c>
      <c r="BH101" s="94">
        <v>42222</v>
      </c>
      <c r="BI101" s="95">
        <v>0.48099999999999998</v>
      </c>
      <c r="BJ101" s="96">
        <v>8.3800000000000008</v>
      </c>
    </row>
    <row r="102" spans="1:62" ht="13.8" x14ac:dyDescent="0.25">
      <c r="A102" s="237">
        <v>52902</v>
      </c>
      <c r="B102" s="7">
        <f t="shared" si="23"/>
        <v>4775.6788399534489</v>
      </c>
      <c r="C102" s="7" t="e">
        <f t="shared" si="19"/>
        <v>#N/A</v>
      </c>
      <c r="D102" s="7" t="e">
        <f t="shared" si="18"/>
        <v>#N/A</v>
      </c>
      <c r="E102" s="7" t="e">
        <f t="shared" si="20"/>
        <v>#N/A</v>
      </c>
      <c r="F102" s="269">
        <f t="shared" si="21"/>
        <v>2.1571E-2</v>
      </c>
      <c r="G102" s="365">
        <v>1.1412</v>
      </c>
      <c r="H102">
        <f t="shared" si="22"/>
        <v>2.4329999999999998</v>
      </c>
      <c r="I102" s="363" t="s">
        <v>510</v>
      </c>
      <c r="L102" s="47"/>
      <c r="M102" s="47"/>
      <c r="BB102" s="187"/>
      <c r="BC102" s="180"/>
      <c r="BD102" s="191">
        <v>42256</v>
      </c>
      <c r="BE102" s="192">
        <v>0.44700000000000001</v>
      </c>
      <c r="BH102" s="94">
        <v>42223</v>
      </c>
      <c r="BI102" s="95">
        <v>0.47299999999999998</v>
      </c>
      <c r="BJ102" s="96">
        <v>8.3800000000000008</v>
      </c>
    </row>
    <row r="103" spans="1:62" ht="13.8" x14ac:dyDescent="0.25">
      <c r="A103" s="234">
        <v>53083</v>
      </c>
      <c r="B103" s="7">
        <f t="shared" si="23"/>
        <v>4775.6788399534489</v>
      </c>
      <c r="C103" s="7" t="e">
        <f t="shared" si="19"/>
        <v>#N/A</v>
      </c>
      <c r="D103" s="7" t="e">
        <f t="shared" si="18"/>
        <v>#N/A</v>
      </c>
      <c r="E103" s="7" t="e">
        <f t="shared" si="20"/>
        <v>#N/A</v>
      </c>
      <c r="F103" s="269">
        <f t="shared" si="21"/>
        <v>2.1476700000000001E-2</v>
      </c>
      <c r="G103" s="365">
        <v>1.1223399999999999</v>
      </c>
      <c r="H103">
        <f t="shared" si="22"/>
        <v>2.4329999999999998</v>
      </c>
      <c r="I103" s="363" t="s">
        <v>511</v>
      </c>
      <c r="L103" s="47"/>
      <c r="M103" s="47"/>
      <c r="BB103" s="187"/>
      <c r="BC103" s="180"/>
      <c r="BD103" s="191">
        <v>42257</v>
      </c>
      <c r="BE103" s="192">
        <v>0.44900000000000001</v>
      </c>
      <c r="BH103" s="94">
        <v>42226</v>
      </c>
      <c r="BI103" s="95">
        <v>0.46300000000000002</v>
      </c>
      <c r="BJ103" s="96">
        <v>8.3699999999999992</v>
      </c>
    </row>
    <row r="104" spans="1:62" ht="13.8" x14ac:dyDescent="0.25">
      <c r="A104" s="235">
        <v>53267</v>
      </c>
      <c r="B104" s="7">
        <f t="shared" si="23"/>
        <v>4775.6788399534489</v>
      </c>
      <c r="C104" s="7" t="e">
        <f t="shared" si="19"/>
        <v>#N/A</v>
      </c>
      <c r="D104" s="7" t="e">
        <f t="shared" si="18"/>
        <v>#N/A</v>
      </c>
      <c r="E104" s="7" t="e">
        <f t="shared" si="20"/>
        <v>#N/A</v>
      </c>
      <c r="F104" s="269">
        <f t="shared" si="21"/>
        <v>2.118275E-2</v>
      </c>
      <c r="G104" s="365">
        <v>1.06355</v>
      </c>
      <c r="H104">
        <f t="shared" si="22"/>
        <v>2.4329999999999998</v>
      </c>
      <c r="I104" s="363" t="s">
        <v>512</v>
      </c>
      <c r="L104" s="47"/>
      <c r="M104" s="47"/>
      <c r="BB104" s="187"/>
      <c r="BC104" s="180"/>
      <c r="BD104" s="191">
        <v>42258</v>
      </c>
      <c r="BE104" s="192">
        <v>0.45</v>
      </c>
      <c r="BH104" s="94">
        <v>42227</v>
      </c>
      <c r="BI104" s="95">
        <v>0.45300000000000001</v>
      </c>
      <c r="BJ104" s="96">
        <v>8.3699999999999992</v>
      </c>
    </row>
    <row r="105" spans="1:62" ht="13.8" x14ac:dyDescent="0.25">
      <c r="A105" s="236">
        <v>53448</v>
      </c>
      <c r="B105" s="7">
        <f t="shared" si="23"/>
        <v>4775.6788399534489</v>
      </c>
      <c r="C105" s="7" t="e">
        <f t="shared" si="19"/>
        <v>#N/A</v>
      </c>
      <c r="D105" s="7" t="e">
        <f t="shared" si="18"/>
        <v>#N/A</v>
      </c>
      <c r="E105" s="7" t="e">
        <f t="shared" si="20"/>
        <v>#N/A</v>
      </c>
      <c r="F105" s="269">
        <f t="shared" si="21"/>
        <v>2.1080000000000002E-2</v>
      </c>
      <c r="G105" s="365">
        <v>1.0429999999999999</v>
      </c>
      <c r="H105">
        <f t="shared" si="22"/>
        <v>2.4329999999999998</v>
      </c>
      <c r="I105" s="363" t="s">
        <v>513</v>
      </c>
      <c r="L105" s="47"/>
      <c r="M105" s="47"/>
      <c r="BB105" s="187"/>
      <c r="BC105" s="180"/>
      <c r="BD105" s="191">
        <v>42261</v>
      </c>
      <c r="BE105" s="192">
        <v>0.45100000000000001</v>
      </c>
      <c r="BH105" s="94">
        <v>42228</v>
      </c>
      <c r="BI105" s="95">
        <v>0.44500000000000001</v>
      </c>
      <c r="BJ105" s="96">
        <v>8.3699999999999992</v>
      </c>
    </row>
    <row r="106" spans="1:62" ht="13.8" x14ac:dyDescent="0.25">
      <c r="A106" s="237">
        <v>53632</v>
      </c>
      <c r="B106" s="7">
        <f t="shared" si="23"/>
        <v>4775.6788399534489</v>
      </c>
      <c r="C106" s="7" t="e">
        <f t="shared" si="19"/>
        <v>#N/A</v>
      </c>
      <c r="D106" s="7" t="e">
        <f t="shared" si="18"/>
        <v>#N/A</v>
      </c>
      <c r="E106" s="7" t="e">
        <f t="shared" si="20"/>
        <v>#N/A</v>
      </c>
      <c r="F106" s="269">
        <f t="shared" si="21"/>
        <v>2.109805E-2</v>
      </c>
      <c r="G106" s="365">
        <v>1.04661</v>
      </c>
      <c r="H106">
        <f t="shared" si="22"/>
        <v>2.4329999999999998</v>
      </c>
      <c r="I106" s="363" t="s">
        <v>514</v>
      </c>
      <c r="L106" s="47"/>
      <c r="M106" s="47"/>
      <c r="BB106" s="187"/>
      <c r="BC106" s="180"/>
      <c r="BD106" s="191">
        <v>42262</v>
      </c>
      <c r="BE106" s="192">
        <v>0.49399999999999999</v>
      </c>
      <c r="BH106" s="94">
        <v>42229</v>
      </c>
      <c r="BI106" s="95">
        <v>0.438</v>
      </c>
      <c r="BJ106" s="96">
        <v>8.36</v>
      </c>
    </row>
    <row r="107" spans="1:62" ht="13.8" x14ac:dyDescent="0.25">
      <c r="A107" s="234">
        <v>53813</v>
      </c>
      <c r="B107" s="7">
        <f t="shared" si="23"/>
        <v>4775.6788399534489</v>
      </c>
      <c r="C107" s="7" t="e">
        <f t="shared" si="19"/>
        <v>#N/A</v>
      </c>
      <c r="D107" s="7" t="e">
        <f t="shared" si="18"/>
        <v>#N/A</v>
      </c>
      <c r="E107" s="7" t="e">
        <f t="shared" si="20"/>
        <v>#N/A</v>
      </c>
      <c r="F107" s="269">
        <f t="shared" si="21"/>
        <v>2.1104850000000001E-2</v>
      </c>
      <c r="G107" s="365">
        <v>1.0479700000000001</v>
      </c>
      <c r="H107">
        <f t="shared" si="22"/>
        <v>2.4329999999999998</v>
      </c>
      <c r="I107" s="363" t="s">
        <v>515</v>
      </c>
      <c r="L107" s="47"/>
      <c r="M107" s="47"/>
      <c r="BB107" s="187"/>
      <c r="BC107" s="180"/>
      <c r="BD107" s="191">
        <v>42263</v>
      </c>
      <c r="BE107" s="192">
        <v>0.497</v>
      </c>
      <c r="BH107" s="94">
        <v>42230</v>
      </c>
      <c r="BI107" s="95">
        <v>0.433</v>
      </c>
      <c r="BJ107" s="96">
        <v>8.36</v>
      </c>
    </row>
    <row r="108" spans="1:62" ht="13.8" x14ac:dyDescent="0.25">
      <c r="A108" s="235">
        <v>53997</v>
      </c>
      <c r="B108" s="7">
        <f t="shared" si="23"/>
        <v>4775.6788399534489</v>
      </c>
      <c r="C108" s="7" t="e">
        <f t="shared" si="19"/>
        <v>#N/A</v>
      </c>
      <c r="D108" s="7" t="e">
        <f t="shared" si="18"/>
        <v>#N/A</v>
      </c>
      <c r="E108" s="7" t="e">
        <f t="shared" si="20"/>
        <v>#N/A</v>
      </c>
      <c r="F108" s="269">
        <f t="shared" si="21"/>
        <v>2.0270650000000001E-2</v>
      </c>
      <c r="G108" s="365">
        <v>0.88112999999999997</v>
      </c>
      <c r="H108">
        <f t="shared" si="22"/>
        <v>2.4329999999999998</v>
      </c>
      <c r="I108" s="363" t="s">
        <v>516</v>
      </c>
      <c r="L108" s="47"/>
      <c r="M108" s="47"/>
      <c r="BB108" s="187"/>
      <c r="BC108" s="180"/>
      <c r="BD108" s="191">
        <v>42264</v>
      </c>
      <c r="BE108" s="192">
        <v>0.503</v>
      </c>
      <c r="BH108" s="94">
        <v>42233</v>
      </c>
      <c r="BI108" s="95">
        <v>0.42899999999999999</v>
      </c>
      <c r="BJ108" s="96">
        <v>8.35</v>
      </c>
    </row>
    <row r="109" spans="1:62" ht="13.8" x14ac:dyDescent="0.25">
      <c r="A109" s="236">
        <v>54179</v>
      </c>
      <c r="B109" s="7">
        <f t="shared" si="23"/>
        <v>4775.6788399534489</v>
      </c>
      <c r="C109" s="7" t="e">
        <f t="shared" si="19"/>
        <v>#N/A</v>
      </c>
      <c r="D109" s="7" t="e">
        <f t="shared" ref="D109:D113" si="25">+E108*F108*(A109-A108)/360</f>
        <v>#N/A</v>
      </c>
      <c r="E109" s="7" t="e">
        <f t="shared" si="20"/>
        <v>#N/A</v>
      </c>
      <c r="F109" s="269">
        <f t="shared" si="21"/>
        <v>1.9996949999999999E-2</v>
      </c>
      <c r="G109" s="363">
        <v>0.82638999999999996</v>
      </c>
      <c r="H109">
        <f t="shared" si="22"/>
        <v>2.4329999999999998</v>
      </c>
      <c r="I109" s="363" t="s">
        <v>517</v>
      </c>
      <c r="L109" s="47"/>
      <c r="M109" s="47"/>
      <c r="BB109" s="187"/>
      <c r="BC109" s="180"/>
      <c r="BD109" s="191">
        <v>42265</v>
      </c>
      <c r="BE109" s="192">
        <v>0.504</v>
      </c>
      <c r="BH109" s="94">
        <v>42234</v>
      </c>
      <c r="BI109" s="95">
        <v>0.42499999999999999</v>
      </c>
      <c r="BJ109" s="96">
        <v>8.35</v>
      </c>
    </row>
    <row r="110" spans="1:62" ht="13.8" x14ac:dyDescent="0.25">
      <c r="A110" s="237">
        <v>54363</v>
      </c>
      <c r="B110" s="7">
        <f t="shared" si="23"/>
        <v>4775.6788399534489</v>
      </c>
      <c r="C110" s="7" t="e">
        <f t="shared" ref="C110:C113" si="26">+B110-D110</f>
        <v>#N/A</v>
      </c>
      <c r="D110" s="7" t="e">
        <f t="shared" si="25"/>
        <v>#N/A</v>
      </c>
      <c r="E110" s="7" t="e">
        <f t="shared" ref="E110:E113" si="27">+E109-C110</f>
        <v>#N/A</v>
      </c>
      <c r="F110" s="269">
        <f t="shared" si="21"/>
        <v>2.0683699999999999E-2</v>
      </c>
      <c r="G110" s="363">
        <v>0.96374000000000004</v>
      </c>
      <c r="H110">
        <f t="shared" si="22"/>
        <v>2.4329999999999998</v>
      </c>
      <c r="I110" s="363" t="s">
        <v>518</v>
      </c>
      <c r="L110" s="47"/>
      <c r="M110" s="47"/>
      <c r="BB110" s="187"/>
      <c r="BC110" s="180"/>
      <c r="BD110" s="191">
        <v>42268</v>
      </c>
      <c r="BE110" s="192">
        <v>0.50600000000000001</v>
      </c>
      <c r="BH110" s="94">
        <v>42235</v>
      </c>
      <c r="BI110" s="95">
        <v>0.42199999999999999</v>
      </c>
      <c r="BJ110" s="96">
        <v>8.35</v>
      </c>
    </row>
    <row r="111" spans="1:62" ht="13.8" x14ac:dyDescent="0.25">
      <c r="A111" s="234">
        <v>54544</v>
      </c>
      <c r="B111" s="7">
        <f t="shared" si="23"/>
        <v>4775.6788399534489</v>
      </c>
      <c r="C111" s="7" t="e">
        <f t="shared" si="26"/>
        <v>#N/A</v>
      </c>
      <c r="D111" s="7" t="e">
        <f t="shared" si="25"/>
        <v>#N/A</v>
      </c>
      <c r="E111" s="7" t="e">
        <f t="shared" si="27"/>
        <v>#N/A</v>
      </c>
      <c r="F111" s="269">
        <f t="shared" si="21"/>
        <v>2.0936999999999997E-2</v>
      </c>
      <c r="G111" s="363">
        <v>1.0144</v>
      </c>
      <c r="H111">
        <f t="shared" si="22"/>
        <v>2.4329999999999998</v>
      </c>
      <c r="I111" s="363" t="s">
        <v>519</v>
      </c>
      <c r="L111" s="47"/>
      <c r="M111" s="47"/>
      <c r="BB111" s="187"/>
      <c r="BC111" s="180"/>
      <c r="BD111" s="191">
        <v>42269</v>
      </c>
      <c r="BE111" s="192">
        <v>0.503</v>
      </c>
      <c r="BH111" s="94">
        <v>42236</v>
      </c>
      <c r="BI111" s="95">
        <v>0.41699999999999998</v>
      </c>
      <c r="BJ111" s="96">
        <v>8.34</v>
      </c>
    </row>
    <row r="112" spans="1:62" ht="13.8" x14ac:dyDescent="0.25">
      <c r="A112" s="235">
        <v>54728</v>
      </c>
      <c r="B112" s="7">
        <f t="shared" si="23"/>
        <v>4775.6788399534489</v>
      </c>
      <c r="C112" s="7" t="e">
        <f t="shared" si="26"/>
        <v>#N/A</v>
      </c>
      <c r="D112" s="7" t="e">
        <f t="shared" si="25"/>
        <v>#N/A</v>
      </c>
      <c r="E112" s="7" t="e">
        <f t="shared" si="27"/>
        <v>#N/A</v>
      </c>
      <c r="F112" s="269">
        <f t="shared" si="21"/>
        <v>2.0082549999999998E-2</v>
      </c>
      <c r="G112" s="363">
        <v>0.84350999999999998</v>
      </c>
      <c r="H112">
        <f t="shared" si="22"/>
        <v>2.4329999999999998</v>
      </c>
      <c r="I112" s="363" t="s">
        <v>520</v>
      </c>
      <c r="L112" s="47"/>
      <c r="M112" s="47"/>
      <c r="BB112" s="187"/>
      <c r="BC112" s="180"/>
      <c r="BD112" s="191">
        <v>42270</v>
      </c>
      <c r="BE112" s="192">
        <v>0.498</v>
      </c>
      <c r="BH112" s="94">
        <v>42237</v>
      </c>
      <c r="BI112" s="95">
        <v>0.41499999999999998</v>
      </c>
      <c r="BJ112" s="96">
        <v>8.34</v>
      </c>
    </row>
    <row r="113" spans="1:62" ht="13.8" x14ac:dyDescent="0.25">
      <c r="A113" s="236">
        <v>54909</v>
      </c>
      <c r="B113" s="7">
        <f t="shared" si="23"/>
        <v>4775.6788399534489</v>
      </c>
      <c r="C113" s="7" t="e">
        <f t="shared" si="26"/>
        <v>#N/A</v>
      </c>
      <c r="D113" s="7" t="e">
        <f t="shared" si="25"/>
        <v>#N/A</v>
      </c>
      <c r="E113" s="240" t="e">
        <f t="shared" si="27"/>
        <v>#N/A</v>
      </c>
      <c r="F113" s="269"/>
      <c r="G113" s="363"/>
      <c r="I113" s="363"/>
      <c r="BB113" s="187"/>
      <c r="BC113" s="180"/>
      <c r="BD113" s="191">
        <v>42271</v>
      </c>
      <c r="BE113" s="192">
        <v>0.49199999999999999</v>
      </c>
      <c r="BH113" s="94">
        <v>42240</v>
      </c>
      <c r="BI113" s="95">
        <v>0.41299999999999998</v>
      </c>
      <c r="BJ113" s="96">
        <v>8.33</v>
      </c>
    </row>
    <row r="114" spans="1:62" ht="13.8" x14ac:dyDescent="0.25">
      <c r="A114" s="239"/>
      <c r="G114" s="363"/>
      <c r="BB114" s="187"/>
      <c r="BC114" s="180"/>
      <c r="BD114" s="191">
        <v>42272</v>
      </c>
      <c r="BE114" s="192">
        <v>0.48799999999999999</v>
      </c>
      <c r="BH114" s="94">
        <v>42241</v>
      </c>
      <c r="BI114" s="95">
        <v>0.41299999999999998</v>
      </c>
      <c r="BJ114" s="96">
        <v>8.33</v>
      </c>
    </row>
    <row r="115" spans="1:62" ht="13.8" x14ac:dyDescent="0.25">
      <c r="A115" s="239"/>
      <c r="E115" s="7">
        <v>0</v>
      </c>
      <c r="BB115" s="187"/>
      <c r="BC115" s="180"/>
      <c r="BD115" s="191">
        <v>42275</v>
      </c>
      <c r="BE115" s="192">
        <v>0.48199999999999998</v>
      </c>
      <c r="BH115" s="94">
        <v>42242</v>
      </c>
      <c r="BI115" s="95">
        <v>0.41499999999999998</v>
      </c>
      <c r="BJ115" s="96">
        <v>8.33</v>
      </c>
    </row>
    <row r="116" spans="1:62" ht="13.8" x14ac:dyDescent="0.25">
      <c r="A116" s="239"/>
      <c r="E116" s="16" t="e">
        <f>+E113-E115</f>
        <v>#N/A</v>
      </c>
      <c r="BB116" s="187"/>
      <c r="BC116" s="180"/>
      <c r="BD116" s="191">
        <v>42276</v>
      </c>
      <c r="BE116" s="192">
        <v>0.47499999999999998</v>
      </c>
      <c r="BH116" s="94">
        <v>42243</v>
      </c>
      <c r="BI116" s="95">
        <v>0.41799999999999998</v>
      </c>
      <c r="BJ116" s="96">
        <v>8.32</v>
      </c>
    </row>
    <row r="117" spans="1:62" ht="13.8" x14ac:dyDescent="0.25">
      <c r="A117" s="239"/>
      <c r="BB117" s="187"/>
      <c r="BC117" s="180"/>
      <c r="BD117" s="191">
        <v>42277</v>
      </c>
      <c r="BE117" s="192">
        <v>0.46800000000000003</v>
      </c>
      <c r="BH117" s="94">
        <v>42244</v>
      </c>
      <c r="BI117" s="95">
        <v>0.42099999999999999</v>
      </c>
      <c r="BJ117" s="96">
        <v>8.32</v>
      </c>
    </row>
    <row r="118" spans="1:62" ht="13.8" x14ac:dyDescent="0.25">
      <c r="A118" s="239"/>
      <c r="BB118" s="187"/>
      <c r="BC118" s="180"/>
      <c r="BD118" s="191">
        <v>42278</v>
      </c>
      <c r="BE118" s="192">
        <v>0.46200000000000002</v>
      </c>
      <c r="BH118" s="94">
        <v>42247</v>
      </c>
      <c r="BI118" s="95">
        <v>0.42599999999999999</v>
      </c>
      <c r="BJ118" s="96">
        <v>8.31</v>
      </c>
    </row>
    <row r="119" spans="1:62" ht="13.8" x14ac:dyDescent="0.25">
      <c r="A119" s="239"/>
      <c r="BB119" s="187"/>
      <c r="BC119" s="180"/>
      <c r="BD119" s="191">
        <v>42279</v>
      </c>
      <c r="BE119" s="192">
        <v>0.45700000000000002</v>
      </c>
      <c r="BH119" s="94">
        <v>42248</v>
      </c>
      <c r="BI119" s="95">
        <v>0.433</v>
      </c>
      <c r="BJ119" s="96">
        <v>8.31</v>
      </c>
    </row>
    <row r="120" spans="1:62" ht="13.8" x14ac:dyDescent="0.25">
      <c r="A120" s="239"/>
      <c r="BB120" s="187"/>
      <c r="BC120" s="180"/>
      <c r="BD120" s="191">
        <v>42282</v>
      </c>
      <c r="BE120" s="192">
        <v>0.45200000000000001</v>
      </c>
      <c r="BH120" s="94">
        <v>42249</v>
      </c>
      <c r="BI120" s="95">
        <v>0.437</v>
      </c>
      <c r="BJ120" s="96">
        <v>8.31</v>
      </c>
    </row>
    <row r="121" spans="1:62" ht="13.8" x14ac:dyDescent="0.25">
      <c r="A121" s="239"/>
      <c r="BB121" s="187"/>
      <c r="BC121" s="180"/>
      <c r="BD121" s="191">
        <v>42283</v>
      </c>
      <c r="BE121" s="192">
        <v>0.44900000000000001</v>
      </c>
      <c r="BH121" s="94">
        <v>42250</v>
      </c>
      <c r="BI121" s="95">
        <v>0.439</v>
      </c>
      <c r="BJ121" s="96">
        <v>8.3000000000000007</v>
      </c>
    </row>
    <row r="122" spans="1:62" ht="13.8" x14ac:dyDescent="0.25">
      <c r="A122" s="239"/>
      <c r="BB122" s="187"/>
      <c r="BC122" s="180"/>
      <c r="BD122" s="191">
        <v>42284</v>
      </c>
      <c r="BE122" s="192">
        <v>0.44600000000000001</v>
      </c>
      <c r="BH122" s="94">
        <v>42251</v>
      </c>
      <c r="BI122" s="95">
        <v>0.44</v>
      </c>
      <c r="BJ122" s="96">
        <v>8.3000000000000007</v>
      </c>
    </row>
    <row r="123" spans="1:62" ht="13.8" x14ac:dyDescent="0.25">
      <c r="A123" s="239"/>
      <c r="BB123" s="187"/>
      <c r="BC123" s="180"/>
      <c r="BD123" s="191">
        <v>42285</v>
      </c>
      <c r="BE123" s="192">
        <v>0.44500000000000001</v>
      </c>
      <c r="BH123" s="94">
        <v>42254</v>
      </c>
      <c r="BI123" s="95">
        <v>0.441</v>
      </c>
      <c r="BJ123" s="96">
        <v>8.2899999999999991</v>
      </c>
    </row>
    <row r="124" spans="1:62" ht="13.8" x14ac:dyDescent="0.25">
      <c r="A124" s="239"/>
      <c r="BB124" s="187"/>
      <c r="BC124" s="180"/>
      <c r="BD124" s="191">
        <v>42286</v>
      </c>
      <c r="BE124" s="192">
        <v>0.443</v>
      </c>
      <c r="BH124" s="94">
        <v>42255</v>
      </c>
      <c r="BI124" s="95">
        <v>0.443</v>
      </c>
      <c r="BJ124" s="96">
        <v>8.2799999999999994</v>
      </c>
    </row>
    <row r="125" spans="1:62" ht="13.8" x14ac:dyDescent="0.25">
      <c r="A125" s="239"/>
      <c r="BB125" s="187"/>
      <c r="BC125" s="180"/>
      <c r="BD125" s="191">
        <v>42289</v>
      </c>
      <c r="BE125" s="192">
        <v>0.441</v>
      </c>
      <c r="BH125" s="94">
        <v>42256</v>
      </c>
      <c r="BI125" s="95">
        <v>0.44700000000000001</v>
      </c>
      <c r="BJ125" s="96">
        <v>8.2799999999999994</v>
      </c>
    </row>
    <row r="126" spans="1:62" ht="13.8" x14ac:dyDescent="0.25">
      <c r="A126" s="239"/>
      <c r="BB126" s="187"/>
      <c r="BC126" s="180"/>
      <c r="BD126" s="191">
        <v>42290</v>
      </c>
      <c r="BE126" s="192">
        <v>0.438</v>
      </c>
      <c r="BH126" s="94">
        <v>42257</v>
      </c>
      <c r="BI126" s="95">
        <v>0.44900000000000001</v>
      </c>
      <c r="BJ126" s="96">
        <v>8.2799999999999994</v>
      </c>
    </row>
    <row r="127" spans="1:62" ht="13.8" x14ac:dyDescent="0.25">
      <c r="A127" s="239"/>
      <c r="BB127" s="187"/>
      <c r="BC127" s="180"/>
      <c r="BD127" s="191">
        <v>42291</v>
      </c>
      <c r="BE127" s="192">
        <v>0.432</v>
      </c>
      <c r="BH127" s="94">
        <v>42258</v>
      </c>
      <c r="BI127" s="95">
        <v>0.45</v>
      </c>
      <c r="BJ127" s="96">
        <v>8.2799999999999994</v>
      </c>
    </row>
    <row r="128" spans="1:62" ht="13.8" x14ac:dyDescent="0.25">
      <c r="A128" s="239"/>
      <c r="BB128" s="187"/>
      <c r="BC128" s="180"/>
      <c r="BD128" s="191">
        <v>42292</v>
      </c>
      <c r="BE128" s="192">
        <v>0.42399999999999999</v>
      </c>
      <c r="BH128" s="94">
        <v>42261</v>
      </c>
      <c r="BI128" s="95">
        <v>0.45100000000000001</v>
      </c>
      <c r="BJ128" s="96">
        <v>8.27</v>
      </c>
    </row>
    <row r="129" spans="1:62" ht="13.8" x14ac:dyDescent="0.25">
      <c r="A129" s="239"/>
      <c r="BB129" s="187"/>
      <c r="BC129" s="180"/>
      <c r="BD129" s="191">
        <v>42293</v>
      </c>
      <c r="BE129" s="192">
        <v>0.42</v>
      </c>
      <c r="BH129" s="94">
        <v>42262</v>
      </c>
      <c r="BI129" s="95">
        <v>0.49399999999999999</v>
      </c>
      <c r="BJ129" s="96">
        <v>8.74</v>
      </c>
    </row>
    <row r="130" spans="1:62" ht="13.8" x14ac:dyDescent="0.25">
      <c r="A130" s="239"/>
      <c r="BB130" s="187"/>
      <c r="BC130" s="180"/>
      <c r="BD130" s="191">
        <v>42296</v>
      </c>
      <c r="BE130" s="192">
        <v>0.41699999999999998</v>
      </c>
      <c r="BH130" s="94">
        <v>42263</v>
      </c>
      <c r="BI130" s="95">
        <v>0.497</v>
      </c>
      <c r="BJ130" s="96">
        <v>8.74</v>
      </c>
    </row>
    <row r="131" spans="1:62" ht="13.8" x14ac:dyDescent="0.25">
      <c r="A131" s="239"/>
      <c r="BB131" s="187"/>
      <c r="BC131" s="180"/>
      <c r="BD131" s="191">
        <v>42297</v>
      </c>
      <c r="BE131" s="192">
        <v>0.41599999999999998</v>
      </c>
      <c r="BH131" s="94">
        <v>42264</v>
      </c>
      <c r="BI131" s="95">
        <v>0.503</v>
      </c>
      <c r="BJ131" s="96">
        <v>8.73</v>
      </c>
    </row>
    <row r="132" spans="1:62" ht="13.8" x14ac:dyDescent="0.25">
      <c r="A132" s="239"/>
      <c r="BB132" s="187"/>
      <c r="BC132" s="180"/>
      <c r="BD132" s="191">
        <v>42298</v>
      </c>
      <c r="BE132" s="192">
        <v>0.41599999999999998</v>
      </c>
      <c r="BH132" s="94">
        <v>42265</v>
      </c>
      <c r="BI132" s="95">
        <v>0.504</v>
      </c>
      <c r="BJ132" s="96">
        <v>8.73</v>
      </c>
    </row>
    <row r="133" spans="1:62" ht="13.8" x14ac:dyDescent="0.25">
      <c r="A133" s="239"/>
      <c r="BB133" s="187"/>
      <c r="BC133" s="180"/>
      <c r="BD133" s="191">
        <v>42299</v>
      </c>
      <c r="BE133" s="192">
        <v>0.41399999999999998</v>
      </c>
      <c r="BH133" s="94">
        <v>42268</v>
      </c>
      <c r="BI133" s="95">
        <v>0.50600000000000001</v>
      </c>
      <c r="BJ133" s="96">
        <v>8.7200000000000006</v>
      </c>
    </row>
    <row r="134" spans="1:62" ht="13.8" x14ac:dyDescent="0.25">
      <c r="A134" s="239"/>
      <c r="BB134" s="187"/>
      <c r="BC134" s="180"/>
      <c r="BD134" s="191">
        <v>42300</v>
      </c>
      <c r="BE134" s="192">
        <v>0.40799999999999997</v>
      </c>
      <c r="BH134" s="94">
        <v>42269</v>
      </c>
      <c r="BI134" s="95">
        <v>0.503</v>
      </c>
      <c r="BJ134" s="96">
        <v>8.7200000000000006</v>
      </c>
    </row>
    <row r="135" spans="1:62" ht="13.8" x14ac:dyDescent="0.25">
      <c r="A135" s="239"/>
      <c r="BB135" s="187"/>
      <c r="BC135" s="180"/>
      <c r="BD135" s="191"/>
      <c r="BE135" s="193">
        <f>+BE134</f>
        <v>0.40799999999999997</v>
      </c>
      <c r="BH135" s="94">
        <v>42270</v>
      </c>
      <c r="BI135" s="95">
        <v>0.498</v>
      </c>
      <c r="BJ135" s="96">
        <v>8.7200000000000006</v>
      </c>
    </row>
    <row r="136" spans="1:62" ht="13.8" x14ac:dyDescent="0.25">
      <c r="A136" s="239"/>
      <c r="BB136" s="187"/>
      <c r="BC136" s="180"/>
      <c r="BD136" s="191">
        <v>42304</v>
      </c>
      <c r="BE136" s="192">
        <v>0.40100000000000002</v>
      </c>
      <c r="BH136" s="94">
        <v>42271</v>
      </c>
      <c r="BI136" s="95">
        <v>0.49199999999999999</v>
      </c>
      <c r="BJ136" s="96">
        <v>8.7100000000000009</v>
      </c>
    </row>
    <row r="137" spans="1:62" ht="13.8" x14ac:dyDescent="0.25">
      <c r="A137" s="239"/>
      <c r="BB137" s="187"/>
      <c r="BC137" s="180"/>
      <c r="BD137" s="191">
        <v>42305</v>
      </c>
      <c r="BE137" s="192">
        <v>0.39400000000000002</v>
      </c>
      <c r="BH137" s="94">
        <v>42272</v>
      </c>
      <c r="BI137" s="95">
        <v>0.48799999999999999</v>
      </c>
      <c r="BJ137" s="96">
        <v>8.7100000000000009</v>
      </c>
    </row>
    <row r="138" spans="1:62" ht="13.8" x14ac:dyDescent="0.25">
      <c r="A138" s="239"/>
      <c r="BB138" s="187"/>
      <c r="BC138" s="180"/>
      <c r="BD138" s="191">
        <v>42306</v>
      </c>
      <c r="BE138" s="192">
        <v>0.38800000000000001</v>
      </c>
      <c r="BH138" s="94">
        <v>42275</v>
      </c>
      <c r="BI138" s="95">
        <v>0.48199999999999998</v>
      </c>
      <c r="BJ138" s="96">
        <v>8.6999999999999993</v>
      </c>
    </row>
    <row r="139" spans="1:62" ht="13.8" x14ac:dyDescent="0.25">
      <c r="A139" s="239"/>
      <c r="BB139" s="187"/>
      <c r="BC139" s="180"/>
      <c r="BD139" s="191">
        <v>42307</v>
      </c>
      <c r="BE139" s="192">
        <v>0.38400000000000001</v>
      </c>
      <c r="BH139" s="94">
        <v>42276</v>
      </c>
      <c r="BI139" s="95">
        <v>0.47499999999999998</v>
      </c>
      <c r="BJ139" s="96">
        <v>8.6999999999999993</v>
      </c>
    </row>
    <row r="140" spans="1:62" ht="13.8" x14ac:dyDescent="0.25">
      <c r="A140" s="239"/>
      <c r="BB140" s="187"/>
      <c r="BC140" s="180"/>
      <c r="BD140" s="191">
        <v>42310</v>
      </c>
      <c r="BE140" s="192">
        <v>0.38300000000000001</v>
      </c>
      <c r="BF140" s="111">
        <f>+(BC140+BE140)/2+0.37</f>
        <v>0.5615</v>
      </c>
      <c r="BH140" s="94">
        <v>42277</v>
      </c>
      <c r="BI140" s="95">
        <v>0.46800000000000003</v>
      </c>
      <c r="BJ140" s="96">
        <v>8.6999999999999993</v>
      </c>
    </row>
    <row r="141" spans="1:62" ht="13.8" x14ac:dyDescent="0.25">
      <c r="A141" s="239"/>
      <c r="BB141" s="187"/>
      <c r="BC141" s="180"/>
      <c r="BD141" s="191">
        <v>42311</v>
      </c>
      <c r="BE141" s="192">
        <v>0.38200000000000001</v>
      </c>
      <c r="BH141" s="94">
        <v>42278</v>
      </c>
      <c r="BI141" s="95">
        <v>0.46200000000000002</v>
      </c>
      <c r="BJ141" s="96">
        <v>8.6999999999999993</v>
      </c>
    </row>
    <row r="142" spans="1:62" ht="13.8" x14ac:dyDescent="0.25">
      <c r="A142" s="239"/>
      <c r="BB142" s="187"/>
      <c r="BC142" s="180"/>
      <c r="BD142" s="191">
        <v>42312</v>
      </c>
      <c r="BE142" s="192">
        <v>0.379</v>
      </c>
      <c r="BH142" s="94">
        <v>42279</v>
      </c>
      <c r="BI142" s="95">
        <v>0.45700000000000002</v>
      </c>
      <c r="BJ142" s="96">
        <v>8.69</v>
      </c>
    </row>
    <row r="143" spans="1:62" ht="13.8" x14ac:dyDescent="0.25">
      <c r="A143" s="239"/>
      <c r="BB143" s="187"/>
      <c r="BC143" s="180"/>
      <c r="BD143" s="191">
        <v>42313</v>
      </c>
      <c r="BE143" s="192">
        <v>0.38200000000000001</v>
      </c>
      <c r="BH143" s="94">
        <v>42282</v>
      </c>
      <c r="BI143" s="95">
        <v>0.45200000000000001</v>
      </c>
      <c r="BJ143" s="96">
        <v>8.68</v>
      </c>
    </row>
    <row r="144" spans="1:62" ht="13.8" x14ac:dyDescent="0.25">
      <c r="A144" s="239"/>
      <c r="BB144" s="187"/>
      <c r="BC144" s="180"/>
      <c r="BD144" s="191">
        <v>42314</v>
      </c>
      <c r="BE144" s="192">
        <v>0.38200000000000001</v>
      </c>
      <c r="BH144" s="94">
        <v>42283</v>
      </c>
      <c r="BI144" s="95">
        <v>0.44900000000000001</v>
      </c>
      <c r="BJ144" s="96">
        <v>8.68</v>
      </c>
    </row>
    <row r="145" spans="1:62" ht="13.8" x14ac:dyDescent="0.25">
      <c r="A145" s="239"/>
      <c r="BB145" s="187"/>
      <c r="BC145" s="180"/>
      <c r="BD145" s="191">
        <v>42317</v>
      </c>
      <c r="BE145" s="192">
        <v>0.38200000000000001</v>
      </c>
      <c r="BH145" s="94">
        <v>42284</v>
      </c>
      <c r="BI145" s="95">
        <v>0.44600000000000001</v>
      </c>
      <c r="BJ145" s="96">
        <v>8.68</v>
      </c>
    </row>
    <row r="146" spans="1:62" ht="13.8" x14ac:dyDescent="0.25">
      <c r="A146" s="239"/>
      <c r="BB146" s="187"/>
      <c r="BC146" s="180"/>
      <c r="BD146" s="191">
        <v>42318</v>
      </c>
      <c r="BE146" s="192">
        <v>0.38100000000000001</v>
      </c>
      <c r="BH146" s="94">
        <v>42285</v>
      </c>
      <c r="BI146" s="95">
        <v>0.44500000000000001</v>
      </c>
      <c r="BJ146" s="96">
        <v>8.68</v>
      </c>
    </row>
    <row r="147" spans="1:62" ht="13.8" x14ac:dyDescent="0.25">
      <c r="A147" s="239"/>
      <c r="BB147" s="187"/>
      <c r="BC147" s="180"/>
      <c r="BD147" s="191">
        <v>42319</v>
      </c>
      <c r="BE147" s="192">
        <v>0.38</v>
      </c>
      <c r="BH147" s="94">
        <v>42286</v>
      </c>
      <c r="BI147" s="95">
        <v>0.443</v>
      </c>
      <c r="BJ147" s="96">
        <v>8.68</v>
      </c>
    </row>
    <row r="148" spans="1:62" ht="13.8" x14ac:dyDescent="0.25">
      <c r="A148" s="239"/>
      <c r="BB148" s="187"/>
      <c r="BC148" s="180"/>
      <c r="BD148" s="191">
        <v>42320</v>
      </c>
      <c r="BE148" s="192">
        <v>0.379</v>
      </c>
      <c r="BH148" s="94">
        <v>42289</v>
      </c>
      <c r="BI148" s="95">
        <v>0.441</v>
      </c>
      <c r="BJ148" s="96">
        <v>8.67</v>
      </c>
    </row>
    <row r="149" spans="1:62" ht="13.8" x14ac:dyDescent="0.25">
      <c r="A149" s="239"/>
      <c r="BB149" s="187"/>
      <c r="BC149" s="180"/>
      <c r="BD149" s="191">
        <v>42321</v>
      </c>
      <c r="BE149" s="192">
        <v>0.378</v>
      </c>
      <c r="BH149" s="94">
        <v>42290</v>
      </c>
      <c r="BI149" s="95">
        <v>0.438</v>
      </c>
      <c r="BJ149" s="96">
        <v>8.67</v>
      </c>
    </row>
    <row r="150" spans="1:62" ht="13.8" x14ac:dyDescent="0.25">
      <c r="A150" s="239"/>
      <c r="BB150" s="187"/>
      <c r="BC150" s="180"/>
      <c r="BD150" s="191">
        <v>42324</v>
      </c>
      <c r="BE150" s="192">
        <v>0.375</v>
      </c>
      <c r="BH150" s="94">
        <v>42291</v>
      </c>
      <c r="BI150" s="95">
        <v>0.432</v>
      </c>
      <c r="BJ150" s="96">
        <v>8.66</v>
      </c>
    </row>
    <row r="151" spans="1:62" ht="13.8" x14ac:dyDescent="0.25">
      <c r="A151" s="239"/>
      <c r="BB151" s="187"/>
      <c r="BC151" s="180"/>
      <c r="BD151" s="191">
        <v>42325</v>
      </c>
      <c r="BE151" s="192">
        <v>0.372</v>
      </c>
      <c r="BH151" s="94">
        <v>42292</v>
      </c>
      <c r="BI151" s="95">
        <v>0.42399999999999999</v>
      </c>
      <c r="BJ151" s="96">
        <v>8.66</v>
      </c>
    </row>
    <row r="152" spans="1:62" ht="13.8" x14ac:dyDescent="0.25">
      <c r="A152" s="239"/>
      <c r="BB152" s="187"/>
      <c r="BC152" s="180"/>
      <c r="BD152" s="191">
        <v>42326</v>
      </c>
      <c r="BE152" s="192">
        <v>0.36599999999999999</v>
      </c>
      <c r="BH152" s="94">
        <v>42293</v>
      </c>
      <c r="BI152" s="95">
        <v>0.42</v>
      </c>
      <c r="BJ152" s="96">
        <v>8.66</v>
      </c>
    </row>
    <row r="153" spans="1:62" ht="13.8" x14ac:dyDescent="0.25">
      <c r="A153" s="239"/>
      <c r="BB153" s="187"/>
      <c r="BC153" s="180"/>
      <c r="BD153" s="191">
        <v>42327</v>
      </c>
      <c r="BE153" s="192">
        <v>0.36</v>
      </c>
      <c r="BH153" s="94">
        <v>42296</v>
      </c>
      <c r="BI153" s="95">
        <v>0.41699999999999998</v>
      </c>
      <c r="BJ153" s="96">
        <v>8.65</v>
      </c>
    </row>
    <row r="154" spans="1:62" ht="13.8" x14ac:dyDescent="0.25">
      <c r="A154" s="239"/>
      <c r="BB154" s="187"/>
      <c r="BC154" s="180"/>
      <c r="BD154" s="191">
        <v>42328</v>
      </c>
      <c r="BE154" s="192">
        <v>0.35699999999999998</v>
      </c>
      <c r="BH154" s="94">
        <v>42297</v>
      </c>
      <c r="BI154" s="95">
        <v>0.41599999999999998</v>
      </c>
      <c r="BJ154" s="96">
        <v>8.65</v>
      </c>
    </row>
    <row r="155" spans="1:62" ht="13.8" x14ac:dyDescent="0.25">
      <c r="A155" s="239"/>
      <c r="BB155" s="187"/>
      <c r="BC155" s="180"/>
      <c r="BD155" s="191">
        <v>42331</v>
      </c>
      <c r="BE155" s="192">
        <v>0.35499999999999998</v>
      </c>
      <c r="BH155" s="94">
        <v>42298</v>
      </c>
      <c r="BI155" s="95">
        <v>0.41599999999999998</v>
      </c>
      <c r="BJ155" s="96">
        <v>8.64</v>
      </c>
    </row>
    <row r="156" spans="1:62" ht="13.8" x14ac:dyDescent="0.25">
      <c r="A156" s="239"/>
      <c r="BB156" s="187"/>
      <c r="BC156" s="180"/>
      <c r="BD156" s="191">
        <v>42332</v>
      </c>
      <c r="BE156" s="192">
        <v>0.35499999999999998</v>
      </c>
      <c r="BH156" s="94">
        <v>42299</v>
      </c>
      <c r="BI156" s="95">
        <v>0.41399999999999998</v>
      </c>
      <c r="BJ156" s="96">
        <v>8.64</v>
      </c>
    </row>
    <row r="157" spans="1:62" ht="13.8" x14ac:dyDescent="0.25">
      <c r="A157" s="239"/>
      <c r="BB157" s="187"/>
      <c r="BC157" s="180"/>
      <c r="BD157" s="191">
        <v>42333</v>
      </c>
      <c r="BE157" s="192">
        <v>0.35499999999999998</v>
      </c>
      <c r="BH157" s="94">
        <v>42300</v>
      </c>
      <c r="BI157" s="95">
        <v>0.40799999999999997</v>
      </c>
      <c r="BJ157" s="96">
        <v>8.64</v>
      </c>
    </row>
    <row r="158" spans="1:62" ht="13.8" x14ac:dyDescent="0.25">
      <c r="A158" s="239"/>
      <c r="BB158" s="187"/>
      <c r="BC158" s="180"/>
      <c r="BD158" s="191">
        <v>42334</v>
      </c>
      <c r="BE158" s="192">
        <v>0.35299999999999998</v>
      </c>
      <c r="BH158" s="94">
        <v>42304</v>
      </c>
      <c r="BI158" s="95">
        <v>0.40100000000000002</v>
      </c>
      <c r="BJ158" s="96">
        <v>8.6300000000000008</v>
      </c>
    </row>
    <row r="159" spans="1:62" ht="13.8" x14ac:dyDescent="0.25">
      <c r="A159" s="239"/>
      <c r="BB159" s="187"/>
      <c r="BC159" s="180"/>
      <c r="BD159" s="191">
        <v>42335</v>
      </c>
      <c r="BE159" s="192">
        <v>0.34899999999999998</v>
      </c>
      <c r="BH159" s="94">
        <v>42305</v>
      </c>
      <c r="BI159" s="95">
        <v>0.39400000000000002</v>
      </c>
      <c r="BJ159" s="96">
        <v>8.6300000000000008</v>
      </c>
    </row>
    <row r="160" spans="1:62" ht="13.8" x14ac:dyDescent="0.25">
      <c r="A160" s="239"/>
      <c r="BB160" s="187"/>
      <c r="BC160" s="180"/>
      <c r="BD160" s="191">
        <v>42338</v>
      </c>
      <c r="BE160" s="192">
        <v>0.34499999999999997</v>
      </c>
      <c r="BH160" s="94">
        <v>42306</v>
      </c>
      <c r="BI160" s="95">
        <v>0.38800000000000001</v>
      </c>
      <c r="BJ160" s="96">
        <v>8.6199999999999992</v>
      </c>
    </row>
    <row r="161" spans="1:62" ht="13.8" x14ac:dyDescent="0.25">
      <c r="A161" s="239"/>
      <c r="BB161" s="187"/>
      <c r="BC161" s="180"/>
      <c r="BD161" s="191">
        <v>42339</v>
      </c>
      <c r="BE161" s="192">
        <v>0.34100000000000003</v>
      </c>
      <c r="BH161" s="94">
        <v>42307</v>
      </c>
      <c r="BI161" s="95">
        <v>0.38400000000000001</v>
      </c>
      <c r="BJ161" s="96">
        <v>8.6199999999999992</v>
      </c>
    </row>
    <row r="162" spans="1:62" ht="13.8" x14ac:dyDescent="0.25">
      <c r="A162" s="239"/>
      <c r="BB162" s="187"/>
      <c r="BC162" s="180"/>
      <c r="BD162" s="191">
        <v>42340</v>
      </c>
      <c r="BE162" s="192">
        <v>0.33600000000000002</v>
      </c>
      <c r="BH162" s="94">
        <v>42310</v>
      </c>
      <c r="BI162" s="95">
        <v>0.38300000000000001</v>
      </c>
      <c r="BJ162" s="96">
        <v>8.61</v>
      </c>
    </row>
    <row r="163" spans="1:62" ht="13.8" x14ac:dyDescent="0.25">
      <c r="A163" s="239"/>
      <c r="BB163" s="187"/>
      <c r="BC163" s="180"/>
      <c r="BD163" s="191">
        <v>42341</v>
      </c>
      <c r="BE163" s="192">
        <v>0.33200000000000002</v>
      </c>
      <c r="BH163" s="94">
        <v>42311</v>
      </c>
      <c r="BI163" s="95">
        <v>0.38200000000000001</v>
      </c>
      <c r="BJ163" s="96">
        <v>8.61</v>
      </c>
    </row>
    <row r="164" spans="1:62" ht="13.8" x14ac:dyDescent="0.25">
      <c r="A164" s="239"/>
      <c r="BB164" s="187"/>
      <c r="BC164" s="180"/>
      <c r="BD164" s="191">
        <v>42342</v>
      </c>
      <c r="BE164" s="192">
        <v>0.33400000000000002</v>
      </c>
      <c r="BH164" s="94">
        <v>42312</v>
      </c>
      <c r="BI164" s="95">
        <v>0.379</v>
      </c>
      <c r="BJ164" s="96">
        <v>8.61</v>
      </c>
    </row>
    <row r="165" spans="1:62" ht="13.8" x14ac:dyDescent="0.25">
      <c r="A165" s="239"/>
      <c r="BB165" s="187"/>
      <c r="BC165" s="180"/>
      <c r="BD165" s="191">
        <v>42345</v>
      </c>
      <c r="BE165" s="192">
        <v>0.33100000000000002</v>
      </c>
      <c r="BH165" s="94">
        <v>42313</v>
      </c>
      <c r="BI165" s="95">
        <v>0.38200000000000001</v>
      </c>
      <c r="BJ165" s="96">
        <v>8.64</v>
      </c>
    </row>
    <row r="166" spans="1:62" ht="13.8" x14ac:dyDescent="0.25">
      <c r="A166" s="239"/>
      <c r="BB166" s="187"/>
      <c r="BC166" s="180"/>
      <c r="BD166" s="191"/>
      <c r="BE166" s="193">
        <f>+BE165</f>
        <v>0.33100000000000002</v>
      </c>
      <c r="BH166" s="94">
        <v>42314</v>
      </c>
      <c r="BI166" s="95">
        <v>0.38200000000000001</v>
      </c>
      <c r="BJ166" s="96">
        <v>8.64</v>
      </c>
    </row>
    <row r="167" spans="1:62" ht="13.8" x14ac:dyDescent="0.25">
      <c r="A167" s="239"/>
      <c r="BB167" s="187"/>
      <c r="BC167" s="180"/>
      <c r="BD167" s="191">
        <v>42347</v>
      </c>
      <c r="BE167" s="192">
        <v>0.32900000000000001</v>
      </c>
      <c r="BH167" s="94">
        <v>42317</v>
      </c>
      <c r="BI167" s="95">
        <v>0.38200000000000001</v>
      </c>
      <c r="BJ167" s="96">
        <v>8.6300000000000008</v>
      </c>
    </row>
    <row r="168" spans="1:62" ht="13.8" x14ac:dyDescent="0.25">
      <c r="A168" s="239"/>
      <c r="BB168" s="187"/>
      <c r="BC168" s="180"/>
      <c r="BD168" s="191">
        <v>42348</v>
      </c>
      <c r="BE168" s="192">
        <v>0.32700000000000001</v>
      </c>
      <c r="BH168" s="94">
        <v>42318</v>
      </c>
      <c r="BI168" s="95">
        <v>0.38100000000000001</v>
      </c>
      <c r="BJ168" s="96">
        <v>8.6300000000000008</v>
      </c>
    </row>
    <row r="169" spans="1:62" ht="13.8" x14ac:dyDescent="0.25">
      <c r="A169" s="239"/>
      <c r="BB169" s="187"/>
      <c r="BC169" s="180"/>
      <c r="BD169" s="191">
        <v>42349</v>
      </c>
      <c r="BE169" s="192">
        <v>0.32500000000000001</v>
      </c>
      <c r="BH169" s="94">
        <v>42319</v>
      </c>
      <c r="BI169" s="95">
        <v>0.38</v>
      </c>
      <c r="BJ169" s="96">
        <v>8.6300000000000008</v>
      </c>
    </row>
    <row r="170" spans="1:62" ht="13.8" x14ac:dyDescent="0.25">
      <c r="A170" s="239"/>
      <c r="BB170" s="187"/>
      <c r="BC170" s="180"/>
      <c r="BD170" s="191">
        <v>42352</v>
      </c>
      <c r="BE170" s="192">
        <v>0.32400000000000001</v>
      </c>
      <c r="BH170" s="94">
        <v>42320</v>
      </c>
      <c r="BI170" s="95">
        <v>0.379</v>
      </c>
      <c r="BJ170" s="96">
        <v>8.6199999999999992</v>
      </c>
    </row>
    <row r="171" spans="1:62" ht="13.8" x14ac:dyDescent="0.25">
      <c r="A171" s="239"/>
      <c r="BB171" s="187"/>
      <c r="BC171" s="180"/>
      <c r="BD171" s="191">
        <v>42353</v>
      </c>
      <c r="BE171" s="192">
        <v>0.32600000000000001</v>
      </c>
      <c r="BH171" s="94">
        <v>42321</v>
      </c>
      <c r="BI171" s="95">
        <v>0.378</v>
      </c>
      <c r="BJ171" s="96">
        <v>8.6199999999999992</v>
      </c>
    </row>
    <row r="172" spans="1:62" ht="13.8" x14ac:dyDescent="0.25">
      <c r="A172" s="239"/>
      <c r="BB172" s="187"/>
      <c r="BC172" s="180"/>
      <c r="BD172" s="191">
        <v>42354</v>
      </c>
      <c r="BE172" s="192">
        <v>0.33</v>
      </c>
      <c r="BH172" s="94">
        <v>42324</v>
      </c>
      <c r="BI172" s="95">
        <v>0.375</v>
      </c>
      <c r="BJ172" s="96">
        <v>8.61</v>
      </c>
    </row>
    <row r="173" spans="1:62" ht="13.8" x14ac:dyDescent="0.25">
      <c r="A173" s="239"/>
      <c r="BB173" s="187"/>
      <c r="BC173" s="180"/>
      <c r="BD173" s="191">
        <v>42355</v>
      </c>
      <c r="BE173" s="192">
        <v>0.33400000000000002</v>
      </c>
      <c r="BH173" s="94">
        <v>42325</v>
      </c>
      <c r="BI173" s="95">
        <v>0.372</v>
      </c>
      <c r="BJ173" s="96">
        <v>8.61</v>
      </c>
    </row>
    <row r="174" spans="1:62" ht="13.8" x14ac:dyDescent="0.25">
      <c r="A174" s="239"/>
      <c r="BB174" s="187"/>
      <c r="BC174" s="180"/>
      <c r="BD174" s="191">
        <v>42356</v>
      </c>
      <c r="BE174" s="192">
        <v>0.33500000000000002</v>
      </c>
      <c r="BH174" s="94">
        <v>42326</v>
      </c>
      <c r="BI174" s="95">
        <v>0.36599999999999999</v>
      </c>
      <c r="BJ174" s="96">
        <v>8.61</v>
      </c>
    </row>
    <row r="175" spans="1:62" ht="13.8" x14ac:dyDescent="0.25">
      <c r="A175" s="239"/>
      <c r="BB175" s="187"/>
      <c r="BC175" s="180"/>
      <c r="BD175" s="191">
        <v>42359</v>
      </c>
      <c r="BE175" s="192">
        <v>0.33700000000000002</v>
      </c>
      <c r="BH175" s="94">
        <v>42327</v>
      </c>
      <c r="BI175" s="95">
        <v>0.36</v>
      </c>
      <c r="BJ175" s="96">
        <v>8.6</v>
      </c>
    </row>
    <row r="176" spans="1:62" ht="13.8" x14ac:dyDescent="0.25">
      <c r="A176" s="239"/>
      <c r="BB176" s="187"/>
      <c r="BC176" s="180"/>
      <c r="BD176" s="191">
        <v>42360</v>
      </c>
      <c r="BE176" s="192">
        <v>0.33900000000000002</v>
      </c>
      <c r="BH176" s="94">
        <v>42328</v>
      </c>
      <c r="BI176" s="95">
        <v>0.35699999999999998</v>
      </c>
      <c r="BJ176" s="96">
        <v>8.6</v>
      </c>
    </row>
    <row r="177" spans="1:62" ht="13.8" x14ac:dyDescent="0.25">
      <c r="A177" s="239"/>
      <c r="BB177" s="187"/>
      <c r="BC177" s="180"/>
      <c r="BD177" s="191">
        <v>42361</v>
      </c>
      <c r="BE177" s="192">
        <v>0.34399999999999997</v>
      </c>
      <c r="BH177" s="94">
        <v>42331</v>
      </c>
      <c r="BI177" s="95">
        <v>0.35499999999999998</v>
      </c>
      <c r="BJ177" s="96">
        <v>8.59</v>
      </c>
    </row>
    <row r="178" spans="1:62" ht="13.8" x14ac:dyDescent="0.25">
      <c r="A178" s="239"/>
      <c r="BB178" s="187"/>
      <c r="BC178" s="180"/>
      <c r="BD178" s="191"/>
      <c r="BE178" s="193">
        <f>+BE177</f>
        <v>0.34399999999999997</v>
      </c>
      <c r="BH178" s="94">
        <v>42332</v>
      </c>
      <c r="BI178" s="95">
        <v>0.35499999999999998</v>
      </c>
      <c r="BJ178" s="96">
        <v>8.59</v>
      </c>
    </row>
    <row r="179" spans="1:62" ht="13.8" x14ac:dyDescent="0.25">
      <c r="A179" s="239"/>
      <c r="BB179" s="187"/>
      <c r="BC179" s="180"/>
      <c r="BD179" s="191"/>
      <c r="BE179" s="193">
        <f>+BE178</f>
        <v>0.34399999999999997</v>
      </c>
      <c r="BH179" s="94">
        <v>42333</v>
      </c>
      <c r="BI179" s="95">
        <v>0.35499999999999998</v>
      </c>
      <c r="BJ179" s="96">
        <v>8.59</v>
      </c>
    </row>
    <row r="180" spans="1:62" ht="13.8" x14ac:dyDescent="0.25">
      <c r="A180" s="239"/>
      <c r="BB180" s="187"/>
      <c r="BC180" s="180"/>
      <c r="BD180" s="191">
        <v>42366</v>
      </c>
      <c r="BE180" s="192">
        <v>0.34799999999999998</v>
      </c>
      <c r="BH180" s="94">
        <v>42334</v>
      </c>
      <c r="BI180" s="95">
        <v>0.35299999999999998</v>
      </c>
      <c r="BJ180" s="96">
        <v>8.58</v>
      </c>
    </row>
    <row r="181" spans="1:62" ht="13.8" x14ac:dyDescent="0.25">
      <c r="A181" s="239"/>
      <c r="BB181" s="187"/>
      <c r="BC181" s="180"/>
      <c r="BD181" s="191">
        <v>42367</v>
      </c>
      <c r="BE181" s="192">
        <v>0.35399999999999998</v>
      </c>
      <c r="BH181" s="94">
        <v>42335</v>
      </c>
      <c r="BI181" s="95">
        <v>0.34899999999999998</v>
      </c>
      <c r="BJ181" s="96">
        <v>8.58</v>
      </c>
    </row>
    <row r="182" spans="1:62" ht="13.8" x14ac:dyDescent="0.25">
      <c r="A182" s="239"/>
      <c r="BB182" s="187"/>
      <c r="BC182" s="180"/>
      <c r="BD182" s="191">
        <v>42368</v>
      </c>
      <c r="BE182" s="192">
        <v>0.36099999999999999</v>
      </c>
      <c r="BH182" s="94">
        <v>42338</v>
      </c>
      <c r="BI182" s="95">
        <v>0.34499999999999997</v>
      </c>
      <c r="BJ182" s="96">
        <v>8.57</v>
      </c>
    </row>
    <row r="183" spans="1:62" ht="13.8" x14ac:dyDescent="0.25">
      <c r="A183" s="239"/>
      <c r="BB183" s="187"/>
      <c r="BC183" s="180"/>
      <c r="BD183" s="191">
        <v>42369</v>
      </c>
      <c r="BE183" s="192">
        <v>0.36499999999999999</v>
      </c>
      <c r="BH183" s="94">
        <v>42339</v>
      </c>
      <c r="BI183" s="95">
        <v>0.34100000000000003</v>
      </c>
      <c r="BJ183" s="96">
        <v>8.57</v>
      </c>
    </row>
    <row r="184" spans="1:62" ht="13.8" x14ac:dyDescent="0.25">
      <c r="A184" s="239"/>
      <c r="BB184" s="187"/>
      <c r="BC184" s="180"/>
      <c r="BD184" s="191"/>
      <c r="BE184" s="193">
        <f>+BE183</f>
        <v>0.36499999999999999</v>
      </c>
      <c r="BH184" s="94">
        <v>42340</v>
      </c>
      <c r="BI184" s="95">
        <v>0.33600000000000002</v>
      </c>
      <c r="BJ184" s="96">
        <v>8.57</v>
      </c>
    </row>
    <row r="185" spans="1:62" ht="13.8" x14ac:dyDescent="0.25">
      <c r="A185" s="239"/>
      <c r="BB185" s="187"/>
      <c r="BC185" s="180"/>
      <c r="BD185" s="191">
        <v>42373</v>
      </c>
      <c r="BE185" s="192">
        <v>0.36799999999999999</v>
      </c>
      <c r="BH185" s="94">
        <v>42341</v>
      </c>
      <c r="BI185" s="95">
        <v>0.33200000000000002</v>
      </c>
      <c r="BJ185" s="96">
        <v>8.57</v>
      </c>
    </row>
    <row r="186" spans="1:62" ht="13.8" x14ac:dyDescent="0.25">
      <c r="A186" s="239"/>
      <c r="BB186" s="187"/>
      <c r="BC186" s="180"/>
      <c r="BD186" s="191">
        <v>42374</v>
      </c>
      <c r="BE186" s="192">
        <v>0.373</v>
      </c>
      <c r="BH186" s="94">
        <v>42342</v>
      </c>
      <c r="BI186" s="95">
        <v>0.33400000000000002</v>
      </c>
      <c r="BJ186" s="96">
        <v>8.56</v>
      </c>
    </row>
    <row r="187" spans="1:62" ht="13.8" x14ac:dyDescent="0.25">
      <c r="A187" s="239"/>
      <c r="BB187" s="187"/>
      <c r="BC187" s="180"/>
      <c r="BD187" s="191"/>
      <c r="BE187" s="193">
        <f>+BE186</f>
        <v>0.373</v>
      </c>
      <c r="BH187" s="94">
        <v>42345</v>
      </c>
      <c r="BI187" s="95">
        <v>0.33100000000000002</v>
      </c>
      <c r="BJ187" s="96">
        <v>8.5500000000000007</v>
      </c>
    </row>
    <row r="188" spans="1:62" ht="13.8" x14ac:dyDescent="0.25">
      <c r="A188" s="239"/>
      <c r="BB188" s="187"/>
      <c r="BC188" s="180"/>
      <c r="BD188" s="191">
        <v>42376</v>
      </c>
      <c r="BE188" s="192">
        <v>0.373</v>
      </c>
      <c r="BH188" s="94">
        <v>42347</v>
      </c>
      <c r="BI188" s="95">
        <v>0.32900000000000001</v>
      </c>
      <c r="BJ188" s="96">
        <v>8.5500000000000007</v>
      </c>
    </row>
    <row r="189" spans="1:62" ht="13.8" x14ac:dyDescent="0.25">
      <c r="A189" s="239"/>
      <c r="BB189" s="187"/>
      <c r="BC189" s="180"/>
      <c r="BD189" s="191">
        <v>42377</v>
      </c>
      <c r="BE189" s="192">
        <v>0.36899999999999999</v>
      </c>
      <c r="BH189" s="94">
        <v>42348</v>
      </c>
      <c r="BI189" s="95">
        <v>0.32700000000000001</v>
      </c>
      <c r="BJ189" s="96">
        <v>8.5500000000000007</v>
      </c>
    </row>
    <row r="190" spans="1:62" ht="13.8" x14ac:dyDescent="0.25">
      <c r="A190" s="239"/>
      <c r="BB190" s="187"/>
      <c r="BC190" s="180"/>
      <c r="BD190" s="191">
        <v>42380</v>
      </c>
      <c r="BE190" s="192">
        <v>0.36599999999999999</v>
      </c>
      <c r="BH190" s="94">
        <v>42349</v>
      </c>
      <c r="BI190" s="95">
        <v>0.32500000000000001</v>
      </c>
      <c r="BJ190" s="96">
        <v>8.5399999999999991</v>
      </c>
    </row>
    <row r="191" spans="1:62" ht="13.8" x14ac:dyDescent="0.25">
      <c r="A191" s="239"/>
      <c r="BB191" s="187"/>
      <c r="BC191" s="180"/>
      <c r="BD191" s="191">
        <v>42381</v>
      </c>
      <c r="BE191" s="192">
        <v>0.36699999999999999</v>
      </c>
      <c r="BH191" s="94">
        <v>42352</v>
      </c>
      <c r="BI191" s="95">
        <v>0.32400000000000001</v>
      </c>
      <c r="BJ191" s="96">
        <v>8.5399999999999991</v>
      </c>
    </row>
    <row r="192" spans="1:62" ht="13.8" x14ac:dyDescent="0.25">
      <c r="A192" s="239"/>
      <c r="BB192" s="187"/>
      <c r="BC192" s="180"/>
      <c r="BD192" s="191">
        <v>42382</v>
      </c>
      <c r="BE192" s="192">
        <v>0.36599999999999999</v>
      </c>
      <c r="BH192" s="94">
        <v>42353</v>
      </c>
      <c r="BI192" s="95">
        <v>0.32600000000000001</v>
      </c>
      <c r="BJ192" s="96">
        <v>8.5299999999999994</v>
      </c>
    </row>
    <row r="193" spans="1:62" ht="13.8" x14ac:dyDescent="0.25">
      <c r="A193" s="239"/>
      <c r="BB193" s="187"/>
      <c r="BC193" s="180"/>
      <c r="BD193" s="191">
        <v>42383</v>
      </c>
      <c r="BE193" s="192">
        <v>0.372</v>
      </c>
      <c r="BH193" s="94">
        <v>42354</v>
      </c>
      <c r="BI193" s="95">
        <v>0.33</v>
      </c>
      <c r="BJ193" s="96">
        <v>8.5299999999999994</v>
      </c>
    </row>
    <row r="194" spans="1:62" ht="13.8" x14ac:dyDescent="0.25">
      <c r="A194" s="239"/>
      <c r="BB194" s="187"/>
      <c r="BC194" s="180"/>
      <c r="BD194" s="191">
        <v>42384</v>
      </c>
      <c r="BE194" s="192">
        <v>0.371</v>
      </c>
      <c r="BH194" s="94">
        <v>42355</v>
      </c>
      <c r="BI194" s="95">
        <v>0.33400000000000002</v>
      </c>
      <c r="BJ194" s="96">
        <v>8.5299999999999994</v>
      </c>
    </row>
    <row r="195" spans="1:62" ht="13.8" x14ac:dyDescent="0.25">
      <c r="A195" s="239"/>
      <c r="BB195" s="187"/>
      <c r="BC195" s="180"/>
      <c r="BD195" s="191">
        <v>42387</v>
      </c>
      <c r="BE195" s="192">
        <v>0.36699999999999999</v>
      </c>
      <c r="BH195" s="94">
        <v>42356</v>
      </c>
      <c r="BI195" s="95">
        <v>0.33500000000000002</v>
      </c>
      <c r="BJ195" s="96">
        <v>8.52</v>
      </c>
    </row>
    <row r="196" spans="1:62" ht="13.8" x14ac:dyDescent="0.25">
      <c r="A196" s="239"/>
      <c r="BB196" s="187"/>
      <c r="BC196" s="180"/>
      <c r="BD196" s="191">
        <v>42388</v>
      </c>
      <c r="BE196" s="192">
        <v>0.36299999999999999</v>
      </c>
      <c r="BH196" s="94">
        <v>42359</v>
      </c>
      <c r="BI196" s="95">
        <v>0.33700000000000002</v>
      </c>
      <c r="BJ196" s="96">
        <v>8.52</v>
      </c>
    </row>
    <row r="197" spans="1:62" ht="13.8" x14ac:dyDescent="0.25">
      <c r="A197" s="239"/>
      <c r="BB197" s="187"/>
      <c r="BC197" s="180"/>
      <c r="BD197" s="191">
        <v>42389</v>
      </c>
      <c r="BE197" s="192">
        <v>0.35899999999999999</v>
      </c>
      <c r="BH197" s="94">
        <v>42360</v>
      </c>
      <c r="BI197" s="95">
        <v>0.33900000000000002</v>
      </c>
      <c r="BJ197" s="96">
        <v>8.51</v>
      </c>
    </row>
    <row r="198" spans="1:62" ht="13.8" x14ac:dyDescent="0.25">
      <c r="A198" s="239"/>
      <c r="BB198" s="187"/>
      <c r="BC198" s="180"/>
      <c r="BD198" s="191">
        <v>42390</v>
      </c>
      <c r="BE198" s="192">
        <v>0.35599999999999998</v>
      </c>
      <c r="BH198" s="94">
        <v>42361</v>
      </c>
      <c r="BI198" s="95">
        <v>0.34399999999999997</v>
      </c>
      <c r="BJ198" s="96">
        <v>8.51</v>
      </c>
    </row>
    <row r="199" spans="1:62" ht="13.8" x14ac:dyDescent="0.25">
      <c r="A199" s="239"/>
      <c r="BB199" s="187"/>
      <c r="BC199" s="180"/>
      <c r="BD199" s="191">
        <v>42391</v>
      </c>
      <c r="BE199" s="192">
        <v>0.35299999999999998</v>
      </c>
      <c r="BH199" s="94">
        <v>42366</v>
      </c>
      <c r="BI199" s="95">
        <v>0.34799999999999998</v>
      </c>
      <c r="BJ199" s="96">
        <v>8.5</v>
      </c>
    </row>
    <row r="200" spans="1:62" ht="13.8" x14ac:dyDescent="0.25">
      <c r="A200" s="239"/>
      <c r="BB200" s="187"/>
      <c r="BC200" s="180"/>
      <c r="BD200" s="191">
        <v>42394</v>
      </c>
      <c r="BE200" s="192">
        <v>0.34799999999999998</v>
      </c>
      <c r="BH200" s="94">
        <v>42367</v>
      </c>
      <c r="BI200" s="95">
        <v>0.35399999999999998</v>
      </c>
      <c r="BJ200" s="96">
        <v>8.49</v>
      </c>
    </row>
    <row r="201" spans="1:62" ht="13.8" x14ac:dyDescent="0.25">
      <c r="A201" s="239"/>
      <c r="BB201" s="187"/>
      <c r="BC201" s="180"/>
      <c r="BD201" s="191">
        <v>42395</v>
      </c>
      <c r="BE201" s="192">
        <v>0.34</v>
      </c>
      <c r="BH201" s="94">
        <v>42368</v>
      </c>
      <c r="BI201" s="95">
        <v>0.36099999999999999</v>
      </c>
      <c r="BJ201" s="96">
        <v>8.49</v>
      </c>
    </row>
    <row r="202" spans="1:62" ht="13.8" x14ac:dyDescent="0.25">
      <c r="A202" s="239"/>
      <c r="BB202" s="187"/>
      <c r="BC202" s="180"/>
      <c r="BD202" s="191">
        <v>42396</v>
      </c>
      <c r="BE202" s="192">
        <v>0.33200000000000002</v>
      </c>
      <c r="BH202" s="94">
        <v>42369</v>
      </c>
      <c r="BI202" s="95">
        <v>0.36499999999999999</v>
      </c>
      <c r="BJ202" s="96">
        <v>8.49</v>
      </c>
    </row>
    <row r="203" spans="1:62" ht="13.8" x14ac:dyDescent="0.25">
      <c r="A203" s="239"/>
      <c r="BB203" s="187"/>
      <c r="BC203" s="180"/>
      <c r="BD203" s="191">
        <v>42397</v>
      </c>
      <c r="BE203" s="192">
        <v>0.32300000000000001</v>
      </c>
      <c r="BH203" s="94">
        <v>42373</v>
      </c>
      <c r="BI203" s="95">
        <v>0.36799999999999999</v>
      </c>
      <c r="BJ203" s="96">
        <v>8.48</v>
      </c>
    </row>
    <row r="204" spans="1:62" ht="13.8" x14ac:dyDescent="0.25">
      <c r="A204" s="239"/>
      <c r="BB204" s="187"/>
      <c r="BC204" s="180"/>
      <c r="BD204" s="191">
        <v>42398</v>
      </c>
      <c r="BE204" s="192">
        <v>0.311</v>
      </c>
      <c r="BH204" s="94">
        <v>42374</v>
      </c>
      <c r="BI204" s="95">
        <v>0.373</v>
      </c>
      <c r="BJ204" s="96">
        <v>8.4700000000000006</v>
      </c>
    </row>
    <row r="205" spans="1:62" ht="13.8" x14ac:dyDescent="0.25">
      <c r="A205" s="239"/>
      <c r="BB205" s="187"/>
      <c r="BC205" s="180"/>
      <c r="BD205" s="191">
        <v>42401</v>
      </c>
      <c r="BE205" s="192">
        <v>0.30399999999999999</v>
      </c>
      <c r="BH205" s="94">
        <v>42376</v>
      </c>
      <c r="BI205" s="95">
        <v>0.373</v>
      </c>
      <c r="BJ205" s="96">
        <v>8.4700000000000006</v>
      </c>
    </row>
    <row r="206" spans="1:62" ht="13.8" x14ac:dyDescent="0.25">
      <c r="A206" s="239"/>
      <c r="BB206" s="187"/>
      <c r="BC206" s="180"/>
      <c r="BD206" s="191">
        <v>42402</v>
      </c>
      <c r="BE206" s="192">
        <v>0.29499999999999998</v>
      </c>
      <c r="BH206" s="94">
        <v>42377</v>
      </c>
      <c r="BI206" s="95">
        <v>0.36899999999999999</v>
      </c>
      <c r="BJ206" s="96">
        <v>8.4700000000000006</v>
      </c>
    </row>
    <row r="207" spans="1:62" ht="13.8" x14ac:dyDescent="0.25">
      <c r="A207" s="239"/>
      <c r="BB207" s="187"/>
      <c r="BC207" s="180"/>
      <c r="BD207" s="191">
        <v>42403</v>
      </c>
      <c r="BE207" s="192">
        <v>0.28499999999999998</v>
      </c>
      <c r="BH207" s="94">
        <v>42380</v>
      </c>
      <c r="BI207" s="95">
        <v>0.36599999999999999</v>
      </c>
      <c r="BJ207" s="96">
        <v>8.4600000000000009</v>
      </c>
    </row>
    <row r="208" spans="1:62" ht="13.8" x14ac:dyDescent="0.25">
      <c r="A208" s="239"/>
      <c r="BB208" s="187"/>
      <c r="BC208" s="180"/>
      <c r="BD208" s="191">
        <v>42404</v>
      </c>
      <c r="BE208" s="192">
        <v>0.27600000000000002</v>
      </c>
      <c r="BH208" s="94">
        <v>42381</v>
      </c>
      <c r="BI208" s="95">
        <v>0.36699999999999999</v>
      </c>
      <c r="BJ208" s="96">
        <v>8.4600000000000009</v>
      </c>
    </row>
    <row r="209" spans="1:62" ht="13.8" x14ac:dyDescent="0.25">
      <c r="A209" s="239"/>
      <c r="BB209" s="187"/>
      <c r="BC209" s="180"/>
      <c r="BD209" s="191">
        <v>42405</v>
      </c>
      <c r="BE209" s="192">
        <v>0.26600000000000001</v>
      </c>
      <c r="BH209" s="94">
        <v>42382</v>
      </c>
      <c r="BI209" s="95">
        <v>0.36599999999999999</v>
      </c>
      <c r="BJ209" s="96">
        <v>8.4499999999999993</v>
      </c>
    </row>
    <row r="210" spans="1:62" ht="13.8" x14ac:dyDescent="0.25">
      <c r="A210" s="239"/>
      <c r="BB210" s="187"/>
      <c r="BC210" s="180"/>
      <c r="BD210" s="191">
        <v>42408</v>
      </c>
      <c r="BE210" s="192">
        <v>0.255</v>
      </c>
      <c r="BH210" s="94">
        <v>42383</v>
      </c>
      <c r="BI210" s="95">
        <v>0.372</v>
      </c>
      <c r="BJ210" s="96">
        <v>8.48</v>
      </c>
    </row>
    <row r="211" spans="1:62" ht="13.8" x14ac:dyDescent="0.25">
      <c r="A211" s="239"/>
      <c r="BB211" s="187"/>
      <c r="BC211" s="180"/>
      <c r="BD211" s="191">
        <v>42409</v>
      </c>
      <c r="BE211" s="192">
        <v>0.24199999999999999</v>
      </c>
      <c r="BH211" s="94">
        <v>42384</v>
      </c>
      <c r="BI211" s="95">
        <v>0.371</v>
      </c>
      <c r="BJ211" s="96">
        <v>8.48</v>
      </c>
    </row>
    <row r="212" spans="1:62" ht="13.8" x14ac:dyDescent="0.25">
      <c r="A212" s="239"/>
      <c r="BB212" s="187"/>
      <c r="BC212" s="180"/>
      <c r="BD212" s="191">
        <v>42410</v>
      </c>
      <c r="BE212" s="192">
        <v>0.23100000000000001</v>
      </c>
      <c r="BH212" s="94">
        <v>42387</v>
      </c>
      <c r="BI212" s="95">
        <v>0.36699999999999999</v>
      </c>
      <c r="BJ212" s="96">
        <v>8.4700000000000006</v>
      </c>
    </row>
    <row r="213" spans="1:62" ht="13.8" x14ac:dyDescent="0.25">
      <c r="A213" s="239"/>
      <c r="BB213" s="187"/>
      <c r="BC213" s="180"/>
      <c r="BD213" s="191">
        <v>42411</v>
      </c>
      <c r="BE213" s="192">
        <v>0.223</v>
      </c>
      <c r="BH213" s="94">
        <v>42388</v>
      </c>
      <c r="BI213" s="95">
        <v>0.36299999999999999</v>
      </c>
      <c r="BJ213" s="96">
        <v>8.4700000000000006</v>
      </c>
    </row>
    <row r="214" spans="1:62" ht="13.8" x14ac:dyDescent="0.25">
      <c r="A214" s="239"/>
      <c r="BB214" s="187"/>
      <c r="BC214" s="180"/>
      <c r="BD214" s="191">
        <v>42412</v>
      </c>
      <c r="BE214" s="192">
        <v>0.214</v>
      </c>
      <c r="BH214" s="94">
        <v>42389</v>
      </c>
      <c r="BI214" s="95">
        <v>0.35899999999999999</v>
      </c>
      <c r="BJ214" s="96">
        <v>8.4700000000000006</v>
      </c>
    </row>
    <row r="215" spans="1:62" ht="13.8" x14ac:dyDescent="0.25">
      <c r="A215" s="239"/>
      <c r="BB215" s="187"/>
      <c r="BC215" s="180"/>
      <c r="BD215" s="191">
        <v>42415</v>
      </c>
      <c r="BE215" s="192">
        <v>0.20499999999999999</v>
      </c>
      <c r="BH215" s="94">
        <v>42390</v>
      </c>
      <c r="BI215" s="95">
        <v>0.35599999999999998</v>
      </c>
      <c r="BJ215" s="96">
        <v>8.4600000000000009</v>
      </c>
    </row>
    <row r="216" spans="1:62" ht="13.8" x14ac:dyDescent="0.25">
      <c r="A216" s="239"/>
      <c r="BB216" s="187"/>
      <c r="BC216" s="180"/>
      <c r="BD216" s="191">
        <v>42416</v>
      </c>
      <c r="BE216" s="192">
        <v>0.19700000000000001</v>
      </c>
      <c r="BH216" s="94">
        <v>42391</v>
      </c>
      <c r="BI216" s="95">
        <v>0.35299999999999998</v>
      </c>
      <c r="BJ216" s="96">
        <v>8.4600000000000009</v>
      </c>
    </row>
    <row r="217" spans="1:62" ht="13.8" x14ac:dyDescent="0.25">
      <c r="A217" s="239"/>
      <c r="BB217" s="187"/>
      <c r="BC217" s="180"/>
      <c r="BD217" s="191">
        <v>42417</v>
      </c>
      <c r="BE217" s="192">
        <v>0.191</v>
      </c>
      <c r="BH217" s="94">
        <v>42394</v>
      </c>
      <c r="BI217" s="95">
        <v>0.34799999999999998</v>
      </c>
      <c r="BJ217" s="96">
        <v>8.4499999999999993</v>
      </c>
    </row>
    <row r="218" spans="1:62" ht="13.8" x14ac:dyDescent="0.25">
      <c r="A218" s="239"/>
      <c r="BB218" s="187"/>
      <c r="BC218" s="180"/>
      <c r="BD218" s="191">
        <v>42418</v>
      </c>
      <c r="BE218" s="192">
        <v>0.184</v>
      </c>
      <c r="BH218" s="94">
        <v>42395</v>
      </c>
      <c r="BI218" s="95">
        <v>0.34</v>
      </c>
      <c r="BJ218" s="96">
        <v>8.4499999999999993</v>
      </c>
    </row>
    <row r="219" spans="1:62" ht="13.8" x14ac:dyDescent="0.25">
      <c r="A219" s="239"/>
      <c r="BB219" s="187"/>
      <c r="BC219" s="180"/>
      <c r="BD219" s="191">
        <v>42419</v>
      </c>
      <c r="BE219" s="192">
        <v>0.17599999999999999</v>
      </c>
      <c r="BH219" s="94">
        <v>42396</v>
      </c>
      <c r="BI219" s="95">
        <v>0.33200000000000002</v>
      </c>
      <c r="BJ219" s="96">
        <v>8.4499999999999993</v>
      </c>
    </row>
    <row r="220" spans="1:62" ht="13.8" x14ac:dyDescent="0.25">
      <c r="A220" s="239"/>
      <c r="BB220" s="187"/>
      <c r="BC220" s="180"/>
      <c r="BD220" s="191">
        <v>42422</v>
      </c>
      <c r="BE220" s="192">
        <v>0.2</v>
      </c>
      <c r="BH220" s="94">
        <v>42397</v>
      </c>
      <c r="BI220" s="95">
        <v>0.32300000000000001</v>
      </c>
      <c r="BJ220" s="96">
        <v>8.4499999999999993</v>
      </c>
    </row>
    <row r="221" spans="1:62" ht="13.8" x14ac:dyDescent="0.25">
      <c r="A221" s="239"/>
      <c r="BB221" s="187"/>
      <c r="BC221" s="180"/>
      <c r="BD221" s="191">
        <v>42423</v>
      </c>
      <c r="BE221" s="192">
        <v>0.21099999999999999</v>
      </c>
      <c r="BH221" s="94">
        <v>42398</v>
      </c>
      <c r="BI221" s="95">
        <v>0.311</v>
      </c>
      <c r="BJ221" s="96">
        <v>8.44</v>
      </c>
    </row>
    <row r="222" spans="1:62" ht="13.8" x14ac:dyDescent="0.25">
      <c r="A222" s="239"/>
      <c r="BB222" s="187"/>
      <c r="BC222" s="180"/>
      <c r="BD222" s="191">
        <v>42424</v>
      </c>
      <c r="BE222" s="192">
        <v>0.20300000000000001</v>
      </c>
      <c r="BH222" s="94">
        <v>42401</v>
      </c>
      <c r="BI222" s="95">
        <v>0.30399999999999999</v>
      </c>
      <c r="BJ222" s="96">
        <v>8.43</v>
      </c>
    </row>
    <row r="223" spans="1:62" ht="13.8" x14ac:dyDescent="0.25">
      <c r="A223" s="239"/>
      <c r="BB223" s="187"/>
      <c r="BC223" s="180"/>
      <c r="BD223" s="191">
        <v>42425</v>
      </c>
      <c r="BE223" s="192">
        <v>0.19500000000000001</v>
      </c>
      <c r="BH223" s="94">
        <v>42402</v>
      </c>
      <c r="BI223" s="95">
        <v>0.29499999999999998</v>
      </c>
      <c r="BJ223" s="96">
        <v>8.43</v>
      </c>
    </row>
    <row r="224" spans="1:62" ht="13.8" x14ac:dyDescent="0.25">
      <c r="A224" s="239"/>
      <c r="BB224" s="187"/>
      <c r="BC224" s="180"/>
      <c r="BD224" s="191">
        <v>42426</v>
      </c>
      <c r="BE224" s="192">
        <v>0.19</v>
      </c>
      <c r="BH224" s="94">
        <v>42403</v>
      </c>
      <c r="BI224" s="95">
        <v>0.28499999999999998</v>
      </c>
      <c r="BJ224" s="96">
        <v>8.43</v>
      </c>
    </row>
    <row r="225" spans="1:62" ht="13.8" x14ac:dyDescent="0.25">
      <c r="A225" s="239"/>
      <c r="BB225" s="187"/>
      <c r="BC225" s="180"/>
      <c r="BD225" s="191">
        <v>42429</v>
      </c>
      <c r="BE225" s="192">
        <v>0.183</v>
      </c>
      <c r="BH225" s="94">
        <v>42404</v>
      </c>
      <c r="BI225" s="95">
        <v>0.27600000000000002</v>
      </c>
      <c r="BJ225" s="96">
        <v>8.43</v>
      </c>
    </row>
    <row r="226" spans="1:62" ht="13.8" x14ac:dyDescent="0.25">
      <c r="A226" s="239"/>
      <c r="BB226" s="187"/>
      <c r="BC226" s="180"/>
      <c r="BD226" s="191">
        <v>42430</v>
      </c>
      <c r="BE226" s="192">
        <v>0.17799999999999999</v>
      </c>
      <c r="BH226" s="94">
        <v>42405</v>
      </c>
      <c r="BI226" s="95">
        <v>0.26600000000000001</v>
      </c>
      <c r="BJ226" s="96">
        <v>8.42</v>
      </c>
    </row>
    <row r="227" spans="1:62" ht="13.8" x14ac:dyDescent="0.25">
      <c r="A227" s="239"/>
      <c r="BB227" s="187"/>
      <c r="BC227" s="180"/>
      <c r="BD227" s="191">
        <v>42431</v>
      </c>
      <c r="BE227" s="192">
        <v>0.17499999999999999</v>
      </c>
      <c r="BH227" s="94">
        <v>42408</v>
      </c>
      <c r="BI227" s="95">
        <v>0.255</v>
      </c>
      <c r="BJ227" s="96">
        <v>8.42</v>
      </c>
    </row>
    <row r="228" spans="1:62" ht="13.8" x14ac:dyDescent="0.25">
      <c r="A228" s="239"/>
      <c r="BB228" s="187"/>
      <c r="BC228" s="180"/>
      <c r="BD228" s="191">
        <v>42432</v>
      </c>
      <c r="BE228" s="192">
        <v>0.17199999999999999</v>
      </c>
      <c r="BH228" s="94">
        <v>42409</v>
      </c>
      <c r="BI228" s="95">
        <v>0.24199999999999999</v>
      </c>
      <c r="BJ228" s="96">
        <v>8.41</v>
      </c>
    </row>
    <row r="229" spans="1:62" ht="13.8" x14ac:dyDescent="0.25">
      <c r="A229" s="239"/>
      <c r="BB229" s="187"/>
      <c r="BC229" s="180"/>
      <c r="BD229" s="191">
        <v>42433</v>
      </c>
      <c r="BE229" s="192">
        <v>0.17</v>
      </c>
      <c r="BH229" s="94">
        <v>42410</v>
      </c>
      <c r="BI229" s="95">
        <v>0.23100000000000001</v>
      </c>
      <c r="BJ229" s="96">
        <v>8.41</v>
      </c>
    </row>
    <row r="230" spans="1:62" ht="13.8" x14ac:dyDescent="0.25">
      <c r="A230" s="239"/>
      <c r="BB230" s="187"/>
      <c r="BC230" s="180"/>
      <c r="BD230" s="191">
        <v>42436</v>
      </c>
      <c r="BE230" s="192">
        <v>0.16900000000000001</v>
      </c>
      <c r="BH230" s="94">
        <v>42411</v>
      </c>
      <c r="BI230" s="95">
        <v>0.223</v>
      </c>
      <c r="BJ230" s="96">
        <v>8.4600000000000009</v>
      </c>
    </row>
    <row r="231" spans="1:62" ht="13.8" x14ac:dyDescent="0.25">
      <c r="A231" s="239"/>
      <c r="BB231" s="187"/>
      <c r="BC231" s="180"/>
      <c r="BD231" s="191">
        <v>42437</v>
      </c>
      <c r="BE231" s="192">
        <v>0.16700000000000001</v>
      </c>
      <c r="BH231" s="94">
        <v>42412</v>
      </c>
      <c r="BI231" s="95">
        <v>0.214</v>
      </c>
      <c r="BJ231" s="96">
        <v>8.4600000000000009</v>
      </c>
    </row>
    <row r="232" spans="1:62" ht="13.8" x14ac:dyDescent="0.25">
      <c r="A232" s="239"/>
      <c r="BB232" s="187"/>
      <c r="BC232" s="180"/>
      <c r="BD232" s="191">
        <v>42438</v>
      </c>
      <c r="BE232" s="192">
        <v>0.16600000000000001</v>
      </c>
      <c r="BH232" s="94">
        <v>42415</v>
      </c>
      <c r="BI232" s="95">
        <v>0.20499999999999999</v>
      </c>
      <c r="BJ232" s="96">
        <v>8.4499999999999993</v>
      </c>
    </row>
    <row r="233" spans="1:62" ht="13.8" x14ac:dyDescent="0.25">
      <c r="A233" s="239"/>
      <c r="BB233" s="187"/>
      <c r="BC233" s="180"/>
      <c r="BD233" s="191">
        <v>42439</v>
      </c>
      <c r="BE233" s="192">
        <v>0.16700000000000001</v>
      </c>
      <c r="BH233" s="94">
        <v>42416</v>
      </c>
      <c r="BI233" s="95">
        <v>0.19700000000000001</v>
      </c>
      <c r="BJ233" s="96">
        <v>8.4499999999999993</v>
      </c>
    </row>
    <row r="234" spans="1:62" ht="13.8" x14ac:dyDescent="0.25">
      <c r="A234" s="239"/>
      <c r="BB234" s="187"/>
      <c r="BC234" s="180"/>
      <c r="BD234" s="191">
        <v>42440</v>
      </c>
      <c r="BE234" s="192">
        <v>0.16700000000000001</v>
      </c>
      <c r="BH234" s="94">
        <v>42417</v>
      </c>
      <c r="BI234" s="95">
        <v>0.191</v>
      </c>
      <c r="BJ234" s="96">
        <v>8.44</v>
      </c>
    </row>
    <row r="235" spans="1:62" ht="13.8" x14ac:dyDescent="0.25">
      <c r="A235" s="239"/>
      <c r="BB235" s="187"/>
      <c r="BC235" s="180"/>
      <c r="BD235" s="191">
        <v>42443</v>
      </c>
      <c r="BE235" s="192">
        <v>0.16500000000000001</v>
      </c>
      <c r="BH235" s="94">
        <v>42418</v>
      </c>
      <c r="BI235" s="95">
        <v>0.184</v>
      </c>
      <c r="BJ235" s="96">
        <v>8.44</v>
      </c>
    </row>
    <row r="236" spans="1:62" ht="13.8" x14ac:dyDescent="0.25">
      <c r="A236" s="239"/>
      <c r="BB236" s="187"/>
      <c r="BC236" s="180"/>
      <c r="BD236" s="191">
        <v>42444</v>
      </c>
      <c r="BE236" s="192">
        <v>0.16400000000000001</v>
      </c>
      <c r="BH236" s="94">
        <v>42419</v>
      </c>
      <c r="BI236" s="95">
        <v>0.17599999999999999</v>
      </c>
      <c r="BJ236" s="96">
        <v>8.44</v>
      </c>
    </row>
    <row r="237" spans="1:62" ht="13.8" x14ac:dyDescent="0.25">
      <c r="A237" s="239"/>
      <c r="BB237" s="187"/>
      <c r="BC237" s="180"/>
      <c r="BD237" s="191">
        <v>42445</v>
      </c>
      <c r="BE237" s="192">
        <v>0.16300000000000001</v>
      </c>
      <c r="BH237" s="94">
        <v>42422</v>
      </c>
      <c r="BI237" s="95">
        <v>0.2</v>
      </c>
      <c r="BJ237" s="96">
        <v>8.85</v>
      </c>
    </row>
    <row r="238" spans="1:62" ht="13.8" x14ac:dyDescent="0.25">
      <c r="A238" s="239"/>
      <c r="BB238" s="187"/>
      <c r="BC238" s="180"/>
      <c r="BD238" s="191">
        <v>42446</v>
      </c>
      <c r="BE238" s="192">
        <v>0.161</v>
      </c>
      <c r="BH238" s="94">
        <v>42423</v>
      </c>
      <c r="BI238" s="95">
        <v>0.21099999999999999</v>
      </c>
      <c r="BJ238" s="96">
        <v>9.07</v>
      </c>
    </row>
    <row r="239" spans="1:62" ht="13.8" x14ac:dyDescent="0.25">
      <c r="A239" s="239"/>
      <c r="BB239" s="187"/>
      <c r="BC239" s="180"/>
      <c r="BD239" s="191">
        <v>42447</v>
      </c>
      <c r="BE239" s="192">
        <v>0.159</v>
      </c>
      <c r="BH239" s="94">
        <v>42424</v>
      </c>
      <c r="BI239" s="95">
        <v>0.20300000000000001</v>
      </c>
      <c r="BJ239" s="96">
        <v>9.07</v>
      </c>
    </row>
    <row r="240" spans="1:62" ht="13.8" x14ac:dyDescent="0.25">
      <c r="A240" s="239"/>
      <c r="BB240" s="187"/>
      <c r="BC240" s="180"/>
      <c r="BD240" s="191">
        <v>42450</v>
      </c>
      <c r="BE240" s="192">
        <v>0.158</v>
      </c>
      <c r="BH240" s="94">
        <v>42425</v>
      </c>
      <c r="BI240" s="95">
        <v>0.19500000000000001</v>
      </c>
      <c r="BJ240" s="96">
        <v>9.07</v>
      </c>
    </row>
    <row r="241" spans="1:62" ht="13.8" x14ac:dyDescent="0.25">
      <c r="A241" s="239"/>
      <c r="BB241" s="187"/>
      <c r="BC241" s="180"/>
      <c r="BD241" s="191">
        <v>42451</v>
      </c>
      <c r="BE241" s="192">
        <v>0.156</v>
      </c>
      <c r="BH241" s="94">
        <v>42426</v>
      </c>
      <c r="BI241" s="95">
        <v>0.19</v>
      </c>
      <c r="BJ241" s="96">
        <v>9.06</v>
      </c>
    </row>
    <row r="242" spans="1:62" ht="13.8" x14ac:dyDescent="0.25">
      <c r="A242" s="239"/>
      <c r="BB242" s="187"/>
      <c r="BC242" s="180"/>
      <c r="BD242" s="191">
        <v>42452</v>
      </c>
      <c r="BE242" s="192">
        <v>0.157</v>
      </c>
      <c r="BH242" s="94">
        <v>42429</v>
      </c>
      <c r="BI242" s="95">
        <v>0.183</v>
      </c>
      <c r="BJ242" s="96">
        <v>9.0500000000000007</v>
      </c>
    </row>
    <row r="243" spans="1:62" ht="13.8" x14ac:dyDescent="0.25">
      <c r="A243" s="239"/>
      <c r="BB243" s="187"/>
      <c r="BC243" s="180"/>
      <c r="BD243" s="191">
        <v>42453</v>
      </c>
      <c r="BE243" s="192">
        <v>0.157</v>
      </c>
      <c r="BH243" s="94">
        <v>42430</v>
      </c>
      <c r="BI243" s="95">
        <v>0.17799999999999999</v>
      </c>
      <c r="BJ243" s="96">
        <v>9.0500000000000007</v>
      </c>
    </row>
    <row r="244" spans="1:62" ht="13.8" x14ac:dyDescent="0.25">
      <c r="A244" s="239"/>
      <c r="BB244" s="187"/>
      <c r="BC244" s="180"/>
      <c r="BD244" s="191">
        <v>42454</v>
      </c>
      <c r="BE244" s="192">
        <v>0.158</v>
      </c>
      <c r="BH244" s="94">
        <v>42431</v>
      </c>
      <c r="BI244" s="95">
        <v>0.17499999999999999</v>
      </c>
      <c r="BJ244" s="96">
        <v>9.0500000000000007</v>
      </c>
    </row>
    <row r="245" spans="1:62" ht="13.8" x14ac:dyDescent="0.25">
      <c r="A245" s="239"/>
      <c r="BB245" s="187"/>
      <c r="BC245" s="180"/>
      <c r="BD245" s="191"/>
      <c r="BE245" s="193">
        <f>+BE244</f>
        <v>0.158</v>
      </c>
      <c r="BH245" s="94">
        <v>42432</v>
      </c>
      <c r="BI245" s="95">
        <v>0.17199999999999999</v>
      </c>
      <c r="BJ245" s="96">
        <v>9.0500000000000007</v>
      </c>
    </row>
    <row r="246" spans="1:62" ht="13.8" x14ac:dyDescent="0.25">
      <c r="A246" s="239"/>
      <c r="BB246" s="187"/>
      <c r="BC246" s="180"/>
      <c r="BD246" s="191">
        <v>42458</v>
      </c>
      <c r="BE246" s="192">
        <v>0.158</v>
      </c>
      <c r="BH246" s="94">
        <v>42433</v>
      </c>
      <c r="BI246" s="95">
        <v>0.17</v>
      </c>
      <c r="BJ246" s="96">
        <v>9.0399999999999991</v>
      </c>
    </row>
    <row r="247" spans="1:62" ht="13.8" x14ac:dyDescent="0.25">
      <c r="A247" s="239"/>
      <c r="BB247" s="187"/>
      <c r="BC247" s="180"/>
      <c r="BD247" s="191">
        <v>42459</v>
      </c>
      <c r="BE247" s="192">
        <v>0.157</v>
      </c>
      <c r="BH247" s="94">
        <v>42436</v>
      </c>
      <c r="BI247" s="95">
        <v>0.16900000000000001</v>
      </c>
      <c r="BJ247" s="96">
        <v>9.0399999999999991</v>
      </c>
    </row>
    <row r="248" spans="1:62" ht="13.8" x14ac:dyDescent="0.25">
      <c r="A248" s="239"/>
      <c r="BB248" s="187"/>
      <c r="BC248" s="180"/>
      <c r="BD248" s="191">
        <v>42460</v>
      </c>
      <c r="BE248" s="192">
        <v>0.154</v>
      </c>
      <c r="BH248" s="94">
        <v>42437</v>
      </c>
      <c r="BI248" s="95">
        <v>0.16700000000000001</v>
      </c>
      <c r="BJ248" s="96">
        <v>9.0299999999999994</v>
      </c>
    </row>
    <row r="249" spans="1:62" ht="13.8" x14ac:dyDescent="0.25">
      <c r="A249" s="239"/>
      <c r="BB249" s="187"/>
      <c r="BC249" s="180"/>
      <c r="BD249" s="191">
        <v>42461</v>
      </c>
      <c r="BE249" s="192">
        <v>0.151</v>
      </c>
      <c r="BH249" s="94">
        <v>42438</v>
      </c>
      <c r="BI249" s="95">
        <v>0.16600000000000001</v>
      </c>
      <c r="BJ249" s="96">
        <v>9.0299999999999994</v>
      </c>
    </row>
    <row r="250" spans="1:62" ht="13.8" x14ac:dyDescent="0.25">
      <c r="A250" s="239"/>
      <c r="BB250" s="187"/>
      <c r="BC250" s="180"/>
      <c r="BD250" s="191">
        <v>42464</v>
      </c>
      <c r="BE250" s="192">
        <v>0.14599999999999999</v>
      </c>
      <c r="BH250" s="94">
        <v>42439</v>
      </c>
      <c r="BI250" s="95">
        <v>0.16700000000000001</v>
      </c>
      <c r="BJ250" s="96">
        <v>9.02</v>
      </c>
    </row>
    <row r="251" spans="1:62" ht="13.8" x14ac:dyDescent="0.25">
      <c r="A251" s="239"/>
      <c r="BB251" s="187"/>
      <c r="BC251" s="180"/>
      <c r="BD251" s="191">
        <v>42465</v>
      </c>
      <c r="BE251" s="192">
        <v>0.14000000000000001</v>
      </c>
      <c r="BH251" s="94">
        <v>42440</v>
      </c>
      <c r="BI251" s="95">
        <v>0.16700000000000001</v>
      </c>
      <c r="BJ251" s="96">
        <v>9.02</v>
      </c>
    </row>
    <row r="252" spans="1:62" ht="13.8" x14ac:dyDescent="0.25">
      <c r="A252" s="239"/>
      <c r="BB252" s="187"/>
      <c r="BC252" s="180"/>
      <c r="BD252" s="191">
        <v>42466</v>
      </c>
      <c r="BE252" s="192">
        <v>0.13700000000000001</v>
      </c>
      <c r="BH252" s="94">
        <v>42443</v>
      </c>
      <c r="BI252" s="95">
        <v>0.16500000000000001</v>
      </c>
      <c r="BJ252" s="96">
        <v>9.01</v>
      </c>
    </row>
    <row r="253" spans="1:62" ht="13.8" x14ac:dyDescent="0.25">
      <c r="A253" s="239"/>
      <c r="BB253" s="187"/>
      <c r="BC253" s="180"/>
      <c r="BD253" s="191">
        <v>42467</v>
      </c>
      <c r="BE253" s="192">
        <v>0.13500000000000001</v>
      </c>
      <c r="BH253" s="94">
        <v>42444</v>
      </c>
      <c r="BI253" s="95">
        <v>0.16400000000000001</v>
      </c>
      <c r="BJ253" s="96">
        <v>9</v>
      </c>
    </row>
    <row r="254" spans="1:62" ht="13.8" x14ac:dyDescent="0.25">
      <c r="A254" s="239"/>
      <c r="BB254" s="187"/>
      <c r="BC254" s="180"/>
      <c r="BD254" s="191">
        <v>42468</v>
      </c>
      <c r="BE254" s="192">
        <v>0.129</v>
      </c>
      <c r="BH254" s="94">
        <v>42445</v>
      </c>
      <c r="BI254" s="95">
        <v>0.16300000000000001</v>
      </c>
      <c r="BJ254" s="96">
        <v>9</v>
      </c>
    </row>
    <row r="255" spans="1:62" ht="13.8" x14ac:dyDescent="0.25">
      <c r="A255" s="239"/>
      <c r="BB255" s="187"/>
      <c r="BC255" s="180"/>
      <c r="BD255" s="191">
        <v>42471</v>
      </c>
      <c r="BE255" s="192">
        <v>0.122</v>
      </c>
      <c r="BH255" s="94">
        <v>42446</v>
      </c>
      <c r="BI255" s="95">
        <v>0.161</v>
      </c>
      <c r="BJ255" s="96">
        <v>9</v>
      </c>
    </row>
    <row r="256" spans="1:62" ht="13.8" x14ac:dyDescent="0.25">
      <c r="A256" s="239"/>
      <c r="BB256" s="187"/>
      <c r="BC256" s="180"/>
      <c r="BD256" s="191">
        <v>42472</v>
      </c>
      <c r="BE256" s="192">
        <v>0.11700000000000001</v>
      </c>
      <c r="BH256" s="94">
        <v>42447</v>
      </c>
      <c r="BI256" s="95">
        <v>0.159</v>
      </c>
      <c r="BJ256" s="96">
        <v>9</v>
      </c>
    </row>
    <row r="257" spans="1:62" ht="13.8" x14ac:dyDescent="0.25">
      <c r="A257" s="239"/>
      <c r="BB257" s="187"/>
      <c r="BC257" s="180"/>
      <c r="BD257" s="191">
        <v>42473</v>
      </c>
      <c r="BE257" s="192">
        <v>0.111</v>
      </c>
      <c r="BH257" s="94">
        <v>42450</v>
      </c>
      <c r="BI257" s="95">
        <v>0.158</v>
      </c>
      <c r="BJ257" s="96">
        <v>8.99</v>
      </c>
    </row>
    <row r="258" spans="1:62" ht="13.8" x14ac:dyDescent="0.25">
      <c r="A258" s="239"/>
      <c r="BB258" s="187"/>
      <c r="BC258" s="180"/>
      <c r="BD258" s="191">
        <v>42474</v>
      </c>
      <c r="BE258" s="192">
        <v>0.105</v>
      </c>
      <c r="BH258" s="94">
        <v>42451</v>
      </c>
      <c r="BI258" s="95">
        <v>0.156</v>
      </c>
      <c r="BJ258" s="96">
        <v>8.99</v>
      </c>
    </row>
    <row r="259" spans="1:62" ht="13.8" x14ac:dyDescent="0.25">
      <c r="A259" s="239"/>
      <c r="BB259" s="187"/>
      <c r="BC259" s="180"/>
      <c r="BD259" s="191">
        <v>42475</v>
      </c>
      <c r="BE259" s="192">
        <v>0.10100000000000001</v>
      </c>
      <c r="BH259" s="94">
        <v>42452</v>
      </c>
      <c r="BI259" s="95">
        <v>0.157</v>
      </c>
      <c r="BJ259" s="96">
        <v>8.98</v>
      </c>
    </row>
    <row r="260" spans="1:62" ht="13.8" x14ac:dyDescent="0.25">
      <c r="A260" s="239"/>
      <c r="BB260" s="187"/>
      <c r="BC260" s="180"/>
      <c r="BD260" s="191">
        <v>42478</v>
      </c>
      <c r="BE260" s="192">
        <v>9.7000000000000003E-2</v>
      </c>
      <c r="BH260" s="94">
        <v>42453</v>
      </c>
      <c r="BI260" s="95">
        <v>0.157</v>
      </c>
      <c r="BJ260" s="96">
        <v>8.98</v>
      </c>
    </row>
    <row r="261" spans="1:62" ht="13.8" x14ac:dyDescent="0.25">
      <c r="A261" s="239"/>
      <c r="BB261" s="187"/>
      <c r="BC261" s="180"/>
      <c r="BD261" s="191">
        <v>42479</v>
      </c>
      <c r="BE261" s="192">
        <v>9.6000000000000002E-2</v>
      </c>
      <c r="BH261" s="94">
        <v>42454</v>
      </c>
      <c r="BI261" s="95">
        <v>0.158</v>
      </c>
      <c r="BJ261" s="96">
        <v>8.98</v>
      </c>
    </row>
    <row r="262" spans="1:62" ht="13.8" x14ac:dyDescent="0.25">
      <c r="A262" s="239"/>
      <c r="BB262" s="187"/>
      <c r="BC262" s="180"/>
      <c r="BD262" s="191">
        <v>42480</v>
      </c>
      <c r="BE262" s="192">
        <v>9.2999999999999999E-2</v>
      </c>
      <c r="BH262" s="94">
        <v>42458</v>
      </c>
      <c r="BI262" s="95">
        <v>0.158</v>
      </c>
      <c r="BJ262" s="96">
        <v>8.9700000000000006</v>
      </c>
    </row>
    <row r="263" spans="1:62" ht="13.8" x14ac:dyDescent="0.25">
      <c r="A263" s="239"/>
      <c r="BB263" s="187"/>
      <c r="BC263" s="180"/>
      <c r="BD263" s="191">
        <v>42481</v>
      </c>
      <c r="BE263" s="192">
        <v>9.0999999999999998E-2</v>
      </c>
      <c r="BH263" s="94">
        <v>42459</v>
      </c>
      <c r="BI263" s="95">
        <v>0.157</v>
      </c>
      <c r="BJ263" s="96">
        <v>8.9600000000000009</v>
      </c>
    </row>
    <row r="264" spans="1:62" ht="13.8" x14ac:dyDescent="0.25">
      <c r="A264" s="239"/>
      <c r="BB264" s="187"/>
      <c r="BC264" s="180"/>
      <c r="BD264" s="191">
        <v>42482</v>
      </c>
      <c r="BE264" s="192">
        <v>9.1999999999999998E-2</v>
      </c>
      <c r="BH264" s="94">
        <v>42460</v>
      </c>
      <c r="BI264" s="95">
        <v>0.154</v>
      </c>
      <c r="BJ264" s="96">
        <v>8.9600000000000009</v>
      </c>
    </row>
    <row r="265" spans="1:62" ht="13.8" x14ac:dyDescent="0.25">
      <c r="A265" s="239"/>
      <c r="BB265" s="187"/>
      <c r="BC265" s="180"/>
      <c r="BD265" s="191">
        <v>42485</v>
      </c>
      <c r="BE265" s="192">
        <v>9.4E-2</v>
      </c>
      <c r="BH265" s="94">
        <v>42461</v>
      </c>
      <c r="BI265" s="95">
        <v>0.151</v>
      </c>
      <c r="BJ265" s="96">
        <v>8.9600000000000009</v>
      </c>
    </row>
    <row r="266" spans="1:62" ht="13.8" x14ac:dyDescent="0.25">
      <c r="A266" s="239"/>
      <c r="BB266" s="187"/>
      <c r="BC266" s="180"/>
      <c r="BD266" s="191">
        <v>42486</v>
      </c>
      <c r="BE266" s="192">
        <v>9.7000000000000003E-2</v>
      </c>
      <c r="BH266" s="94">
        <v>42464</v>
      </c>
      <c r="BI266" s="95">
        <v>0.14599999999999999</v>
      </c>
      <c r="BJ266" s="96">
        <v>8.9499999999999993</v>
      </c>
    </row>
    <row r="267" spans="1:62" ht="13.8" x14ac:dyDescent="0.25">
      <c r="A267" s="239"/>
      <c r="BB267" s="187"/>
      <c r="BC267" s="180"/>
      <c r="BD267" s="191">
        <v>42487</v>
      </c>
      <c r="BE267" s="192">
        <v>0.10100000000000001</v>
      </c>
      <c r="BH267" s="94">
        <v>42465</v>
      </c>
      <c r="BI267" s="95">
        <v>0.14000000000000001</v>
      </c>
      <c r="BJ267" s="96">
        <v>8.9499999999999993</v>
      </c>
    </row>
    <row r="268" spans="1:62" ht="13.8" x14ac:dyDescent="0.25">
      <c r="A268" s="239"/>
      <c r="BB268" s="187"/>
      <c r="BC268" s="180"/>
      <c r="BD268" s="191">
        <v>42488</v>
      </c>
      <c r="BE268" s="192">
        <v>0.10299999999999999</v>
      </c>
      <c r="BH268" s="94">
        <v>42466</v>
      </c>
      <c r="BI268" s="95">
        <v>0.13700000000000001</v>
      </c>
      <c r="BJ268" s="96">
        <v>8.94</v>
      </c>
    </row>
    <row r="269" spans="1:62" ht="13.8" x14ac:dyDescent="0.25">
      <c r="A269" s="239"/>
      <c r="BB269" s="187"/>
      <c r="BC269" s="180"/>
      <c r="BD269" s="191">
        <v>42489</v>
      </c>
      <c r="BE269" s="192">
        <v>0.107</v>
      </c>
      <c r="BH269" s="94">
        <v>42467</v>
      </c>
      <c r="BI269" s="95">
        <v>0.13500000000000001</v>
      </c>
      <c r="BJ269" s="96">
        <v>9.01</v>
      </c>
    </row>
    <row r="270" spans="1:62" ht="13.8" x14ac:dyDescent="0.25">
      <c r="A270" s="239"/>
      <c r="BB270" s="187"/>
      <c r="BC270" s="180"/>
      <c r="BD270" s="191">
        <v>42492</v>
      </c>
      <c r="BE270" s="192">
        <v>0.111</v>
      </c>
      <c r="BF270" s="111">
        <f>+(BC270+BE270)/2+0.37</f>
        <v>0.42549999999999999</v>
      </c>
      <c r="BH270" s="94">
        <v>42468</v>
      </c>
      <c r="BI270" s="95">
        <v>0.129</v>
      </c>
      <c r="BJ270" s="96">
        <v>9</v>
      </c>
    </row>
    <row r="271" spans="1:62" ht="13.8" x14ac:dyDescent="0.25">
      <c r="A271" s="239"/>
      <c r="BB271" s="187"/>
      <c r="BC271" s="180"/>
      <c r="BD271" s="191">
        <v>42493</v>
      </c>
      <c r="BE271" s="192">
        <v>0.11600000000000001</v>
      </c>
      <c r="BH271" s="94">
        <v>42471</v>
      </c>
      <c r="BI271" s="95">
        <v>0.122</v>
      </c>
      <c r="BJ271" s="96">
        <v>9</v>
      </c>
    </row>
    <row r="272" spans="1:62" ht="13.8" x14ac:dyDescent="0.25">
      <c r="A272" s="239"/>
      <c r="BB272" s="187"/>
      <c r="BC272" s="180"/>
      <c r="BD272" s="191">
        <v>42494</v>
      </c>
      <c r="BE272" s="192">
        <v>0.11899999999999999</v>
      </c>
      <c r="BH272" s="94">
        <v>42472</v>
      </c>
      <c r="BI272" s="95">
        <v>0.11700000000000001</v>
      </c>
      <c r="BJ272" s="96">
        <v>8.99</v>
      </c>
    </row>
    <row r="273" spans="1:62" ht="13.8" x14ac:dyDescent="0.25">
      <c r="A273" s="239"/>
      <c r="BB273" s="187"/>
      <c r="BC273" s="180"/>
      <c r="BD273" s="191"/>
      <c r="BE273" s="193">
        <f>+BE272</f>
        <v>0.11899999999999999</v>
      </c>
      <c r="BH273" s="94">
        <v>42473</v>
      </c>
      <c r="BI273" s="95">
        <v>0.111</v>
      </c>
      <c r="BJ273" s="96">
        <v>8.99</v>
      </c>
    </row>
    <row r="274" spans="1:62" ht="13.8" x14ac:dyDescent="0.25">
      <c r="A274" s="239"/>
      <c r="BB274" s="187"/>
      <c r="BC274" s="180"/>
      <c r="BD274" s="191">
        <v>42496</v>
      </c>
      <c r="BE274" s="192">
        <v>0.121</v>
      </c>
      <c r="BH274" s="94">
        <v>42474</v>
      </c>
      <c r="BI274" s="95">
        <v>0.105</v>
      </c>
      <c r="BJ274" s="96">
        <v>8.99</v>
      </c>
    </row>
    <row r="275" spans="1:62" ht="13.8" x14ac:dyDescent="0.25">
      <c r="A275" s="239"/>
      <c r="BB275" s="187"/>
      <c r="BC275" s="180"/>
      <c r="BD275" s="191">
        <v>42499</v>
      </c>
      <c r="BE275" s="192">
        <v>0.123</v>
      </c>
      <c r="BH275" s="94">
        <v>42475</v>
      </c>
      <c r="BI275" s="95">
        <v>0.10100000000000001</v>
      </c>
      <c r="BJ275" s="96">
        <v>8.99</v>
      </c>
    </row>
    <row r="276" spans="1:62" ht="13.8" x14ac:dyDescent="0.25">
      <c r="A276" s="239"/>
      <c r="BB276" s="187"/>
      <c r="BC276" s="180"/>
      <c r="BD276" s="191">
        <v>42500</v>
      </c>
      <c r="BE276" s="192">
        <v>0.124</v>
      </c>
      <c r="BH276" s="94">
        <v>42478</v>
      </c>
      <c r="BI276" s="95">
        <v>9.7000000000000003E-2</v>
      </c>
      <c r="BJ276" s="96">
        <v>8.98</v>
      </c>
    </row>
    <row r="277" spans="1:62" ht="13.8" x14ac:dyDescent="0.25">
      <c r="A277" s="239"/>
      <c r="BB277" s="187"/>
      <c r="BC277" s="180"/>
      <c r="BD277" s="191">
        <v>42501</v>
      </c>
      <c r="BE277" s="192">
        <v>0.123</v>
      </c>
      <c r="BH277" s="94">
        <v>42479</v>
      </c>
      <c r="BI277" s="95">
        <v>9.6000000000000002E-2</v>
      </c>
      <c r="BJ277" s="96">
        <v>8.9700000000000006</v>
      </c>
    </row>
    <row r="278" spans="1:62" ht="13.8" x14ac:dyDescent="0.25">
      <c r="A278" s="239"/>
      <c r="BB278" s="187"/>
      <c r="BC278" s="180"/>
      <c r="BD278" s="191">
        <v>42502</v>
      </c>
      <c r="BE278" s="192">
        <v>0.127</v>
      </c>
      <c r="BH278" s="94">
        <v>42480</v>
      </c>
      <c r="BI278" s="95">
        <v>9.2999999999999999E-2</v>
      </c>
      <c r="BJ278" s="96">
        <v>8.9700000000000006</v>
      </c>
    </row>
    <row r="279" spans="1:62" ht="13.8" x14ac:dyDescent="0.25">
      <c r="A279" s="239"/>
      <c r="BB279" s="187"/>
      <c r="BC279" s="180"/>
      <c r="BD279" s="191">
        <v>42503</v>
      </c>
      <c r="BE279" s="192">
        <v>0.126</v>
      </c>
      <c r="BH279" s="94">
        <v>42481</v>
      </c>
      <c r="BI279" s="95">
        <v>9.0999999999999998E-2</v>
      </c>
      <c r="BJ279" s="96">
        <v>8.9700000000000006</v>
      </c>
    </row>
    <row r="280" spans="1:62" ht="13.8" x14ac:dyDescent="0.25">
      <c r="A280" s="239"/>
      <c r="BB280" s="187"/>
      <c r="BC280" s="180"/>
      <c r="BD280" s="191"/>
      <c r="BE280" s="193">
        <f>+BE279</f>
        <v>0.126</v>
      </c>
      <c r="BH280" s="94">
        <v>42482</v>
      </c>
      <c r="BI280" s="95">
        <v>9.1999999999999998E-2</v>
      </c>
      <c r="BJ280" s="96">
        <v>8.9700000000000006</v>
      </c>
    </row>
    <row r="281" spans="1:62" ht="13.8" x14ac:dyDescent="0.25">
      <c r="A281" s="239"/>
      <c r="BB281" s="187"/>
      <c r="BC281" s="180"/>
      <c r="BD281" s="191">
        <v>42507</v>
      </c>
      <c r="BE281" s="192">
        <v>0.126</v>
      </c>
      <c r="BH281" s="94">
        <v>42485</v>
      </c>
      <c r="BI281" s="95">
        <v>9.4E-2</v>
      </c>
      <c r="BJ281" s="96">
        <v>8.9600000000000009</v>
      </c>
    </row>
    <row r="282" spans="1:62" ht="13.8" x14ac:dyDescent="0.25">
      <c r="A282" s="239"/>
      <c r="BB282" s="187"/>
      <c r="BC282" s="180"/>
      <c r="BD282" s="191">
        <v>42508</v>
      </c>
      <c r="BE282" s="192">
        <v>0.127</v>
      </c>
      <c r="BH282" s="94">
        <v>42486</v>
      </c>
      <c r="BI282" s="95">
        <v>9.7000000000000003E-2</v>
      </c>
      <c r="BJ282" s="96">
        <v>8.9600000000000009</v>
      </c>
    </row>
    <row r="283" spans="1:62" ht="13.8" x14ac:dyDescent="0.25">
      <c r="A283" s="239"/>
      <c r="BB283" s="187"/>
      <c r="BC283" s="180"/>
      <c r="BD283" s="191">
        <v>42509</v>
      </c>
      <c r="BE283" s="192">
        <v>0.127</v>
      </c>
      <c r="BH283" s="94">
        <v>42487</v>
      </c>
      <c r="BI283" s="95">
        <v>0.10100000000000001</v>
      </c>
      <c r="BJ283" s="96">
        <v>8.9499999999999993</v>
      </c>
    </row>
    <row r="284" spans="1:62" ht="13.8" x14ac:dyDescent="0.25">
      <c r="A284" s="239"/>
      <c r="BB284" s="187"/>
      <c r="BC284" s="180"/>
      <c r="BD284" s="191">
        <v>42510</v>
      </c>
      <c r="BE284" s="192">
        <v>0.128</v>
      </c>
      <c r="BH284" s="94">
        <v>42488</v>
      </c>
      <c r="BI284" s="95">
        <v>0.10299999999999999</v>
      </c>
      <c r="BJ284" s="96">
        <v>8.9499999999999993</v>
      </c>
    </row>
    <row r="285" spans="1:62" ht="13.8" x14ac:dyDescent="0.25">
      <c r="A285" s="239"/>
      <c r="BB285" s="187"/>
      <c r="BC285" s="180"/>
      <c r="BD285" s="191">
        <v>42513</v>
      </c>
      <c r="BE285" s="192">
        <v>0.127</v>
      </c>
      <c r="BH285" s="94">
        <v>42489</v>
      </c>
      <c r="BI285" s="95">
        <v>0.107</v>
      </c>
      <c r="BJ285" s="96">
        <v>8.9499999999999993</v>
      </c>
    </row>
    <row r="286" spans="1:62" ht="13.8" x14ac:dyDescent="0.25">
      <c r="A286" s="239"/>
      <c r="BB286" s="187"/>
      <c r="BC286" s="180"/>
      <c r="BD286" s="191">
        <v>42514</v>
      </c>
      <c r="BE286" s="192">
        <v>0.125</v>
      </c>
      <c r="BH286" s="94">
        <v>42492</v>
      </c>
      <c r="BI286" s="95">
        <v>0.111</v>
      </c>
      <c r="BJ286" s="96">
        <v>8.94</v>
      </c>
    </row>
    <row r="287" spans="1:62" ht="13.8" x14ac:dyDescent="0.25">
      <c r="A287" s="239"/>
      <c r="BB287" s="187"/>
      <c r="BC287" s="180"/>
      <c r="BD287" s="191">
        <v>42515</v>
      </c>
      <c r="BE287" s="192">
        <v>0.123</v>
      </c>
      <c r="BH287" s="94">
        <v>42493</v>
      </c>
      <c r="BI287" s="95">
        <v>0.11600000000000001</v>
      </c>
      <c r="BJ287" s="96">
        <v>8.94</v>
      </c>
    </row>
    <row r="288" spans="1:62" ht="13.8" x14ac:dyDescent="0.25">
      <c r="A288" s="239"/>
      <c r="BB288" s="187"/>
      <c r="BC288" s="180"/>
      <c r="BD288" s="191">
        <v>42517</v>
      </c>
      <c r="BE288" s="192">
        <v>0.11799999999999999</v>
      </c>
      <c r="BH288" s="94">
        <v>42494</v>
      </c>
      <c r="BI288" s="95">
        <v>0.11899999999999999</v>
      </c>
      <c r="BJ288" s="96">
        <v>8.93</v>
      </c>
    </row>
    <row r="289" spans="1:62" ht="13.8" x14ac:dyDescent="0.25">
      <c r="A289" s="239"/>
      <c r="BB289" s="187"/>
      <c r="BC289" s="180"/>
      <c r="BD289" s="191">
        <v>42520</v>
      </c>
      <c r="BE289" s="192">
        <v>0.113</v>
      </c>
      <c r="BH289" s="94">
        <v>42496</v>
      </c>
      <c r="BI289" s="95">
        <v>0.121</v>
      </c>
      <c r="BJ289" s="96">
        <v>8.93</v>
      </c>
    </row>
    <row r="290" spans="1:62" ht="13.8" x14ac:dyDescent="0.25">
      <c r="A290" s="239"/>
      <c r="BB290" s="187"/>
      <c r="BC290" s="180"/>
      <c r="BD290" s="191">
        <v>42521</v>
      </c>
      <c r="BE290" s="192">
        <v>0.11</v>
      </c>
      <c r="BH290" s="94">
        <v>42499</v>
      </c>
      <c r="BI290" s="95">
        <v>0.123</v>
      </c>
      <c r="BJ290" s="96">
        <v>8.92</v>
      </c>
    </row>
    <row r="291" spans="1:62" ht="13.8" x14ac:dyDescent="0.25">
      <c r="A291" s="239"/>
      <c r="BB291" s="187"/>
      <c r="BC291" s="180"/>
      <c r="BD291" s="191">
        <v>42522</v>
      </c>
      <c r="BE291" s="192">
        <v>0.10299999999999999</v>
      </c>
      <c r="BH291" s="94">
        <v>42500</v>
      </c>
      <c r="BI291" s="95">
        <v>0.124</v>
      </c>
      <c r="BJ291" s="96">
        <v>8.92</v>
      </c>
    </row>
    <row r="292" spans="1:62" ht="13.8" x14ac:dyDescent="0.25">
      <c r="A292" s="239"/>
      <c r="BB292" s="187"/>
      <c r="BC292" s="180"/>
      <c r="BD292" s="191"/>
      <c r="BE292" s="193">
        <f>+BE291</f>
        <v>0.10299999999999999</v>
      </c>
      <c r="BH292" s="94">
        <v>42501</v>
      </c>
      <c r="BI292" s="95">
        <v>0.123</v>
      </c>
      <c r="BJ292" s="96">
        <v>8.91</v>
      </c>
    </row>
    <row r="293" spans="1:62" ht="13.8" x14ac:dyDescent="0.25">
      <c r="A293" s="239"/>
      <c r="BB293" s="187"/>
      <c r="BC293" s="180"/>
      <c r="BD293" s="191">
        <v>42523</v>
      </c>
      <c r="BE293" s="192">
        <v>9.7000000000000003E-2</v>
      </c>
      <c r="BH293" s="94">
        <v>42502</v>
      </c>
      <c r="BI293" s="95">
        <v>0.127</v>
      </c>
      <c r="BJ293" s="96">
        <v>8.94</v>
      </c>
    </row>
    <row r="294" spans="1:62" ht="13.8" x14ac:dyDescent="0.25">
      <c r="A294" s="239"/>
      <c r="BB294" s="187"/>
      <c r="BC294" s="180"/>
      <c r="BD294" s="191">
        <v>42524</v>
      </c>
      <c r="BE294" s="192">
        <v>9.1999999999999998E-2</v>
      </c>
      <c r="BH294" s="94">
        <v>42503</v>
      </c>
      <c r="BI294" s="95">
        <v>0.126</v>
      </c>
      <c r="BJ294" s="96">
        <v>8.94</v>
      </c>
    </row>
    <row r="295" spans="1:62" ht="13.8" x14ac:dyDescent="0.25">
      <c r="A295" s="239"/>
      <c r="BB295" s="187"/>
      <c r="BC295" s="180"/>
      <c r="BD295" s="191">
        <v>42527</v>
      </c>
      <c r="BE295" s="192">
        <v>8.5999999999999993E-2</v>
      </c>
      <c r="BH295" s="94">
        <v>42507</v>
      </c>
      <c r="BI295" s="95">
        <v>0.126</v>
      </c>
      <c r="BJ295" s="96">
        <v>8.93</v>
      </c>
    </row>
    <row r="296" spans="1:62" ht="13.8" x14ac:dyDescent="0.25">
      <c r="A296" s="239"/>
      <c r="BB296" s="187"/>
      <c r="BC296" s="180"/>
      <c r="BD296" s="191">
        <v>42528</v>
      </c>
      <c r="BE296" s="192">
        <v>8.2000000000000003E-2</v>
      </c>
      <c r="BH296" s="94">
        <v>42508</v>
      </c>
      <c r="BI296" s="95">
        <v>0.127</v>
      </c>
      <c r="BJ296" s="96">
        <v>8.93</v>
      </c>
    </row>
    <row r="297" spans="1:62" ht="13.8" x14ac:dyDescent="0.25">
      <c r="A297" s="239"/>
      <c r="BB297" s="187"/>
      <c r="BC297" s="180"/>
      <c r="BD297" s="191">
        <v>42529</v>
      </c>
      <c r="BE297" s="192">
        <v>7.8E-2</v>
      </c>
      <c r="BH297" s="94">
        <v>42509</v>
      </c>
      <c r="BI297" s="95">
        <v>0.127</v>
      </c>
      <c r="BJ297" s="96">
        <v>8.93</v>
      </c>
    </row>
    <row r="298" spans="1:62" ht="13.8" x14ac:dyDescent="0.25">
      <c r="A298" s="239"/>
      <c r="BB298" s="187"/>
      <c r="BC298" s="180"/>
      <c r="BD298" s="191">
        <v>42530</v>
      </c>
      <c r="BE298" s="192">
        <v>7.4999999999999997E-2</v>
      </c>
      <c r="BH298" s="94">
        <v>42510</v>
      </c>
      <c r="BI298" s="95">
        <v>0.128</v>
      </c>
      <c r="BJ298" s="96">
        <v>8.92</v>
      </c>
    </row>
    <row r="299" spans="1:62" ht="13.8" x14ac:dyDescent="0.25">
      <c r="A299" s="239"/>
      <c r="BB299" s="187"/>
      <c r="BC299" s="180"/>
      <c r="BD299" s="191">
        <v>42531</v>
      </c>
      <c r="BE299" s="192">
        <v>7.0000000000000007E-2</v>
      </c>
      <c r="BH299" s="94">
        <v>42513</v>
      </c>
      <c r="BI299" s="95">
        <v>0.127</v>
      </c>
      <c r="BJ299" s="96">
        <v>8.91</v>
      </c>
    </row>
    <row r="300" spans="1:62" ht="13.8" x14ac:dyDescent="0.25">
      <c r="A300" s="239"/>
      <c r="BB300" s="187"/>
      <c r="BC300" s="180"/>
      <c r="BD300" s="191">
        <v>42534</v>
      </c>
      <c r="BE300" s="192">
        <v>6.5000000000000002E-2</v>
      </c>
      <c r="BH300" s="94">
        <v>42514</v>
      </c>
      <c r="BI300" s="95">
        <v>0.125</v>
      </c>
      <c r="BJ300" s="96">
        <v>8.91</v>
      </c>
    </row>
    <row r="301" spans="1:62" ht="13.8" x14ac:dyDescent="0.25">
      <c r="A301" s="239"/>
      <c r="BB301" s="187"/>
      <c r="BC301" s="180"/>
      <c r="BD301" s="191">
        <v>42535</v>
      </c>
      <c r="BE301" s="192">
        <v>0.06</v>
      </c>
      <c r="BH301" s="94">
        <v>42515</v>
      </c>
      <c r="BI301" s="95">
        <v>0.123</v>
      </c>
      <c r="BJ301" s="96">
        <v>8.91</v>
      </c>
    </row>
    <row r="302" spans="1:62" ht="13.8" x14ac:dyDescent="0.25">
      <c r="A302" s="239"/>
      <c r="BB302" s="187"/>
      <c r="BC302" s="180"/>
      <c r="BD302" s="191">
        <v>42536</v>
      </c>
      <c r="BE302" s="192">
        <v>5.5E-2</v>
      </c>
      <c r="BH302" s="94">
        <v>42517</v>
      </c>
      <c r="BI302" s="95">
        <v>0.11799999999999999</v>
      </c>
      <c r="BJ302" s="96">
        <v>8.9</v>
      </c>
    </row>
    <row r="303" spans="1:62" ht="13.8" x14ac:dyDescent="0.25">
      <c r="A303" s="239"/>
      <c r="BB303" s="187"/>
      <c r="BC303" s="180"/>
      <c r="BD303" s="191">
        <v>42537</v>
      </c>
      <c r="BE303" s="192">
        <v>0.05</v>
      </c>
      <c r="BH303" s="94">
        <v>42520</v>
      </c>
      <c r="BI303" s="95">
        <v>0.113</v>
      </c>
      <c r="BJ303" s="96">
        <v>8.89</v>
      </c>
    </row>
    <row r="304" spans="1:62" ht="13.8" x14ac:dyDescent="0.25">
      <c r="A304" s="239"/>
      <c r="BB304" s="187"/>
      <c r="BC304" s="180"/>
      <c r="BD304" s="191">
        <v>42538</v>
      </c>
      <c r="BE304" s="192">
        <v>4.3999999999999997E-2</v>
      </c>
      <c r="BH304" s="94">
        <v>42521</v>
      </c>
      <c r="BI304" s="95">
        <v>0.11</v>
      </c>
      <c r="BJ304" s="96">
        <v>8.89</v>
      </c>
    </row>
    <row r="305" spans="1:62" ht="13.8" x14ac:dyDescent="0.25">
      <c r="A305" s="239"/>
      <c r="BB305" s="187"/>
      <c r="BC305" s="180"/>
      <c r="BD305" s="191">
        <v>42541</v>
      </c>
      <c r="BE305" s="192">
        <v>3.9E-2</v>
      </c>
      <c r="BH305" s="94">
        <v>42522</v>
      </c>
      <c r="BI305" s="95">
        <v>0.10299999999999999</v>
      </c>
      <c r="BJ305" s="96">
        <v>8.89</v>
      </c>
    </row>
    <row r="306" spans="1:62" ht="13.8" x14ac:dyDescent="0.25">
      <c r="A306" s="239"/>
      <c r="BB306" s="187"/>
      <c r="BC306" s="180"/>
      <c r="BD306" s="191">
        <v>42542</v>
      </c>
      <c r="BE306" s="192">
        <v>3.5000000000000003E-2</v>
      </c>
      <c r="BH306" s="94">
        <v>42523</v>
      </c>
      <c r="BI306" s="95">
        <v>9.7000000000000003E-2</v>
      </c>
      <c r="BJ306" s="96">
        <v>8.89</v>
      </c>
    </row>
    <row r="307" spans="1:62" ht="13.8" x14ac:dyDescent="0.25">
      <c r="A307" s="239"/>
      <c r="BB307" s="187"/>
      <c r="BC307" s="180"/>
      <c r="BD307" s="191">
        <v>42543</v>
      </c>
      <c r="BE307" s="192">
        <v>0.03</v>
      </c>
      <c r="BH307" s="94">
        <v>42524</v>
      </c>
      <c r="BI307" s="95">
        <v>9.1999999999999998E-2</v>
      </c>
      <c r="BJ307" s="96">
        <v>8.8800000000000008</v>
      </c>
    </row>
    <row r="308" spans="1:62" ht="13.8" x14ac:dyDescent="0.25">
      <c r="A308" s="239"/>
      <c r="BB308" s="187"/>
      <c r="BC308" s="180"/>
      <c r="BD308" s="191">
        <v>42544</v>
      </c>
      <c r="BE308" s="192">
        <v>2.7E-2</v>
      </c>
      <c r="BH308" s="94">
        <v>42527</v>
      </c>
      <c r="BI308" s="95">
        <v>8.5999999999999993E-2</v>
      </c>
      <c r="BJ308" s="96">
        <v>8.8800000000000008</v>
      </c>
    </row>
    <row r="309" spans="1:62" ht="13.8" x14ac:dyDescent="0.25">
      <c r="A309" s="239"/>
      <c r="BB309" s="187"/>
      <c r="BC309" s="180"/>
      <c r="BD309" s="191">
        <v>42545</v>
      </c>
      <c r="BE309" s="192">
        <v>2.1000000000000001E-2</v>
      </c>
      <c r="BH309" s="94">
        <v>42528</v>
      </c>
      <c r="BI309" s="95">
        <v>8.2000000000000003E-2</v>
      </c>
      <c r="BJ309" s="96">
        <v>8.8699999999999992</v>
      </c>
    </row>
    <row r="310" spans="1:62" ht="13.8" x14ac:dyDescent="0.25">
      <c r="A310" s="239"/>
      <c r="BB310" s="187"/>
      <c r="BC310" s="180"/>
      <c r="BD310" s="191">
        <v>42548</v>
      </c>
      <c r="BE310" s="192">
        <v>1.2E-2</v>
      </c>
      <c r="BH310" s="94">
        <v>42529</v>
      </c>
      <c r="BI310" s="95">
        <v>7.8E-2</v>
      </c>
      <c r="BJ310" s="96">
        <v>8.8699999999999992</v>
      </c>
    </row>
    <row r="311" spans="1:62" ht="13.8" x14ac:dyDescent="0.25">
      <c r="A311" s="239"/>
      <c r="BB311" s="187"/>
      <c r="BC311" s="180"/>
      <c r="BD311" s="191">
        <v>42549</v>
      </c>
      <c r="BE311" s="192">
        <v>3.0000000000000001E-3</v>
      </c>
      <c r="BH311" s="94">
        <v>42530</v>
      </c>
      <c r="BI311" s="95">
        <v>7.4999999999999997E-2</v>
      </c>
      <c r="BJ311" s="96">
        <v>8.8699999999999992</v>
      </c>
    </row>
    <row r="312" spans="1:62" ht="13.8" x14ac:dyDescent="0.25">
      <c r="A312" s="239"/>
      <c r="BB312" s="187"/>
      <c r="BC312" s="180"/>
      <c r="BD312" s="191">
        <v>42550</v>
      </c>
      <c r="BE312" s="192" t="s">
        <v>57</v>
      </c>
      <c r="BH312" s="94">
        <v>42531</v>
      </c>
      <c r="BI312" s="95">
        <v>7.0000000000000007E-2</v>
      </c>
      <c r="BJ312" s="96">
        <v>8.8699999999999992</v>
      </c>
    </row>
    <row r="313" spans="1:62" ht="13.8" x14ac:dyDescent="0.25">
      <c r="A313" s="239"/>
      <c r="BB313" s="187"/>
      <c r="BC313" s="180"/>
      <c r="BD313" s="191">
        <v>42551</v>
      </c>
      <c r="BE313" s="192" t="s">
        <v>58</v>
      </c>
      <c r="BH313" s="94">
        <v>42534</v>
      </c>
      <c r="BI313" s="95">
        <v>6.5000000000000002E-2</v>
      </c>
      <c r="BJ313" s="96">
        <v>8.86</v>
      </c>
    </row>
    <row r="314" spans="1:62" ht="13.8" x14ac:dyDescent="0.25">
      <c r="A314" s="239"/>
      <c r="BB314" s="187"/>
      <c r="BC314" s="180"/>
      <c r="BD314" s="191">
        <v>42552</v>
      </c>
      <c r="BE314" s="192" t="s">
        <v>59</v>
      </c>
      <c r="BH314" s="94">
        <v>42535</v>
      </c>
      <c r="BI314" s="95">
        <v>0.06</v>
      </c>
      <c r="BJ314" s="96">
        <v>8.86</v>
      </c>
    </row>
    <row r="315" spans="1:62" ht="13.8" x14ac:dyDescent="0.25">
      <c r="A315" s="239"/>
      <c r="BB315" s="187"/>
      <c r="BC315" s="180"/>
      <c r="BD315" s="191">
        <v>42555</v>
      </c>
      <c r="BE315" s="192" t="s">
        <v>60</v>
      </c>
      <c r="BH315" s="94">
        <v>42536</v>
      </c>
      <c r="BI315" s="95">
        <v>5.5E-2</v>
      </c>
      <c r="BJ315" s="96">
        <v>8.85</v>
      </c>
    </row>
    <row r="316" spans="1:62" ht="13.8" x14ac:dyDescent="0.25">
      <c r="A316" s="239"/>
      <c r="BB316" s="187"/>
      <c r="BC316" s="180"/>
      <c r="BD316" s="191">
        <v>42556</v>
      </c>
      <c r="BE316" s="192" t="s">
        <v>61</v>
      </c>
      <c r="BH316" s="94">
        <v>42537</v>
      </c>
      <c r="BI316" s="95">
        <v>0.05</v>
      </c>
      <c r="BJ316" s="96">
        <v>8.85</v>
      </c>
    </row>
    <row r="317" spans="1:62" ht="13.8" x14ac:dyDescent="0.25">
      <c r="A317" s="239"/>
      <c r="BB317" s="187"/>
      <c r="BC317" s="180"/>
      <c r="BD317" s="191">
        <v>42557</v>
      </c>
      <c r="BE317" s="192" t="s">
        <v>62</v>
      </c>
      <c r="BH317" s="94">
        <v>42538</v>
      </c>
      <c r="BI317" s="95">
        <v>4.3999999999999997E-2</v>
      </c>
      <c r="BJ317" s="96">
        <v>8.85</v>
      </c>
    </row>
    <row r="318" spans="1:62" ht="13.8" x14ac:dyDescent="0.25">
      <c r="A318" s="239"/>
      <c r="BB318" s="187"/>
      <c r="BC318" s="180"/>
      <c r="BD318" s="191">
        <v>42558</v>
      </c>
      <c r="BE318" s="192" t="s">
        <v>63</v>
      </c>
      <c r="BH318" s="94">
        <v>42541</v>
      </c>
      <c r="BI318" s="95">
        <v>3.9E-2</v>
      </c>
      <c r="BJ318" s="96">
        <v>8.84</v>
      </c>
    </row>
    <row r="319" spans="1:62" ht="13.8" x14ac:dyDescent="0.25">
      <c r="A319" s="239"/>
      <c r="BB319" s="187"/>
      <c r="BC319" s="180"/>
      <c r="BD319" s="191">
        <v>42559</v>
      </c>
      <c r="BE319" s="192" t="s">
        <v>64</v>
      </c>
      <c r="BH319" s="94">
        <v>42542</v>
      </c>
      <c r="BI319" s="95">
        <v>3.5000000000000003E-2</v>
      </c>
      <c r="BJ319" s="96">
        <v>8.84</v>
      </c>
    </row>
    <row r="320" spans="1:62" ht="13.8" x14ac:dyDescent="0.25">
      <c r="A320" s="239"/>
      <c r="BB320" s="187"/>
      <c r="BC320" s="180"/>
      <c r="BD320" s="191">
        <v>42562</v>
      </c>
      <c r="BE320" s="192" t="s">
        <v>65</v>
      </c>
      <c r="BH320" s="94">
        <v>42543</v>
      </c>
      <c r="BI320" s="95">
        <v>0.03</v>
      </c>
      <c r="BJ320" s="96">
        <v>8.83</v>
      </c>
    </row>
    <row r="321" spans="1:62" ht="13.8" x14ac:dyDescent="0.25">
      <c r="A321" s="239"/>
      <c r="BB321" s="187"/>
      <c r="BC321" s="180"/>
      <c r="BD321" s="191">
        <v>42563</v>
      </c>
      <c r="BE321" s="192" t="s">
        <v>66</v>
      </c>
      <c r="BH321" s="94">
        <v>42544</v>
      </c>
      <c r="BI321" s="95">
        <v>2.7E-2</v>
      </c>
      <c r="BJ321" s="96">
        <v>8.83</v>
      </c>
    </row>
    <row r="322" spans="1:62" ht="13.8" x14ac:dyDescent="0.25">
      <c r="A322" s="239"/>
      <c r="BB322" s="187"/>
      <c r="BC322" s="180"/>
      <c r="BD322" s="191">
        <v>42564</v>
      </c>
      <c r="BE322" s="192" t="s">
        <v>67</v>
      </c>
      <c r="BH322" s="94">
        <v>42545</v>
      </c>
      <c r="BI322" s="95">
        <v>2.1000000000000001E-2</v>
      </c>
      <c r="BJ322" s="96">
        <v>8.83</v>
      </c>
    </row>
    <row r="323" spans="1:62" ht="13.8" x14ac:dyDescent="0.25">
      <c r="A323" s="239"/>
      <c r="BB323" s="187"/>
      <c r="BC323" s="180"/>
      <c r="BD323" s="191">
        <v>42565</v>
      </c>
      <c r="BE323" s="192" t="s">
        <v>68</v>
      </c>
      <c r="BH323" s="94">
        <v>42548</v>
      </c>
      <c r="BI323" s="95">
        <v>1.2E-2</v>
      </c>
      <c r="BJ323" s="96">
        <v>8.82</v>
      </c>
    </row>
    <row r="324" spans="1:62" ht="13.8" x14ac:dyDescent="0.25">
      <c r="A324" s="239"/>
      <c r="BB324" s="187"/>
      <c r="BC324" s="180"/>
      <c r="BD324" s="191">
        <v>42566</v>
      </c>
      <c r="BE324" s="192" t="s">
        <v>69</v>
      </c>
      <c r="BH324" s="94">
        <v>42549</v>
      </c>
      <c r="BI324" s="95">
        <v>3.0000000000000001E-3</v>
      </c>
      <c r="BJ324" s="96">
        <v>8.82</v>
      </c>
    </row>
    <row r="325" spans="1:62" ht="13.8" x14ac:dyDescent="0.25">
      <c r="A325" s="239"/>
      <c r="BB325" s="187"/>
      <c r="BC325" s="180"/>
      <c r="BD325" s="191">
        <v>42569</v>
      </c>
      <c r="BE325" s="192" t="s">
        <v>70</v>
      </c>
      <c r="BH325" s="94">
        <v>42550</v>
      </c>
      <c r="BI325" s="95" t="s">
        <v>57</v>
      </c>
      <c r="BJ325" s="96">
        <v>8.81</v>
      </c>
    </row>
    <row r="326" spans="1:62" ht="13.8" x14ac:dyDescent="0.25">
      <c r="A326" s="239"/>
      <c r="BB326" s="187"/>
      <c r="BC326" s="180"/>
      <c r="BD326" s="191">
        <v>42570</v>
      </c>
      <c r="BE326" s="192" t="s">
        <v>71</v>
      </c>
      <c r="BH326" s="94">
        <v>42551</v>
      </c>
      <c r="BI326" s="95" t="s">
        <v>58</v>
      </c>
      <c r="BJ326" s="96">
        <v>8.81</v>
      </c>
    </row>
    <row r="327" spans="1:62" ht="13.8" x14ac:dyDescent="0.25">
      <c r="A327" s="239"/>
      <c r="BB327" s="187"/>
      <c r="BC327" s="180"/>
      <c r="BD327" s="191">
        <v>42571</v>
      </c>
      <c r="BE327" s="192" t="s">
        <v>72</v>
      </c>
      <c r="BH327" s="94">
        <v>42552</v>
      </c>
      <c r="BI327" s="95" t="s">
        <v>59</v>
      </c>
      <c r="BJ327" s="96">
        <v>8.81</v>
      </c>
    </row>
    <row r="328" spans="1:62" ht="13.8" x14ac:dyDescent="0.25">
      <c r="A328" s="239"/>
      <c r="BB328" s="187"/>
      <c r="BC328" s="180"/>
      <c r="BD328" s="191">
        <v>42572</v>
      </c>
      <c r="BE328" s="192" t="s">
        <v>73</v>
      </c>
      <c r="BH328" s="94">
        <v>42555</v>
      </c>
      <c r="BI328" s="95" t="s">
        <v>60</v>
      </c>
      <c r="BJ328" s="96">
        <v>8.8000000000000007</v>
      </c>
    </row>
    <row r="329" spans="1:62" ht="13.8" x14ac:dyDescent="0.25">
      <c r="A329" s="239"/>
      <c r="BB329" s="187"/>
      <c r="BC329" s="180"/>
      <c r="BD329" s="191">
        <v>42573</v>
      </c>
      <c r="BE329" s="192" t="s">
        <v>74</v>
      </c>
      <c r="BH329" s="94">
        <v>42556</v>
      </c>
      <c r="BI329" s="95" t="s">
        <v>61</v>
      </c>
      <c r="BJ329" s="96">
        <v>8.8000000000000007</v>
      </c>
    </row>
    <row r="330" spans="1:62" ht="13.8" x14ac:dyDescent="0.25">
      <c r="A330" s="239"/>
      <c r="BB330" s="187"/>
      <c r="BC330" s="180"/>
      <c r="BD330" s="191">
        <v>42576</v>
      </c>
      <c r="BE330" s="192" t="s">
        <v>75</v>
      </c>
      <c r="BH330" s="94">
        <v>42557</v>
      </c>
      <c r="BI330" s="95" t="s">
        <v>62</v>
      </c>
      <c r="BJ330" s="96">
        <v>8.8000000000000007</v>
      </c>
    </row>
    <row r="331" spans="1:62" ht="13.8" x14ac:dyDescent="0.25">
      <c r="A331" s="239"/>
      <c r="BB331" s="187"/>
      <c r="BC331" s="180"/>
      <c r="BD331" s="191">
        <v>42577</v>
      </c>
      <c r="BE331" s="192" t="s">
        <v>76</v>
      </c>
      <c r="BH331" s="94">
        <v>42558</v>
      </c>
      <c r="BI331" s="95" t="s">
        <v>63</v>
      </c>
      <c r="BJ331" s="96">
        <v>8.81</v>
      </c>
    </row>
    <row r="332" spans="1:62" ht="13.8" x14ac:dyDescent="0.25">
      <c r="A332" s="239"/>
      <c r="BB332" s="187"/>
      <c r="BC332" s="180"/>
      <c r="BD332" s="191">
        <v>42578</v>
      </c>
      <c r="BE332" s="192" t="s">
        <v>77</v>
      </c>
      <c r="BH332" s="94">
        <v>42559</v>
      </c>
      <c r="BI332" s="95" t="s">
        <v>64</v>
      </c>
      <c r="BJ332" s="96">
        <v>8.8000000000000007</v>
      </c>
    </row>
    <row r="333" spans="1:62" ht="13.8" x14ac:dyDescent="0.25">
      <c r="A333" s="239"/>
      <c r="BB333" s="187"/>
      <c r="BC333" s="180"/>
      <c r="BD333" s="191">
        <v>42579</v>
      </c>
      <c r="BE333" s="192" t="s">
        <v>78</v>
      </c>
      <c r="BH333" s="94">
        <v>42562</v>
      </c>
      <c r="BI333" s="95" t="s">
        <v>65</v>
      </c>
      <c r="BJ333" s="96">
        <v>8.7899999999999991</v>
      </c>
    </row>
    <row r="334" spans="1:62" ht="13.8" x14ac:dyDescent="0.25">
      <c r="A334" s="239"/>
      <c r="BB334" s="187"/>
      <c r="BC334" s="180"/>
      <c r="BD334" s="191">
        <v>42580</v>
      </c>
      <c r="BE334" s="192" t="s">
        <v>79</v>
      </c>
      <c r="BH334" s="94">
        <v>42563</v>
      </c>
      <c r="BI334" s="95" t="s">
        <v>66</v>
      </c>
      <c r="BJ334" s="96">
        <v>8.7899999999999991</v>
      </c>
    </row>
    <row r="335" spans="1:62" ht="13.8" x14ac:dyDescent="0.25">
      <c r="A335" s="239"/>
      <c r="BB335" s="187"/>
      <c r="BC335" s="180"/>
      <c r="BD335" s="191">
        <v>42583</v>
      </c>
      <c r="BE335" s="192" t="s">
        <v>80</v>
      </c>
      <c r="BH335" s="94">
        <v>42564</v>
      </c>
      <c r="BI335" s="95" t="s">
        <v>67</v>
      </c>
      <c r="BJ335" s="96">
        <v>8.7899999999999991</v>
      </c>
    </row>
    <row r="336" spans="1:62" ht="13.8" x14ac:dyDescent="0.25">
      <c r="A336" s="239"/>
      <c r="BB336" s="187"/>
      <c r="BC336" s="180"/>
      <c r="BD336" s="191">
        <v>42584</v>
      </c>
      <c r="BE336" s="192" t="s">
        <v>80</v>
      </c>
      <c r="BH336" s="94">
        <v>42565</v>
      </c>
      <c r="BI336" s="95" t="s">
        <v>68</v>
      </c>
      <c r="BJ336" s="96">
        <v>8.7899999999999991</v>
      </c>
    </row>
    <row r="337" spans="1:62" ht="13.8" x14ac:dyDescent="0.25">
      <c r="A337" s="239"/>
      <c r="BB337" s="187"/>
      <c r="BC337" s="180"/>
      <c r="BD337" s="191">
        <v>42585</v>
      </c>
      <c r="BE337" s="192" t="s">
        <v>81</v>
      </c>
      <c r="BH337" s="94">
        <v>42566</v>
      </c>
      <c r="BI337" s="95" t="s">
        <v>69</v>
      </c>
      <c r="BJ337" s="96">
        <v>8.7799999999999994</v>
      </c>
    </row>
    <row r="338" spans="1:62" ht="13.8" x14ac:dyDescent="0.25">
      <c r="A338" s="239"/>
      <c r="BB338" s="187"/>
      <c r="BC338" s="180"/>
      <c r="BD338" s="191">
        <v>42586</v>
      </c>
      <c r="BE338" s="192" t="s">
        <v>80</v>
      </c>
      <c r="BH338" s="94">
        <v>42569</v>
      </c>
      <c r="BI338" s="95" t="s">
        <v>70</v>
      </c>
      <c r="BJ338" s="96">
        <v>8.7799999999999994</v>
      </c>
    </row>
    <row r="339" spans="1:62" ht="13.8" x14ac:dyDescent="0.25">
      <c r="A339" s="239"/>
      <c r="BB339" s="187"/>
      <c r="BC339" s="180"/>
      <c r="BD339" s="191">
        <v>42587</v>
      </c>
      <c r="BE339" s="192" t="s">
        <v>80</v>
      </c>
      <c r="BH339" s="94">
        <v>42570</v>
      </c>
      <c r="BI339" s="95" t="s">
        <v>71</v>
      </c>
      <c r="BJ339" s="96">
        <v>8.77</v>
      </c>
    </row>
    <row r="340" spans="1:62" ht="13.8" x14ac:dyDescent="0.25">
      <c r="A340" s="239"/>
      <c r="BB340" s="187"/>
      <c r="BC340" s="180"/>
      <c r="BD340" s="191">
        <v>42590</v>
      </c>
      <c r="BE340" s="192" t="s">
        <v>81</v>
      </c>
      <c r="BH340" s="94">
        <v>42571</v>
      </c>
      <c r="BI340" s="95" t="s">
        <v>72</v>
      </c>
      <c r="BJ340" s="96">
        <v>8.77</v>
      </c>
    </row>
    <row r="341" spans="1:62" ht="13.8" x14ac:dyDescent="0.25">
      <c r="A341" s="239"/>
      <c r="BB341" s="187"/>
      <c r="BC341" s="180"/>
      <c r="BD341" s="191">
        <v>42591</v>
      </c>
      <c r="BE341" s="192" t="s">
        <v>80</v>
      </c>
      <c r="BH341" s="94">
        <v>42572</v>
      </c>
      <c r="BI341" s="95" t="s">
        <v>73</v>
      </c>
      <c r="BJ341" s="96">
        <v>8.77</v>
      </c>
    </row>
    <row r="342" spans="1:62" ht="13.8" x14ac:dyDescent="0.25">
      <c r="A342" s="239"/>
      <c r="BB342" s="187"/>
      <c r="BC342" s="180"/>
      <c r="BD342" s="191">
        <v>42592</v>
      </c>
      <c r="BE342" s="192" t="s">
        <v>82</v>
      </c>
      <c r="BH342" s="94">
        <v>42573</v>
      </c>
      <c r="BI342" s="95" t="s">
        <v>74</v>
      </c>
      <c r="BJ342" s="96">
        <v>8.76</v>
      </c>
    </row>
    <row r="343" spans="1:62" ht="13.8" x14ac:dyDescent="0.25">
      <c r="A343" s="239"/>
      <c r="BB343" s="187"/>
      <c r="BC343" s="180"/>
      <c r="BD343" s="191">
        <v>42593</v>
      </c>
      <c r="BE343" s="192" t="s">
        <v>83</v>
      </c>
      <c r="BH343" s="94">
        <v>42576</v>
      </c>
      <c r="BI343" s="95" t="s">
        <v>75</v>
      </c>
      <c r="BJ343" s="96">
        <v>8.76</v>
      </c>
    </row>
    <row r="344" spans="1:62" ht="13.8" x14ac:dyDescent="0.25">
      <c r="A344" s="239"/>
      <c r="BB344" s="187"/>
      <c r="BC344" s="180"/>
      <c r="BD344" s="191">
        <v>42594</v>
      </c>
      <c r="BE344" s="192" t="s">
        <v>84</v>
      </c>
      <c r="BH344" s="94">
        <v>42577</v>
      </c>
      <c r="BI344" s="95" t="s">
        <v>76</v>
      </c>
      <c r="BJ344" s="96">
        <v>8.75</v>
      </c>
    </row>
    <row r="345" spans="1:62" ht="13.8" x14ac:dyDescent="0.25">
      <c r="A345" s="239"/>
      <c r="BB345" s="187"/>
      <c r="BC345" s="180"/>
      <c r="BD345" s="191"/>
      <c r="BE345" s="193" t="str">
        <f>+BE344</f>
        <v>−0,175</v>
      </c>
      <c r="BH345" s="94">
        <v>42578</v>
      </c>
      <c r="BI345" s="95" t="s">
        <v>77</v>
      </c>
      <c r="BJ345" s="96">
        <v>8.75</v>
      </c>
    </row>
    <row r="346" spans="1:62" ht="13.8" x14ac:dyDescent="0.25">
      <c r="A346" s="239"/>
      <c r="BB346" s="187"/>
      <c r="BC346" s="180"/>
      <c r="BD346" s="191">
        <v>42598</v>
      </c>
      <c r="BE346" s="192" t="s">
        <v>85</v>
      </c>
      <c r="BH346" s="94">
        <v>42579</v>
      </c>
      <c r="BI346" s="95" t="s">
        <v>78</v>
      </c>
      <c r="BJ346" s="96">
        <v>8.75</v>
      </c>
    </row>
    <row r="347" spans="1:62" ht="13.8" x14ac:dyDescent="0.25">
      <c r="A347" s="239"/>
      <c r="BB347" s="187"/>
      <c r="BC347" s="180"/>
      <c r="BD347" s="191">
        <v>42599</v>
      </c>
      <c r="BE347" s="192" t="s">
        <v>86</v>
      </c>
      <c r="BH347" s="94">
        <v>42580</v>
      </c>
      <c r="BI347" s="95" t="s">
        <v>79</v>
      </c>
      <c r="BJ347" s="96">
        <v>8.75</v>
      </c>
    </row>
    <row r="348" spans="1:62" ht="13.8" x14ac:dyDescent="0.25">
      <c r="A348" s="239"/>
      <c r="BB348" s="187"/>
      <c r="BC348" s="180"/>
      <c r="BD348" s="191">
        <v>42600</v>
      </c>
      <c r="BE348" s="192" t="s">
        <v>87</v>
      </c>
      <c r="BH348" s="94">
        <v>42583</v>
      </c>
      <c r="BI348" s="95" t="s">
        <v>80</v>
      </c>
      <c r="BJ348" s="96">
        <v>8.74</v>
      </c>
    </row>
    <row r="349" spans="1:62" ht="13.8" x14ac:dyDescent="0.25">
      <c r="A349" s="239"/>
      <c r="BB349" s="187"/>
      <c r="BC349" s="180"/>
      <c r="BD349" s="191">
        <v>42601</v>
      </c>
      <c r="BE349" s="192" t="s">
        <v>88</v>
      </c>
      <c r="BH349" s="94">
        <v>42584</v>
      </c>
      <c r="BI349" s="95" t="s">
        <v>80</v>
      </c>
      <c r="BJ349" s="96">
        <v>8.73</v>
      </c>
    </row>
    <row r="350" spans="1:62" ht="13.8" x14ac:dyDescent="0.25">
      <c r="A350" s="239"/>
      <c r="BB350" s="187"/>
      <c r="BC350" s="180"/>
      <c r="BD350" s="191">
        <v>42604</v>
      </c>
      <c r="BE350" s="192" t="s">
        <v>89</v>
      </c>
      <c r="BH350" s="94">
        <v>42585</v>
      </c>
      <c r="BI350" s="95" t="s">
        <v>81</v>
      </c>
      <c r="BJ350" s="96">
        <v>8.73</v>
      </c>
    </row>
    <row r="351" spans="1:62" ht="13.8" x14ac:dyDescent="0.25">
      <c r="A351" s="239"/>
      <c r="BB351" s="187"/>
      <c r="BC351" s="180"/>
      <c r="BD351" s="191">
        <v>42605</v>
      </c>
      <c r="BE351" s="192" t="s">
        <v>90</v>
      </c>
      <c r="BH351" s="94">
        <v>42586</v>
      </c>
      <c r="BI351" s="95" t="s">
        <v>80</v>
      </c>
      <c r="BJ351" s="96">
        <v>8.73</v>
      </c>
    </row>
    <row r="352" spans="1:62" ht="13.8" x14ac:dyDescent="0.25">
      <c r="A352" s="239"/>
      <c r="BB352" s="187"/>
      <c r="BC352" s="180"/>
      <c r="BD352" s="191">
        <v>42606</v>
      </c>
      <c r="BE352" s="192" t="s">
        <v>91</v>
      </c>
      <c r="BH352" s="94">
        <v>42587</v>
      </c>
      <c r="BI352" s="95" t="s">
        <v>80</v>
      </c>
      <c r="BJ352" s="96">
        <v>8.73</v>
      </c>
    </row>
    <row r="353" spans="1:62" ht="13.8" x14ac:dyDescent="0.25">
      <c r="A353" s="239"/>
      <c r="BB353" s="187"/>
      <c r="BC353" s="180"/>
      <c r="BD353" s="191">
        <v>42607</v>
      </c>
      <c r="BE353" s="192" t="s">
        <v>92</v>
      </c>
      <c r="BH353" s="94">
        <v>42590</v>
      </c>
      <c r="BI353" s="95" t="s">
        <v>81</v>
      </c>
      <c r="BJ353" s="96">
        <v>8.7200000000000006</v>
      </c>
    </row>
    <row r="354" spans="1:62" ht="13.8" x14ac:dyDescent="0.25">
      <c r="A354" s="239"/>
      <c r="BB354" s="187"/>
      <c r="BC354" s="180"/>
      <c r="BD354" s="191">
        <v>42608</v>
      </c>
      <c r="BE354" s="192" t="s">
        <v>91</v>
      </c>
      <c r="BH354" s="94">
        <v>42591</v>
      </c>
      <c r="BI354" s="95" t="s">
        <v>80</v>
      </c>
      <c r="BJ354" s="96">
        <v>8.7200000000000006</v>
      </c>
    </row>
    <row r="355" spans="1:62" ht="13.8" x14ac:dyDescent="0.25">
      <c r="A355" s="239"/>
      <c r="BB355" s="187"/>
      <c r="BC355" s="180"/>
      <c r="BD355" s="191">
        <v>42611</v>
      </c>
      <c r="BE355" s="192" t="s">
        <v>93</v>
      </c>
      <c r="BH355" s="94">
        <v>42592</v>
      </c>
      <c r="BI355" s="95" t="s">
        <v>82</v>
      </c>
      <c r="BJ355" s="96">
        <v>8.7100000000000009</v>
      </c>
    </row>
    <row r="356" spans="1:62" ht="13.8" x14ac:dyDescent="0.25">
      <c r="A356" s="239"/>
      <c r="BB356" s="187"/>
      <c r="BC356" s="180"/>
      <c r="BD356" s="191">
        <v>42612</v>
      </c>
      <c r="BE356" s="192" t="s">
        <v>90</v>
      </c>
      <c r="BH356" s="94">
        <v>42593</v>
      </c>
      <c r="BI356" s="95" t="s">
        <v>83</v>
      </c>
      <c r="BJ356" s="96">
        <v>8.7100000000000009</v>
      </c>
    </row>
    <row r="357" spans="1:62" ht="13.8" x14ac:dyDescent="0.25">
      <c r="A357" s="239"/>
      <c r="BB357" s="187"/>
      <c r="BC357" s="180"/>
      <c r="BD357" s="191">
        <v>42613</v>
      </c>
      <c r="BE357" s="192" t="s">
        <v>93</v>
      </c>
      <c r="BH357" s="94">
        <v>42594</v>
      </c>
      <c r="BI357" s="95" t="s">
        <v>84</v>
      </c>
      <c r="BJ357" s="96">
        <v>8.7100000000000009</v>
      </c>
    </row>
    <row r="358" spans="1:62" ht="13.8" x14ac:dyDescent="0.25">
      <c r="A358" s="239"/>
      <c r="BB358" s="187"/>
      <c r="BC358" s="180"/>
      <c r="BD358" s="191">
        <v>42614</v>
      </c>
      <c r="BE358" s="192" t="s">
        <v>90</v>
      </c>
      <c r="BH358" s="94">
        <v>42598</v>
      </c>
      <c r="BI358" s="95" t="s">
        <v>85</v>
      </c>
      <c r="BJ358" s="96">
        <v>8.6999999999999993</v>
      </c>
    </row>
    <row r="359" spans="1:62" ht="13.8" x14ac:dyDescent="0.25">
      <c r="A359" s="239"/>
      <c r="BB359" s="187"/>
      <c r="BC359" s="180"/>
      <c r="BD359" s="191">
        <v>42615</v>
      </c>
      <c r="BE359" s="192" t="s">
        <v>94</v>
      </c>
      <c r="BH359" s="94">
        <v>42599</v>
      </c>
      <c r="BI359" s="95" t="s">
        <v>86</v>
      </c>
      <c r="BJ359" s="96">
        <v>8.6999999999999993</v>
      </c>
    </row>
    <row r="360" spans="1:62" ht="13.8" x14ac:dyDescent="0.25">
      <c r="A360" s="239"/>
      <c r="BB360" s="187"/>
      <c r="BC360" s="180"/>
      <c r="BD360" s="191">
        <v>42618</v>
      </c>
      <c r="BE360" s="192" t="s">
        <v>95</v>
      </c>
      <c r="BH360" s="94">
        <v>42600</v>
      </c>
      <c r="BI360" s="95" t="s">
        <v>87</v>
      </c>
      <c r="BJ360" s="96">
        <v>8.6999999999999993</v>
      </c>
    </row>
    <row r="361" spans="1:62" ht="13.8" x14ac:dyDescent="0.25">
      <c r="A361" s="239"/>
      <c r="BB361" s="187"/>
      <c r="BC361" s="180"/>
      <c r="BD361" s="191">
        <v>42619</v>
      </c>
      <c r="BE361" s="192" t="s">
        <v>95</v>
      </c>
      <c r="BH361" s="94">
        <v>42601</v>
      </c>
      <c r="BI361" s="95" t="s">
        <v>88</v>
      </c>
      <c r="BJ361" s="96">
        <v>8.69</v>
      </c>
    </row>
    <row r="362" spans="1:62" ht="13.8" x14ac:dyDescent="0.25">
      <c r="A362" s="239"/>
      <c r="BB362" s="187"/>
      <c r="BC362" s="180"/>
      <c r="BD362" s="191">
        <v>42620</v>
      </c>
      <c r="BE362" s="192" t="s">
        <v>94</v>
      </c>
      <c r="BH362" s="94">
        <v>42604</v>
      </c>
      <c r="BI362" s="95" t="s">
        <v>89</v>
      </c>
      <c r="BJ362" s="96">
        <v>8.68</v>
      </c>
    </row>
    <row r="363" spans="1:62" ht="13.8" x14ac:dyDescent="0.25">
      <c r="A363" s="239"/>
      <c r="BB363" s="187"/>
      <c r="BC363" s="180"/>
      <c r="BD363" s="191">
        <v>42621</v>
      </c>
      <c r="BE363" s="192" t="s">
        <v>89</v>
      </c>
      <c r="BH363" s="94">
        <v>42605</v>
      </c>
      <c r="BI363" s="95" t="s">
        <v>90</v>
      </c>
      <c r="BJ363" s="96">
        <v>8.68</v>
      </c>
    </row>
    <row r="364" spans="1:62" ht="13.8" x14ac:dyDescent="0.25">
      <c r="A364" s="239"/>
      <c r="BB364" s="187"/>
      <c r="BC364" s="180"/>
      <c r="BD364" s="191">
        <v>42622</v>
      </c>
      <c r="BE364" s="192" t="s">
        <v>88</v>
      </c>
      <c r="BH364" s="94">
        <v>42606</v>
      </c>
      <c r="BI364" s="95" t="s">
        <v>91</v>
      </c>
      <c r="BJ364" s="96">
        <v>8.68</v>
      </c>
    </row>
    <row r="365" spans="1:62" ht="13.8" x14ac:dyDescent="0.25">
      <c r="A365" s="239"/>
      <c r="BB365" s="187"/>
      <c r="BC365" s="180"/>
      <c r="BD365" s="191">
        <v>42625</v>
      </c>
      <c r="BE365" s="192" t="s">
        <v>96</v>
      </c>
      <c r="BH365" s="94">
        <v>42607</v>
      </c>
      <c r="BI365" s="95" t="s">
        <v>92</v>
      </c>
      <c r="BJ365" s="96">
        <v>8.68</v>
      </c>
    </row>
    <row r="366" spans="1:62" ht="13.8" x14ac:dyDescent="0.25">
      <c r="A366" s="239"/>
      <c r="BB366" s="187"/>
      <c r="BC366" s="180"/>
      <c r="BD366" s="191">
        <v>42626</v>
      </c>
      <c r="BE366" s="192" t="s">
        <v>85</v>
      </c>
      <c r="BH366" s="94">
        <v>42608</v>
      </c>
      <c r="BI366" s="95" t="s">
        <v>91</v>
      </c>
      <c r="BJ366" s="96">
        <v>8.67</v>
      </c>
    </row>
    <row r="367" spans="1:62" ht="13.8" x14ac:dyDescent="0.25">
      <c r="A367" s="239"/>
      <c r="BB367" s="187"/>
      <c r="BC367" s="180"/>
      <c r="BD367" s="191">
        <v>42627</v>
      </c>
      <c r="BE367" s="192" t="s">
        <v>84</v>
      </c>
      <c r="BH367" s="94">
        <v>42611</v>
      </c>
      <c r="BI367" s="95" t="s">
        <v>93</v>
      </c>
      <c r="BJ367" s="96">
        <v>8.67</v>
      </c>
    </row>
    <row r="368" spans="1:62" ht="13.8" x14ac:dyDescent="0.25">
      <c r="A368" s="239"/>
      <c r="BB368" s="187"/>
      <c r="BC368" s="180"/>
      <c r="BD368" s="191">
        <v>42628</v>
      </c>
      <c r="BE368" s="192" t="s">
        <v>97</v>
      </c>
      <c r="BH368" s="94">
        <v>42612</v>
      </c>
      <c r="BI368" s="95" t="s">
        <v>90</v>
      </c>
      <c r="BJ368" s="96">
        <v>8.66</v>
      </c>
    </row>
    <row r="369" spans="1:62" ht="13.8" x14ac:dyDescent="0.25">
      <c r="A369" s="239"/>
      <c r="BB369" s="187"/>
      <c r="BC369" s="180"/>
      <c r="BD369" s="191">
        <v>42629</v>
      </c>
      <c r="BE369" s="192" t="s">
        <v>98</v>
      </c>
      <c r="BH369" s="94">
        <v>42613</v>
      </c>
      <c r="BI369" s="95" t="s">
        <v>93</v>
      </c>
      <c r="BJ369" s="96">
        <v>8.66</v>
      </c>
    </row>
    <row r="370" spans="1:62" ht="13.8" x14ac:dyDescent="0.25">
      <c r="A370" s="239"/>
      <c r="BB370" s="187"/>
      <c r="BC370" s="180"/>
      <c r="BD370" s="191">
        <v>42632</v>
      </c>
      <c r="BE370" s="192" t="s">
        <v>99</v>
      </c>
      <c r="BH370" s="94">
        <v>42614</v>
      </c>
      <c r="BI370" s="95" t="s">
        <v>90</v>
      </c>
      <c r="BJ370" s="96">
        <v>8.66</v>
      </c>
    </row>
    <row r="371" spans="1:62" ht="13.8" x14ac:dyDescent="0.25">
      <c r="A371" s="239"/>
      <c r="BB371" s="187"/>
      <c r="BC371" s="180"/>
      <c r="BD371" s="191">
        <v>42633</v>
      </c>
      <c r="BE371" s="192" t="s">
        <v>100</v>
      </c>
      <c r="BH371" s="94">
        <v>42615</v>
      </c>
      <c r="BI371" s="95" t="s">
        <v>94</v>
      </c>
      <c r="BJ371" s="96">
        <v>8.65</v>
      </c>
    </row>
    <row r="372" spans="1:62" ht="13.8" x14ac:dyDescent="0.25">
      <c r="A372" s="239"/>
      <c r="BB372" s="187"/>
      <c r="BC372" s="180"/>
      <c r="BD372" s="191">
        <v>42634</v>
      </c>
      <c r="BE372" s="192" t="s">
        <v>101</v>
      </c>
      <c r="BH372" s="94">
        <v>42618</v>
      </c>
      <c r="BI372" s="95" t="s">
        <v>95</v>
      </c>
      <c r="BJ372" s="96">
        <v>8.65</v>
      </c>
    </row>
    <row r="373" spans="1:62" ht="13.8" x14ac:dyDescent="0.25">
      <c r="A373" s="239"/>
      <c r="BB373" s="187"/>
      <c r="BC373" s="180"/>
      <c r="BD373" s="191">
        <v>42635</v>
      </c>
      <c r="BE373" s="192" t="s">
        <v>73</v>
      </c>
      <c r="BH373" s="94">
        <v>42619</v>
      </c>
      <c r="BI373" s="95" t="s">
        <v>95</v>
      </c>
      <c r="BJ373" s="96">
        <v>8.64</v>
      </c>
    </row>
    <row r="374" spans="1:62" ht="13.8" x14ac:dyDescent="0.25">
      <c r="A374" s="239"/>
      <c r="BB374" s="187"/>
      <c r="BC374" s="180"/>
      <c r="BD374" s="191">
        <v>42636</v>
      </c>
      <c r="BE374" s="192" t="s">
        <v>73</v>
      </c>
      <c r="BH374" s="94">
        <v>42620</v>
      </c>
      <c r="BI374" s="95" t="s">
        <v>94</v>
      </c>
      <c r="BJ374" s="96">
        <v>8.64</v>
      </c>
    </row>
    <row r="375" spans="1:62" ht="13.8" x14ac:dyDescent="0.25">
      <c r="A375" s="239"/>
      <c r="BB375" s="187"/>
      <c r="BC375" s="180"/>
      <c r="BD375" s="191">
        <v>42639</v>
      </c>
      <c r="BE375" s="192" t="s">
        <v>99</v>
      </c>
      <c r="BH375" s="94">
        <v>42621</v>
      </c>
      <c r="BI375" s="95" t="s">
        <v>89</v>
      </c>
      <c r="BJ375" s="96">
        <v>8.64</v>
      </c>
    </row>
    <row r="376" spans="1:62" ht="13.8" x14ac:dyDescent="0.25">
      <c r="A376" s="239"/>
      <c r="BB376" s="187"/>
      <c r="BC376" s="180"/>
      <c r="BD376" s="191">
        <v>42640</v>
      </c>
      <c r="BE376" s="192" t="s">
        <v>75</v>
      </c>
      <c r="BH376" s="94">
        <v>42622</v>
      </c>
      <c r="BI376" s="95" t="s">
        <v>88</v>
      </c>
      <c r="BJ376" s="96">
        <v>8.64</v>
      </c>
    </row>
    <row r="377" spans="1:62" ht="13.8" x14ac:dyDescent="0.25">
      <c r="A377" s="239"/>
      <c r="BB377" s="187"/>
      <c r="BC377" s="180"/>
      <c r="BD377" s="191">
        <v>42641</v>
      </c>
      <c r="BE377" s="192" t="s">
        <v>98</v>
      </c>
      <c r="BH377" s="94">
        <v>42625</v>
      </c>
      <c r="BI377" s="95" t="s">
        <v>96</v>
      </c>
      <c r="BJ377" s="96">
        <v>8.6300000000000008</v>
      </c>
    </row>
    <row r="378" spans="1:62" ht="13.8" x14ac:dyDescent="0.25">
      <c r="A378" s="239"/>
      <c r="BB378" s="187"/>
      <c r="BC378" s="180"/>
      <c r="BD378" s="191">
        <v>42642</v>
      </c>
      <c r="BE378" s="192" t="s">
        <v>77</v>
      </c>
      <c r="BH378" s="94">
        <v>42626</v>
      </c>
      <c r="BI378" s="95" t="s">
        <v>85</v>
      </c>
      <c r="BJ378" s="96">
        <v>8.6300000000000008</v>
      </c>
    </row>
    <row r="379" spans="1:62" ht="13.8" x14ac:dyDescent="0.25">
      <c r="A379" s="239"/>
      <c r="BB379" s="187"/>
      <c r="BC379" s="180"/>
      <c r="BD379" s="191">
        <v>42643</v>
      </c>
      <c r="BE379" s="192" t="s">
        <v>102</v>
      </c>
      <c r="BH379" s="94">
        <v>42627</v>
      </c>
      <c r="BI379" s="95" t="s">
        <v>84</v>
      </c>
      <c r="BJ379" s="96">
        <v>8.6199999999999992</v>
      </c>
    </row>
    <row r="380" spans="1:62" ht="13.8" x14ac:dyDescent="0.25">
      <c r="A380" s="239"/>
      <c r="BB380" s="187"/>
      <c r="BC380" s="180"/>
      <c r="BD380" s="191">
        <v>42646</v>
      </c>
      <c r="BE380" s="192" t="s">
        <v>103</v>
      </c>
      <c r="BH380" s="94">
        <v>42628</v>
      </c>
      <c r="BI380" s="95" t="s">
        <v>97</v>
      </c>
      <c r="BJ380" s="96">
        <v>8.9600000000000009</v>
      </c>
    </row>
    <row r="381" spans="1:62" ht="13.8" x14ac:dyDescent="0.25">
      <c r="A381" s="239"/>
      <c r="BB381" s="187"/>
      <c r="BC381" s="180"/>
      <c r="BD381" s="191">
        <v>42647</v>
      </c>
      <c r="BE381" s="192" t="s">
        <v>104</v>
      </c>
      <c r="BH381" s="94">
        <v>42629</v>
      </c>
      <c r="BI381" s="95" t="s">
        <v>98</v>
      </c>
      <c r="BJ381" s="96">
        <v>8.9600000000000009</v>
      </c>
    </row>
    <row r="382" spans="1:62" ht="13.8" x14ac:dyDescent="0.25">
      <c r="A382" s="239"/>
      <c r="BB382" s="187"/>
      <c r="BC382" s="180"/>
      <c r="BD382" s="191">
        <v>42648</v>
      </c>
      <c r="BE382" s="192" t="s">
        <v>105</v>
      </c>
      <c r="BH382" s="94">
        <v>42632</v>
      </c>
      <c r="BI382" s="95" t="s">
        <v>99</v>
      </c>
      <c r="BJ382" s="96">
        <v>8.9499999999999993</v>
      </c>
    </row>
    <row r="383" spans="1:62" ht="13.8" x14ac:dyDescent="0.25">
      <c r="A383" s="239"/>
      <c r="BB383" s="187"/>
      <c r="BC383" s="180"/>
      <c r="BD383" s="191">
        <v>42649</v>
      </c>
      <c r="BE383" s="192" t="s">
        <v>106</v>
      </c>
      <c r="BH383" s="94">
        <v>42633</v>
      </c>
      <c r="BI383" s="95" t="s">
        <v>100</v>
      </c>
      <c r="BJ383" s="96">
        <v>8.9499999999999993</v>
      </c>
    </row>
    <row r="384" spans="1:62" ht="13.8" x14ac:dyDescent="0.25">
      <c r="A384" s="239"/>
      <c r="BB384" s="187"/>
      <c r="BC384" s="180"/>
      <c r="BD384" s="191">
        <v>42650</v>
      </c>
      <c r="BE384" s="192" t="s">
        <v>76</v>
      </c>
      <c r="BH384" s="94">
        <v>42634</v>
      </c>
      <c r="BI384" s="95" t="s">
        <v>101</v>
      </c>
      <c r="BJ384" s="96">
        <v>8.9499999999999993</v>
      </c>
    </row>
    <row r="385" spans="1:62" ht="13.8" x14ac:dyDescent="0.25">
      <c r="A385" s="239"/>
      <c r="BB385" s="187"/>
      <c r="BC385" s="180"/>
      <c r="BD385" s="191">
        <v>42653</v>
      </c>
      <c r="BE385" s="192" t="s">
        <v>97</v>
      </c>
      <c r="BH385" s="94">
        <v>42635</v>
      </c>
      <c r="BI385" s="95" t="s">
        <v>73</v>
      </c>
      <c r="BJ385" s="96">
        <v>8.94</v>
      </c>
    </row>
    <row r="386" spans="1:62" ht="13.8" x14ac:dyDescent="0.25">
      <c r="A386" s="239"/>
      <c r="BB386" s="187"/>
      <c r="BC386" s="180"/>
      <c r="BD386" s="191">
        <v>42654</v>
      </c>
      <c r="BE386" s="192" t="s">
        <v>97</v>
      </c>
      <c r="BH386" s="94">
        <v>42636</v>
      </c>
      <c r="BI386" s="95" t="s">
        <v>73</v>
      </c>
      <c r="BJ386" s="96">
        <v>8.94</v>
      </c>
    </row>
    <row r="387" spans="1:62" ht="13.8" x14ac:dyDescent="0.25">
      <c r="A387" s="239"/>
      <c r="BB387" s="187"/>
      <c r="BC387" s="180"/>
      <c r="BD387" s="191">
        <v>42655</v>
      </c>
      <c r="BE387" s="192" t="s">
        <v>98</v>
      </c>
      <c r="BH387" s="94">
        <v>42639</v>
      </c>
      <c r="BI387" s="95" t="s">
        <v>99</v>
      </c>
      <c r="BJ387" s="96">
        <v>8.93</v>
      </c>
    </row>
    <row r="388" spans="1:62" ht="13.8" x14ac:dyDescent="0.25">
      <c r="A388" s="239"/>
      <c r="BB388" s="187"/>
      <c r="BC388" s="180"/>
      <c r="BD388" s="191">
        <v>42656</v>
      </c>
      <c r="BE388" s="192" t="s">
        <v>99</v>
      </c>
      <c r="BH388" s="94">
        <v>42640</v>
      </c>
      <c r="BI388" s="95" t="s">
        <v>75</v>
      </c>
      <c r="BJ388" s="96">
        <v>8.93</v>
      </c>
    </row>
    <row r="389" spans="1:62" ht="13.8" x14ac:dyDescent="0.25">
      <c r="A389" s="239"/>
      <c r="BB389" s="187"/>
      <c r="BC389" s="180"/>
      <c r="BD389" s="191">
        <v>42657</v>
      </c>
      <c r="BE389" s="192" t="s">
        <v>100</v>
      </c>
      <c r="BH389" s="94">
        <v>42641</v>
      </c>
      <c r="BI389" s="95" t="s">
        <v>98</v>
      </c>
      <c r="BJ389" s="96">
        <v>8.93</v>
      </c>
    </row>
    <row r="390" spans="1:62" ht="13.8" x14ac:dyDescent="0.25">
      <c r="A390" s="239"/>
      <c r="BB390" s="187"/>
      <c r="BC390" s="180"/>
      <c r="BD390" s="191">
        <v>42660</v>
      </c>
      <c r="BE390" s="192" t="s">
        <v>101</v>
      </c>
      <c r="BH390" s="94">
        <v>42642</v>
      </c>
      <c r="BI390" s="95" t="s">
        <v>77</v>
      </c>
      <c r="BJ390" s="96">
        <v>8.92</v>
      </c>
    </row>
    <row r="391" spans="1:62" ht="13.8" x14ac:dyDescent="0.25">
      <c r="A391" s="239"/>
      <c r="BB391" s="187"/>
      <c r="BC391" s="180"/>
      <c r="BD391" s="191">
        <v>42661</v>
      </c>
      <c r="BE391" s="192" t="s">
        <v>107</v>
      </c>
      <c r="BH391" s="94">
        <v>42643</v>
      </c>
      <c r="BI391" s="95" t="s">
        <v>102</v>
      </c>
      <c r="BJ391" s="96">
        <v>8.92</v>
      </c>
    </row>
    <row r="392" spans="1:62" ht="13.8" x14ac:dyDescent="0.25">
      <c r="A392" s="239"/>
      <c r="BB392" s="187"/>
      <c r="BC392" s="180"/>
      <c r="BD392" s="191">
        <v>42662</v>
      </c>
      <c r="BE392" s="192" t="s">
        <v>108</v>
      </c>
      <c r="BH392" s="94">
        <v>42646</v>
      </c>
      <c r="BI392" s="95" t="s">
        <v>103</v>
      </c>
      <c r="BJ392" s="96">
        <v>8.91</v>
      </c>
    </row>
    <row r="393" spans="1:62" ht="13.8" x14ac:dyDescent="0.25">
      <c r="A393" s="239"/>
      <c r="BB393" s="187"/>
      <c r="BC393" s="180"/>
      <c r="BD393" s="191">
        <v>42663</v>
      </c>
      <c r="BE393" s="192" t="s">
        <v>109</v>
      </c>
      <c r="BH393" s="94">
        <v>42647</v>
      </c>
      <c r="BI393" s="95" t="s">
        <v>104</v>
      </c>
      <c r="BJ393" s="96">
        <v>8.91</v>
      </c>
    </row>
    <row r="394" spans="1:62" ht="13.8" x14ac:dyDescent="0.25">
      <c r="A394" s="239"/>
      <c r="BB394" s="187"/>
      <c r="BC394" s="180"/>
      <c r="BD394" s="191">
        <v>42664</v>
      </c>
      <c r="BE394" s="192" t="s">
        <v>110</v>
      </c>
      <c r="BH394" s="94">
        <v>42648</v>
      </c>
      <c r="BI394" s="95" t="s">
        <v>105</v>
      </c>
      <c r="BJ394" s="96">
        <v>8.91</v>
      </c>
    </row>
    <row r="395" spans="1:62" ht="13.8" x14ac:dyDescent="0.25">
      <c r="A395" s="239"/>
      <c r="BB395" s="187"/>
      <c r="BC395" s="180"/>
      <c r="BD395" s="191">
        <v>42667</v>
      </c>
      <c r="BE395" s="192" t="s">
        <v>111</v>
      </c>
      <c r="BH395" s="94">
        <v>42649</v>
      </c>
      <c r="BI395" s="95" t="s">
        <v>106</v>
      </c>
      <c r="BJ395" s="96">
        <v>8.9</v>
      </c>
    </row>
    <row r="396" spans="1:62" ht="13.8" x14ac:dyDescent="0.25">
      <c r="A396" s="239"/>
      <c r="BB396" s="187"/>
      <c r="BC396" s="180"/>
      <c r="BD396" s="191">
        <v>42668</v>
      </c>
      <c r="BE396" s="192" t="s">
        <v>112</v>
      </c>
      <c r="BH396" s="94">
        <v>42650</v>
      </c>
      <c r="BI396" s="95" t="s">
        <v>76</v>
      </c>
      <c r="BJ396" s="96">
        <v>8.9</v>
      </c>
    </row>
    <row r="397" spans="1:62" ht="13.8" x14ac:dyDescent="0.25">
      <c r="A397" s="239"/>
      <c r="BB397" s="187"/>
      <c r="BC397" s="180"/>
      <c r="BD397" s="191"/>
      <c r="BE397" s="193" t="str">
        <f>+BE396</f>
        <v>−0,128</v>
      </c>
      <c r="BH397" s="94">
        <v>42653</v>
      </c>
      <c r="BI397" s="95" t="s">
        <v>97</v>
      </c>
      <c r="BJ397" s="96">
        <v>8.89</v>
      </c>
    </row>
    <row r="398" spans="1:62" ht="13.8" x14ac:dyDescent="0.25">
      <c r="A398" s="239"/>
      <c r="BB398" s="187"/>
      <c r="BC398" s="180"/>
      <c r="BD398" s="191">
        <v>42670</v>
      </c>
      <c r="BE398" s="192" t="s">
        <v>113</v>
      </c>
      <c r="BH398" s="94">
        <v>42654</v>
      </c>
      <c r="BI398" s="95" t="s">
        <v>97</v>
      </c>
      <c r="BJ398" s="96">
        <v>8.89</v>
      </c>
    </row>
    <row r="399" spans="1:62" ht="13.8" x14ac:dyDescent="0.25">
      <c r="A399" s="239"/>
      <c r="BB399" s="187"/>
      <c r="BC399" s="180"/>
      <c r="BD399" s="191">
        <v>42671</v>
      </c>
      <c r="BE399" s="192" t="s">
        <v>114</v>
      </c>
      <c r="BH399" s="94">
        <v>42655</v>
      </c>
      <c r="BI399" s="95" t="s">
        <v>98</v>
      </c>
      <c r="BJ399" s="96">
        <v>8.89</v>
      </c>
    </row>
    <row r="400" spans="1:62" ht="13.8" x14ac:dyDescent="0.25">
      <c r="A400" s="239"/>
      <c r="BB400" s="187"/>
      <c r="BC400" s="180"/>
      <c r="BD400" s="191">
        <v>42674</v>
      </c>
      <c r="BE400" s="192" t="s">
        <v>115</v>
      </c>
      <c r="BH400" s="94">
        <v>42656</v>
      </c>
      <c r="BI400" s="95" t="s">
        <v>99</v>
      </c>
      <c r="BJ400" s="96">
        <v>8.9600000000000009</v>
      </c>
    </row>
    <row r="401" spans="1:62" ht="13.8" x14ac:dyDescent="0.25">
      <c r="A401" s="239"/>
      <c r="BB401" s="187"/>
      <c r="BC401" s="180"/>
      <c r="BD401" s="191"/>
      <c r="BE401" s="193">
        <v>-0.1</v>
      </c>
      <c r="BF401" s="111">
        <f>+(BC401+BE401)/2+0.37</f>
        <v>0.32</v>
      </c>
      <c r="BH401" s="94">
        <v>42657</v>
      </c>
      <c r="BI401" s="95" t="s">
        <v>100</v>
      </c>
      <c r="BJ401" s="96">
        <v>8.9600000000000009</v>
      </c>
    </row>
    <row r="402" spans="1:62" ht="13.8" x14ac:dyDescent="0.25">
      <c r="A402" s="239"/>
      <c r="BB402" s="187"/>
      <c r="BC402" s="180"/>
      <c r="BD402" s="191">
        <v>42676</v>
      </c>
      <c r="BE402" s="192" t="s">
        <v>116</v>
      </c>
      <c r="BH402" s="94">
        <v>42660</v>
      </c>
      <c r="BI402" s="95" t="s">
        <v>101</v>
      </c>
      <c r="BJ402" s="96">
        <v>8.9499999999999993</v>
      </c>
    </row>
    <row r="403" spans="1:62" ht="13.8" x14ac:dyDescent="0.25">
      <c r="A403" s="239"/>
      <c r="BB403" s="187"/>
      <c r="BC403" s="180"/>
      <c r="BD403" s="191">
        <v>42677</v>
      </c>
      <c r="BE403" s="192" t="s">
        <v>117</v>
      </c>
      <c r="BH403" s="94">
        <v>42661</v>
      </c>
      <c r="BI403" s="95" t="s">
        <v>107</v>
      </c>
      <c r="BJ403" s="96">
        <v>8.9499999999999993</v>
      </c>
    </row>
    <row r="404" spans="1:62" ht="13.8" x14ac:dyDescent="0.25">
      <c r="A404" s="239"/>
      <c r="BB404" s="187"/>
      <c r="BC404" s="180"/>
      <c r="BD404" s="191">
        <v>42678</v>
      </c>
      <c r="BE404" s="192" t="s">
        <v>118</v>
      </c>
      <c r="BH404" s="94">
        <v>42662</v>
      </c>
      <c r="BI404" s="95" t="s">
        <v>108</v>
      </c>
      <c r="BJ404" s="96">
        <v>8.9499999999999993</v>
      </c>
    </row>
    <row r="405" spans="1:62" ht="13.8" x14ac:dyDescent="0.25">
      <c r="A405" s="239"/>
      <c r="BB405" s="187"/>
      <c r="BC405" s="180"/>
      <c r="BD405" s="191">
        <v>42681</v>
      </c>
      <c r="BE405" s="192" t="s">
        <v>119</v>
      </c>
      <c r="BH405" s="94">
        <v>42663</v>
      </c>
      <c r="BI405" s="95" t="s">
        <v>109</v>
      </c>
      <c r="BJ405" s="96">
        <v>8.94</v>
      </c>
    </row>
    <row r="406" spans="1:62" ht="13.8" x14ac:dyDescent="0.25">
      <c r="A406" s="239"/>
      <c r="BB406" s="187"/>
      <c r="BC406" s="180"/>
      <c r="BD406" s="191">
        <v>42682</v>
      </c>
      <c r="BE406" s="192" t="s">
        <v>120</v>
      </c>
      <c r="BH406" s="94">
        <v>42664</v>
      </c>
      <c r="BI406" s="95" t="s">
        <v>110</v>
      </c>
      <c r="BJ406" s="96">
        <v>8.94</v>
      </c>
    </row>
    <row r="407" spans="1:62" ht="13.8" x14ac:dyDescent="0.25">
      <c r="A407" s="239"/>
      <c r="BB407" s="187"/>
      <c r="BC407" s="180"/>
      <c r="BD407" s="191">
        <v>42683</v>
      </c>
      <c r="BE407" s="192" t="s">
        <v>121</v>
      </c>
      <c r="BH407" s="94">
        <v>42667</v>
      </c>
      <c r="BI407" s="95" t="s">
        <v>111</v>
      </c>
      <c r="BJ407" s="96">
        <v>8.93</v>
      </c>
    </row>
    <row r="408" spans="1:62" ht="13.8" x14ac:dyDescent="0.25">
      <c r="A408" s="239"/>
      <c r="BB408" s="187"/>
      <c r="BC408" s="180"/>
      <c r="BD408" s="191">
        <v>42684</v>
      </c>
      <c r="BE408" s="192" t="s">
        <v>122</v>
      </c>
      <c r="BH408" s="94">
        <v>42668</v>
      </c>
      <c r="BI408" s="95" t="s">
        <v>112</v>
      </c>
      <c r="BJ408" s="96">
        <v>8.93</v>
      </c>
    </row>
    <row r="409" spans="1:62" ht="13.8" x14ac:dyDescent="0.25">
      <c r="A409" s="239"/>
      <c r="BB409" s="187"/>
      <c r="BC409" s="180"/>
      <c r="BD409" s="191">
        <v>42685</v>
      </c>
      <c r="BE409" s="192" t="s">
        <v>123</v>
      </c>
      <c r="BH409" s="94">
        <v>42670</v>
      </c>
      <c r="BI409" s="95" t="s">
        <v>113</v>
      </c>
      <c r="BJ409" s="96">
        <v>8.92</v>
      </c>
    </row>
    <row r="410" spans="1:62" ht="13.8" x14ac:dyDescent="0.25">
      <c r="A410" s="239"/>
      <c r="BB410" s="187"/>
      <c r="BC410" s="180"/>
      <c r="BD410" s="191">
        <v>42688</v>
      </c>
      <c r="BE410" s="192" t="s">
        <v>124</v>
      </c>
      <c r="BH410" s="94">
        <v>42671</v>
      </c>
      <c r="BI410" s="95" t="s">
        <v>114</v>
      </c>
      <c r="BJ410" s="96">
        <v>8.92</v>
      </c>
    </row>
    <row r="411" spans="1:62" ht="13.8" x14ac:dyDescent="0.25">
      <c r="A411" s="239"/>
      <c r="BB411" s="187"/>
      <c r="BC411" s="180"/>
      <c r="BD411" s="191">
        <v>42689</v>
      </c>
      <c r="BE411" s="192" t="s">
        <v>125</v>
      </c>
      <c r="BH411" s="94">
        <v>42674</v>
      </c>
      <c r="BI411" s="95" t="s">
        <v>115</v>
      </c>
      <c r="BJ411" s="96">
        <v>8.91</v>
      </c>
    </row>
    <row r="412" spans="1:62" ht="13.8" x14ac:dyDescent="0.25">
      <c r="A412" s="239"/>
      <c r="BB412" s="187"/>
      <c r="BC412" s="180"/>
      <c r="BD412" s="191">
        <v>42690</v>
      </c>
      <c r="BE412" s="192">
        <v>0</v>
      </c>
      <c r="BH412" s="94">
        <v>42676</v>
      </c>
      <c r="BI412" s="95" t="s">
        <v>116</v>
      </c>
      <c r="BJ412" s="96">
        <v>9.5299999999999994</v>
      </c>
    </row>
    <row r="413" spans="1:62" ht="13.8" x14ac:dyDescent="0.25">
      <c r="A413" s="239"/>
      <c r="BB413" s="187"/>
      <c r="BC413" s="180"/>
      <c r="BD413" s="191">
        <v>42691</v>
      </c>
      <c r="BE413" s="192">
        <v>8.9999999999999993E-3</v>
      </c>
      <c r="BH413" s="94">
        <v>42677</v>
      </c>
      <c r="BI413" s="95" t="s">
        <v>117</v>
      </c>
      <c r="BJ413" s="96">
        <v>9.5299999999999994</v>
      </c>
    </row>
    <row r="414" spans="1:62" ht="13.8" x14ac:dyDescent="0.25">
      <c r="A414" s="239"/>
      <c r="BB414" s="187"/>
      <c r="BC414" s="180"/>
      <c r="BD414" s="191">
        <v>42692</v>
      </c>
      <c r="BE414" s="192">
        <v>0.02</v>
      </c>
      <c r="BH414" s="94">
        <v>42678</v>
      </c>
      <c r="BI414" s="95" t="s">
        <v>118</v>
      </c>
      <c r="BJ414" s="96">
        <v>9.5299999999999994</v>
      </c>
    </row>
    <row r="415" spans="1:62" ht="13.8" x14ac:dyDescent="0.25">
      <c r="A415" s="239"/>
      <c r="BB415" s="187"/>
      <c r="BC415" s="180"/>
      <c r="BD415" s="191">
        <v>42695</v>
      </c>
      <c r="BE415" s="192">
        <v>0.03</v>
      </c>
      <c r="BH415" s="94">
        <v>42681</v>
      </c>
      <c r="BI415" s="95" t="s">
        <v>119</v>
      </c>
      <c r="BJ415" s="96">
        <v>9.52</v>
      </c>
    </row>
    <row r="416" spans="1:62" ht="13.8" x14ac:dyDescent="0.25">
      <c r="A416" s="239"/>
      <c r="BB416" s="187"/>
      <c r="BC416" s="180"/>
      <c r="BD416" s="191">
        <v>42696</v>
      </c>
      <c r="BE416" s="192">
        <v>3.7999999999999999E-2</v>
      </c>
      <c r="BH416" s="94">
        <v>42682</v>
      </c>
      <c r="BI416" s="95" t="s">
        <v>120</v>
      </c>
      <c r="BJ416" s="96">
        <v>9.52</v>
      </c>
    </row>
    <row r="417" spans="1:62" ht="13.8" x14ac:dyDescent="0.25">
      <c r="A417" s="239"/>
      <c r="BB417" s="187"/>
      <c r="BC417" s="180"/>
      <c r="BD417" s="191">
        <v>42697</v>
      </c>
      <c r="BE417" s="192">
        <v>4.8000000000000001E-2</v>
      </c>
      <c r="BH417" s="94">
        <v>42683</v>
      </c>
      <c r="BI417" s="95" t="s">
        <v>121</v>
      </c>
      <c r="BJ417" s="96">
        <v>9.51</v>
      </c>
    </row>
    <row r="418" spans="1:62" ht="13.8" x14ac:dyDescent="0.25">
      <c r="A418" s="239"/>
      <c r="BB418" s="187"/>
      <c r="BC418" s="180"/>
      <c r="BD418" s="191">
        <v>42698</v>
      </c>
      <c r="BE418" s="192">
        <v>5.6000000000000001E-2</v>
      </c>
      <c r="BH418" s="94">
        <v>42684</v>
      </c>
      <c r="BI418" s="95" t="s">
        <v>122</v>
      </c>
      <c r="BJ418" s="96">
        <v>9.51</v>
      </c>
    </row>
    <row r="419" spans="1:62" ht="13.8" x14ac:dyDescent="0.25">
      <c r="A419" s="239"/>
      <c r="BB419" s="187"/>
      <c r="BC419" s="180"/>
      <c r="BD419" s="191">
        <v>42699</v>
      </c>
      <c r="BE419" s="192">
        <v>6.0999999999999999E-2</v>
      </c>
      <c r="BH419" s="94">
        <v>42685</v>
      </c>
      <c r="BI419" s="95" t="s">
        <v>123</v>
      </c>
      <c r="BJ419" s="96">
        <v>9.51</v>
      </c>
    </row>
    <row r="420" spans="1:62" ht="13.8" x14ac:dyDescent="0.25">
      <c r="A420" s="239"/>
      <c r="BB420" s="187"/>
      <c r="BC420" s="180"/>
      <c r="BD420" s="191">
        <v>42702</v>
      </c>
      <c r="BE420" s="192">
        <v>6.3E-2</v>
      </c>
      <c r="BH420" s="94">
        <v>42688</v>
      </c>
      <c r="BI420" s="95" t="s">
        <v>124</v>
      </c>
      <c r="BJ420" s="96">
        <v>9.5</v>
      </c>
    </row>
    <row r="421" spans="1:62" ht="13.8" x14ac:dyDescent="0.25">
      <c r="A421" s="239"/>
      <c r="BB421" s="187"/>
      <c r="BC421" s="180"/>
      <c r="BD421" s="191">
        <v>42703</v>
      </c>
      <c r="BE421" s="192">
        <v>6.6000000000000003E-2</v>
      </c>
      <c r="BH421" s="94">
        <v>42689</v>
      </c>
      <c r="BI421" s="95" t="s">
        <v>125</v>
      </c>
      <c r="BJ421" s="96">
        <v>9.5</v>
      </c>
    </row>
    <row r="422" spans="1:62" ht="13.8" x14ac:dyDescent="0.25">
      <c r="A422" s="239"/>
      <c r="BB422" s="187"/>
      <c r="BC422" s="180"/>
      <c r="BD422" s="191">
        <v>42704</v>
      </c>
      <c r="BE422" s="192">
        <v>7.0000000000000007E-2</v>
      </c>
      <c r="BH422" s="94">
        <v>42690</v>
      </c>
      <c r="BI422" s="95">
        <v>0</v>
      </c>
      <c r="BJ422" s="96">
        <v>9.49</v>
      </c>
    </row>
    <row r="423" spans="1:62" ht="13.8" x14ac:dyDescent="0.25">
      <c r="A423" s="239"/>
      <c r="BB423" s="187"/>
      <c r="BC423" s="180"/>
      <c r="BD423" s="191">
        <v>42705</v>
      </c>
      <c r="BE423" s="192">
        <v>7.4999999999999997E-2</v>
      </c>
      <c r="BH423" s="94">
        <v>42691</v>
      </c>
      <c r="BI423" s="95">
        <v>8.9999999999999993E-3</v>
      </c>
      <c r="BJ423" s="96">
        <v>9.49</v>
      </c>
    </row>
    <row r="424" spans="1:62" ht="13.8" x14ac:dyDescent="0.25">
      <c r="A424" s="239"/>
      <c r="BB424" s="187"/>
      <c r="BC424" s="180"/>
      <c r="BD424" s="191">
        <v>42706</v>
      </c>
      <c r="BE424" s="192">
        <v>0.08</v>
      </c>
      <c r="BH424" s="94">
        <v>42692</v>
      </c>
      <c r="BI424" s="95">
        <v>0.02</v>
      </c>
      <c r="BJ424" s="96">
        <v>9.49</v>
      </c>
    </row>
    <row r="425" spans="1:62" ht="13.8" x14ac:dyDescent="0.25">
      <c r="A425" s="239"/>
      <c r="BB425" s="187"/>
      <c r="BC425" s="180"/>
      <c r="BD425" s="191">
        <v>42709</v>
      </c>
      <c r="BE425" s="192">
        <v>8.5999999999999993E-2</v>
      </c>
      <c r="BH425" s="94">
        <v>42695</v>
      </c>
      <c r="BI425" s="95">
        <v>0.03</v>
      </c>
      <c r="BJ425" s="96">
        <v>9.48</v>
      </c>
    </row>
    <row r="426" spans="1:62" ht="13.8" x14ac:dyDescent="0.25">
      <c r="A426" s="239"/>
      <c r="BB426" s="187"/>
      <c r="BC426" s="180"/>
      <c r="BD426" s="191">
        <v>42710</v>
      </c>
      <c r="BE426" s="192">
        <v>9.1999999999999998E-2</v>
      </c>
      <c r="BH426" s="94">
        <v>42696</v>
      </c>
      <c r="BI426" s="95">
        <v>3.7999999999999999E-2</v>
      </c>
      <c r="BJ426" s="96">
        <v>9.48</v>
      </c>
    </row>
    <row r="427" spans="1:62" ht="13.8" x14ac:dyDescent="0.25">
      <c r="A427" s="239"/>
      <c r="BB427" s="187"/>
      <c r="BC427" s="180"/>
      <c r="BD427" s="191">
        <v>42711</v>
      </c>
      <c r="BE427" s="192">
        <v>9.8000000000000004E-2</v>
      </c>
      <c r="BH427" s="94">
        <v>42697</v>
      </c>
      <c r="BI427" s="95">
        <v>4.8000000000000001E-2</v>
      </c>
      <c r="BJ427" s="96">
        <v>9.48</v>
      </c>
    </row>
    <row r="428" spans="1:62" ht="13.8" x14ac:dyDescent="0.25">
      <c r="A428" s="239"/>
      <c r="BB428" s="187"/>
      <c r="BC428" s="180"/>
      <c r="BD428" s="191"/>
      <c r="BE428" s="193">
        <f>+BE427</f>
        <v>9.8000000000000004E-2</v>
      </c>
      <c r="BH428" s="94">
        <v>42698</v>
      </c>
      <c r="BI428" s="95">
        <v>5.6000000000000001E-2</v>
      </c>
      <c r="BJ428" s="96">
        <v>9.4700000000000006</v>
      </c>
    </row>
    <row r="429" spans="1:62" ht="13.8" x14ac:dyDescent="0.25">
      <c r="A429" s="239"/>
      <c r="BB429" s="187"/>
      <c r="BC429" s="180"/>
      <c r="BD429" s="191">
        <v>42713</v>
      </c>
      <c r="BE429" s="192">
        <v>0.1</v>
      </c>
      <c r="BH429" s="94">
        <v>42699</v>
      </c>
      <c r="BI429" s="95">
        <v>6.0999999999999999E-2</v>
      </c>
      <c r="BJ429" s="96">
        <v>9.4700000000000006</v>
      </c>
    </row>
    <row r="430" spans="1:62" ht="13.8" x14ac:dyDescent="0.25">
      <c r="A430" s="239"/>
      <c r="BB430" s="187"/>
      <c r="BC430" s="180"/>
      <c r="BD430" s="191">
        <v>42716</v>
      </c>
      <c r="BE430" s="192">
        <v>0.10199999999999999</v>
      </c>
      <c r="BH430" s="94">
        <v>42702</v>
      </c>
      <c r="BI430" s="95">
        <v>6.3E-2</v>
      </c>
      <c r="BJ430" s="96">
        <v>9.4600000000000009</v>
      </c>
    </row>
    <row r="431" spans="1:62" ht="13.8" x14ac:dyDescent="0.25">
      <c r="A431" s="239"/>
      <c r="BB431" s="187"/>
      <c r="BC431" s="180"/>
      <c r="BD431" s="191">
        <v>42717</v>
      </c>
      <c r="BE431" s="192">
        <v>9.9000000000000005E-2</v>
      </c>
      <c r="BH431" s="94">
        <v>42703</v>
      </c>
      <c r="BI431" s="95">
        <v>6.6000000000000003E-2</v>
      </c>
      <c r="BJ431" s="96">
        <v>9.4600000000000009</v>
      </c>
    </row>
    <row r="432" spans="1:62" ht="13.8" x14ac:dyDescent="0.25">
      <c r="A432" s="239"/>
      <c r="BB432" s="187"/>
      <c r="BC432" s="180"/>
      <c r="BD432" s="191">
        <v>42718</v>
      </c>
      <c r="BE432" s="192">
        <v>9.8000000000000004E-2</v>
      </c>
      <c r="BH432" s="94">
        <v>42704</v>
      </c>
      <c r="BI432" s="95">
        <v>7.0000000000000007E-2</v>
      </c>
      <c r="BJ432" s="96">
        <v>9.4600000000000009</v>
      </c>
    </row>
    <row r="433" spans="1:62" ht="13.8" x14ac:dyDescent="0.25">
      <c r="A433" s="239"/>
      <c r="BB433" s="187"/>
      <c r="BC433" s="180"/>
      <c r="BD433" s="191">
        <v>42719</v>
      </c>
      <c r="BE433" s="192">
        <v>9.9000000000000005E-2</v>
      </c>
      <c r="BH433" s="94">
        <v>42705</v>
      </c>
      <c r="BI433" s="95">
        <v>7.4999999999999997E-2</v>
      </c>
      <c r="BJ433" s="96">
        <v>9.4499999999999993</v>
      </c>
    </row>
    <row r="434" spans="1:62" ht="13.8" x14ac:dyDescent="0.25">
      <c r="A434" s="239"/>
      <c r="BB434" s="187"/>
      <c r="BC434" s="180"/>
      <c r="BD434" s="191">
        <v>42720</v>
      </c>
      <c r="BE434" s="192">
        <v>9.8000000000000004E-2</v>
      </c>
      <c r="BH434" s="94">
        <v>42706</v>
      </c>
      <c r="BI434" s="95">
        <v>0.08</v>
      </c>
      <c r="BJ434" s="96">
        <v>9.4499999999999993</v>
      </c>
    </row>
    <row r="435" spans="1:62" ht="13.8" x14ac:dyDescent="0.25">
      <c r="A435" s="239"/>
      <c r="BB435" s="187"/>
      <c r="BC435" s="180"/>
      <c r="BD435" s="191">
        <v>42723</v>
      </c>
      <c r="BE435" s="192">
        <v>9.5000000000000001E-2</v>
      </c>
      <c r="BH435" s="94">
        <v>42709</v>
      </c>
      <c r="BI435" s="95">
        <v>8.5999999999999993E-2</v>
      </c>
      <c r="BJ435" s="96">
        <v>9.44</v>
      </c>
    </row>
    <row r="436" spans="1:62" ht="13.8" x14ac:dyDescent="0.25">
      <c r="A436" s="239"/>
      <c r="BB436" s="187"/>
      <c r="BC436" s="180"/>
      <c r="BD436" s="191">
        <v>42724</v>
      </c>
      <c r="BE436" s="192">
        <v>9.2999999999999999E-2</v>
      </c>
      <c r="BH436" s="94">
        <v>42710</v>
      </c>
      <c r="BI436" s="95">
        <v>9.1999999999999998E-2</v>
      </c>
      <c r="BJ436" s="96">
        <v>9.44</v>
      </c>
    </row>
    <row r="437" spans="1:62" ht="13.8" x14ac:dyDescent="0.25">
      <c r="A437" s="239"/>
      <c r="BB437" s="187"/>
      <c r="BC437" s="180"/>
      <c r="BD437" s="191">
        <v>42725</v>
      </c>
      <c r="BE437" s="192">
        <v>9.1999999999999998E-2</v>
      </c>
      <c r="BH437" s="94">
        <v>42711</v>
      </c>
      <c r="BI437" s="95">
        <v>9.8000000000000004E-2</v>
      </c>
      <c r="BJ437" s="96">
        <v>9.44</v>
      </c>
    </row>
    <row r="438" spans="1:62" ht="13.8" x14ac:dyDescent="0.25">
      <c r="A438" s="239"/>
      <c r="BB438" s="187"/>
      <c r="BC438" s="180"/>
      <c r="BD438" s="191">
        <v>42726</v>
      </c>
      <c r="BE438" s="192">
        <v>9.0999999999999998E-2</v>
      </c>
      <c r="BH438" s="94">
        <v>42713</v>
      </c>
      <c r="BI438" s="95">
        <v>0.1</v>
      </c>
      <c r="BJ438" s="96">
        <v>9.43</v>
      </c>
    </row>
    <row r="439" spans="1:62" ht="13.8" x14ac:dyDescent="0.25">
      <c r="A439" s="239"/>
      <c r="BB439" s="187"/>
      <c r="BC439" s="180"/>
      <c r="BD439" s="191">
        <v>42727</v>
      </c>
      <c r="BE439" s="192">
        <v>8.7999999999999995E-2</v>
      </c>
      <c r="BH439" s="94">
        <v>42716</v>
      </c>
      <c r="BI439" s="95">
        <v>0.10199999999999999</v>
      </c>
      <c r="BJ439" s="96">
        <v>9.42</v>
      </c>
    </row>
    <row r="440" spans="1:62" ht="13.8" x14ac:dyDescent="0.25">
      <c r="A440" s="239"/>
      <c r="BB440" s="187"/>
      <c r="BC440" s="180"/>
      <c r="BD440" s="191"/>
      <c r="BE440" s="193">
        <f>+BE439</f>
        <v>8.7999999999999995E-2</v>
      </c>
      <c r="BH440" s="94">
        <v>42717</v>
      </c>
      <c r="BI440" s="95">
        <v>9.9000000000000005E-2</v>
      </c>
      <c r="BJ440" s="96">
        <v>9.42</v>
      </c>
    </row>
    <row r="441" spans="1:62" ht="13.8" x14ac:dyDescent="0.25">
      <c r="A441" s="239"/>
      <c r="BB441" s="187"/>
      <c r="BC441" s="180"/>
      <c r="BD441" s="191">
        <v>42731</v>
      </c>
      <c r="BE441" s="192">
        <v>8.5000000000000006E-2</v>
      </c>
      <c r="BH441" s="94">
        <v>42718</v>
      </c>
      <c r="BI441" s="95">
        <v>9.8000000000000004E-2</v>
      </c>
      <c r="BJ441" s="96">
        <v>9.42</v>
      </c>
    </row>
    <row r="442" spans="1:62" ht="13.8" x14ac:dyDescent="0.25">
      <c r="A442" s="239"/>
      <c r="BB442" s="187"/>
      <c r="BC442" s="180"/>
      <c r="BD442" s="191">
        <v>42732</v>
      </c>
      <c r="BE442" s="192">
        <v>8.1000000000000003E-2</v>
      </c>
      <c r="BH442" s="94">
        <v>42719</v>
      </c>
      <c r="BI442" s="95">
        <v>9.9000000000000005E-2</v>
      </c>
      <c r="BJ442" s="96">
        <v>9.41</v>
      </c>
    </row>
    <row r="443" spans="1:62" ht="13.8" x14ac:dyDescent="0.25">
      <c r="A443" s="239"/>
      <c r="BB443" s="187"/>
      <c r="BC443" s="180"/>
      <c r="BD443" s="191">
        <v>42733</v>
      </c>
      <c r="BE443" s="192">
        <v>7.8E-2</v>
      </c>
      <c r="BH443" s="94">
        <v>42720</v>
      </c>
      <c r="BI443" s="95">
        <v>9.8000000000000004E-2</v>
      </c>
      <c r="BJ443" s="96">
        <v>9.41</v>
      </c>
    </row>
    <row r="444" spans="1:62" ht="13.8" x14ac:dyDescent="0.25">
      <c r="A444" s="239"/>
      <c r="BB444" s="187"/>
      <c r="BC444" s="180"/>
      <c r="BD444" s="191">
        <v>42734</v>
      </c>
      <c r="BE444" s="192">
        <v>7.5999999999999998E-2</v>
      </c>
      <c r="BH444" s="94">
        <v>42723</v>
      </c>
      <c r="BI444" s="95">
        <v>9.5000000000000001E-2</v>
      </c>
      <c r="BJ444" s="96">
        <v>9.4</v>
      </c>
    </row>
    <row r="445" spans="1:62" ht="13.8" x14ac:dyDescent="0.25">
      <c r="A445" s="239"/>
      <c r="BB445" s="187"/>
      <c r="BC445" s="180"/>
      <c r="BD445" s="191">
        <v>42737</v>
      </c>
      <c r="BE445" s="192">
        <v>7.0000000000000007E-2</v>
      </c>
      <c r="BH445" s="94">
        <v>42724</v>
      </c>
      <c r="BI445" s="95">
        <v>9.2999999999999999E-2</v>
      </c>
      <c r="BJ445" s="96">
        <v>9.4</v>
      </c>
    </row>
    <row r="446" spans="1:62" ht="13.8" x14ac:dyDescent="0.25">
      <c r="A446" s="239"/>
      <c r="BB446" s="187"/>
      <c r="BC446" s="180"/>
      <c r="BD446" s="191">
        <v>42738</v>
      </c>
      <c r="BE446" s="192">
        <v>6.7000000000000004E-2</v>
      </c>
      <c r="BH446" s="94">
        <v>42725</v>
      </c>
      <c r="BI446" s="95">
        <v>9.1999999999999998E-2</v>
      </c>
      <c r="BJ446" s="96">
        <v>9.4</v>
      </c>
    </row>
    <row r="447" spans="1:62" ht="13.8" x14ac:dyDescent="0.25">
      <c r="A447" s="239"/>
      <c r="BB447" s="187"/>
      <c r="BC447" s="180"/>
      <c r="BD447" s="191">
        <v>42739</v>
      </c>
      <c r="BE447" s="192">
        <v>6.4000000000000001E-2</v>
      </c>
      <c r="BH447" s="94">
        <v>42726</v>
      </c>
      <c r="BI447" s="95">
        <v>9.0999999999999998E-2</v>
      </c>
      <c r="BJ447" s="96">
        <v>9.4</v>
      </c>
    </row>
    <row r="448" spans="1:62" ht="13.8" x14ac:dyDescent="0.25">
      <c r="A448" s="239"/>
      <c r="BB448" s="187"/>
      <c r="BC448" s="180"/>
      <c r="BD448" s="191">
        <v>42740</v>
      </c>
      <c r="BE448" s="192">
        <v>6.2E-2</v>
      </c>
      <c r="BH448" s="94">
        <v>42727</v>
      </c>
      <c r="BI448" s="95">
        <v>8.7999999999999995E-2</v>
      </c>
      <c r="BJ448" s="96">
        <v>9.39</v>
      </c>
    </row>
    <row r="449" spans="1:62" ht="13.8" x14ac:dyDescent="0.25">
      <c r="A449" s="239"/>
      <c r="BB449" s="187"/>
      <c r="BC449" s="180"/>
      <c r="BD449" s="191"/>
      <c r="BE449" s="193">
        <f>+BE448</f>
        <v>6.2E-2</v>
      </c>
      <c r="BH449" s="94">
        <v>42731</v>
      </c>
      <c r="BI449" s="95">
        <v>8.5000000000000006E-2</v>
      </c>
      <c r="BJ449" s="96">
        <v>9.3800000000000008</v>
      </c>
    </row>
    <row r="450" spans="1:62" ht="13.8" x14ac:dyDescent="0.25">
      <c r="A450" s="239"/>
      <c r="BB450" s="187"/>
      <c r="BC450" s="180"/>
      <c r="BD450" s="191">
        <v>42744</v>
      </c>
      <c r="BE450" s="192">
        <v>0.06</v>
      </c>
      <c r="BH450" s="94">
        <v>42732</v>
      </c>
      <c r="BI450" s="95">
        <v>8.1000000000000003E-2</v>
      </c>
      <c r="BJ450" s="96">
        <v>9.3800000000000008</v>
      </c>
    </row>
    <row r="451" spans="1:62" ht="13.8" x14ac:dyDescent="0.25">
      <c r="A451" s="239"/>
      <c r="BB451" s="187"/>
      <c r="BC451" s="180"/>
      <c r="BD451" s="191">
        <v>42745</v>
      </c>
      <c r="BE451" s="192">
        <v>5.8999999999999997E-2</v>
      </c>
      <c r="BH451" s="94">
        <v>42733</v>
      </c>
      <c r="BI451" s="95">
        <v>7.8E-2</v>
      </c>
      <c r="BJ451" s="96">
        <v>9.3800000000000008</v>
      </c>
    </row>
    <row r="452" spans="1:62" ht="13.8" x14ac:dyDescent="0.25">
      <c r="A452" s="239"/>
      <c r="BB452" s="187"/>
      <c r="BC452" s="180"/>
      <c r="BD452" s="191">
        <v>42746</v>
      </c>
      <c r="BE452" s="192">
        <v>5.5E-2</v>
      </c>
      <c r="BH452" s="94">
        <v>42734</v>
      </c>
      <c r="BI452" s="95">
        <v>7.5999999999999998E-2</v>
      </c>
      <c r="BJ452" s="96">
        <v>9.3699999999999992</v>
      </c>
    </row>
    <row r="453" spans="1:62" ht="13.8" x14ac:dyDescent="0.25">
      <c r="A453" s="239"/>
      <c r="BB453" s="187"/>
      <c r="BC453" s="180"/>
      <c r="BD453" s="191">
        <v>42747</v>
      </c>
      <c r="BE453" s="192">
        <v>5.7000000000000002E-2</v>
      </c>
      <c r="BH453" s="94">
        <v>42737</v>
      </c>
      <c r="BI453" s="95">
        <v>7.0000000000000007E-2</v>
      </c>
      <c r="BJ453" s="96">
        <v>9.3699999999999992</v>
      </c>
    </row>
    <row r="454" spans="1:62" ht="13.8" x14ac:dyDescent="0.25">
      <c r="A454" s="239"/>
      <c r="BB454" s="187"/>
      <c r="BC454" s="180"/>
      <c r="BD454" s="191">
        <v>42748</v>
      </c>
      <c r="BE454" s="192">
        <v>5.6000000000000001E-2</v>
      </c>
      <c r="BH454" s="94">
        <v>42738</v>
      </c>
      <c r="BI454" s="95">
        <v>6.7000000000000004E-2</v>
      </c>
      <c r="BJ454" s="96">
        <v>9.36</v>
      </c>
    </row>
    <row r="455" spans="1:62" ht="13.8" x14ac:dyDescent="0.25">
      <c r="A455" s="239"/>
      <c r="BB455" s="187"/>
      <c r="BC455" s="180"/>
      <c r="BD455" s="191">
        <v>42751</v>
      </c>
      <c r="BE455" s="192">
        <v>0.10100000000000001</v>
      </c>
      <c r="BH455" s="94">
        <v>42739</v>
      </c>
      <c r="BI455" s="95">
        <v>6.4000000000000001E-2</v>
      </c>
      <c r="BJ455" s="96">
        <v>9.36</v>
      </c>
    </row>
    <row r="456" spans="1:62" ht="13.8" x14ac:dyDescent="0.25">
      <c r="A456" s="239"/>
      <c r="BB456" s="187"/>
      <c r="BC456" s="180"/>
      <c r="BD456" s="191">
        <v>42752</v>
      </c>
      <c r="BE456" s="192">
        <v>0.1</v>
      </c>
      <c r="BH456" s="94">
        <v>42740</v>
      </c>
      <c r="BI456" s="95">
        <v>6.2E-2</v>
      </c>
      <c r="BJ456" s="96">
        <v>9.36</v>
      </c>
    </row>
    <row r="457" spans="1:62" ht="13.8" x14ac:dyDescent="0.25">
      <c r="A457" s="239"/>
      <c r="BB457" s="187"/>
      <c r="BC457" s="180"/>
      <c r="BD457" s="191">
        <v>42753</v>
      </c>
      <c r="BE457" s="192">
        <v>0.1</v>
      </c>
      <c r="BH457" s="94">
        <v>42744</v>
      </c>
      <c r="BI457" s="95">
        <v>0.06</v>
      </c>
      <c r="BJ457" s="96">
        <v>9.35</v>
      </c>
    </row>
    <row r="458" spans="1:62" ht="13.8" x14ac:dyDescent="0.25">
      <c r="A458" s="239"/>
      <c r="BB458" s="187"/>
      <c r="BC458" s="180"/>
      <c r="BD458" s="191">
        <v>42754</v>
      </c>
      <c r="BE458" s="192">
        <v>0.10299999999999999</v>
      </c>
      <c r="BH458" s="94">
        <v>42745</v>
      </c>
      <c r="BI458" s="95">
        <v>5.8999999999999997E-2</v>
      </c>
      <c r="BJ458" s="96">
        <v>9.34</v>
      </c>
    </row>
    <row r="459" spans="1:62" ht="13.8" x14ac:dyDescent="0.25">
      <c r="A459" s="239"/>
      <c r="BB459" s="187"/>
      <c r="BC459" s="180"/>
      <c r="BD459" s="191">
        <v>42755</v>
      </c>
      <c r="BE459" s="192">
        <v>0.108</v>
      </c>
      <c r="BH459" s="94">
        <v>42746</v>
      </c>
      <c r="BI459" s="95">
        <v>5.5E-2</v>
      </c>
      <c r="BJ459" s="96">
        <v>9.34</v>
      </c>
    </row>
    <row r="460" spans="1:62" ht="13.8" x14ac:dyDescent="0.25">
      <c r="A460" s="239"/>
      <c r="BB460" s="187"/>
      <c r="BC460" s="180"/>
      <c r="BD460" s="191">
        <v>42758</v>
      </c>
      <c r="BE460" s="192">
        <v>0.113</v>
      </c>
      <c r="BH460" s="94">
        <v>42747</v>
      </c>
      <c r="BI460" s="95">
        <v>5.7000000000000002E-2</v>
      </c>
      <c r="BJ460" s="96">
        <v>9.39</v>
      </c>
    </row>
    <row r="461" spans="1:62" ht="13.8" x14ac:dyDescent="0.25">
      <c r="A461" s="239"/>
      <c r="BB461" s="187"/>
      <c r="BC461" s="180"/>
      <c r="BD461" s="191">
        <v>42759</v>
      </c>
      <c r="BE461" s="192">
        <v>0.11799999999999999</v>
      </c>
      <c r="BH461" s="94">
        <v>42748</v>
      </c>
      <c r="BI461" s="95">
        <v>5.6000000000000001E-2</v>
      </c>
      <c r="BJ461" s="96">
        <v>9.3800000000000008</v>
      </c>
    </row>
    <row r="462" spans="1:62" ht="13.8" x14ac:dyDescent="0.25">
      <c r="A462" s="239"/>
      <c r="BB462" s="187"/>
      <c r="BC462" s="180"/>
      <c r="BD462" s="191">
        <v>42760</v>
      </c>
      <c r="BE462" s="192">
        <v>0.127</v>
      </c>
      <c r="BH462" s="94">
        <v>42751</v>
      </c>
      <c r="BI462" s="95">
        <v>0.10100000000000001</v>
      </c>
      <c r="BJ462" s="96">
        <v>9.9600000000000009</v>
      </c>
    </row>
    <row r="463" spans="1:62" ht="13.8" x14ac:dyDescent="0.25">
      <c r="A463" s="239"/>
      <c r="BB463" s="187"/>
      <c r="BC463" s="180"/>
      <c r="BD463" s="191">
        <v>42761</v>
      </c>
      <c r="BE463" s="192">
        <v>0.13800000000000001</v>
      </c>
      <c r="BH463" s="94">
        <v>42752</v>
      </c>
      <c r="BI463" s="95">
        <v>0.1</v>
      </c>
      <c r="BJ463" s="96">
        <v>9.9600000000000009</v>
      </c>
    </row>
    <row r="464" spans="1:62" ht="13.8" x14ac:dyDescent="0.25">
      <c r="A464" s="239"/>
      <c r="BB464" s="187"/>
      <c r="BC464" s="180"/>
      <c r="BD464" s="191">
        <v>42762</v>
      </c>
      <c r="BE464" s="192">
        <v>0.14899999999999999</v>
      </c>
      <c r="BH464" s="94">
        <v>42753</v>
      </c>
      <c r="BI464" s="95">
        <v>0.1</v>
      </c>
      <c r="BJ464" s="96">
        <v>9.9499999999999993</v>
      </c>
    </row>
    <row r="465" spans="1:62" ht="13.8" x14ac:dyDescent="0.25">
      <c r="A465" s="239"/>
      <c r="BB465" s="187"/>
      <c r="BC465" s="180"/>
      <c r="BD465" s="191">
        <v>42765</v>
      </c>
      <c r="BE465" s="192">
        <v>0.161</v>
      </c>
      <c r="BH465" s="94">
        <v>42754</v>
      </c>
      <c r="BI465" s="95">
        <v>0.10299999999999999</v>
      </c>
      <c r="BJ465" s="96">
        <v>9.9499999999999993</v>
      </c>
    </row>
    <row r="466" spans="1:62" ht="13.8" x14ac:dyDescent="0.25">
      <c r="A466" s="239"/>
      <c r="BB466" s="187"/>
      <c r="BC466" s="180"/>
      <c r="BD466" s="191">
        <v>42766</v>
      </c>
      <c r="BE466" s="192">
        <v>0.17199999999999999</v>
      </c>
      <c r="BH466" s="94">
        <v>42755</v>
      </c>
      <c r="BI466" s="95">
        <v>0.108</v>
      </c>
      <c r="BJ466" s="96">
        <v>9.9499999999999993</v>
      </c>
    </row>
    <row r="467" spans="1:62" ht="13.8" x14ac:dyDescent="0.25">
      <c r="A467" s="239"/>
      <c r="BB467" s="187"/>
      <c r="BC467" s="180"/>
      <c r="BD467" s="191">
        <v>42767</v>
      </c>
      <c r="BE467" s="192">
        <v>0.18099999999999999</v>
      </c>
      <c r="BH467" s="94">
        <v>42758</v>
      </c>
      <c r="BI467" s="95">
        <v>0.113</v>
      </c>
      <c r="BJ467" s="96">
        <v>9.94</v>
      </c>
    </row>
    <row r="468" spans="1:62" ht="13.8" x14ac:dyDescent="0.25">
      <c r="A468" s="239"/>
      <c r="BB468" s="187"/>
      <c r="BC468" s="180"/>
      <c r="BD468" s="191">
        <v>42768</v>
      </c>
      <c r="BE468" s="192">
        <v>0.188</v>
      </c>
      <c r="BH468" s="94">
        <v>42759</v>
      </c>
      <c r="BI468" s="95">
        <v>0.11799999999999999</v>
      </c>
      <c r="BJ468" s="96">
        <v>9.94</v>
      </c>
    </row>
    <row r="469" spans="1:62" ht="13.8" x14ac:dyDescent="0.25">
      <c r="A469" s="239"/>
      <c r="BB469" s="187"/>
      <c r="BC469" s="180"/>
      <c r="BD469" s="191">
        <v>42769</v>
      </c>
      <c r="BE469" s="192">
        <v>0.192</v>
      </c>
      <c r="BH469" s="94">
        <v>42760</v>
      </c>
      <c r="BI469" s="95">
        <v>0.127</v>
      </c>
      <c r="BJ469" s="96">
        <v>9.94</v>
      </c>
    </row>
    <row r="470" spans="1:62" ht="13.8" x14ac:dyDescent="0.25">
      <c r="A470" s="239"/>
      <c r="BB470" s="187"/>
      <c r="BC470" s="180"/>
      <c r="BD470" s="191">
        <v>42772</v>
      </c>
      <c r="BE470" s="192">
        <v>0.19500000000000001</v>
      </c>
      <c r="BH470" s="94">
        <v>42761</v>
      </c>
      <c r="BI470" s="95">
        <v>0.13800000000000001</v>
      </c>
      <c r="BJ470" s="96">
        <v>9.93</v>
      </c>
    </row>
    <row r="471" spans="1:62" ht="13.8" x14ac:dyDescent="0.25">
      <c r="A471" s="239"/>
      <c r="BB471" s="187"/>
      <c r="BC471" s="180"/>
      <c r="BD471" s="191">
        <v>42773</v>
      </c>
      <c r="BE471" s="192">
        <v>0.19700000000000001</v>
      </c>
      <c r="BH471" s="94">
        <v>42762</v>
      </c>
      <c r="BI471" s="95">
        <v>0.14899999999999999</v>
      </c>
      <c r="BJ471" s="96">
        <v>9.93</v>
      </c>
    </row>
    <row r="472" spans="1:62" ht="13.8" x14ac:dyDescent="0.25">
      <c r="A472" s="239"/>
      <c r="BB472" s="187"/>
      <c r="BC472" s="180"/>
      <c r="BD472" s="191">
        <v>42774</v>
      </c>
      <c r="BE472" s="192">
        <v>0.19800000000000001</v>
      </c>
      <c r="BH472" s="94">
        <v>42765</v>
      </c>
      <c r="BI472" s="95">
        <v>0.161</v>
      </c>
      <c r="BJ472" s="96">
        <v>9.92</v>
      </c>
    </row>
    <row r="473" spans="1:62" ht="13.8" x14ac:dyDescent="0.25">
      <c r="A473" s="239"/>
      <c r="BB473" s="187"/>
      <c r="BC473" s="180"/>
      <c r="BD473" s="191">
        <v>42775</v>
      </c>
      <c r="BE473" s="192">
        <v>0.2</v>
      </c>
      <c r="BH473" s="94">
        <v>42766</v>
      </c>
      <c r="BI473" s="95">
        <v>0.17199999999999999</v>
      </c>
      <c r="BJ473" s="96">
        <v>9.92</v>
      </c>
    </row>
    <row r="474" spans="1:62" ht="13.8" x14ac:dyDescent="0.25">
      <c r="A474" s="239"/>
      <c r="BB474" s="187"/>
      <c r="BC474" s="180"/>
      <c r="BD474" s="191">
        <v>42776</v>
      </c>
      <c r="BE474" s="192">
        <v>0.20200000000000001</v>
      </c>
      <c r="BH474" s="94">
        <v>42767</v>
      </c>
      <c r="BI474" s="95">
        <v>0.18099999999999999</v>
      </c>
      <c r="BJ474" s="96">
        <v>9.92</v>
      </c>
    </row>
    <row r="475" spans="1:62" ht="13.8" x14ac:dyDescent="0.25">
      <c r="A475" s="239"/>
      <c r="BB475" s="187"/>
      <c r="BC475" s="180"/>
      <c r="BD475" s="191">
        <v>42779</v>
      </c>
      <c r="BE475" s="192">
        <v>0.20399999999999999</v>
      </c>
      <c r="BH475" s="94">
        <v>42768</v>
      </c>
      <c r="BI475" s="95">
        <v>0.188</v>
      </c>
      <c r="BJ475" s="96">
        <v>9.91</v>
      </c>
    </row>
    <row r="476" spans="1:62" ht="13.8" x14ac:dyDescent="0.25">
      <c r="A476" s="239"/>
      <c r="BB476" s="187"/>
      <c r="BC476" s="180"/>
      <c r="BD476" s="191">
        <v>42780</v>
      </c>
      <c r="BE476" s="192">
        <v>0.20799999999999999</v>
      </c>
      <c r="BH476" s="94">
        <v>42769</v>
      </c>
      <c r="BI476" s="95">
        <v>0.192</v>
      </c>
      <c r="BJ476" s="96">
        <v>9.91</v>
      </c>
    </row>
    <row r="477" spans="1:62" ht="13.8" x14ac:dyDescent="0.25">
      <c r="A477" s="239"/>
      <c r="BB477" s="187"/>
      <c r="BC477" s="180"/>
      <c r="BD477" s="191">
        <v>42781</v>
      </c>
      <c r="BE477" s="192">
        <v>0.21099999999999999</v>
      </c>
      <c r="BH477" s="94">
        <v>42772</v>
      </c>
      <c r="BI477" s="95">
        <v>0.19500000000000001</v>
      </c>
      <c r="BJ477" s="96">
        <v>9.9</v>
      </c>
    </row>
    <row r="478" spans="1:62" ht="13.8" x14ac:dyDescent="0.25">
      <c r="A478" s="239"/>
      <c r="BB478" s="187"/>
      <c r="BC478" s="180"/>
      <c r="BD478" s="191">
        <v>42782</v>
      </c>
      <c r="BE478" s="192">
        <v>0.21199999999999999</v>
      </c>
      <c r="BH478" s="94">
        <v>42773</v>
      </c>
      <c r="BI478" s="95">
        <v>0.19700000000000001</v>
      </c>
      <c r="BJ478" s="96">
        <v>9.9</v>
      </c>
    </row>
    <row r="479" spans="1:62" ht="13.8" x14ac:dyDescent="0.25">
      <c r="A479" s="239"/>
      <c r="BB479" s="187"/>
      <c r="BC479" s="180"/>
      <c r="BD479" s="191">
        <v>42783</v>
      </c>
      <c r="BE479" s="192">
        <v>0.21</v>
      </c>
      <c r="BH479" s="94">
        <v>42774</v>
      </c>
      <c r="BI479" s="95">
        <v>0.19800000000000001</v>
      </c>
      <c r="BJ479" s="96">
        <v>9.9</v>
      </c>
    </row>
    <row r="480" spans="1:62" ht="13.8" x14ac:dyDescent="0.25">
      <c r="A480" s="239"/>
      <c r="BB480" s="187"/>
      <c r="BC480" s="180"/>
      <c r="BD480" s="191">
        <v>42786</v>
      </c>
      <c r="BE480" s="192">
        <v>0.20899999999999999</v>
      </c>
      <c r="BH480" s="94">
        <v>42775</v>
      </c>
      <c r="BI480" s="95">
        <v>0.2</v>
      </c>
      <c r="BJ480" s="96">
        <v>9.8800000000000008</v>
      </c>
    </row>
    <row r="481" spans="1:62" ht="13.8" x14ac:dyDescent="0.25">
      <c r="A481" s="239"/>
      <c r="BB481" s="187"/>
      <c r="BC481" s="180"/>
      <c r="BD481" s="191">
        <v>42787</v>
      </c>
      <c r="BE481" s="192">
        <v>0.20899999999999999</v>
      </c>
      <c r="BH481" s="94">
        <v>42776</v>
      </c>
      <c r="BI481" s="95">
        <v>0.20200000000000001</v>
      </c>
      <c r="BJ481" s="96">
        <v>9.8800000000000008</v>
      </c>
    </row>
    <row r="482" spans="1:62" ht="13.8" x14ac:dyDescent="0.25">
      <c r="A482" s="239"/>
      <c r="BB482" s="187"/>
      <c r="BC482" s="180"/>
      <c r="BD482" s="191">
        <v>42788</v>
      </c>
      <c r="BE482" s="192">
        <v>0.20399999999999999</v>
      </c>
      <c r="BH482" s="94">
        <v>42779</v>
      </c>
      <c r="BI482" s="95">
        <v>0.20399999999999999</v>
      </c>
      <c r="BJ482" s="96">
        <v>9.8699999999999992</v>
      </c>
    </row>
    <row r="483" spans="1:62" ht="13.8" x14ac:dyDescent="0.25">
      <c r="A483" s="239"/>
      <c r="BB483" s="187"/>
      <c r="BC483" s="180"/>
      <c r="BD483" s="191">
        <v>42789</v>
      </c>
      <c r="BE483" s="192">
        <v>0.19600000000000001</v>
      </c>
      <c r="BH483" s="94">
        <v>42780</v>
      </c>
      <c r="BI483" s="95">
        <v>0.20799999999999999</v>
      </c>
      <c r="BJ483" s="96">
        <v>9.8699999999999992</v>
      </c>
    </row>
    <row r="484" spans="1:62" ht="13.8" x14ac:dyDescent="0.25">
      <c r="A484" s="239"/>
      <c r="BB484" s="187"/>
      <c r="BC484" s="180"/>
      <c r="BD484" s="191">
        <v>42790</v>
      </c>
      <c r="BE484" s="192">
        <v>0.186</v>
      </c>
      <c r="BH484" s="94">
        <v>42781</v>
      </c>
      <c r="BI484" s="95">
        <v>0.21099999999999999</v>
      </c>
      <c r="BJ484" s="96">
        <v>9.86</v>
      </c>
    </row>
    <row r="485" spans="1:62" ht="13.8" x14ac:dyDescent="0.25">
      <c r="A485" s="239"/>
      <c r="BB485" s="187"/>
      <c r="BC485" s="180"/>
      <c r="BD485" s="191">
        <v>42793</v>
      </c>
      <c r="BE485" s="192">
        <v>0.17399999999999999</v>
      </c>
      <c r="BH485" s="94">
        <v>42782</v>
      </c>
      <c r="BI485" s="95">
        <v>0.21199999999999999</v>
      </c>
      <c r="BJ485" s="96">
        <v>9.86</v>
      </c>
    </row>
    <row r="486" spans="1:62" ht="13.8" x14ac:dyDescent="0.25">
      <c r="A486" s="239"/>
      <c r="BB486" s="187"/>
      <c r="BC486" s="180"/>
      <c r="BD486" s="191">
        <v>42794</v>
      </c>
      <c r="BE486" s="192">
        <v>0.16400000000000001</v>
      </c>
      <c r="BH486" s="94">
        <v>42783</v>
      </c>
      <c r="BI486" s="95">
        <v>0.21</v>
      </c>
      <c r="BJ486" s="96">
        <v>9.86</v>
      </c>
    </row>
    <row r="487" spans="1:62" ht="13.8" x14ac:dyDescent="0.25">
      <c r="A487" s="239"/>
      <c r="BB487" s="187"/>
      <c r="BC487" s="180"/>
      <c r="BD487" s="191">
        <v>42795</v>
      </c>
      <c r="BE487" s="192">
        <v>0.155</v>
      </c>
      <c r="BH487" s="94">
        <v>42786</v>
      </c>
      <c r="BI487" s="95">
        <v>0.20899999999999999</v>
      </c>
      <c r="BJ487" s="96">
        <v>9.85</v>
      </c>
    </row>
    <row r="488" spans="1:62" ht="13.8" x14ac:dyDescent="0.25">
      <c r="A488" s="239"/>
      <c r="BB488" s="187"/>
      <c r="BC488" s="180"/>
      <c r="BD488" s="191">
        <v>42796</v>
      </c>
      <c r="BE488" s="192">
        <v>0.15</v>
      </c>
      <c r="BH488" s="94">
        <v>42787</v>
      </c>
      <c r="BI488" s="95">
        <v>0.20899999999999999</v>
      </c>
      <c r="BJ488" s="96">
        <v>9.85</v>
      </c>
    </row>
    <row r="489" spans="1:62" ht="13.8" x14ac:dyDescent="0.25">
      <c r="A489" s="239"/>
      <c r="BB489" s="187"/>
      <c r="BC489" s="180"/>
      <c r="BD489" s="191">
        <v>42797</v>
      </c>
      <c r="BE489" s="192">
        <v>0.14499999999999999</v>
      </c>
      <c r="BH489" s="94">
        <v>42788</v>
      </c>
      <c r="BI489" s="95">
        <v>0.20399999999999999</v>
      </c>
      <c r="BJ489" s="96">
        <v>9.85</v>
      </c>
    </row>
    <row r="490" spans="1:62" ht="13.8" x14ac:dyDescent="0.25">
      <c r="A490" s="239"/>
      <c r="BB490" s="187"/>
      <c r="BC490" s="180"/>
      <c r="BD490" s="191">
        <v>42800</v>
      </c>
      <c r="BE490" s="192">
        <v>0.14199999999999999</v>
      </c>
      <c r="BH490" s="94">
        <v>42789</v>
      </c>
      <c r="BI490" s="95">
        <v>0.19600000000000001</v>
      </c>
      <c r="BJ490" s="96">
        <v>9.84</v>
      </c>
    </row>
    <row r="491" spans="1:62" ht="13.8" x14ac:dyDescent="0.25">
      <c r="A491" s="239"/>
      <c r="BB491" s="187"/>
      <c r="BC491" s="180"/>
      <c r="BD491" s="191">
        <v>42801</v>
      </c>
      <c r="BE491" s="192">
        <v>0.13900000000000001</v>
      </c>
      <c r="BH491" s="94">
        <v>42790</v>
      </c>
      <c r="BI491" s="95">
        <v>0.186</v>
      </c>
      <c r="BJ491" s="96">
        <v>9.84</v>
      </c>
    </row>
    <row r="492" spans="1:62" ht="13.8" x14ac:dyDescent="0.25">
      <c r="A492" s="239"/>
      <c r="BB492" s="187"/>
      <c r="BC492" s="180"/>
      <c r="BD492" s="191">
        <v>42802</v>
      </c>
      <c r="BE492" s="192">
        <v>0.13800000000000001</v>
      </c>
      <c r="BH492" s="94">
        <v>42793</v>
      </c>
      <c r="BI492" s="95">
        <v>0.17399999999999999</v>
      </c>
      <c r="BJ492" s="96">
        <v>9.83</v>
      </c>
    </row>
    <row r="493" spans="1:62" ht="13.8" x14ac:dyDescent="0.25">
      <c r="A493" s="239"/>
      <c r="BB493" s="187"/>
      <c r="BC493" s="180"/>
      <c r="BD493" s="191">
        <v>42803</v>
      </c>
      <c r="BE493" s="192">
        <v>0.14499999999999999</v>
      </c>
      <c r="BH493" s="94">
        <v>42794</v>
      </c>
      <c r="BI493" s="95">
        <v>0.16400000000000001</v>
      </c>
      <c r="BJ493" s="96">
        <v>9.83</v>
      </c>
    </row>
    <row r="494" spans="1:62" ht="13.8" x14ac:dyDescent="0.25">
      <c r="A494" s="239"/>
      <c r="BB494" s="187"/>
      <c r="BC494" s="180"/>
      <c r="BD494" s="191">
        <v>42804</v>
      </c>
      <c r="BE494" s="192">
        <v>0.14699999999999999</v>
      </c>
      <c r="BH494" s="94">
        <v>42795</v>
      </c>
      <c r="BI494" s="95">
        <v>0.155</v>
      </c>
      <c r="BJ494" s="96">
        <v>9.83</v>
      </c>
    </row>
    <row r="495" spans="1:62" ht="13.8" x14ac:dyDescent="0.25">
      <c r="A495" s="239"/>
      <c r="BB495" s="187"/>
      <c r="BC495" s="180"/>
      <c r="BD495" s="191">
        <v>42807</v>
      </c>
      <c r="BE495" s="192">
        <v>0.14799999999999999</v>
      </c>
      <c r="BH495" s="94">
        <v>42796</v>
      </c>
      <c r="BI495" s="95">
        <v>0.15</v>
      </c>
      <c r="BJ495" s="96">
        <v>9.82</v>
      </c>
    </row>
    <row r="496" spans="1:62" ht="13.8" x14ac:dyDescent="0.25">
      <c r="A496" s="239"/>
      <c r="BB496" s="187"/>
      <c r="BC496" s="180"/>
      <c r="BD496" s="191">
        <v>42808</v>
      </c>
      <c r="BE496" s="192">
        <v>0.15</v>
      </c>
      <c r="BH496" s="94">
        <v>42797</v>
      </c>
      <c r="BI496" s="95">
        <v>0.14499999999999999</v>
      </c>
      <c r="BJ496" s="96">
        <v>9.82</v>
      </c>
    </row>
    <row r="497" spans="1:62" ht="13.8" x14ac:dyDescent="0.25">
      <c r="A497" s="239"/>
      <c r="BB497" s="187"/>
      <c r="BC497" s="180"/>
      <c r="BD497" s="191">
        <v>42809</v>
      </c>
      <c r="BE497" s="192">
        <v>0.14899999999999999</v>
      </c>
      <c r="BH497" s="94">
        <v>42800</v>
      </c>
      <c r="BI497" s="95">
        <v>0.14199999999999999</v>
      </c>
      <c r="BJ497" s="96">
        <v>9.81</v>
      </c>
    </row>
    <row r="498" spans="1:62" ht="13.8" x14ac:dyDescent="0.25">
      <c r="A498" s="239"/>
      <c r="BB498" s="187"/>
      <c r="BC498" s="180"/>
      <c r="BD498" s="191">
        <v>42810</v>
      </c>
      <c r="BE498" s="192">
        <v>0.15</v>
      </c>
      <c r="BH498" s="94">
        <v>42801</v>
      </c>
      <c r="BI498" s="95">
        <v>0.13900000000000001</v>
      </c>
      <c r="BJ498" s="96">
        <v>9.81</v>
      </c>
    </row>
    <row r="499" spans="1:62" ht="13.8" x14ac:dyDescent="0.25">
      <c r="A499" s="239"/>
      <c r="BB499" s="187"/>
      <c r="BC499" s="180"/>
      <c r="BD499" s="191">
        <v>42811</v>
      </c>
      <c r="BE499" s="192">
        <v>0.152</v>
      </c>
      <c r="BH499" s="94">
        <v>42802</v>
      </c>
      <c r="BI499" s="95">
        <v>0.13800000000000001</v>
      </c>
      <c r="BJ499" s="96">
        <v>9.81</v>
      </c>
    </row>
    <row r="500" spans="1:62" ht="13.8" x14ac:dyDescent="0.25">
      <c r="A500" s="239"/>
      <c r="BB500" s="187"/>
      <c r="BC500" s="180"/>
      <c r="BD500" s="191">
        <v>42814</v>
      </c>
      <c r="BE500" s="192">
        <v>0.155</v>
      </c>
      <c r="BH500" s="94">
        <v>42803</v>
      </c>
      <c r="BI500" s="95">
        <v>0.14499999999999999</v>
      </c>
      <c r="BJ500" s="96">
        <v>9.83</v>
      </c>
    </row>
    <row r="501" spans="1:62" ht="13.8" x14ac:dyDescent="0.25">
      <c r="A501" s="239"/>
      <c r="BB501" s="187"/>
      <c r="BC501" s="180"/>
      <c r="BD501" s="191">
        <v>42815</v>
      </c>
      <c r="BE501" s="192">
        <v>0.158</v>
      </c>
      <c r="BH501" s="94">
        <v>42804</v>
      </c>
      <c r="BI501" s="95">
        <v>0.14699999999999999</v>
      </c>
      <c r="BJ501" s="96">
        <v>9.83</v>
      </c>
    </row>
    <row r="502" spans="1:62" ht="13.8" x14ac:dyDescent="0.25">
      <c r="A502" s="239"/>
      <c r="BB502" s="187"/>
      <c r="BC502" s="180"/>
      <c r="BD502" s="191">
        <v>42816</v>
      </c>
      <c r="BE502" s="192">
        <v>0.161</v>
      </c>
      <c r="BH502" s="94">
        <v>42807</v>
      </c>
      <c r="BI502" s="95">
        <v>0.14799999999999999</v>
      </c>
      <c r="BJ502" s="96">
        <v>9.82</v>
      </c>
    </row>
    <row r="503" spans="1:62" ht="13.8" x14ac:dyDescent="0.25">
      <c r="A503" s="239"/>
      <c r="BB503" s="187"/>
      <c r="BC503" s="180"/>
      <c r="BD503" s="191">
        <v>42817</v>
      </c>
      <c r="BE503" s="192">
        <v>0.16500000000000001</v>
      </c>
      <c r="BH503" s="94">
        <v>42808</v>
      </c>
      <c r="BI503" s="95">
        <v>0.15</v>
      </c>
      <c r="BJ503" s="96">
        <v>9.82</v>
      </c>
    </row>
    <row r="504" spans="1:62" ht="13.8" x14ac:dyDescent="0.25">
      <c r="A504" s="239"/>
      <c r="BB504" s="187"/>
      <c r="BC504" s="180"/>
      <c r="BD504" s="191">
        <v>42818</v>
      </c>
      <c r="BE504" s="192">
        <v>0.17299999999999999</v>
      </c>
      <c r="BH504" s="94">
        <v>42809</v>
      </c>
      <c r="BI504" s="95">
        <v>0.14899999999999999</v>
      </c>
      <c r="BJ504" s="96">
        <v>9.82</v>
      </c>
    </row>
    <row r="505" spans="1:62" ht="13.8" x14ac:dyDescent="0.25">
      <c r="A505" s="239"/>
      <c r="BB505" s="187"/>
      <c r="BC505" s="180"/>
      <c r="BD505" s="191">
        <v>42821</v>
      </c>
      <c r="BE505" s="192">
        <v>0.18</v>
      </c>
      <c r="BH505" s="94">
        <v>42810</v>
      </c>
      <c r="BI505" s="95">
        <v>0.15</v>
      </c>
      <c r="BJ505" s="96">
        <v>9.81</v>
      </c>
    </row>
    <row r="506" spans="1:62" ht="13.8" x14ac:dyDescent="0.25">
      <c r="A506" s="239"/>
      <c r="BB506" s="187"/>
      <c r="BC506" s="180"/>
      <c r="BD506" s="191">
        <v>42822</v>
      </c>
      <c r="BE506" s="192">
        <v>0.186</v>
      </c>
      <c r="BH506" s="94">
        <v>42811</v>
      </c>
      <c r="BI506" s="95">
        <v>0.152</v>
      </c>
      <c r="BJ506" s="96">
        <v>9.81</v>
      </c>
    </row>
    <row r="507" spans="1:62" ht="13.8" x14ac:dyDescent="0.25">
      <c r="A507" s="239"/>
      <c r="BB507" s="187"/>
      <c r="BC507" s="180"/>
      <c r="BD507" s="191">
        <v>42823</v>
      </c>
      <c r="BE507" s="192">
        <v>0.19</v>
      </c>
      <c r="BH507" s="94">
        <v>42814</v>
      </c>
      <c r="BI507" s="95">
        <v>0.155</v>
      </c>
      <c r="BJ507" s="96">
        <v>9.8000000000000007</v>
      </c>
    </row>
    <row r="508" spans="1:62" ht="13.8" x14ac:dyDescent="0.25">
      <c r="A508" s="239"/>
      <c r="BB508" s="187"/>
      <c r="BC508" s="180"/>
      <c r="BD508" s="191">
        <v>42824</v>
      </c>
      <c r="BE508" s="192">
        <v>0.19</v>
      </c>
      <c r="BH508" s="94">
        <v>42815</v>
      </c>
      <c r="BI508" s="95">
        <v>0.158</v>
      </c>
      <c r="BJ508" s="96">
        <v>9.8000000000000007</v>
      </c>
    </row>
    <row r="509" spans="1:62" ht="13.8" x14ac:dyDescent="0.25">
      <c r="A509" s="239"/>
      <c r="BB509" s="187"/>
      <c r="BC509" s="180"/>
      <c r="BD509" s="191">
        <v>42825</v>
      </c>
      <c r="BE509" s="192">
        <v>0.19</v>
      </c>
      <c r="BH509" s="94">
        <v>42816</v>
      </c>
      <c r="BI509" s="95">
        <v>0.161</v>
      </c>
      <c r="BJ509" s="96">
        <v>9.8000000000000007</v>
      </c>
    </row>
    <row r="510" spans="1:62" ht="13.8" x14ac:dyDescent="0.25">
      <c r="A510" s="239"/>
      <c r="BB510" s="187"/>
      <c r="BC510" s="180"/>
      <c r="BD510" s="191">
        <v>42828</v>
      </c>
      <c r="BE510" s="192">
        <v>0.189</v>
      </c>
      <c r="BH510" s="94">
        <v>42817</v>
      </c>
      <c r="BI510" s="95">
        <v>0.16500000000000001</v>
      </c>
      <c r="BJ510" s="96">
        <v>9.7899999999999991</v>
      </c>
    </row>
    <row r="511" spans="1:62" ht="13.8" x14ac:dyDescent="0.25">
      <c r="A511" s="239"/>
      <c r="BB511" s="187"/>
      <c r="BC511" s="180"/>
      <c r="BD511" s="191">
        <v>42829</v>
      </c>
      <c r="BE511" s="192">
        <v>0.186</v>
      </c>
      <c r="BH511" s="94">
        <v>42818</v>
      </c>
      <c r="BI511" s="95">
        <v>0.17299999999999999</v>
      </c>
      <c r="BJ511" s="96">
        <v>9.7899999999999991</v>
      </c>
    </row>
    <row r="512" spans="1:62" ht="13.8" x14ac:dyDescent="0.25">
      <c r="A512" s="239"/>
      <c r="BB512" s="187"/>
      <c r="BC512" s="180"/>
      <c r="BD512" s="191">
        <v>42830</v>
      </c>
      <c r="BE512" s="192">
        <v>0.182</v>
      </c>
      <c r="BH512" s="94">
        <v>42821</v>
      </c>
      <c r="BI512" s="95">
        <v>0.18</v>
      </c>
      <c r="BJ512" s="96">
        <v>9.7799999999999994</v>
      </c>
    </row>
    <row r="513" spans="1:62" ht="13.8" x14ac:dyDescent="0.25">
      <c r="A513" s="239"/>
      <c r="BB513" s="187"/>
      <c r="BC513" s="180"/>
      <c r="BD513" s="191">
        <v>42831</v>
      </c>
      <c r="BE513" s="192">
        <v>0.17799999999999999</v>
      </c>
      <c r="BH513" s="94">
        <v>42822</v>
      </c>
      <c r="BI513" s="95">
        <v>0.186</v>
      </c>
      <c r="BJ513" s="96">
        <v>9.7799999999999994</v>
      </c>
    </row>
    <row r="514" spans="1:62" ht="13.8" x14ac:dyDescent="0.25">
      <c r="BB514" s="187"/>
      <c r="BC514" s="180"/>
      <c r="BD514" s="191">
        <v>42832</v>
      </c>
      <c r="BE514" s="192">
        <v>0.17</v>
      </c>
      <c r="BH514" s="94">
        <v>42823</v>
      </c>
      <c r="BI514" s="95">
        <v>0.19</v>
      </c>
      <c r="BJ514" s="96">
        <v>9.7799999999999994</v>
      </c>
    </row>
    <row r="515" spans="1:62" ht="13.8" x14ac:dyDescent="0.25">
      <c r="BB515" s="187"/>
      <c r="BC515" s="180"/>
      <c r="BD515" s="191">
        <v>42835</v>
      </c>
      <c r="BE515" s="192">
        <v>0.16200000000000001</v>
      </c>
      <c r="BH515" s="94">
        <v>42824</v>
      </c>
      <c r="BI515" s="95">
        <v>0.19</v>
      </c>
      <c r="BJ515" s="96">
        <v>9.77</v>
      </c>
    </row>
    <row r="516" spans="1:62" ht="13.8" x14ac:dyDescent="0.25">
      <c r="BB516" s="187"/>
      <c r="BC516" s="180"/>
      <c r="BD516" s="191">
        <v>42836</v>
      </c>
      <c r="BE516" s="192">
        <v>0.154</v>
      </c>
      <c r="BH516" s="94">
        <v>42825</v>
      </c>
      <c r="BI516" s="95">
        <v>0.19</v>
      </c>
      <c r="BJ516" s="96">
        <v>9.77</v>
      </c>
    </row>
    <row r="517" spans="1:62" ht="13.8" x14ac:dyDescent="0.25">
      <c r="BB517" s="187"/>
      <c r="BC517" s="180"/>
      <c r="BD517" s="191">
        <v>42837</v>
      </c>
      <c r="BE517" s="192">
        <v>0.14699999999999999</v>
      </c>
      <c r="BH517" s="94">
        <v>42828</v>
      </c>
      <c r="BI517" s="95">
        <v>0.189</v>
      </c>
      <c r="BJ517" s="96">
        <v>9.76</v>
      </c>
    </row>
    <row r="518" spans="1:62" ht="13.8" x14ac:dyDescent="0.25">
      <c r="BB518" s="187"/>
      <c r="BC518" s="180"/>
      <c r="BD518" s="191">
        <v>42838</v>
      </c>
      <c r="BE518" s="192">
        <v>0.13800000000000001</v>
      </c>
      <c r="BH518" s="94">
        <v>42829</v>
      </c>
      <c r="BI518" s="95">
        <v>0.186</v>
      </c>
      <c r="BJ518" s="96">
        <v>9.76</v>
      </c>
    </row>
    <row r="519" spans="1:62" ht="13.8" x14ac:dyDescent="0.25">
      <c r="BB519" s="187"/>
      <c r="BC519" s="180"/>
      <c r="BD519" s="191"/>
      <c r="BE519" s="193">
        <f>+BE518</f>
        <v>0.13800000000000001</v>
      </c>
      <c r="BH519" s="94">
        <v>42830</v>
      </c>
      <c r="BI519" s="95">
        <v>0.182</v>
      </c>
      <c r="BJ519" s="96">
        <v>9.76</v>
      </c>
    </row>
    <row r="520" spans="1:62" ht="13.8" x14ac:dyDescent="0.25">
      <c r="BB520" s="187"/>
      <c r="BC520" s="180"/>
      <c r="BD520" s="191"/>
      <c r="BE520" s="193">
        <f>+BE519</f>
        <v>0.13800000000000001</v>
      </c>
      <c r="BH520" s="94">
        <v>42831</v>
      </c>
      <c r="BI520" s="95">
        <v>0.17799999999999999</v>
      </c>
      <c r="BJ520" s="96">
        <v>9.74</v>
      </c>
    </row>
    <row r="521" spans="1:62" ht="13.8" x14ac:dyDescent="0.25">
      <c r="BB521" s="187"/>
      <c r="BC521" s="180"/>
      <c r="BD521" s="191">
        <v>42843</v>
      </c>
      <c r="BE521" s="192">
        <v>0.123</v>
      </c>
      <c r="BH521" s="94">
        <v>42832</v>
      </c>
      <c r="BI521" s="95">
        <v>0.17</v>
      </c>
      <c r="BJ521" s="96">
        <v>9.74</v>
      </c>
    </row>
    <row r="522" spans="1:62" ht="13.8" x14ac:dyDescent="0.25">
      <c r="BB522" s="187"/>
      <c r="BC522" s="180"/>
      <c r="BD522" s="191">
        <v>42844</v>
      </c>
      <c r="BE522" s="192">
        <v>0.113</v>
      </c>
      <c r="BH522" s="94">
        <v>42835</v>
      </c>
      <c r="BI522" s="95">
        <v>0.16200000000000001</v>
      </c>
      <c r="BJ522" s="96">
        <v>9.73</v>
      </c>
    </row>
    <row r="523" spans="1:62" ht="13.8" x14ac:dyDescent="0.25">
      <c r="BB523" s="187"/>
      <c r="BC523" s="180"/>
      <c r="BD523" s="191">
        <v>42845</v>
      </c>
      <c r="BE523" s="192">
        <v>0.11799999999999999</v>
      </c>
      <c r="BH523" s="94">
        <v>42836</v>
      </c>
      <c r="BI523" s="95">
        <v>0.154</v>
      </c>
      <c r="BJ523" s="96">
        <v>9.73</v>
      </c>
    </row>
    <row r="524" spans="1:62" ht="13.8" x14ac:dyDescent="0.25">
      <c r="BB524" s="187"/>
      <c r="BC524" s="180"/>
      <c r="BD524" s="191">
        <v>42846</v>
      </c>
      <c r="BE524" s="192">
        <v>0.113</v>
      </c>
      <c r="BH524" s="94">
        <v>42837</v>
      </c>
      <c r="BI524" s="95">
        <v>0.14699999999999999</v>
      </c>
      <c r="BJ524" s="96">
        <v>9.73</v>
      </c>
    </row>
    <row r="525" spans="1:62" ht="13.8" x14ac:dyDescent="0.25">
      <c r="BB525" s="187"/>
      <c r="BC525" s="180"/>
      <c r="BD525" s="191">
        <v>42849</v>
      </c>
      <c r="BE525" s="192">
        <v>0.111</v>
      </c>
      <c r="BH525" s="94">
        <v>42838</v>
      </c>
      <c r="BI525" s="95">
        <v>0.13800000000000001</v>
      </c>
      <c r="BJ525" s="96">
        <v>9.7200000000000006</v>
      </c>
    </row>
    <row r="526" spans="1:62" ht="13.8" x14ac:dyDescent="0.25">
      <c r="BB526" s="187"/>
      <c r="BC526" s="180"/>
      <c r="BD526" s="191">
        <v>42850</v>
      </c>
      <c r="BE526" s="192">
        <v>0.112</v>
      </c>
      <c r="BH526" s="94">
        <v>42843</v>
      </c>
      <c r="BI526" s="95">
        <v>0.123</v>
      </c>
      <c r="BJ526" s="96">
        <v>9.7100000000000009</v>
      </c>
    </row>
    <row r="527" spans="1:62" ht="13.8" x14ac:dyDescent="0.25">
      <c r="BB527" s="187"/>
      <c r="BC527" s="180"/>
      <c r="BD527" s="191">
        <v>42851</v>
      </c>
      <c r="BE527" s="192">
        <v>0.112</v>
      </c>
      <c r="BH527" s="94">
        <v>42844</v>
      </c>
      <c r="BI527" s="95">
        <v>0.113</v>
      </c>
      <c r="BJ527" s="96">
        <v>9.7100000000000009</v>
      </c>
    </row>
    <row r="528" spans="1:62" ht="13.8" x14ac:dyDescent="0.25">
      <c r="BB528" s="187"/>
      <c r="BC528" s="180"/>
      <c r="BD528" s="191">
        <v>42852</v>
      </c>
      <c r="BE528" s="192">
        <v>0.112</v>
      </c>
      <c r="BH528" s="94">
        <v>42845</v>
      </c>
      <c r="BI528" s="95">
        <v>0.11799999999999999</v>
      </c>
      <c r="BJ528" s="96">
        <v>9.7100000000000009</v>
      </c>
    </row>
    <row r="529" spans="54:62" ht="13.8" x14ac:dyDescent="0.25">
      <c r="BB529" s="187"/>
      <c r="BC529" s="180"/>
      <c r="BD529" s="191">
        <v>42853</v>
      </c>
      <c r="BE529" s="192">
        <v>0.112</v>
      </c>
      <c r="BH529" s="94">
        <v>42846</v>
      </c>
      <c r="BI529" s="95">
        <v>0.113</v>
      </c>
      <c r="BJ529" s="96">
        <v>9.7100000000000009</v>
      </c>
    </row>
    <row r="530" spans="54:62" ht="13.8" x14ac:dyDescent="0.25">
      <c r="BB530" s="187"/>
      <c r="BC530" s="180"/>
      <c r="BD530" s="191"/>
      <c r="BE530" s="193">
        <f>+BE529</f>
        <v>0.112</v>
      </c>
      <c r="BF530" s="111">
        <f>+(BC530+BE530)/2+0.37</f>
        <v>0.42599999999999999</v>
      </c>
      <c r="BH530" s="94">
        <v>42849</v>
      </c>
      <c r="BI530" s="95">
        <v>0.111</v>
      </c>
      <c r="BJ530" s="96">
        <v>9.6999999999999993</v>
      </c>
    </row>
    <row r="531" spans="54:62" ht="13.8" x14ac:dyDescent="0.25">
      <c r="BB531" s="187"/>
      <c r="BC531" s="180"/>
      <c r="BD531" s="191">
        <v>42857</v>
      </c>
      <c r="BE531" s="192">
        <v>0.112</v>
      </c>
      <c r="BH531" s="94">
        <v>42850</v>
      </c>
      <c r="BI531" s="95">
        <v>0.112</v>
      </c>
      <c r="BJ531" s="96">
        <v>9.6999999999999993</v>
      </c>
    </row>
    <row r="532" spans="54:62" ht="13.8" x14ac:dyDescent="0.25">
      <c r="BB532" s="187"/>
      <c r="BC532" s="180"/>
      <c r="BD532" s="191">
        <v>42858</v>
      </c>
      <c r="BE532" s="192">
        <v>0.114</v>
      </c>
      <c r="BH532" s="94">
        <v>42851</v>
      </c>
      <c r="BI532" s="95">
        <v>0.112</v>
      </c>
      <c r="BJ532" s="96">
        <v>9.6999999999999993</v>
      </c>
    </row>
    <row r="533" spans="54:62" ht="13.8" x14ac:dyDescent="0.25">
      <c r="BB533" s="187"/>
      <c r="BC533" s="180"/>
      <c r="BD533" s="191">
        <v>42859</v>
      </c>
      <c r="BE533" s="192">
        <v>0.12</v>
      </c>
      <c r="BH533" s="94">
        <v>42852</v>
      </c>
      <c r="BI533" s="95">
        <v>0.112</v>
      </c>
      <c r="BJ533" s="96">
        <v>9.69</v>
      </c>
    </row>
    <row r="534" spans="54:62" ht="13.8" x14ac:dyDescent="0.25">
      <c r="BB534" s="187"/>
      <c r="BC534" s="180"/>
      <c r="BD534" s="191">
        <v>42860</v>
      </c>
      <c r="BE534" s="192">
        <v>0.126</v>
      </c>
      <c r="BH534" s="94">
        <v>42853</v>
      </c>
      <c r="BI534" s="95">
        <v>0.112</v>
      </c>
      <c r="BJ534" s="96">
        <v>9.69</v>
      </c>
    </row>
    <row r="535" spans="54:62" ht="13.8" x14ac:dyDescent="0.25">
      <c r="BB535" s="187"/>
      <c r="BC535" s="180"/>
      <c r="BD535" s="191">
        <v>42863</v>
      </c>
      <c r="BE535" s="192">
        <v>0.13300000000000001</v>
      </c>
      <c r="BH535" s="94">
        <v>42857</v>
      </c>
      <c r="BI535" s="95">
        <v>0.112</v>
      </c>
      <c r="BJ535" s="96">
        <v>9.68</v>
      </c>
    </row>
    <row r="536" spans="54:62" ht="13.8" x14ac:dyDescent="0.25">
      <c r="BB536" s="187"/>
      <c r="BC536" s="180"/>
      <c r="BD536" s="191">
        <v>42864</v>
      </c>
      <c r="BE536" s="192">
        <v>0.14099999999999999</v>
      </c>
      <c r="BH536" s="94">
        <v>42858</v>
      </c>
      <c r="BI536" s="95">
        <v>0.114</v>
      </c>
      <c r="BJ536" s="96">
        <v>9.68</v>
      </c>
    </row>
    <row r="537" spans="54:62" ht="13.8" x14ac:dyDescent="0.25">
      <c r="BB537" s="187"/>
      <c r="BC537" s="180"/>
      <c r="BD537" s="191">
        <v>42865</v>
      </c>
      <c r="BE537" s="192">
        <v>0.14899999999999999</v>
      </c>
      <c r="BH537" s="94">
        <v>42859</v>
      </c>
      <c r="BI537" s="95">
        <v>0.12</v>
      </c>
      <c r="BJ537" s="96">
        <v>9.67</v>
      </c>
    </row>
    <row r="538" spans="54:62" ht="13.8" x14ac:dyDescent="0.25">
      <c r="BB538" s="187"/>
      <c r="BC538" s="180"/>
      <c r="BD538" s="191">
        <v>42866</v>
      </c>
      <c r="BE538" s="192">
        <v>0.16300000000000001</v>
      </c>
      <c r="BH538" s="94">
        <v>42860</v>
      </c>
      <c r="BI538" s="95">
        <v>0.126</v>
      </c>
      <c r="BJ538" s="96">
        <v>9.67</v>
      </c>
    </row>
    <row r="539" spans="54:62" ht="13.8" x14ac:dyDescent="0.25">
      <c r="BB539" s="187"/>
      <c r="BC539" s="180"/>
      <c r="BD539" s="191">
        <v>42867</v>
      </c>
      <c r="BE539" s="192">
        <v>0.17100000000000001</v>
      </c>
      <c r="BH539" s="94">
        <v>42863</v>
      </c>
      <c r="BI539" s="95">
        <v>0.13300000000000001</v>
      </c>
      <c r="BJ539" s="96">
        <v>9.66</v>
      </c>
    </row>
    <row r="540" spans="54:62" ht="13.8" x14ac:dyDescent="0.25">
      <c r="BB540" s="187"/>
      <c r="BC540" s="180"/>
      <c r="BD540" s="191">
        <v>42870</v>
      </c>
      <c r="BE540" s="192">
        <v>0.17899999999999999</v>
      </c>
      <c r="BH540" s="94">
        <v>42864</v>
      </c>
      <c r="BI540" s="95">
        <v>0.14099999999999999</v>
      </c>
      <c r="BJ540" s="96">
        <v>9.66</v>
      </c>
    </row>
    <row r="541" spans="54:62" ht="13.8" x14ac:dyDescent="0.25">
      <c r="BB541" s="187"/>
      <c r="BC541" s="180"/>
      <c r="BD541" s="191">
        <v>42871</v>
      </c>
      <c r="BE541" s="192">
        <v>0.182</v>
      </c>
      <c r="BH541" s="94">
        <v>42865</v>
      </c>
      <c r="BI541" s="95">
        <v>0.14899999999999999</v>
      </c>
      <c r="BJ541" s="96">
        <v>9.66</v>
      </c>
    </row>
    <row r="542" spans="54:62" ht="13.8" x14ac:dyDescent="0.25">
      <c r="BB542" s="187"/>
      <c r="BC542" s="180"/>
      <c r="BD542" s="191">
        <v>42872</v>
      </c>
      <c r="BE542" s="192">
        <v>0.19</v>
      </c>
      <c r="BH542" s="94">
        <v>42866</v>
      </c>
      <c r="BI542" s="95">
        <v>0.16300000000000001</v>
      </c>
      <c r="BJ542" s="96">
        <v>9.7100000000000009</v>
      </c>
    </row>
    <row r="543" spans="54:62" ht="13.8" x14ac:dyDescent="0.25">
      <c r="BB543" s="187"/>
      <c r="BC543" s="180"/>
      <c r="BD543" s="191">
        <v>42873</v>
      </c>
      <c r="BE543" s="192">
        <v>0.19600000000000001</v>
      </c>
      <c r="BH543" s="94">
        <v>42867</v>
      </c>
      <c r="BI543" s="95">
        <v>0.17100000000000001</v>
      </c>
      <c r="BJ543" s="96">
        <v>9.7100000000000009</v>
      </c>
    </row>
    <row r="544" spans="54:62" ht="13.8" x14ac:dyDescent="0.25">
      <c r="BB544" s="187"/>
      <c r="BC544" s="180"/>
      <c r="BD544" s="191">
        <v>42874</v>
      </c>
      <c r="BE544" s="192">
        <v>0.2</v>
      </c>
      <c r="BH544" s="94">
        <v>42870</v>
      </c>
      <c r="BI544" s="95">
        <v>0.17899999999999999</v>
      </c>
      <c r="BJ544" s="96">
        <v>9.6999999999999993</v>
      </c>
    </row>
    <row r="545" spans="54:62" ht="13.8" x14ac:dyDescent="0.25">
      <c r="BB545" s="187"/>
      <c r="BC545" s="180"/>
      <c r="BD545" s="191">
        <v>42877</v>
      </c>
      <c r="BE545" s="192">
        <v>0.20499999999999999</v>
      </c>
      <c r="BH545" s="94">
        <v>42871</v>
      </c>
      <c r="BI545" s="95">
        <v>0.182</v>
      </c>
      <c r="BJ545" s="96">
        <v>9.6999999999999993</v>
      </c>
    </row>
    <row r="546" spans="54:62" ht="13.8" x14ac:dyDescent="0.25">
      <c r="BB546" s="187"/>
      <c r="BC546" s="180"/>
      <c r="BD546" s="191">
        <v>42878</v>
      </c>
      <c r="BE546" s="192">
        <v>0.20699999999999999</v>
      </c>
      <c r="BH546" s="94">
        <v>42872</v>
      </c>
      <c r="BI546" s="95">
        <v>0.19</v>
      </c>
      <c r="BJ546" s="96">
        <v>9.6999999999999993</v>
      </c>
    </row>
    <row r="547" spans="54:62" ht="13.8" x14ac:dyDescent="0.25">
      <c r="BB547" s="187"/>
      <c r="BC547" s="180"/>
      <c r="BD547" s="191">
        <v>42879</v>
      </c>
      <c r="BE547" s="192">
        <v>0.20699999999999999</v>
      </c>
      <c r="BH547" s="94">
        <v>42873</v>
      </c>
      <c r="BI547" s="95">
        <v>0.19600000000000001</v>
      </c>
      <c r="BJ547" s="96">
        <v>9.69</v>
      </c>
    </row>
    <row r="548" spans="54:62" ht="13.8" x14ac:dyDescent="0.25">
      <c r="BB548" s="187"/>
      <c r="BC548" s="180"/>
      <c r="BD548" s="191"/>
      <c r="BE548" s="193">
        <f>+BE547</f>
        <v>0.20699999999999999</v>
      </c>
      <c r="BH548" s="94">
        <v>42874</v>
      </c>
      <c r="BI548" s="95">
        <v>0.2</v>
      </c>
      <c r="BJ548" s="96">
        <v>9.69</v>
      </c>
    </row>
    <row r="549" spans="54:62" ht="13.8" x14ac:dyDescent="0.25">
      <c r="BB549" s="187"/>
      <c r="BC549" s="180"/>
      <c r="BD549" s="191">
        <v>42881</v>
      </c>
      <c r="BE549" s="192">
        <v>0.20599999999999999</v>
      </c>
      <c r="BH549" s="94">
        <v>42877</v>
      </c>
      <c r="BI549" s="95">
        <v>0.20499999999999999</v>
      </c>
      <c r="BJ549" s="96">
        <v>9.68</v>
      </c>
    </row>
    <row r="550" spans="54:62" ht="13.8" x14ac:dyDescent="0.25">
      <c r="BB550" s="187"/>
      <c r="BC550" s="180"/>
      <c r="BD550" s="191">
        <v>42884</v>
      </c>
      <c r="BE550" s="192">
        <v>0.20499999999999999</v>
      </c>
      <c r="BH550" s="94">
        <v>42878</v>
      </c>
      <c r="BI550" s="95">
        <v>0.20699999999999999</v>
      </c>
      <c r="BJ550" s="96">
        <v>9.68</v>
      </c>
    </row>
    <row r="551" spans="54:62" ht="13.8" x14ac:dyDescent="0.25">
      <c r="BB551" s="187"/>
      <c r="BC551" s="180"/>
      <c r="BD551" s="191">
        <v>42885</v>
      </c>
      <c r="BE551" s="192">
        <v>0.20300000000000001</v>
      </c>
      <c r="BH551" s="94">
        <v>42879</v>
      </c>
      <c r="BI551" s="95">
        <v>0.20699999999999999</v>
      </c>
      <c r="BJ551" s="96">
        <v>9.68</v>
      </c>
    </row>
    <row r="552" spans="54:62" ht="13.8" x14ac:dyDescent="0.25">
      <c r="BB552" s="187"/>
      <c r="BC552" s="180"/>
      <c r="BD552" s="191">
        <v>42886</v>
      </c>
      <c r="BE552" s="192">
        <v>0.20200000000000001</v>
      </c>
      <c r="BH552" s="94">
        <v>42881</v>
      </c>
      <c r="BI552" s="95">
        <v>0.20599999999999999</v>
      </c>
      <c r="BJ552" s="96">
        <v>9.67</v>
      </c>
    </row>
    <row r="553" spans="54:62" ht="13.8" x14ac:dyDescent="0.25">
      <c r="BB553" s="187"/>
      <c r="BC553" s="180"/>
      <c r="BD553" s="191">
        <v>42887</v>
      </c>
      <c r="BE553" s="192">
        <v>0.20200000000000001</v>
      </c>
      <c r="BH553" s="94">
        <v>42884</v>
      </c>
      <c r="BI553" s="95">
        <v>0.20499999999999999</v>
      </c>
      <c r="BJ553" s="96">
        <v>9.66</v>
      </c>
    </row>
    <row r="554" spans="54:62" ht="13.8" x14ac:dyDescent="0.25">
      <c r="BB554" s="187"/>
      <c r="BC554" s="180"/>
      <c r="BD554" s="191">
        <v>42888</v>
      </c>
      <c r="BE554" s="192">
        <v>0.19800000000000001</v>
      </c>
      <c r="BH554" s="94">
        <v>42885</v>
      </c>
      <c r="BI554" s="95">
        <v>0.20300000000000001</v>
      </c>
      <c r="BJ554" s="96">
        <v>9.66</v>
      </c>
    </row>
    <row r="555" spans="54:62" ht="13.8" x14ac:dyDescent="0.25">
      <c r="BB555" s="187"/>
      <c r="BC555" s="180"/>
      <c r="BD555" s="191"/>
      <c r="BE555" s="193">
        <f>+BE554</f>
        <v>0.19800000000000001</v>
      </c>
      <c r="BH555" s="94">
        <v>42886</v>
      </c>
      <c r="BI555" s="95">
        <v>0.20200000000000001</v>
      </c>
      <c r="BJ555" s="96">
        <v>9.66</v>
      </c>
    </row>
    <row r="556" spans="54:62" ht="13.8" x14ac:dyDescent="0.25">
      <c r="BB556" s="187"/>
      <c r="BC556" s="180"/>
      <c r="BD556" s="191">
        <v>42892</v>
      </c>
      <c r="BE556" s="192">
        <v>0.193</v>
      </c>
      <c r="BH556" s="94">
        <v>42887</v>
      </c>
      <c r="BI556" s="95">
        <v>0.20200000000000001</v>
      </c>
      <c r="BJ556" s="96">
        <v>9.65</v>
      </c>
    </row>
    <row r="557" spans="54:62" ht="13.8" x14ac:dyDescent="0.25">
      <c r="BB557" s="187"/>
      <c r="BC557" s="180"/>
      <c r="BD557" s="191">
        <v>42893</v>
      </c>
      <c r="BE557" s="192">
        <v>0.188</v>
      </c>
      <c r="BH557" s="94">
        <v>42888</v>
      </c>
      <c r="BI557" s="95">
        <v>0.19800000000000001</v>
      </c>
      <c r="BJ557" s="96">
        <v>9.65</v>
      </c>
    </row>
    <row r="558" spans="54:62" ht="13.8" x14ac:dyDescent="0.25">
      <c r="BB558" s="187"/>
      <c r="BC558" s="180"/>
      <c r="BD558" s="191">
        <v>42894</v>
      </c>
      <c r="BE558" s="192">
        <v>0.184</v>
      </c>
      <c r="BH558" s="94">
        <v>42892</v>
      </c>
      <c r="BI558" s="95">
        <v>0.193</v>
      </c>
      <c r="BJ558" s="96">
        <v>9.64</v>
      </c>
    </row>
    <row r="559" spans="54:62" ht="13.8" x14ac:dyDescent="0.25">
      <c r="BB559" s="187"/>
      <c r="BC559" s="180"/>
      <c r="BD559" s="191">
        <v>42895</v>
      </c>
      <c r="BE559" s="192">
        <v>0.17799999999999999</v>
      </c>
      <c r="BH559" s="94">
        <v>42893</v>
      </c>
      <c r="BI559" s="95">
        <v>0.188</v>
      </c>
      <c r="BJ559" s="96">
        <v>9.64</v>
      </c>
    </row>
    <row r="560" spans="54:62" ht="13.8" x14ac:dyDescent="0.25">
      <c r="BB560" s="187"/>
      <c r="BC560" s="180"/>
      <c r="BD560" s="191">
        <v>42898</v>
      </c>
      <c r="BE560" s="192">
        <v>0.17199999999999999</v>
      </c>
      <c r="BH560" s="94">
        <v>42894</v>
      </c>
      <c r="BI560" s="95">
        <v>0.184</v>
      </c>
      <c r="BJ560" s="96">
        <v>9.6199999999999992</v>
      </c>
    </row>
    <row r="561" spans="54:62" ht="13.8" x14ac:dyDescent="0.25">
      <c r="BB561" s="187"/>
      <c r="BC561" s="180"/>
      <c r="BD561" s="191">
        <v>42899</v>
      </c>
      <c r="BE561" s="192">
        <v>0.16700000000000001</v>
      </c>
      <c r="BH561" s="94">
        <v>42895</v>
      </c>
      <c r="BI561" s="95">
        <v>0.17799999999999999</v>
      </c>
      <c r="BJ561" s="96">
        <v>9.6199999999999992</v>
      </c>
    </row>
    <row r="562" spans="54:62" ht="13.8" x14ac:dyDescent="0.25">
      <c r="BB562" s="187"/>
      <c r="BC562" s="180"/>
      <c r="BD562" s="191">
        <v>42900</v>
      </c>
      <c r="BE562" s="192">
        <v>0.161</v>
      </c>
      <c r="BH562" s="94">
        <v>42898</v>
      </c>
      <c r="BI562" s="95">
        <v>0.17199999999999999</v>
      </c>
      <c r="BJ562" s="96">
        <v>9.61</v>
      </c>
    </row>
    <row r="563" spans="54:62" ht="13.8" x14ac:dyDescent="0.25">
      <c r="BB563" s="187"/>
      <c r="BC563" s="180"/>
      <c r="BD563" s="191"/>
      <c r="BE563" s="193">
        <f>+BE562</f>
        <v>0.161</v>
      </c>
      <c r="BH563" s="94">
        <v>42899</v>
      </c>
      <c r="BI563" s="95">
        <v>0.16700000000000001</v>
      </c>
      <c r="BJ563" s="96">
        <v>9.61</v>
      </c>
    </row>
    <row r="564" spans="54:62" ht="13.8" x14ac:dyDescent="0.25">
      <c r="BB564" s="187"/>
      <c r="BC564" s="180"/>
      <c r="BD564" s="191">
        <v>42902</v>
      </c>
      <c r="BE564" s="192">
        <v>0.157</v>
      </c>
      <c r="BH564" s="94">
        <v>42900</v>
      </c>
      <c r="BI564" s="95">
        <v>0.161</v>
      </c>
      <c r="BJ564" s="96">
        <v>9.61</v>
      </c>
    </row>
    <row r="565" spans="54:62" ht="13.8" x14ac:dyDescent="0.25">
      <c r="BB565" s="187"/>
      <c r="BC565" s="180"/>
      <c r="BD565" s="191">
        <v>42905</v>
      </c>
      <c r="BE565" s="192">
        <v>0.152</v>
      </c>
      <c r="BH565" s="94">
        <v>42902</v>
      </c>
      <c r="BI565" s="95">
        <v>0.157</v>
      </c>
      <c r="BJ565" s="96">
        <v>9.6</v>
      </c>
    </row>
    <row r="566" spans="54:62" ht="13.8" x14ac:dyDescent="0.25">
      <c r="BB566" s="187"/>
      <c r="BC566" s="180"/>
      <c r="BD566" s="191">
        <v>42906</v>
      </c>
      <c r="BE566" s="192">
        <v>0.15</v>
      </c>
      <c r="BH566" s="94">
        <v>42905</v>
      </c>
      <c r="BI566" s="95">
        <v>0.152</v>
      </c>
      <c r="BJ566" s="96">
        <v>9.58</v>
      </c>
    </row>
    <row r="567" spans="54:62" ht="13.8" x14ac:dyDescent="0.25">
      <c r="BB567" s="187"/>
      <c r="BC567" s="180"/>
      <c r="BD567" s="191">
        <v>42907</v>
      </c>
      <c r="BE567" s="192">
        <v>0.14499999999999999</v>
      </c>
      <c r="BH567" s="94">
        <v>42906</v>
      </c>
      <c r="BI567" s="95">
        <v>0.15</v>
      </c>
      <c r="BJ567" s="96">
        <v>9.58</v>
      </c>
    </row>
    <row r="568" spans="54:62" ht="13.8" x14ac:dyDescent="0.25">
      <c r="BB568" s="187"/>
      <c r="BC568" s="180"/>
      <c r="BD568" s="191">
        <v>42908</v>
      </c>
      <c r="BE568" s="192">
        <v>0.14099999999999999</v>
      </c>
      <c r="BH568" s="94">
        <v>42907</v>
      </c>
      <c r="BI568" s="95">
        <v>0.14499999999999999</v>
      </c>
      <c r="BJ568" s="96">
        <v>9.58</v>
      </c>
    </row>
    <row r="569" spans="54:62" ht="13.8" x14ac:dyDescent="0.25">
      <c r="BB569" s="187"/>
      <c r="BC569" s="180"/>
      <c r="BD569" s="191">
        <v>42909</v>
      </c>
      <c r="BE569" s="192">
        <v>0.13600000000000001</v>
      </c>
      <c r="BH569" s="94">
        <v>42908</v>
      </c>
      <c r="BI569" s="95">
        <v>0.14099999999999999</v>
      </c>
      <c r="BJ569" s="96">
        <v>9.58</v>
      </c>
    </row>
    <row r="570" spans="54:62" ht="13.8" x14ac:dyDescent="0.25">
      <c r="BB570" s="187"/>
      <c r="BC570" s="180"/>
      <c r="BD570" s="191">
        <v>42912</v>
      </c>
      <c r="BE570" s="192">
        <v>0.13100000000000001</v>
      </c>
      <c r="BH570" s="94">
        <v>42909</v>
      </c>
      <c r="BI570" s="95">
        <v>0.13600000000000001</v>
      </c>
      <c r="BJ570" s="96">
        <v>9.57</v>
      </c>
    </row>
    <row r="571" spans="54:62" ht="13.8" x14ac:dyDescent="0.25">
      <c r="BB571" s="187"/>
      <c r="BC571" s="180"/>
      <c r="BD571" s="191">
        <v>42913</v>
      </c>
      <c r="BE571" s="192">
        <v>0.13200000000000001</v>
      </c>
      <c r="BH571" s="94">
        <v>42912</v>
      </c>
      <c r="BI571" s="95">
        <v>0.13100000000000001</v>
      </c>
      <c r="BJ571" s="96">
        <v>9.56</v>
      </c>
    </row>
    <row r="572" spans="54:62" ht="13.8" x14ac:dyDescent="0.25">
      <c r="BB572" s="187"/>
      <c r="BC572" s="180"/>
      <c r="BD572" s="191">
        <v>42914</v>
      </c>
      <c r="BE572" s="192">
        <v>0.13500000000000001</v>
      </c>
      <c r="BH572" s="94">
        <v>42913</v>
      </c>
      <c r="BI572" s="95">
        <v>0.13200000000000001</v>
      </c>
      <c r="BJ572" s="96">
        <v>9.56</v>
      </c>
    </row>
    <row r="573" spans="54:62" ht="13.8" x14ac:dyDescent="0.25">
      <c r="BB573" s="187"/>
      <c r="BC573" s="180"/>
      <c r="BD573" s="191">
        <v>42915</v>
      </c>
      <c r="BE573" s="192">
        <v>0.14099999999999999</v>
      </c>
      <c r="BH573" s="94">
        <v>42914</v>
      </c>
      <c r="BI573" s="95">
        <v>0.13500000000000001</v>
      </c>
      <c r="BJ573" s="96">
        <v>9.56</v>
      </c>
    </row>
    <row r="574" spans="54:62" ht="13.8" x14ac:dyDescent="0.25">
      <c r="BB574" s="187"/>
      <c r="BC574" s="180"/>
      <c r="BD574" s="191">
        <v>42916</v>
      </c>
      <c r="BE574" s="192">
        <v>0.14899999999999999</v>
      </c>
      <c r="BH574" s="94">
        <v>42915</v>
      </c>
      <c r="BI574" s="95">
        <v>0.14099999999999999</v>
      </c>
      <c r="BJ574" s="96">
        <v>9.56</v>
      </c>
    </row>
    <row r="575" spans="54:62" ht="13.8" x14ac:dyDescent="0.25">
      <c r="BB575" s="187"/>
      <c r="BC575" s="180"/>
      <c r="BD575" s="191">
        <v>42919</v>
      </c>
      <c r="BE575" s="192">
        <v>0.155</v>
      </c>
      <c r="BH575" s="94">
        <v>42916</v>
      </c>
      <c r="BI575" s="95">
        <v>0.14899999999999999</v>
      </c>
      <c r="BJ575" s="96">
        <v>9.5500000000000007</v>
      </c>
    </row>
    <row r="576" spans="54:62" ht="13.8" x14ac:dyDescent="0.25">
      <c r="BB576" s="187"/>
      <c r="BC576" s="180"/>
      <c r="BD576" s="191">
        <v>42920</v>
      </c>
      <c r="BE576" s="192">
        <v>0.16200000000000001</v>
      </c>
      <c r="BH576" s="94">
        <v>42919</v>
      </c>
      <c r="BI576" s="95">
        <v>0.155</v>
      </c>
      <c r="BJ576" s="96">
        <v>9.5500000000000007</v>
      </c>
    </row>
    <row r="577" spans="54:62" ht="13.8" x14ac:dyDescent="0.25">
      <c r="BB577" s="187"/>
      <c r="BC577" s="180"/>
      <c r="BD577" s="191">
        <v>42921</v>
      </c>
      <c r="BE577" s="192">
        <v>0.17</v>
      </c>
      <c r="BH577" s="94">
        <v>42920</v>
      </c>
      <c r="BI577" s="95">
        <v>0.16200000000000001</v>
      </c>
      <c r="BJ577" s="96">
        <v>9.5399999999999991</v>
      </c>
    </row>
    <row r="578" spans="54:62" ht="13.8" x14ac:dyDescent="0.25">
      <c r="BB578" s="187"/>
      <c r="BC578" s="180"/>
      <c r="BD578" s="191">
        <v>42922</v>
      </c>
      <c r="BE578" s="192">
        <v>0.185</v>
      </c>
      <c r="BH578" s="94">
        <v>42921</v>
      </c>
      <c r="BI578" s="95">
        <v>0.17</v>
      </c>
      <c r="BJ578" s="96">
        <v>9.5399999999999991</v>
      </c>
    </row>
    <row r="579" spans="54:62" ht="13.8" x14ac:dyDescent="0.25">
      <c r="BB579" s="187"/>
      <c r="BC579" s="180"/>
      <c r="BD579" s="191">
        <v>42923</v>
      </c>
      <c r="BE579" s="192">
        <v>0.19600000000000001</v>
      </c>
      <c r="BH579" s="94">
        <v>42922</v>
      </c>
      <c r="BI579" s="95">
        <v>0.185</v>
      </c>
      <c r="BJ579" s="96">
        <v>9.6</v>
      </c>
    </row>
    <row r="580" spans="54:62" ht="13.8" x14ac:dyDescent="0.25">
      <c r="BB580" s="187"/>
      <c r="BC580" s="180"/>
      <c r="BD580" s="191">
        <v>42926</v>
      </c>
      <c r="BE580" s="192">
        <v>0.20699999999999999</v>
      </c>
      <c r="BH580" s="94">
        <v>42923</v>
      </c>
      <c r="BI580" s="95">
        <v>0.19600000000000001</v>
      </c>
      <c r="BJ580" s="96">
        <v>9.6</v>
      </c>
    </row>
    <row r="581" spans="54:62" ht="13.8" x14ac:dyDescent="0.25">
      <c r="BB581" s="187"/>
      <c r="BC581" s="180"/>
      <c r="BD581" s="191">
        <v>42927</v>
      </c>
      <c r="BE581" s="192">
        <v>0.218</v>
      </c>
      <c r="BH581" s="94">
        <v>42926</v>
      </c>
      <c r="BI581" s="95">
        <v>0.20699999999999999</v>
      </c>
      <c r="BJ581" s="96">
        <v>9.59</v>
      </c>
    </row>
    <row r="582" spans="54:62" ht="13.8" x14ac:dyDescent="0.25">
      <c r="BB582" s="187"/>
      <c r="BC582" s="180"/>
      <c r="BD582" s="191">
        <v>42928</v>
      </c>
      <c r="BE582" s="192">
        <v>0.22700000000000001</v>
      </c>
      <c r="BH582" s="94">
        <v>42927</v>
      </c>
      <c r="BI582" s="95">
        <v>0.218</v>
      </c>
      <c r="BJ582" s="96">
        <v>9.59</v>
      </c>
    </row>
    <row r="583" spans="54:62" ht="13.8" x14ac:dyDescent="0.25">
      <c r="BB583" s="187"/>
      <c r="BC583" s="180"/>
      <c r="BD583" s="191">
        <v>42929</v>
      </c>
      <c r="BE583" s="192">
        <v>0.23599999999999999</v>
      </c>
      <c r="BH583" s="94">
        <v>42928</v>
      </c>
      <c r="BI583" s="95">
        <v>0.22700000000000001</v>
      </c>
      <c r="BJ583" s="96">
        <v>9.58</v>
      </c>
    </row>
    <row r="584" spans="54:62" ht="13.8" x14ac:dyDescent="0.25">
      <c r="BB584" s="187"/>
      <c r="BC584" s="180"/>
      <c r="BD584" s="191">
        <v>42930</v>
      </c>
      <c r="BE584" s="192">
        <v>0.24299999999999999</v>
      </c>
      <c r="BH584" s="94">
        <v>42929</v>
      </c>
      <c r="BI584" s="95">
        <v>0.23599999999999999</v>
      </c>
      <c r="BJ584" s="96">
        <v>9.58</v>
      </c>
    </row>
    <row r="585" spans="54:62" ht="13.8" x14ac:dyDescent="0.25">
      <c r="BB585" s="187"/>
      <c r="BC585" s="180"/>
      <c r="BD585" s="191">
        <v>42933</v>
      </c>
      <c r="BE585" s="192">
        <v>0.25</v>
      </c>
      <c r="BH585" s="94">
        <v>42930</v>
      </c>
      <c r="BI585" s="95">
        <v>0.24299999999999999</v>
      </c>
      <c r="BJ585" s="96">
        <v>9.58</v>
      </c>
    </row>
    <row r="586" spans="54:62" ht="13.8" x14ac:dyDescent="0.25">
      <c r="BB586" s="187"/>
      <c r="BC586" s="180"/>
      <c r="BD586" s="191">
        <v>42934</v>
      </c>
      <c r="BE586" s="192">
        <v>0.25700000000000001</v>
      </c>
      <c r="BH586" s="94">
        <v>42933</v>
      </c>
      <c r="BI586" s="95">
        <v>0.25</v>
      </c>
      <c r="BJ586" s="96">
        <v>9.57</v>
      </c>
    </row>
    <row r="587" spans="54:62" ht="13.8" x14ac:dyDescent="0.25">
      <c r="BB587" s="187"/>
      <c r="BC587" s="180"/>
      <c r="BD587" s="191">
        <v>42935</v>
      </c>
      <c r="BE587" s="192">
        <v>0.26500000000000001</v>
      </c>
      <c r="BH587" s="94">
        <v>42934</v>
      </c>
      <c r="BI587" s="95">
        <v>0.25700000000000001</v>
      </c>
      <c r="BJ587" s="96">
        <v>9.57</v>
      </c>
    </row>
    <row r="588" spans="54:62" ht="13.8" x14ac:dyDescent="0.25">
      <c r="BB588" s="187"/>
      <c r="BC588" s="180"/>
      <c r="BD588" s="191">
        <v>42936</v>
      </c>
      <c r="BE588" s="192">
        <v>0.27100000000000002</v>
      </c>
      <c r="BH588" s="94">
        <v>42935</v>
      </c>
      <c r="BI588" s="95">
        <v>0.26500000000000001</v>
      </c>
      <c r="BJ588" s="96">
        <v>9.56</v>
      </c>
    </row>
    <row r="589" spans="54:62" ht="13.8" x14ac:dyDescent="0.25">
      <c r="BB589" s="187"/>
      <c r="BC589" s="180"/>
      <c r="BD589" s="191">
        <v>42937</v>
      </c>
      <c r="BE589" s="192">
        <v>0.27500000000000002</v>
      </c>
      <c r="BH589" s="94">
        <v>42936</v>
      </c>
      <c r="BI589" s="95">
        <v>0.27100000000000002</v>
      </c>
      <c r="BJ589" s="96">
        <v>9.56</v>
      </c>
    </row>
    <row r="590" spans="54:62" ht="13.8" x14ac:dyDescent="0.25">
      <c r="BB590" s="187"/>
      <c r="BC590" s="180"/>
      <c r="BD590" s="191">
        <v>42940</v>
      </c>
      <c r="BE590" s="192">
        <v>0.28000000000000003</v>
      </c>
      <c r="BH590" s="94">
        <v>42937</v>
      </c>
      <c r="BI590" s="95">
        <v>0.27500000000000002</v>
      </c>
      <c r="BJ590" s="96">
        <v>9.56</v>
      </c>
    </row>
    <row r="591" spans="54:62" ht="13.8" x14ac:dyDescent="0.25">
      <c r="BB591" s="187"/>
      <c r="BC591" s="180"/>
      <c r="BD591" s="191">
        <v>42941</v>
      </c>
      <c r="BE591" s="192">
        <v>0.28299999999999997</v>
      </c>
      <c r="BH591" s="94">
        <v>42940</v>
      </c>
      <c r="BI591" s="95">
        <v>0.28000000000000003</v>
      </c>
      <c r="BJ591" s="96">
        <v>9.5500000000000007</v>
      </c>
    </row>
    <row r="592" spans="54:62" ht="13.8" x14ac:dyDescent="0.25">
      <c r="BB592" s="187"/>
      <c r="BC592" s="180"/>
      <c r="BD592" s="191">
        <v>42942</v>
      </c>
      <c r="BE592" s="192">
        <v>0.28399999999999997</v>
      </c>
      <c r="BH592" s="94">
        <v>42941</v>
      </c>
      <c r="BI592" s="95">
        <v>0.28299999999999997</v>
      </c>
      <c r="BJ592" s="96">
        <v>9.5500000000000007</v>
      </c>
    </row>
    <row r="593" spans="54:62" ht="13.8" x14ac:dyDescent="0.25">
      <c r="BB593" s="187"/>
      <c r="BC593" s="180"/>
      <c r="BD593" s="191">
        <v>42943</v>
      </c>
      <c r="BE593" s="192">
        <v>0.28199999999999997</v>
      </c>
      <c r="BH593" s="94">
        <v>42942</v>
      </c>
      <c r="BI593" s="95">
        <v>0.28399999999999997</v>
      </c>
      <c r="BJ593" s="96">
        <v>9.5500000000000007</v>
      </c>
    </row>
    <row r="594" spans="54:62" ht="13.8" x14ac:dyDescent="0.25">
      <c r="BB594" s="187"/>
      <c r="BC594" s="180"/>
      <c r="BD594" s="191">
        <v>42944</v>
      </c>
      <c r="BE594" s="192">
        <v>0.28100000000000003</v>
      </c>
      <c r="BH594" s="94">
        <v>42943</v>
      </c>
      <c r="BI594" s="95">
        <v>0.28199999999999997</v>
      </c>
      <c r="BJ594" s="96">
        <v>9.5399999999999991</v>
      </c>
    </row>
    <row r="595" spans="54:62" ht="13.8" x14ac:dyDescent="0.25">
      <c r="BB595" s="187"/>
      <c r="BC595" s="180"/>
      <c r="BD595" s="191">
        <v>42947</v>
      </c>
      <c r="BE595" s="192">
        <v>0.27900000000000003</v>
      </c>
      <c r="BH595" s="94">
        <v>42944</v>
      </c>
      <c r="BI595" s="95">
        <v>0.28100000000000003</v>
      </c>
      <c r="BJ595" s="96">
        <v>9.5399999999999991</v>
      </c>
    </row>
    <row r="596" spans="54:62" ht="13.8" x14ac:dyDescent="0.25">
      <c r="BB596" s="187"/>
      <c r="BC596" s="180"/>
      <c r="BD596" s="191">
        <v>42948</v>
      </c>
      <c r="BE596" s="192">
        <v>0.27700000000000002</v>
      </c>
      <c r="BH596" s="94">
        <v>42947</v>
      </c>
      <c r="BI596" s="95">
        <v>0.27900000000000003</v>
      </c>
      <c r="BJ596" s="96">
        <v>9.5299999999999994</v>
      </c>
    </row>
    <row r="597" spans="54:62" ht="13.8" x14ac:dyDescent="0.25">
      <c r="BB597" s="187"/>
      <c r="BC597" s="180"/>
      <c r="BD597" s="191">
        <v>42949</v>
      </c>
      <c r="BE597" s="192">
        <v>0.27300000000000002</v>
      </c>
      <c r="BH597" s="94">
        <v>42948</v>
      </c>
      <c r="BI597" s="95">
        <v>0.27700000000000002</v>
      </c>
      <c r="BJ597" s="96">
        <v>9.5299999999999994</v>
      </c>
    </row>
    <row r="598" spans="54:62" ht="13.8" x14ac:dyDescent="0.25">
      <c r="BB598" s="187"/>
      <c r="BC598" s="180"/>
      <c r="BD598" s="191">
        <v>42950</v>
      </c>
      <c r="BE598" s="192">
        <v>0.26700000000000002</v>
      </c>
      <c r="BH598" s="94">
        <v>42949</v>
      </c>
      <c r="BI598" s="95">
        <v>0.27300000000000002</v>
      </c>
      <c r="BJ598" s="96">
        <v>9.5299999999999994</v>
      </c>
    </row>
    <row r="599" spans="54:62" ht="13.8" x14ac:dyDescent="0.25">
      <c r="BB599" s="187"/>
      <c r="BC599" s="180"/>
      <c r="BD599" s="191">
        <v>42951</v>
      </c>
      <c r="BE599" s="192">
        <v>0.26</v>
      </c>
      <c r="BH599" s="94">
        <v>42950</v>
      </c>
      <c r="BI599" s="95">
        <v>0.26700000000000002</v>
      </c>
      <c r="BJ599" s="96">
        <v>9.52</v>
      </c>
    </row>
    <row r="600" spans="54:62" ht="13.8" x14ac:dyDescent="0.25">
      <c r="BB600" s="187"/>
      <c r="BC600" s="180"/>
      <c r="BD600" s="191">
        <v>42954</v>
      </c>
      <c r="BE600" s="192">
        <v>0.253</v>
      </c>
      <c r="BH600" s="94">
        <v>42951</v>
      </c>
      <c r="BI600" s="95">
        <v>0.26</v>
      </c>
      <c r="BJ600" s="96">
        <v>9.52</v>
      </c>
    </row>
    <row r="601" spans="54:62" ht="13.8" x14ac:dyDescent="0.25">
      <c r="BB601" s="187"/>
      <c r="BC601" s="180"/>
      <c r="BD601" s="191">
        <v>42955</v>
      </c>
      <c r="BE601" s="192">
        <v>0.246</v>
      </c>
      <c r="BH601" s="94">
        <v>42954</v>
      </c>
      <c r="BI601" s="95">
        <v>0.253</v>
      </c>
      <c r="BJ601" s="96">
        <v>9.51</v>
      </c>
    </row>
    <row r="602" spans="54:62" ht="13.8" x14ac:dyDescent="0.25">
      <c r="BB602" s="187"/>
      <c r="BC602" s="180"/>
      <c r="BD602" s="191">
        <v>42956</v>
      </c>
      <c r="BE602" s="192">
        <v>0.24</v>
      </c>
      <c r="BH602" s="94">
        <v>42955</v>
      </c>
      <c r="BI602" s="95">
        <v>0.246</v>
      </c>
      <c r="BJ602" s="96">
        <v>9.51</v>
      </c>
    </row>
    <row r="603" spans="54:62" ht="13.8" x14ac:dyDescent="0.25">
      <c r="BB603" s="187"/>
      <c r="BC603" s="180"/>
      <c r="BD603" s="191">
        <v>42957</v>
      </c>
      <c r="BE603" s="192">
        <v>0.23499999999999999</v>
      </c>
      <c r="BH603" s="94">
        <v>42956</v>
      </c>
      <c r="BI603" s="95">
        <v>0.24</v>
      </c>
      <c r="BJ603" s="96">
        <v>9.51</v>
      </c>
    </row>
    <row r="604" spans="54:62" ht="13.8" x14ac:dyDescent="0.25">
      <c r="BB604" s="187"/>
      <c r="BC604" s="180"/>
      <c r="BD604" s="191">
        <v>42958</v>
      </c>
      <c r="BE604" s="192">
        <v>0.22700000000000001</v>
      </c>
      <c r="BH604" s="94">
        <v>42957</v>
      </c>
      <c r="BI604" s="95">
        <v>0.23499999999999999</v>
      </c>
      <c r="BJ604" s="96">
        <v>9.5299999999999994</v>
      </c>
    </row>
    <row r="605" spans="54:62" ht="13.8" x14ac:dyDescent="0.25">
      <c r="BB605" s="187"/>
      <c r="BC605" s="180"/>
      <c r="BD605" s="191">
        <v>42961</v>
      </c>
      <c r="BE605" s="192">
        <v>0.221</v>
      </c>
      <c r="BH605" s="94">
        <v>42958</v>
      </c>
      <c r="BI605" s="95">
        <v>0.22700000000000001</v>
      </c>
      <c r="BJ605" s="96">
        <v>9.5299999999999994</v>
      </c>
    </row>
    <row r="606" spans="54:62" ht="13.8" x14ac:dyDescent="0.25">
      <c r="BB606" s="187"/>
      <c r="BC606" s="180"/>
      <c r="BD606" s="191"/>
      <c r="BE606" s="193">
        <f>+BE605</f>
        <v>0.221</v>
      </c>
      <c r="BH606" s="94">
        <v>42961</v>
      </c>
      <c r="BI606" s="95">
        <v>0.221</v>
      </c>
      <c r="BJ606" s="96">
        <v>9.52</v>
      </c>
    </row>
    <row r="607" spans="54:62" ht="13.8" x14ac:dyDescent="0.25">
      <c r="BB607" s="187"/>
      <c r="BC607" s="180"/>
      <c r="BD607" s="191">
        <v>42963</v>
      </c>
      <c r="BE607" s="192">
        <v>0.22</v>
      </c>
      <c r="BH607" s="94">
        <v>42963</v>
      </c>
      <c r="BI607" s="95">
        <v>0.22</v>
      </c>
      <c r="BJ607" s="96">
        <v>9.65</v>
      </c>
    </row>
    <row r="608" spans="54:62" ht="13.8" x14ac:dyDescent="0.25">
      <c r="BB608" s="187"/>
      <c r="BC608" s="180"/>
      <c r="BD608" s="191">
        <v>42964</v>
      </c>
      <c r="BE608" s="192">
        <v>0.216</v>
      </c>
      <c r="BH608" s="94">
        <v>42964</v>
      </c>
      <c r="BI608" s="95">
        <v>0.216</v>
      </c>
      <c r="BJ608" s="96">
        <v>9.65</v>
      </c>
    </row>
    <row r="609" spans="54:62" ht="13.8" x14ac:dyDescent="0.25">
      <c r="BB609" s="187"/>
      <c r="BC609" s="180"/>
      <c r="BD609" s="191">
        <v>42965</v>
      </c>
      <c r="BE609" s="192">
        <v>0.21099999999999999</v>
      </c>
      <c r="BH609" s="94">
        <v>42965</v>
      </c>
      <c r="BI609" s="95">
        <v>0.21099999999999999</v>
      </c>
      <c r="BJ609" s="96">
        <v>9.65</v>
      </c>
    </row>
    <row r="610" spans="54:62" ht="13.8" x14ac:dyDescent="0.25">
      <c r="BB610" s="187"/>
      <c r="BC610" s="180"/>
      <c r="BD610" s="191">
        <v>42968</v>
      </c>
      <c r="BE610" s="192">
        <v>0.20799999999999999</v>
      </c>
      <c r="BH610" s="94">
        <v>42968</v>
      </c>
      <c r="BI610" s="95">
        <v>0.20799999999999999</v>
      </c>
      <c r="BJ610" s="96">
        <v>9.64</v>
      </c>
    </row>
    <row r="611" spans="54:62" ht="13.8" x14ac:dyDescent="0.25">
      <c r="BB611" s="187"/>
      <c r="BC611" s="180"/>
      <c r="BD611" s="191">
        <v>42969</v>
      </c>
      <c r="BE611" s="192">
        <v>0.20499999999999999</v>
      </c>
      <c r="BH611" s="94">
        <v>42969</v>
      </c>
      <c r="BI611" s="95">
        <v>0.20499999999999999</v>
      </c>
      <c r="BJ611" s="96">
        <v>9.64</v>
      </c>
    </row>
    <row r="612" spans="54:62" ht="13.8" x14ac:dyDescent="0.25">
      <c r="BB612" s="187"/>
      <c r="BC612" s="180"/>
      <c r="BD612" s="191">
        <v>42970</v>
      </c>
      <c r="BE612" s="192">
        <v>0.20100000000000001</v>
      </c>
      <c r="BH612" s="94">
        <v>42970</v>
      </c>
      <c r="BI612" s="95">
        <v>0.20100000000000001</v>
      </c>
      <c r="BJ612" s="96">
        <v>9.6300000000000008</v>
      </c>
    </row>
    <row r="613" spans="54:62" ht="13.8" x14ac:dyDescent="0.25">
      <c r="BB613" s="187"/>
      <c r="BC613" s="180"/>
      <c r="BD613" s="191">
        <v>42971</v>
      </c>
      <c r="BE613" s="192">
        <v>0.19600000000000001</v>
      </c>
      <c r="BH613" s="94">
        <v>42971</v>
      </c>
      <c r="BI613" s="95">
        <v>0.19600000000000001</v>
      </c>
      <c r="BJ613" s="96">
        <v>9.6300000000000008</v>
      </c>
    </row>
    <row r="614" spans="54:62" ht="13.8" x14ac:dyDescent="0.25">
      <c r="BB614" s="187"/>
      <c r="BC614" s="180"/>
      <c r="BD614" s="191">
        <v>42972</v>
      </c>
      <c r="BE614" s="192">
        <v>0.192</v>
      </c>
      <c r="BH614" s="94">
        <v>42972</v>
      </c>
      <c r="BI614" s="95">
        <v>0.192</v>
      </c>
      <c r="BJ614" s="96">
        <v>9.6300000000000008</v>
      </c>
    </row>
    <row r="615" spans="54:62" ht="13.8" x14ac:dyDescent="0.25">
      <c r="BB615" s="187"/>
      <c r="BC615" s="180"/>
      <c r="BD615" s="191">
        <v>42975</v>
      </c>
      <c r="BE615" s="192">
        <v>0.187</v>
      </c>
      <c r="BH615" s="94">
        <v>42975</v>
      </c>
      <c r="BI615" s="95">
        <v>0.187</v>
      </c>
      <c r="BJ615" s="96">
        <v>9.6199999999999992</v>
      </c>
    </row>
    <row r="616" spans="54:62" ht="13.8" x14ac:dyDescent="0.25">
      <c r="BB616" s="187"/>
      <c r="BC616" s="180"/>
      <c r="BD616" s="191">
        <v>42976</v>
      </c>
      <c r="BE616" s="192">
        <v>0.18099999999999999</v>
      </c>
      <c r="BH616" s="94">
        <v>42976</v>
      </c>
      <c r="BI616" s="95">
        <v>0.18099999999999999</v>
      </c>
      <c r="BJ616" s="96">
        <v>9.6199999999999992</v>
      </c>
    </row>
    <row r="617" spans="54:62" ht="13.8" x14ac:dyDescent="0.25">
      <c r="BB617" s="187"/>
      <c r="BC617" s="180"/>
      <c r="BD617" s="191">
        <v>42977</v>
      </c>
      <c r="BE617" s="192">
        <v>0.17599999999999999</v>
      </c>
      <c r="BH617" s="94">
        <v>42977</v>
      </c>
      <c r="BI617" s="95">
        <v>0.17599999999999999</v>
      </c>
      <c r="BJ617" s="96">
        <v>9.61</v>
      </c>
    </row>
    <row r="618" spans="54:62" ht="13.8" x14ac:dyDescent="0.25">
      <c r="BB618" s="187"/>
      <c r="BC618" s="180"/>
      <c r="BD618" s="191">
        <v>42978</v>
      </c>
      <c r="BE618" s="192">
        <v>0.17299999999999999</v>
      </c>
      <c r="BH618" s="94">
        <v>42978</v>
      </c>
      <c r="BI618" s="95">
        <v>0.17299999999999999</v>
      </c>
      <c r="BJ618" s="96">
        <v>9.61</v>
      </c>
    </row>
    <row r="619" spans="54:62" ht="13.8" x14ac:dyDescent="0.25">
      <c r="BB619" s="187"/>
      <c r="BC619" s="180"/>
      <c r="BD619" s="191">
        <v>42979</v>
      </c>
      <c r="BE619" s="192">
        <v>0.17</v>
      </c>
      <c r="BH619" s="94">
        <v>42979</v>
      </c>
      <c r="BI619" s="95">
        <v>0.17</v>
      </c>
      <c r="BJ619" s="96">
        <v>9.61</v>
      </c>
    </row>
    <row r="620" spans="54:62" ht="13.8" x14ac:dyDescent="0.25">
      <c r="BB620" s="187"/>
      <c r="BC620" s="180"/>
      <c r="BD620" s="191">
        <v>42982</v>
      </c>
      <c r="BE620" s="192">
        <v>0.16700000000000001</v>
      </c>
      <c r="BH620" s="94">
        <v>42982</v>
      </c>
      <c r="BI620" s="95">
        <v>0.16700000000000001</v>
      </c>
      <c r="BJ620" s="96">
        <v>9.6</v>
      </c>
    </row>
    <row r="621" spans="54:62" ht="13.8" x14ac:dyDescent="0.25">
      <c r="BB621" s="187"/>
      <c r="BC621" s="180"/>
      <c r="BD621" s="191">
        <v>42983</v>
      </c>
      <c r="BE621" s="192">
        <v>0.16400000000000001</v>
      </c>
      <c r="BH621" s="94">
        <v>42983</v>
      </c>
      <c r="BI621" s="95">
        <v>0.16400000000000001</v>
      </c>
      <c r="BJ621" s="96">
        <v>9.6</v>
      </c>
    </row>
    <row r="622" spans="54:62" ht="13.8" x14ac:dyDescent="0.25">
      <c r="BB622" s="187"/>
      <c r="BC622" s="180"/>
      <c r="BD622" s="191">
        <v>42984</v>
      </c>
      <c r="BE622" s="192">
        <v>0.159</v>
      </c>
      <c r="BH622" s="94">
        <v>42984</v>
      </c>
      <c r="BI622" s="95">
        <v>0.159</v>
      </c>
      <c r="BJ622" s="96">
        <v>9.59</v>
      </c>
    </row>
    <row r="623" spans="54:62" ht="13.8" x14ac:dyDescent="0.25">
      <c r="BB623" s="187"/>
      <c r="BC623" s="180"/>
      <c r="BD623" s="191">
        <v>42985</v>
      </c>
      <c r="BE623" s="192">
        <v>0.16200000000000001</v>
      </c>
      <c r="BH623" s="94">
        <v>42985</v>
      </c>
      <c r="BI623" s="95">
        <v>0.16200000000000001</v>
      </c>
      <c r="BJ623" s="96">
        <v>9.6300000000000008</v>
      </c>
    </row>
    <row r="624" spans="54:62" ht="13.8" x14ac:dyDescent="0.25">
      <c r="BB624" s="187"/>
      <c r="BC624" s="180"/>
      <c r="BD624" s="191">
        <v>42986</v>
      </c>
      <c r="BE624" s="192">
        <v>0.159</v>
      </c>
      <c r="BH624" s="94">
        <v>42986</v>
      </c>
      <c r="BI624" s="95">
        <v>0.159</v>
      </c>
      <c r="BJ624" s="96">
        <v>9.6199999999999992</v>
      </c>
    </row>
    <row r="625" spans="54:62" ht="13.8" x14ac:dyDescent="0.25">
      <c r="BB625" s="187"/>
      <c r="BC625" s="180"/>
      <c r="BD625" s="191">
        <v>42989</v>
      </c>
      <c r="BE625" s="192">
        <v>0.157</v>
      </c>
      <c r="BH625" s="94">
        <v>42989</v>
      </c>
      <c r="BI625" s="95">
        <v>0.157</v>
      </c>
      <c r="BJ625" s="96">
        <v>9.61</v>
      </c>
    </row>
    <row r="626" spans="54:62" ht="13.8" x14ac:dyDescent="0.25">
      <c r="BB626" s="187"/>
      <c r="BC626" s="180"/>
      <c r="BD626" s="191">
        <v>42990</v>
      </c>
      <c r="BE626" s="192">
        <v>0.157</v>
      </c>
      <c r="BH626" s="94">
        <v>42990</v>
      </c>
      <c r="BI626" s="95">
        <v>0.157</v>
      </c>
      <c r="BJ626" s="96">
        <v>9.61</v>
      </c>
    </row>
    <row r="627" spans="54:62" ht="13.8" x14ac:dyDescent="0.25">
      <c r="BB627" s="187"/>
      <c r="BC627" s="180"/>
      <c r="BD627" s="191">
        <v>42991</v>
      </c>
      <c r="BE627" s="192">
        <v>0.156</v>
      </c>
      <c r="BH627" s="94">
        <v>42991</v>
      </c>
      <c r="BI627" s="95">
        <v>0.156</v>
      </c>
      <c r="BJ627" s="96">
        <v>9.61</v>
      </c>
    </row>
    <row r="628" spans="54:62" ht="13.8" x14ac:dyDescent="0.25">
      <c r="BB628" s="187"/>
      <c r="BC628" s="180"/>
      <c r="BD628" s="191">
        <v>42992</v>
      </c>
      <c r="BE628" s="192">
        <v>0.155</v>
      </c>
      <c r="BH628" s="94">
        <v>42992</v>
      </c>
      <c r="BI628" s="95">
        <v>0.155</v>
      </c>
      <c r="BJ628" s="96">
        <v>9.61</v>
      </c>
    </row>
    <row r="629" spans="54:62" ht="13.8" x14ac:dyDescent="0.25">
      <c r="BB629" s="187"/>
      <c r="BC629" s="180"/>
      <c r="BD629" s="191">
        <v>42993</v>
      </c>
      <c r="BE629" s="192">
        <v>0.156</v>
      </c>
      <c r="BH629" s="94">
        <v>42993</v>
      </c>
      <c r="BI629" s="95">
        <v>0.156</v>
      </c>
      <c r="BJ629" s="96">
        <v>9.6</v>
      </c>
    </row>
    <row r="630" spans="54:62" ht="13.8" x14ac:dyDescent="0.25">
      <c r="BB630" s="187"/>
      <c r="BC630" s="180"/>
      <c r="BD630" s="191">
        <v>42996</v>
      </c>
      <c r="BE630" s="192">
        <v>0.157</v>
      </c>
      <c r="BH630" s="94">
        <v>42996</v>
      </c>
      <c r="BI630" s="95">
        <v>0.157</v>
      </c>
      <c r="BJ630" s="96">
        <v>9.6</v>
      </c>
    </row>
    <row r="631" spans="54:62" ht="13.8" x14ac:dyDescent="0.25">
      <c r="BB631" s="187"/>
      <c r="BC631" s="180"/>
      <c r="BD631" s="191">
        <v>42997</v>
      </c>
      <c r="BE631" s="192">
        <v>0.159</v>
      </c>
      <c r="BH631" s="94">
        <v>42997</v>
      </c>
      <c r="BI631" s="95">
        <v>0.159</v>
      </c>
      <c r="BJ631" s="96">
        <v>9.59</v>
      </c>
    </row>
    <row r="632" spans="54:62" ht="13.8" x14ac:dyDescent="0.25">
      <c r="BB632" s="187"/>
      <c r="BC632" s="180"/>
      <c r="BD632" s="191">
        <v>42998</v>
      </c>
      <c r="BE632" s="192">
        <v>0.187</v>
      </c>
      <c r="BH632" s="94">
        <v>42998</v>
      </c>
      <c r="BI632" s="95">
        <v>0.187</v>
      </c>
      <c r="BJ632" s="96">
        <v>11.08</v>
      </c>
    </row>
    <row r="633" spans="54:62" ht="13.8" x14ac:dyDescent="0.25">
      <c r="BB633" s="187"/>
      <c r="BC633" s="180"/>
      <c r="BD633" s="191">
        <v>42999</v>
      </c>
      <c r="BE633" s="192">
        <v>0.19</v>
      </c>
      <c r="BH633" s="94">
        <v>42999</v>
      </c>
      <c r="BI633" s="95">
        <v>0.19</v>
      </c>
      <c r="BJ633" s="96">
        <v>11.08</v>
      </c>
    </row>
    <row r="634" spans="54:62" ht="13.8" x14ac:dyDescent="0.25">
      <c r="BB634" s="187"/>
      <c r="BC634" s="180"/>
      <c r="BD634" s="191">
        <v>43000</v>
      </c>
      <c r="BE634" s="192">
        <v>0.192</v>
      </c>
      <c r="BH634" s="94">
        <v>43000</v>
      </c>
      <c r="BI634" s="95">
        <v>0.192</v>
      </c>
      <c r="BJ634" s="96">
        <v>11.07</v>
      </c>
    </row>
    <row r="635" spans="54:62" ht="13.8" x14ac:dyDescent="0.25">
      <c r="BB635" s="187"/>
      <c r="BC635" s="180"/>
      <c r="BD635" s="191">
        <v>43003</v>
      </c>
      <c r="BE635" s="192">
        <v>0.192</v>
      </c>
      <c r="BH635" s="94">
        <v>43003</v>
      </c>
      <c r="BI635" s="95">
        <v>0.192</v>
      </c>
      <c r="BJ635" s="96">
        <v>11.07</v>
      </c>
    </row>
    <row r="636" spans="54:62" ht="13.8" x14ac:dyDescent="0.25">
      <c r="BB636" s="187"/>
      <c r="BC636" s="180"/>
      <c r="BD636" s="191">
        <v>43004</v>
      </c>
      <c r="BE636" s="192">
        <v>0.193</v>
      </c>
      <c r="BH636" s="94">
        <v>43004</v>
      </c>
      <c r="BI636" s="95">
        <v>0.193</v>
      </c>
      <c r="BJ636" s="96">
        <v>11.06</v>
      </c>
    </row>
    <row r="637" spans="54:62" ht="13.8" x14ac:dyDescent="0.25">
      <c r="BB637" s="187"/>
      <c r="BC637" s="180"/>
      <c r="BD637" s="191">
        <v>43005</v>
      </c>
      <c r="BE637" s="192">
        <v>0.19600000000000001</v>
      </c>
      <c r="BH637" s="94">
        <v>43005</v>
      </c>
      <c r="BI637" s="95">
        <v>0.19600000000000001</v>
      </c>
      <c r="BJ637" s="96">
        <v>11.06</v>
      </c>
    </row>
    <row r="638" spans="54:62" ht="13.8" x14ac:dyDescent="0.25">
      <c r="BB638" s="187"/>
      <c r="BC638" s="180"/>
      <c r="BD638" s="191">
        <v>43006</v>
      </c>
      <c r="BE638" s="192">
        <v>0.2</v>
      </c>
      <c r="BH638" s="94">
        <v>43006</v>
      </c>
      <c r="BI638" s="95">
        <v>0.2</v>
      </c>
      <c r="BJ638" s="96">
        <v>11.06</v>
      </c>
    </row>
    <row r="639" spans="54:62" ht="13.8" x14ac:dyDescent="0.25">
      <c r="BB639" s="187"/>
      <c r="BC639" s="180"/>
      <c r="BD639" s="191">
        <v>43007</v>
      </c>
      <c r="BE639" s="192">
        <v>0.20200000000000001</v>
      </c>
      <c r="BH639" s="94">
        <v>43007</v>
      </c>
      <c r="BI639" s="95">
        <v>0.20200000000000001</v>
      </c>
      <c r="BJ639" s="96">
        <v>11.05</v>
      </c>
    </row>
    <row r="640" spans="54:62" ht="13.8" x14ac:dyDescent="0.25">
      <c r="BB640" s="187"/>
      <c r="BC640" s="180"/>
      <c r="BD640" s="191">
        <v>43010</v>
      </c>
      <c r="BE640" s="192">
        <v>0.20300000000000001</v>
      </c>
      <c r="BH640" s="94">
        <v>43010</v>
      </c>
      <c r="BI640" s="95">
        <v>0.20300000000000001</v>
      </c>
      <c r="BJ640" s="96">
        <v>11.05</v>
      </c>
    </row>
    <row r="641" spans="54:62" ht="13.8" x14ac:dyDescent="0.25">
      <c r="BB641" s="187"/>
      <c r="BC641" s="180"/>
      <c r="BD641" s="191">
        <v>43011</v>
      </c>
      <c r="BE641" s="192">
        <v>0.20599999999999999</v>
      </c>
      <c r="BH641" s="94">
        <v>43011</v>
      </c>
      <c r="BI641" s="95">
        <v>0.20599999999999999</v>
      </c>
      <c r="BJ641" s="96">
        <v>11.04</v>
      </c>
    </row>
    <row r="642" spans="54:62" ht="13.8" x14ac:dyDescent="0.25">
      <c r="BB642" s="187"/>
      <c r="BC642" s="180"/>
      <c r="BD642" s="191">
        <v>43012</v>
      </c>
      <c r="BE642" s="192">
        <v>0.20899999999999999</v>
      </c>
      <c r="BH642" s="94">
        <v>43012</v>
      </c>
      <c r="BI642" s="95">
        <v>0.20899999999999999</v>
      </c>
      <c r="BJ642" s="96">
        <v>11.04</v>
      </c>
    </row>
    <row r="643" spans="54:62" ht="13.8" x14ac:dyDescent="0.25">
      <c r="BB643" s="187"/>
      <c r="BC643" s="180"/>
      <c r="BD643" s="191">
        <v>43013</v>
      </c>
      <c r="BE643" s="192">
        <v>0.21199999999999999</v>
      </c>
      <c r="BH643" s="94">
        <v>43013</v>
      </c>
      <c r="BI643" s="95">
        <v>0.21199999999999999</v>
      </c>
      <c r="BJ643" s="96">
        <v>11.04</v>
      </c>
    </row>
    <row r="644" spans="54:62" ht="13.8" x14ac:dyDescent="0.25">
      <c r="BB644" s="187"/>
      <c r="BC644" s="180"/>
      <c r="BD644" s="191">
        <v>43014</v>
      </c>
      <c r="BE644" s="192">
        <v>0.217</v>
      </c>
      <c r="BH644" s="94">
        <v>43014</v>
      </c>
      <c r="BI644" s="95">
        <v>0.217</v>
      </c>
      <c r="BJ644" s="96">
        <v>11.04</v>
      </c>
    </row>
    <row r="645" spans="54:62" ht="13.8" x14ac:dyDescent="0.25">
      <c r="BB645" s="187"/>
      <c r="BC645" s="180"/>
      <c r="BD645" s="191">
        <v>43017</v>
      </c>
      <c r="BE645" s="192">
        <v>0.221</v>
      </c>
      <c r="BH645" s="94">
        <v>43017</v>
      </c>
      <c r="BI645" s="95">
        <v>0.221</v>
      </c>
      <c r="BJ645" s="96">
        <v>11.03</v>
      </c>
    </row>
    <row r="646" spans="54:62" ht="13.8" x14ac:dyDescent="0.25">
      <c r="BB646" s="187"/>
      <c r="BC646" s="180"/>
      <c r="BD646" s="191">
        <v>43018</v>
      </c>
      <c r="BE646" s="192">
        <v>0.222</v>
      </c>
      <c r="BH646" s="94">
        <v>43018</v>
      </c>
      <c r="BI646" s="95">
        <v>0.222</v>
      </c>
      <c r="BJ646" s="96">
        <v>11.02</v>
      </c>
    </row>
    <row r="647" spans="54:62" ht="13.8" x14ac:dyDescent="0.25">
      <c r="BB647" s="187"/>
      <c r="BC647" s="180"/>
      <c r="BD647" s="191">
        <v>43019</v>
      </c>
      <c r="BE647" s="192">
        <v>0.223</v>
      </c>
      <c r="BH647" s="94">
        <v>43019</v>
      </c>
      <c r="BI647" s="95">
        <v>0.223</v>
      </c>
      <c r="BJ647" s="96">
        <v>11.02</v>
      </c>
    </row>
    <row r="648" spans="54:62" ht="13.8" x14ac:dyDescent="0.25">
      <c r="BB648" s="187"/>
      <c r="BC648" s="180"/>
      <c r="BD648" s="191">
        <v>43020</v>
      </c>
      <c r="BE648" s="192">
        <v>0.22500000000000001</v>
      </c>
      <c r="BH648" s="94">
        <v>43020</v>
      </c>
      <c r="BI648" s="95">
        <v>0.22500000000000001</v>
      </c>
      <c r="BJ648" s="96">
        <v>11.02</v>
      </c>
    </row>
    <row r="649" spans="54:62" ht="13.8" x14ac:dyDescent="0.25">
      <c r="BB649" s="187"/>
      <c r="BC649" s="180"/>
      <c r="BD649" s="191">
        <v>43021</v>
      </c>
      <c r="BE649" s="192">
        <v>0.223</v>
      </c>
      <c r="BH649" s="94">
        <v>43021</v>
      </c>
      <c r="BI649" s="95">
        <v>0.223</v>
      </c>
      <c r="BJ649" s="96">
        <v>11.02</v>
      </c>
    </row>
    <row r="650" spans="54:62" ht="13.8" x14ac:dyDescent="0.25">
      <c r="BB650" s="187"/>
      <c r="BC650" s="180"/>
      <c r="BD650" s="191">
        <v>43024</v>
      </c>
      <c r="BE650" s="192">
        <v>0.22</v>
      </c>
      <c r="BH650" s="94">
        <v>43024</v>
      </c>
      <c r="BI650" s="95">
        <v>0.22</v>
      </c>
      <c r="BJ650" s="96">
        <v>11.01</v>
      </c>
    </row>
    <row r="651" spans="54:62" ht="13.8" x14ac:dyDescent="0.25">
      <c r="BB651" s="187"/>
      <c r="BC651" s="180"/>
      <c r="BD651" s="191">
        <v>43025</v>
      </c>
      <c r="BE651" s="192">
        <v>0.216</v>
      </c>
      <c r="BH651" s="94">
        <v>43025</v>
      </c>
      <c r="BI651" s="95">
        <v>0.216</v>
      </c>
      <c r="BJ651" s="96">
        <v>11.01</v>
      </c>
    </row>
    <row r="652" spans="54:62" ht="13.8" x14ac:dyDescent="0.25">
      <c r="BB652" s="187"/>
      <c r="BC652" s="180"/>
      <c r="BD652" s="191">
        <v>43026</v>
      </c>
      <c r="BE652" s="192">
        <v>0.214</v>
      </c>
      <c r="BH652" s="94">
        <v>43026</v>
      </c>
      <c r="BI652" s="95">
        <v>0.214</v>
      </c>
      <c r="BJ652" s="96">
        <v>11</v>
      </c>
    </row>
    <row r="653" spans="54:62" ht="13.8" x14ac:dyDescent="0.25">
      <c r="BB653" s="187"/>
      <c r="BC653" s="180"/>
      <c r="BD653" s="191">
        <v>43027</v>
      </c>
      <c r="BE653" s="192">
        <v>0.24099999999999999</v>
      </c>
      <c r="BH653" s="94">
        <v>43027</v>
      </c>
      <c r="BI653" s="95">
        <v>0.24099999999999999</v>
      </c>
      <c r="BJ653" s="96">
        <v>11.37</v>
      </c>
    </row>
    <row r="654" spans="54:62" ht="13.8" x14ac:dyDescent="0.25">
      <c r="BB654" s="187"/>
      <c r="BC654" s="180"/>
      <c r="BD654" s="191">
        <v>43028</v>
      </c>
      <c r="BE654" s="192">
        <v>0.24</v>
      </c>
      <c r="BH654" s="94">
        <v>43028</v>
      </c>
      <c r="BI654" s="95">
        <v>0.24</v>
      </c>
      <c r="BJ654" s="96">
        <v>11.36</v>
      </c>
    </row>
    <row r="655" spans="54:62" ht="13.8" x14ac:dyDescent="0.25">
      <c r="BB655" s="187"/>
      <c r="BC655" s="180"/>
      <c r="BD655" s="191">
        <v>43031</v>
      </c>
      <c r="BE655" s="192">
        <v>0.24</v>
      </c>
      <c r="BH655" s="94">
        <v>43031</v>
      </c>
      <c r="BI655" s="95">
        <v>0.24</v>
      </c>
      <c r="BJ655" s="96">
        <v>11.36</v>
      </c>
    </row>
    <row r="656" spans="54:62" ht="13.8" x14ac:dyDescent="0.25">
      <c r="BB656" s="187"/>
      <c r="BC656" s="180"/>
      <c r="BD656" s="191">
        <v>43032</v>
      </c>
      <c r="BE656" s="192">
        <v>0.24099999999999999</v>
      </c>
      <c r="BH656" s="94">
        <v>43032</v>
      </c>
      <c r="BI656" s="95">
        <v>0.24099999999999999</v>
      </c>
      <c r="BJ656" s="96">
        <v>11.35</v>
      </c>
    </row>
    <row r="657" spans="54:62" ht="13.8" x14ac:dyDescent="0.25">
      <c r="BB657" s="187"/>
      <c r="BC657" s="180"/>
      <c r="BD657" s="191">
        <v>43033</v>
      </c>
      <c r="BE657" s="192">
        <v>0.24199999999999999</v>
      </c>
      <c r="BH657" s="94">
        <v>43033</v>
      </c>
      <c r="BI657" s="95">
        <v>0.24199999999999999</v>
      </c>
      <c r="BJ657" s="96">
        <v>11.35</v>
      </c>
    </row>
    <row r="658" spans="54:62" ht="13.8" x14ac:dyDescent="0.25">
      <c r="BB658" s="187"/>
      <c r="BC658" s="180"/>
      <c r="BD658" s="191"/>
      <c r="BE658" s="193">
        <f>+BE657</f>
        <v>0.24199999999999999</v>
      </c>
      <c r="BH658" s="94">
        <v>43035</v>
      </c>
      <c r="BI658" s="95">
        <v>0.23799999999999999</v>
      </c>
      <c r="BJ658" s="96">
        <v>11.34</v>
      </c>
    </row>
    <row r="659" spans="54:62" ht="13.8" x14ac:dyDescent="0.25">
      <c r="BB659" s="187"/>
      <c r="BC659" s="180"/>
      <c r="BD659" s="191">
        <v>43035</v>
      </c>
      <c r="BE659" s="192">
        <v>0.23799999999999999</v>
      </c>
      <c r="BH659" s="94">
        <v>43038</v>
      </c>
      <c r="BI659" s="95">
        <v>0.23499999999999999</v>
      </c>
      <c r="BJ659" s="96">
        <v>11.34</v>
      </c>
    </row>
    <row r="660" spans="54:62" ht="13.8" x14ac:dyDescent="0.25">
      <c r="BB660" s="187"/>
      <c r="BC660" s="180"/>
      <c r="BD660" s="191">
        <v>43038</v>
      </c>
      <c r="BE660" s="192">
        <v>0.23499999999999999</v>
      </c>
      <c r="BH660" s="94">
        <v>43039</v>
      </c>
      <c r="BI660" s="95">
        <v>0.23200000000000001</v>
      </c>
      <c r="BJ660" s="96">
        <v>11.33</v>
      </c>
    </row>
    <row r="661" spans="54:62" ht="13.8" x14ac:dyDescent="0.25">
      <c r="BB661" s="187"/>
      <c r="BC661" s="180"/>
      <c r="BD661" s="191">
        <v>43039</v>
      </c>
      <c r="BE661" s="192">
        <v>0.23200000000000001</v>
      </c>
      <c r="BH661" s="94">
        <v>43041</v>
      </c>
      <c r="BI661" s="95">
        <v>0.22800000000000001</v>
      </c>
      <c r="BJ661" s="96">
        <v>11.33</v>
      </c>
    </row>
    <row r="662" spans="54:62" ht="13.8" x14ac:dyDescent="0.25">
      <c r="BB662" s="187"/>
      <c r="BC662" s="180"/>
      <c r="BD662" s="191"/>
      <c r="BE662" s="193">
        <f>+BE661</f>
        <v>0.23200000000000001</v>
      </c>
      <c r="BF662" s="111">
        <f>+(BC662+BE662)/2+0.37</f>
        <v>0.48599999999999999</v>
      </c>
      <c r="BH662" s="94">
        <v>43042</v>
      </c>
      <c r="BI662" s="95">
        <v>0.22600000000000001</v>
      </c>
      <c r="BJ662" s="96">
        <v>11.33</v>
      </c>
    </row>
    <row r="663" spans="54:62" ht="13.8" x14ac:dyDescent="0.25">
      <c r="BB663" s="187"/>
      <c r="BC663" s="180"/>
      <c r="BD663" s="191">
        <v>43041</v>
      </c>
      <c r="BE663" s="192">
        <v>0.22800000000000001</v>
      </c>
      <c r="BH663" s="94">
        <v>43045</v>
      </c>
      <c r="BI663" s="95">
        <v>0.22</v>
      </c>
      <c r="BJ663" s="96">
        <v>11.32</v>
      </c>
    </row>
    <row r="664" spans="54:62" ht="13.8" x14ac:dyDescent="0.25">
      <c r="BB664" s="187"/>
      <c r="BC664" s="180"/>
      <c r="BD664" s="191">
        <v>43042</v>
      </c>
      <c r="BE664" s="192">
        <v>0.22600000000000001</v>
      </c>
      <c r="BH664" s="94">
        <v>43046</v>
      </c>
      <c r="BI664" s="95">
        <v>0.214</v>
      </c>
      <c r="BJ664" s="96">
        <v>11.31</v>
      </c>
    </row>
    <row r="665" spans="54:62" ht="13.8" x14ac:dyDescent="0.25">
      <c r="BB665" s="187"/>
      <c r="BC665" s="180"/>
      <c r="BD665" s="191">
        <v>43045</v>
      </c>
      <c r="BE665" s="192">
        <v>0.22</v>
      </c>
      <c r="BH665" s="94">
        <v>43047</v>
      </c>
      <c r="BI665" s="95">
        <v>0.20699999999999999</v>
      </c>
      <c r="BJ665" s="96">
        <v>11.31</v>
      </c>
    </row>
    <row r="666" spans="54:62" ht="13.8" x14ac:dyDescent="0.25">
      <c r="BB666" s="187"/>
      <c r="BC666" s="180"/>
      <c r="BD666" s="191">
        <v>43046</v>
      </c>
      <c r="BE666" s="192">
        <v>0.214</v>
      </c>
      <c r="BH666" s="94">
        <v>43048</v>
      </c>
      <c r="BI666" s="95">
        <v>0.20300000000000001</v>
      </c>
      <c r="BJ666" s="96">
        <v>11.31</v>
      </c>
    </row>
    <row r="667" spans="54:62" ht="13.8" x14ac:dyDescent="0.25">
      <c r="BB667" s="187"/>
      <c r="BC667" s="180"/>
      <c r="BD667" s="191">
        <v>43047</v>
      </c>
      <c r="BE667" s="192">
        <v>0.20699999999999999</v>
      </c>
      <c r="BH667" s="94">
        <v>43049</v>
      </c>
      <c r="BI667" s="95">
        <v>0.19900000000000001</v>
      </c>
      <c r="BJ667" s="96">
        <v>11.31</v>
      </c>
    </row>
    <row r="668" spans="54:62" ht="13.8" x14ac:dyDescent="0.25">
      <c r="BB668" s="187"/>
      <c r="BC668" s="180"/>
      <c r="BD668" s="191">
        <v>43048</v>
      </c>
      <c r="BE668" s="192">
        <v>0.20300000000000001</v>
      </c>
      <c r="BH668" s="94">
        <v>43052</v>
      </c>
      <c r="BI668" s="95">
        <v>0.19600000000000001</v>
      </c>
      <c r="BJ668" s="96">
        <v>11.3</v>
      </c>
    </row>
    <row r="669" spans="54:62" ht="13.8" x14ac:dyDescent="0.25">
      <c r="BB669" s="187"/>
      <c r="BC669" s="180"/>
      <c r="BD669" s="191">
        <v>43049</v>
      </c>
      <c r="BE669" s="192">
        <v>0.19900000000000001</v>
      </c>
      <c r="BH669" s="94">
        <v>43053</v>
      </c>
      <c r="BI669" s="95">
        <v>0.19400000000000001</v>
      </c>
      <c r="BJ669" s="96">
        <v>11.3</v>
      </c>
    </row>
    <row r="670" spans="54:62" ht="13.8" x14ac:dyDescent="0.25">
      <c r="BB670" s="187"/>
      <c r="BC670" s="180"/>
      <c r="BD670" s="191">
        <v>43052</v>
      </c>
      <c r="BE670" s="192">
        <v>0.19600000000000001</v>
      </c>
      <c r="BH670" s="94">
        <v>43054</v>
      </c>
      <c r="BI670" s="95">
        <v>0.192</v>
      </c>
      <c r="BJ670" s="96">
        <v>11.3</v>
      </c>
    </row>
    <row r="671" spans="54:62" ht="13.8" x14ac:dyDescent="0.25">
      <c r="BB671" s="187"/>
      <c r="BC671" s="180"/>
      <c r="BD671" s="191">
        <v>43053</v>
      </c>
      <c r="BE671" s="192">
        <v>0.19400000000000001</v>
      </c>
      <c r="BH671" s="94">
        <v>43055</v>
      </c>
      <c r="BI671" s="95">
        <v>0.192</v>
      </c>
      <c r="BJ671" s="96">
        <v>11.29</v>
      </c>
    </row>
    <row r="672" spans="54:62" ht="13.8" x14ac:dyDescent="0.25">
      <c r="BB672" s="187"/>
      <c r="BC672" s="180"/>
      <c r="BD672" s="191">
        <v>43054</v>
      </c>
      <c r="BE672" s="192">
        <v>0.192</v>
      </c>
      <c r="BH672" s="94">
        <v>43056</v>
      </c>
      <c r="BI672" s="95">
        <v>0.19</v>
      </c>
      <c r="BJ672" s="96">
        <v>11.29</v>
      </c>
    </row>
    <row r="673" spans="54:62" ht="13.8" x14ac:dyDescent="0.25">
      <c r="BB673" s="187"/>
      <c r="BC673" s="180"/>
      <c r="BD673" s="191">
        <v>43055</v>
      </c>
      <c r="BE673" s="192">
        <v>0.192</v>
      </c>
      <c r="BH673" s="94">
        <v>43059</v>
      </c>
      <c r="BI673" s="95">
        <v>0.187</v>
      </c>
      <c r="BJ673" s="96">
        <v>11.28</v>
      </c>
    </row>
    <row r="674" spans="54:62" ht="13.8" x14ac:dyDescent="0.25">
      <c r="BB674" s="187"/>
      <c r="BC674" s="180"/>
      <c r="BD674" s="191">
        <v>43056</v>
      </c>
      <c r="BE674" s="192">
        <v>0.19</v>
      </c>
      <c r="BH674" s="94">
        <v>43060</v>
      </c>
      <c r="BI674" s="95">
        <v>0.182</v>
      </c>
      <c r="BJ674" s="96">
        <v>11.28</v>
      </c>
    </row>
    <row r="675" spans="54:62" ht="13.8" x14ac:dyDescent="0.25">
      <c r="BB675" s="187"/>
      <c r="BC675" s="180"/>
      <c r="BD675" s="191">
        <v>43059</v>
      </c>
      <c r="BE675" s="192">
        <v>0.187</v>
      </c>
      <c r="BH675" s="94">
        <v>43061</v>
      </c>
      <c r="BI675" s="95">
        <v>0.17899999999999999</v>
      </c>
      <c r="BJ675" s="96">
        <v>11.28</v>
      </c>
    </row>
    <row r="676" spans="54:62" ht="13.8" x14ac:dyDescent="0.25">
      <c r="BB676" s="187"/>
      <c r="BC676" s="180"/>
      <c r="BD676" s="191">
        <v>43060</v>
      </c>
      <c r="BE676" s="192">
        <v>0.182</v>
      </c>
      <c r="BH676" s="94">
        <v>43062</v>
      </c>
      <c r="BI676" s="95">
        <v>0.17399999999999999</v>
      </c>
      <c r="BJ676" s="96">
        <v>11.27</v>
      </c>
    </row>
    <row r="677" spans="54:62" ht="13.8" x14ac:dyDescent="0.25">
      <c r="BB677" s="187"/>
      <c r="BC677" s="180"/>
      <c r="BD677" s="191">
        <v>43061</v>
      </c>
      <c r="BE677" s="192">
        <v>0.17899999999999999</v>
      </c>
      <c r="BH677" s="94">
        <v>43063</v>
      </c>
      <c r="BI677" s="95">
        <v>0.16700000000000001</v>
      </c>
      <c r="BJ677" s="96">
        <v>11.26</v>
      </c>
    </row>
    <row r="678" spans="54:62" ht="13.8" x14ac:dyDescent="0.25">
      <c r="BB678" s="187"/>
      <c r="BC678" s="180"/>
      <c r="BD678" s="191">
        <v>43062</v>
      </c>
      <c r="BE678" s="192">
        <v>0.17399999999999999</v>
      </c>
      <c r="BH678" s="94">
        <v>43066</v>
      </c>
      <c r="BI678" s="95">
        <v>0.16400000000000001</v>
      </c>
      <c r="BJ678" s="96">
        <v>11.25</v>
      </c>
    </row>
    <row r="679" spans="54:62" ht="13.8" x14ac:dyDescent="0.25">
      <c r="BB679" s="187"/>
      <c r="BC679" s="180"/>
      <c r="BD679" s="191">
        <v>43063</v>
      </c>
      <c r="BE679" s="192">
        <v>0.16700000000000001</v>
      </c>
      <c r="BH679" s="94">
        <v>43067</v>
      </c>
      <c r="BI679" s="95">
        <v>0.16200000000000001</v>
      </c>
      <c r="BJ679" s="96">
        <v>11.25</v>
      </c>
    </row>
    <row r="680" spans="54:62" ht="13.8" x14ac:dyDescent="0.25">
      <c r="BB680" s="187"/>
      <c r="BC680" s="180"/>
      <c r="BD680" s="191">
        <v>43066</v>
      </c>
      <c r="BE680" s="192">
        <v>0.16400000000000001</v>
      </c>
      <c r="BH680" s="94">
        <v>43068</v>
      </c>
      <c r="BI680" s="95">
        <v>0.16200000000000001</v>
      </c>
      <c r="BJ680" s="96">
        <v>11.24</v>
      </c>
    </row>
    <row r="681" spans="54:62" ht="13.8" x14ac:dyDescent="0.25">
      <c r="BB681" s="187"/>
      <c r="BC681" s="180"/>
      <c r="BD681" s="191">
        <v>43067</v>
      </c>
      <c r="BE681" s="192">
        <v>0.16200000000000001</v>
      </c>
      <c r="BH681" s="94">
        <v>43069</v>
      </c>
      <c r="BI681" s="95">
        <v>0.161</v>
      </c>
      <c r="BJ681" s="96">
        <v>11.24</v>
      </c>
    </row>
    <row r="682" spans="54:62" ht="13.8" x14ac:dyDescent="0.25">
      <c r="BB682" s="187"/>
      <c r="BC682" s="180"/>
      <c r="BD682" s="191">
        <v>43068</v>
      </c>
      <c r="BE682" s="192">
        <v>0.16200000000000001</v>
      </c>
      <c r="BH682" s="94">
        <v>43070</v>
      </c>
      <c r="BI682" s="95">
        <v>0.159</v>
      </c>
      <c r="BJ682" s="96">
        <v>11.24</v>
      </c>
    </row>
    <row r="683" spans="54:62" ht="13.8" x14ac:dyDescent="0.25">
      <c r="BB683" s="187"/>
      <c r="BC683" s="180"/>
      <c r="BD683" s="191">
        <v>43069</v>
      </c>
      <c r="BE683" s="192">
        <v>0.161</v>
      </c>
      <c r="BH683" s="94">
        <v>43073</v>
      </c>
      <c r="BI683" s="95">
        <v>0.158</v>
      </c>
      <c r="BJ683" s="96">
        <v>11.23</v>
      </c>
    </row>
    <row r="684" spans="54:62" ht="13.8" x14ac:dyDescent="0.25">
      <c r="BB684" s="187"/>
      <c r="BC684" s="180"/>
      <c r="BD684" s="191">
        <v>43070</v>
      </c>
      <c r="BE684" s="192">
        <v>0.159</v>
      </c>
      <c r="BH684" s="94">
        <v>43074</v>
      </c>
      <c r="BI684" s="95">
        <v>0.157</v>
      </c>
      <c r="BJ684" s="96">
        <v>11.23</v>
      </c>
    </row>
    <row r="685" spans="54:62" ht="13.8" x14ac:dyDescent="0.25">
      <c r="BB685" s="187"/>
      <c r="BC685" s="180"/>
      <c r="BD685" s="191">
        <v>43073</v>
      </c>
      <c r="BE685" s="192">
        <v>0.158</v>
      </c>
      <c r="BH685" s="94">
        <v>43075</v>
      </c>
      <c r="BI685" s="95">
        <v>0.155</v>
      </c>
      <c r="BJ685" s="96">
        <v>11.22</v>
      </c>
    </row>
    <row r="686" spans="54:62" ht="13.8" x14ac:dyDescent="0.25">
      <c r="BB686" s="187"/>
      <c r="BC686" s="180"/>
      <c r="BD686" s="191">
        <v>43074</v>
      </c>
      <c r="BE686" s="192">
        <v>0.157</v>
      </c>
      <c r="BH686" s="94">
        <v>43076</v>
      </c>
      <c r="BI686" s="95">
        <v>0.152</v>
      </c>
      <c r="BJ686" s="96">
        <v>11.22</v>
      </c>
    </row>
    <row r="687" spans="54:62" ht="13.8" x14ac:dyDescent="0.25">
      <c r="BB687" s="187"/>
      <c r="BC687" s="180"/>
      <c r="BD687" s="191">
        <v>43075</v>
      </c>
      <c r="BE687" s="192">
        <v>0.155</v>
      </c>
      <c r="BH687" s="94">
        <v>43080</v>
      </c>
      <c r="BI687" s="95">
        <v>0.14799999999999999</v>
      </c>
      <c r="BJ687" s="96">
        <v>11.21</v>
      </c>
    </row>
    <row r="688" spans="54:62" ht="13.8" x14ac:dyDescent="0.25">
      <c r="BB688" s="187"/>
      <c r="BC688" s="180"/>
      <c r="BD688" s="191">
        <v>43076</v>
      </c>
      <c r="BE688" s="192">
        <v>0.152</v>
      </c>
      <c r="BH688" s="94">
        <v>43081</v>
      </c>
      <c r="BI688" s="95">
        <v>0.14499999999999999</v>
      </c>
      <c r="BJ688" s="96">
        <v>11.21</v>
      </c>
    </row>
    <row r="689" spans="54:62" ht="13.8" x14ac:dyDescent="0.25">
      <c r="BB689" s="187"/>
      <c r="BC689" s="180"/>
      <c r="BD689" s="191"/>
      <c r="BE689" s="193">
        <f>+BE688</f>
        <v>0.152</v>
      </c>
      <c r="BH689" s="94">
        <v>43082</v>
      </c>
      <c r="BI689" s="95">
        <v>0.14199999999999999</v>
      </c>
      <c r="BJ689" s="96">
        <v>11.21</v>
      </c>
    </row>
    <row r="690" spans="54:62" ht="13.8" x14ac:dyDescent="0.25">
      <c r="BB690" s="187"/>
      <c r="BC690" s="180"/>
      <c r="BD690" s="191">
        <v>43080</v>
      </c>
      <c r="BE690" s="192">
        <v>0.14799999999999999</v>
      </c>
      <c r="BH690" s="94">
        <v>43083</v>
      </c>
      <c r="BI690" s="95">
        <v>0.14199999999999999</v>
      </c>
      <c r="BJ690" s="96">
        <v>11.2</v>
      </c>
    </row>
    <row r="691" spans="54:62" ht="13.8" x14ac:dyDescent="0.25">
      <c r="BB691" s="187"/>
      <c r="BC691" s="180"/>
      <c r="BD691" s="191">
        <v>43081</v>
      </c>
      <c r="BE691" s="192">
        <v>0.14499999999999999</v>
      </c>
      <c r="BH691" s="94">
        <v>43084</v>
      </c>
      <c r="BI691" s="95">
        <v>0.14000000000000001</v>
      </c>
      <c r="BJ691" s="96">
        <v>11.2</v>
      </c>
    </row>
    <row r="692" spans="54:62" ht="13.8" x14ac:dyDescent="0.25">
      <c r="BB692" s="187"/>
      <c r="BC692" s="180"/>
      <c r="BD692" s="191">
        <v>43082</v>
      </c>
      <c r="BE692" s="192">
        <v>0.14199999999999999</v>
      </c>
      <c r="BH692" s="94">
        <v>43087</v>
      </c>
      <c r="BI692" s="95">
        <v>0.13900000000000001</v>
      </c>
      <c r="BJ692" s="96">
        <v>11.19</v>
      </c>
    </row>
    <row r="693" spans="54:62" ht="13.8" x14ac:dyDescent="0.25">
      <c r="BB693" s="187"/>
      <c r="BC693" s="180"/>
      <c r="BD693" s="191">
        <v>43083</v>
      </c>
      <c r="BE693" s="192">
        <v>0.14199999999999999</v>
      </c>
      <c r="BH693" s="94">
        <v>43088</v>
      </c>
      <c r="BI693" s="95">
        <v>0.14000000000000001</v>
      </c>
      <c r="BJ693" s="96">
        <v>11.19</v>
      </c>
    </row>
    <row r="694" spans="54:62" ht="13.8" x14ac:dyDescent="0.25">
      <c r="BB694" s="187"/>
      <c r="BC694" s="180"/>
      <c r="BD694" s="191">
        <v>43084</v>
      </c>
      <c r="BE694" s="192">
        <v>0.14000000000000001</v>
      </c>
      <c r="BH694" s="94">
        <v>43089</v>
      </c>
      <c r="BI694" s="95">
        <v>0.14299999999999999</v>
      </c>
      <c r="BJ694" s="96">
        <v>11.19</v>
      </c>
    </row>
    <row r="695" spans="54:62" ht="13.8" x14ac:dyDescent="0.25">
      <c r="BB695" s="187"/>
      <c r="BC695" s="180"/>
      <c r="BD695" s="191">
        <v>43087</v>
      </c>
      <c r="BE695" s="192">
        <v>0.13900000000000001</v>
      </c>
      <c r="BH695" s="94">
        <v>43090</v>
      </c>
      <c r="BI695" s="95">
        <v>0.14699999999999999</v>
      </c>
      <c r="BJ695" s="96">
        <v>11.18</v>
      </c>
    </row>
    <row r="696" spans="54:62" ht="13.8" x14ac:dyDescent="0.25">
      <c r="BB696" s="187"/>
      <c r="BC696" s="180"/>
      <c r="BD696" s="191">
        <v>43088</v>
      </c>
      <c r="BE696" s="192">
        <v>0.14000000000000001</v>
      </c>
      <c r="BH696" s="94">
        <v>43091</v>
      </c>
      <c r="BI696" s="95">
        <v>0.14599999999999999</v>
      </c>
      <c r="BJ696" s="96">
        <v>11.18</v>
      </c>
    </row>
    <row r="697" spans="54:62" ht="13.8" x14ac:dyDescent="0.25">
      <c r="BB697" s="187"/>
      <c r="BC697" s="180"/>
      <c r="BD697" s="191">
        <v>43089</v>
      </c>
      <c r="BE697" s="192">
        <v>0.14299999999999999</v>
      </c>
      <c r="BH697" s="94">
        <v>43096</v>
      </c>
      <c r="BI697" s="95">
        <v>0.14899999999999999</v>
      </c>
      <c r="BJ697" s="96">
        <v>11.17</v>
      </c>
    </row>
    <row r="698" spans="54:62" ht="13.8" x14ac:dyDescent="0.25">
      <c r="BB698" s="187"/>
      <c r="BC698" s="180"/>
      <c r="BD698" s="191">
        <v>43090</v>
      </c>
      <c r="BE698" s="192">
        <v>0.14699999999999999</v>
      </c>
      <c r="BH698" s="94">
        <v>43097</v>
      </c>
      <c r="BI698" s="95">
        <v>0.153</v>
      </c>
      <c r="BJ698" s="96">
        <v>11.16</v>
      </c>
    </row>
    <row r="699" spans="54:62" ht="13.8" x14ac:dyDescent="0.25">
      <c r="BB699" s="187"/>
      <c r="BC699" s="180"/>
      <c r="BD699" s="191">
        <v>43091</v>
      </c>
      <c r="BE699" s="192">
        <v>0.14599999999999999</v>
      </c>
      <c r="BH699" s="94">
        <v>43098</v>
      </c>
      <c r="BI699" s="95">
        <v>0.158</v>
      </c>
      <c r="BJ699" s="96">
        <v>11.16</v>
      </c>
    </row>
    <row r="700" spans="54:62" ht="13.8" x14ac:dyDescent="0.25">
      <c r="BB700" s="187"/>
      <c r="BC700" s="180"/>
      <c r="BD700" s="191"/>
      <c r="BE700" s="193">
        <f>+BE699</f>
        <v>0.14599999999999999</v>
      </c>
      <c r="BH700" s="94">
        <v>43102</v>
      </c>
      <c r="BI700" s="95">
        <v>0.16200000000000001</v>
      </c>
      <c r="BJ700" s="96">
        <v>11.15</v>
      </c>
    </row>
    <row r="701" spans="54:62" ht="13.8" x14ac:dyDescent="0.25">
      <c r="BB701" s="187"/>
      <c r="BC701" s="180"/>
      <c r="BD701" s="191"/>
      <c r="BE701" s="193">
        <f>+BE700</f>
        <v>0.14599999999999999</v>
      </c>
      <c r="BH701" s="94">
        <v>43103</v>
      </c>
      <c r="BI701" s="95">
        <v>0.16600000000000001</v>
      </c>
      <c r="BJ701" s="96">
        <v>11.15</v>
      </c>
    </row>
    <row r="702" spans="54:62" ht="13.8" x14ac:dyDescent="0.25">
      <c r="BB702" s="187"/>
      <c r="BC702" s="180"/>
      <c r="BD702" s="191">
        <v>43096</v>
      </c>
      <c r="BE702" s="192">
        <v>0.14899999999999999</v>
      </c>
      <c r="BH702" s="94">
        <v>43104</v>
      </c>
      <c r="BI702" s="95">
        <v>0.17100000000000001</v>
      </c>
      <c r="BJ702" s="96">
        <v>11.15</v>
      </c>
    </row>
    <row r="703" spans="54:62" ht="13.8" x14ac:dyDescent="0.25">
      <c r="BB703" s="187"/>
      <c r="BC703" s="180"/>
      <c r="BD703" s="191">
        <v>43097</v>
      </c>
      <c r="BE703" s="192">
        <v>0.153</v>
      </c>
      <c r="BH703" s="94">
        <v>43105</v>
      </c>
      <c r="BI703" s="95">
        <v>0.17699999999999999</v>
      </c>
      <c r="BJ703" s="96">
        <v>11.14</v>
      </c>
    </row>
    <row r="704" spans="54:62" ht="13.8" x14ac:dyDescent="0.25">
      <c r="BB704" s="187"/>
      <c r="BC704" s="180"/>
      <c r="BD704" s="191">
        <v>43098</v>
      </c>
      <c r="BE704" s="192">
        <v>0.158</v>
      </c>
      <c r="BH704" s="94">
        <v>43108</v>
      </c>
      <c r="BI704" s="95">
        <v>0.183</v>
      </c>
      <c r="BJ704" s="96">
        <v>11.13</v>
      </c>
    </row>
    <row r="705" spans="54:62" ht="13.8" x14ac:dyDescent="0.25">
      <c r="BB705" s="187"/>
      <c r="BC705" s="180"/>
      <c r="BD705" s="191"/>
      <c r="BE705" s="193">
        <f>+BE704</f>
        <v>0.158</v>
      </c>
      <c r="BH705" s="94">
        <v>43109</v>
      </c>
      <c r="BI705" s="95">
        <v>0.191</v>
      </c>
      <c r="BJ705" s="96">
        <v>11.13</v>
      </c>
    </row>
    <row r="706" spans="54:62" ht="13.8" x14ac:dyDescent="0.25">
      <c r="BB706" s="187"/>
      <c r="BC706" s="180"/>
      <c r="BD706" s="191">
        <v>43102</v>
      </c>
      <c r="BE706" s="192">
        <v>0.16200000000000001</v>
      </c>
      <c r="BH706" s="94">
        <v>43110</v>
      </c>
      <c r="BI706" s="95">
        <v>0.2</v>
      </c>
      <c r="BJ706" s="96">
        <v>11.13</v>
      </c>
    </row>
    <row r="707" spans="54:62" ht="13.8" x14ac:dyDescent="0.25">
      <c r="BB707" s="187"/>
      <c r="BC707" s="180"/>
      <c r="BD707" s="191">
        <v>43103</v>
      </c>
      <c r="BE707" s="192">
        <v>0.16600000000000001</v>
      </c>
      <c r="BH707" s="94">
        <v>43111</v>
      </c>
      <c r="BI707" s="95">
        <v>0.215</v>
      </c>
      <c r="BJ707" s="96">
        <v>11.17</v>
      </c>
    </row>
    <row r="708" spans="54:62" ht="13.8" x14ac:dyDescent="0.25">
      <c r="BB708" s="187"/>
      <c r="BC708" s="180"/>
      <c r="BD708" s="191">
        <v>43104</v>
      </c>
      <c r="BE708" s="192">
        <v>0.17100000000000001</v>
      </c>
      <c r="BH708" s="94">
        <v>43112</v>
      </c>
      <c r="BI708" s="95">
        <v>0.22600000000000001</v>
      </c>
      <c r="BJ708" s="96">
        <v>11.16</v>
      </c>
    </row>
    <row r="709" spans="54:62" ht="13.8" x14ac:dyDescent="0.25">
      <c r="BB709" s="187"/>
      <c r="BC709" s="180"/>
      <c r="BD709" s="191">
        <v>43105</v>
      </c>
      <c r="BE709" s="192">
        <v>0.17699999999999999</v>
      </c>
      <c r="BH709" s="94">
        <v>43115</v>
      </c>
      <c r="BI709" s="95">
        <v>0.23499999999999999</v>
      </c>
      <c r="BJ709" s="96">
        <v>11.15</v>
      </c>
    </row>
    <row r="710" spans="54:62" ht="13.8" x14ac:dyDescent="0.25">
      <c r="BB710" s="187"/>
      <c r="BC710" s="180"/>
      <c r="BD710" s="191">
        <v>43108</v>
      </c>
      <c r="BE710" s="192">
        <v>0.183</v>
      </c>
      <c r="BH710" s="94">
        <v>43116</v>
      </c>
      <c r="BI710" s="95">
        <v>0.24299999999999999</v>
      </c>
      <c r="BJ710" s="96">
        <v>11.15</v>
      </c>
    </row>
    <row r="711" spans="54:62" ht="13.8" x14ac:dyDescent="0.25">
      <c r="BB711" s="187"/>
      <c r="BC711" s="180"/>
      <c r="BD711" s="191">
        <v>43109</v>
      </c>
      <c r="BE711" s="192">
        <v>0.191</v>
      </c>
      <c r="BH711" s="94">
        <v>43117</v>
      </c>
      <c r="BI711" s="95">
        <v>0.251</v>
      </c>
      <c r="BJ711" s="96">
        <v>11.15</v>
      </c>
    </row>
    <row r="712" spans="54:62" ht="13.8" x14ac:dyDescent="0.25">
      <c r="BB712" s="187"/>
      <c r="BC712" s="180"/>
      <c r="BD712" s="191">
        <v>43110</v>
      </c>
      <c r="BE712" s="192">
        <v>0.2</v>
      </c>
      <c r="BH712" s="94">
        <v>43118</v>
      </c>
      <c r="BI712" s="95">
        <v>0.26100000000000001</v>
      </c>
      <c r="BJ712" s="96">
        <v>11.15</v>
      </c>
    </row>
    <row r="713" spans="54:62" ht="13.8" x14ac:dyDescent="0.25">
      <c r="BB713" s="187"/>
      <c r="BC713" s="180"/>
      <c r="BD713" s="191">
        <v>43111</v>
      </c>
      <c r="BE713" s="192">
        <v>0.215</v>
      </c>
      <c r="BH713" s="94">
        <v>43119</v>
      </c>
      <c r="BI713" s="95">
        <v>0.26900000000000002</v>
      </c>
      <c r="BJ713" s="96">
        <v>11.14</v>
      </c>
    </row>
    <row r="714" spans="54:62" ht="13.8" x14ac:dyDescent="0.25">
      <c r="BB714" s="187"/>
      <c r="BC714" s="180"/>
      <c r="BD714" s="191">
        <v>43112</v>
      </c>
      <c r="BE714" s="192">
        <v>0.22600000000000001</v>
      </c>
      <c r="BH714" s="94">
        <v>43122</v>
      </c>
      <c r="BI714" s="95">
        <v>0.27400000000000002</v>
      </c>
      <c r="BJ714" s="96">
        <v>11.14</v>
      </c>
    </row>
    <row r="715" spans="54:62" ht="13.8" x14ac:dyDescent="0.25">
      <c r="BB715" s="187"/>
      <c r="BC715" s="180"/>
      <c r="BD715" s="191">
        <v>43115</v>
      </c>
      <c r="BE715" s="192">
        <v>0.23499999999999999</v>
      </c>
      <c r="BH715" s="94">
        <v>43123</v>
      </c>
      <c r="BI715" s="95">
        <v>0.27800000000000002</v>
      </c>
      <c r="BJ715" s="96">
        <v>11.13</v>
      </c>
    </row>
    <row r="716" spans="54:62" ht="13.8" x14ac:dyDescent="0.25">
      <c r="BB716" s="187"/>
      <c r="BC716" s="180"/>
      <c r="BD716" s="191">
        <v>43116</v>
      </c>
      <c r="BE716" s="192">
        <v>0.24299999999999999</v>
      </c>
      <c r="BH716" s="94">
        <v>43124</v>
      </c>
      <c r="BI716" s="95">
        <v>0.28100000000000003</v>
      </c>
      <c r="BJ716" s="96">
        <v>11.13</v>
      </c>
    </row>
    <row r="717" spans="54:62" ht="13.8" x14ac:dyDescent="0.25">
      <c r="BB717" s="187"/>
      <c r="BC717" s="180"/>
      <c r="BD717" s="191">
        <v>43117</v>
      </c>
      <c r="BE717" s="192">
        <v>0.251</v>
      </c>
      <c r="BH717" s="94">
        <v>43125</v>
      </c>
      <c r="BI717" s="95">
        <v>0.29899999999999999</v>
      </c>
      <c r="BJ717" s="96">
        <v>11.11</v>
      </c>
    </row>
    <row r="718" spans="54:62" ht="13.8" x14ac:dyDescent="0.25">
      <c r="BB718" s="187"/>
      <c r="BC718" s="180"/>
      <c r="BD718" s="191">
        <v>43118</v>
      </c>
      <c r="BE718" s="192">
        <v>0.26100000000000001</v>
      </c>
      <c r="BH718" s="94">
        <v>43126</v>
      </c>
      <c r="BI718" s="95">
        <v>0.307</v>
      </c>
      <c r="BJ718" s="96">
        <v>11.09</v>
      </c>
    </row>
    <row r="719" spans="54:62" ht="13.8" x14ac:dyDescent="0.25">
      <c r="BB719" s="187"/>
      <c r="BC719" s="180"/>
      <c r="BD719" s="191">
        <v>43119</v>
      </c>
      <c r="BE719" s="192">
        <v>0.26900000000000002</v>
      </c>
      <c r="BH719" s="94">
        <v>43129</v>
      </c>
      <c r="BI719" s="95">
        <v>0.315</v>
      </c>
      <c r="BJ719" s="96">
        <v>11.08</v>
      </c>
    </row>
    <row r="720" spans="54:62" ht="13.8" x14ac:dyDescent="0.25">
      <c r="BB720" s="187"/>
      <c r="BC720" s="180"/>
      <c r="BD720" s="191">
        <v>43122</v>
      </c>
      <c r="BE720" s="192">
        <v>0.27400000000000002</v>
      </c>
      <c r="BH720" s="94">
        <v>43130</v>
      </c>
      <c r="BI720" s="95">
        <v>0.32300000000000001</v>
      </c>
      <c r="BJ720" s="96">
        <v>11.08</v>
      </c>
    </row>
    <row r="721" spans="54:62" ht="13.8" x14ac:dyDescent="0.25">
      <c r="BB721" s="187"/>
      <c r="BC721" s="180"/>
      <c r="BD721" s="191">
        <v>43123</v>
      </c>
      <c r="BE721" s="192">
        <v>0.27800000000000002</v>
      </c>
      <c r="BH721" s="94">
        <v>43131</v>
      </c>
      <c r="BI721" s="95">
        <v>0.33200000000000002</v>
      </c>
      <c r="BJ721" s="96">
        <v>11.07</v>
      </c>
    </row>
    <row r="722" spans="54:62" ht="13.8" x14ac:dyDescent="0.25">
      <c r="BB722" s="187"/>
      <c r="BC722" s="180"/>
      <c r="BD722" s="191">
        <v>43124</v>
      </c>
      <c r="BE722" s="192">
        <v>0.28100000000000003</v>
      </c>
      <c r="BH722" s="94">
        <v>43132</v>
      </c>
      <c r="BI722" s="95">
        <v>0.34100000000000003</v>
      </c>
      <c r="BJ722" s="96">
        <v>11.07</v>
      </c>
    </row>
    <row r="723" spans="54:62" ht="13.8" x14ac:dyDescent="0.25">
      <c r="BB723" s="187"/>
      <c r="BC723" s="180"/>
      <c r="BD723" s="191">
        <v>43125</v>
      </c>
      <c r="BE723" s="192">
        <v>0.29899999999999999</v>
      </c>
      <c r="BH723" s="94">
        <v>43133</v>
      </c>
      <c r="BI723" s="95">
        <v>0.35099999999999998</v>
      </c>
      <c r="BJ723" s="96">
        <v>11.07</v>
      </c>
    </row>
    <row r="724" spans="54:62" ht="13.8" x14ac:dyDescent="0.25">
      <c r="BB724" s="187"/>
      <c r="BC724" s="180"/>
      <c r="BD724" s="191">
        <v>43126</v>
      </c>
      <c r="BE724" s="192">
        <v>0.307</v>
      </c>
      <c r="BH724" s="94">
        <v>43136</v>
      </c>
      <c r="BI724" s="95">
        <v>0.36</v>
      </c>
      <c r="BJ724" s="96">
        <v>11.06</v>
      </c>
    </row>
    <row r="725" spans="54:62" ht="13.8" x14ac:dyDescent="0.25">
      <c r="BB725" s="187"/>
      <c r="BC725" s="180"/>
      <c r="BD725" s="191">
        <v>43129</v>
      </c>
      <c r="BE725" s="192">
        <v>0.315</v>
      </c>
      <c r="BH725" s="94">
        <v>43137</v>
      </c>
      <c r="BI725" s="95">
        <v>0.36699999999999999</v>
      </c>
      <c r="BJ725" s="96">
        <v>11.06</v>
      </c>
    </row>
    <row r="726" spans="54:62" ht="13.8" x14ac:dyDescent="0.25">
      <c r="BB726" s="187"/>
      <c r="BC726" s="180"/>
      <c r="BD726" s="191">
        <v>43130</v>
      </c>
      <c r="BE726" s="192">
        <v>0.32300000000000001</v>
      </c>
      <c r="BH726" s="94">
        <v>43138</v>
      </c>
      <c r="BI726" s="95">
        <v>0.374</v>
      </c>
      <c r="BJ726" s="96">
        <v>11.05</v>
      </c>
    </row>
    <row r="727" spans="54:62" ht="13.8" x14ac:dyDescent="0.25">
      <c r="BB727" s="187"/>
      <c r="BC727" s="180"/>
      <c r="BD727" s="191">
        <v>43131</v>
      </c>
      <c r="BE727" s="192">
        <v>0.33200000000000002</v>
      </c>
      <c r="BH727" s="94">
        <v>43139</v>
      </c>
      <c r="BI727" s="95">
        <v>0.38100000000000001</v>
      </c>
      <c r="BJ727" s="96">
        <v>11.03</v>
      </c>
    </row>
    <row r="728" spans="54:62" ht="13.8" x14ac:dyDescent="0.25">
      <c r="BB728" s="187"/>
      <c r="BC728" s="180"/>
      <c r="BD728" s="191">
        <v>43132</v>
      </c>
      <c r="BE728" s="192">
        <v>0.34100000000000003</v>
      </c>
      <c r="BH728" s="94">
        <v>43140</v>
      </c>
      <c r="BI728" s="95">
        <v>0.38600000000000001</v>
      </c>
      <c r="BJ728" s="96">
        <v>11.02</v>
      </c>
    </row>
    <row r="729" spans="54:62" ht="13.8" x14ac:dyDescent="0.25">
      <c r="BB729" s="187"/>
      <c r="BC729" s="180"/>
      <c r="BD729" s="191">
        <v>43133</v>
      </c>
      <c r="BE729" s="192">
        <v>0.35099999999999998</v>
      </c>
      <c r="BH729" s="94">
        <v>43143</v>
      </c>
      <c r="BI729" s="95">
        <v>0.39100000000000001</v>
      </c>
      <c r="BJ729" s="96">
        <v>11.02</v>
      </c>
    </row>
    <row r="730" spans="54:62" ht="13.8" x14ac:dyDescent="0.25">
      <c r="BB730" s="187"/>
      <c r="BC730" s="180"/>
      <c r="BD730" s="191">
        <v>43136</v>
      </c>
      <c r="BE730" s="192">
        <v>0.36</v>
      </c>
      <c r="BH730" s="94">
        <v>43144</v>
      </c>
      <c r="BI730" s="95">
        <v>0.39600000000000002</v>
      </c>
      <c r="BJ730" s="96">
        <v>11.01</v>
      </c>
    </row>
    <row r="731" spans="54:62" ht="13.8" x14ac:dyDescent="0.25">
      <c r="BB731" s="187"/>
      <c r="BC731" s="180"/>
      <c r="BD731" s="191">
        <v>43137</v>
      </c>
      <c r="BE731" s="192">
        <v>0.36699999999999999</v>
      </c>
      <c r="BH731" s="94">
        <v>43145</v>
      </c>
      <c r="BI731" s="95">
        <v>0.40200000000000002</v>
      </c>
      <c r="BJ731" s="96">
        <v>11.01</v>
      </c>
    </row>
    <row r="732" spans="54:62" ht="13.8" x14ac:dyDescent="0.25">
      <c r="BB732" s="187"/>
      <c r="BC732" s="180"/>
      <c r="BD732" s="191">
        <v>43138</v>
      </c>
      <c r="BE732" s="192">
        <v>0.374</v>
      </c>
      <c r="BH732" s="94">
        <v>43146</v>
      </c>
      <c r="BI732" s="95">
        <v>0.40899999999999997</v>
      </c>
      <c r="BJ732" s="96">
        <v>11.01</v>
      </c>
    </row>
    <row r="733" spans="54:62" ht="13.8" x14ac:dyDescent="0.25">
      <c r="BB733" s="187"/>
      <c r="BC733" s="180"/>
      <c r="BD733" s="191">
        <v>43139</v>
      </c>
      <c r="BE733" s="192">
        <v>0.38100000000000001</v>
      </c>
      <c r="BH733" s="94">
        <v>43147</v>
      </c>
      <c r="BI733" s="95">
        <v>0.41299999999999998</v>
      </c>
      <c r="BJ733" s="96">
        <v>11</v>
      </c>
    </row>
    <row r="734" spans="54:62" ht="13.8" x14ac:dyDescent="0.25">
      <c r="BB734" s="187"/>
      <c r="BC734" s="180"/>
      <c r="BD734" s="191">
        <v>43140</v>
      </c>
      <c r="BE734" s="192">
        <v>0.38600000000000001</v>
      </c>
      <c r="BH734" s="94">
        <v>43150</v>
      </c>
      <c r="BI734" s="95">
        <v>0.41899999999999998</v>
      </c>
      <c r="BJ734" s="96">
        <v>11</v>
      </c>
    </row>
    <row r="735" spans="54:62" ht="13.8" x14ac:dyDescent="0.25">
      <c r="BB735" s="187"/>
      <c r="BC735" s="180"/>
      <c r="BD735" s="191">
        <v>43143</v>
      </c>
      <c r="BE735" s="192">
        <v>0.39100000000000001</v>
      </c>
      <c r="BH735" s="94">
        <v>43151</v>
      </c>
      <c r="BI735" s="95">
        <v>0.42499999999999999</v>
      </c>
      <c r="BJ735" s="96">
        <v>10.99</v>
      </c>
    </row>
    <row r="736" spans="54:62" ht="13.8" x14ac:dyDescent="0.25">
      <c r="BB736" s="187"/>
      <c r="BC736" s="180"/>
      <c r="BD736" s="191">
        <v>43144</v>
      </c>
      <c r="BE736" s="192">
        <v>0.39600000000000002</v>
      </c>
      <c r="BH736" s="94">
        <v>43152</v>
      </c>
      <c r="BI736" s="95">
        <v>0.42899999999999999</v>
      </c>
      <c r="BJ736" s="96">
        <v>10.99</v>
      </c>
    </row>
    <row r="737" spans="54:62" ht="13.8" x14ac:dyDescent="0.25">
      <c r="BB737" s="187"/>
      <c r="BC737" s="180"/>
      <c r="BD737" s="191">
        <v>43145</v>
      </c>
      <c r="BE737" s="192">
        <v>0.40200000000000002</v>
      </c>
      <c r="BH737" s="94">
        <v>43153</v>
      </c>
      <c r="BI737" s="95">
        <v>0.432</v>
      </c>
      <c r="BJ737" s="96">
        <v>10.99</v>
      </c>
    </row>
    <row r="738" spans="54:62" ht="13.8" x14ac:dyDescent="0.25">
      <c r="BB738" s="187"/>
      <c r="BC738" s="180"/>
      <c r="BD738" s="191">
        <v>43146</v>
      </c>
      <c r="BE738" s="192">
        <v>0.40899999999999997</v>
      </c>
      <c r="BH738" s="94">
        <v>43154</v>
      </c>
      <c r="BI738" s="95">
        <v>0.433</v>
      </c>
      <c r="BJ738" s="96">
        <v>10.98</v>
      </c>
    </row>
    <row r="739" spans="54:62" ht="13.8" x14ac:dyDescent="0.25">
      <c r="BB739" s="187"/>
      <c r="BC739" s="180"/>
      <c r="BD739" s="191">
        <v>43147</v>
      </c>
      <c r="BE739" s="192">
        <v>0.41299999999999998</v>
      </c>
      <c r="BH739" s="94">
        <v>43157</v>
      </c>
      <c r="BI739" s="95">
        <v>0.43099999999999999</v>
      </c>
      <c r="BJ739" s="96">
        <v>10.98</v>
      </c>
    </row>
    <row r="740" spans="54:62" ht="13.8" x14ac:dyDescent="0.25">
      <c r="BB740" s="187"/>
      <c r="BC740" s="180"/>
      <c r="BD740" s="191">
        <v>43150</v>
      </c>
      <c r="BE740" s="192">
        <v>0.41899999999999998</v>
      </c>
      <c r="BH740" s="94">
        <v>43158</v>
      </c>
      <c r="BI740" s="95">
        <v>0.43</v>
      </c>
      <c r="BJ740" s="96">
        <v>10.97</v>
      </c>
    </row>
    <row r="741" spans="54:62" ht="13.8" x14ac:dyDescent="0.25">
      <c r="BB741" s="187"/>
      <c r="BC741" s="180"/>
      <c r="BD741" s="191">
        <v>43151</v>
      </c>
      <c r="BE741" s="192">
        <v>0.42499999999999999</v>
      </c>
      <c r="BH741" s="94">
        <v>43159</v>
      </c>
      <c r="BI741" s="95">
        <v>0.42799999999999999</v>
      </c>
      <c r="BJ741" s="96">
        <v>10.97</v>
      </c>
    </row>
    <row r="742" spans="54:62" ht="13.8" x14ac:dyDescent="0.25">
      <c r="BB742" s="187"/>
      <c r="BC742" s="180"/>
      <c r="BD742" s="191">
        <v>43152</v>
      </c>
      <c r="BE742" s="192">
        <v>0.42899999999999999</v>
      </c>
      <c r="BH742" s="94">
        <v>43160</v>
      </c>
      <c r="BI742" s="95">
        <v>0.42499999999999999</v>
      </c>
      <c r="BJ742" s="96">
        <v>10.97</v>
      </c>
    </row>
    <row r="743" spans="54:62" ht="13.8" x14ac:dyDescent="0.25">
      <c r="BB743" s="187"/>
      <c r="BC743" s="180"/>
      <c r="BD743" s="191">
        <v>43153</v>
      </c>
      <c r="BE743" s="192">
        <v>0.432</v>
      </c>
      <c r="BH743" s="94">
        <v>43161</v>
      </c>
      <c r="BI743" s="95">
        <v>0.42</v>
      </c>
      <c r="BJ743" s="96">
        <v>10.97</v>
      </c>
    </row>
    <row r="744" spans="54:62" ht="13.8" x14ac:dyDescent="0.25">
      <c r="BB744" s="187"/>
      <c r="BC744" s="180"/>
      <c r="BD744" s="191">
        <v>43154</v>
      </c>
      <c r="BE744" s="192">
        <v>0.433</v>
      </c>
      <c r="BH744" s="94">
        <v>43164</v>
      </c>
      <c r="BI744" s="95">
        <v>0.41599999999999998</v>
      </c>
      <c r="BJ744" s="96">
        <v>10.96</v>
      </c>
    </row>
    <row r="745" spans="54:62" ht="13.8" x14ac:dyDescent="0.25">
      <c r="BB745" s="187"/>
      <c r="BC745" s="180"/>
      <c r="BD745" s="191">
        <v>43157</v>
      </c>
      <c r="BE745" s="192">
        <v>0.43099999999999999</v>
      </c>
      <c r="BH745" s="94">
        <v>43165</v>
      </c>
      <c r="BI745" s="95">
        <v>0.41599999999999998</v>
      </c>
      <c r="BJ745" s="96">
        <v>10.95</v>
      </c>
    </row>
    <row r="746" spans="54:62" ht="13.8" x14ac:dyDescent="0.25">
      <c r="BB746" s="187"/>
      <c r="BC746" s="180"/>
      <c r="BD746" s="191">
        <v>43158</v>
      </c>
      <c r="BE746" s="192">
        <v>0.43</v>
      </c>
      <c r="BH746" s="94">
        <v>43166</v>
      </c>
      <c r="BI746" s="95">
        <v>0.41499999999999998</v>
      </c>
      <c r="BJ746" s="96">
        <v>10.95</v>
      </c>
    </row>
    <row r="747" spans="54:62" ht="13.8" x14ac:dyDescent="0.25">
      <c r="BB747" s="187"/>
      <c r="BC747" s="180"/>
      <c r="BD747" s="191">
        <v>43159</v>
      </c>
      <c r="BE747" s="192">
        <v>0.42799999999999999</v>
      </c>
      <c r="BH747" s="94">
        <v>43167</v>
      </c>
      <c r="BI747" s="95">
        <v>0.41199999999999998</v>
      </c>
      <c r="BJ747" s="96">
        <v>10.93</v>
      </c>
    </row>
    <row r="748" spans="54:62" ht="13.8" x14ac:dyDescent="0.25">
      <c r="BB748" s="187"/>
      <c r="BC748" s="180"/>
      <c r="BD748" s="191">
        <v>43160</v>
      </c>
      <c r="BE748" s="192">
        <v>0.42499999999999999</v>
      </c>
      <c r="BH748" s="94">
        <v>43168</v>
      </c>
      <c r="BI748" s="95">
        <v>0.40899999999999997</v>
      </c>
      <c r="BJ748" s="96">
        <v>10.92</v>
      </c>
    </row>
    <row r="749" spans="54:62" ht="13.8" x14ac:dyDescent="0.25">
      <c r="BB749" s="187"/>
      <c r="BC749" s="180"/>
      <c r="BD749" s="191">
        <v>43161</v>
      </c>
      <c r="BE749" s="192">
        <v>0.42</v>
      </c>
      <c r="BH749" s="94">
        <v>43171</v>
      </c>
      <c r="BI749" s="95">
        <v>0.40500000000000003</v>
      </c>
      <c r="BJ749" s="96">
        <v>10.91</v>
      </c>
    </row>
    <row r="750" spans="54:62" ht="13.8" x14ac:dyDescent="0.25">
      <c r="BB750" s="187"/>
      <c r="BC750" s="180"/>
      <c r="BD750" s="191">
        <v>43164</v>
      </c>
      <c r="BE750" s="192">
        <v>0.41599999999999998</v>
      </c>
      <c r="BH750" s="94">
        <v>43172</v>
      </c>
      <c r="BI750" s="95">
        <v>0.40100000000000002</v>
      </c>
      <c r="BJ750" s="96">
        <v>10.91</v>
      </c>
    </row>
    <row r="751" spans="54:62" ht="13.8" x14ac:dyDescent="0.25">
      <c r="BB751" s="187"/>
      <c r="BC751" s="180"/>
      <c r="BD751" s="191">
        <v>43165</v>
      </c>
      <c r="BE751" s="192">
        <v>0.41599999999999998</v>
      </c>
      <c r="BH751" s="94">
        <v>43173</v>
      </c>
      <c r="BI751" s="95">
        <v>0.39700000000000002</v>
      </c>
      <c r="BJ751" s="96">
        <v>10.91</v>
      </c>
    </row>
    <row r="752" spans="54:62" ht="13.8" x14ac:dyDescent="0.25">
      <c r="BB752" s="187"/>
      <c r="BC752" s="180"/>
      <c r="BD752" s="191">
        <v>43166</v>
      </c>
      <c r="BE752" s="192">
        <v>0.41499999999999998</v>
      </c>
      <c r="BH752" s="94">
        <v>43174</v>
      </c>
      <c r="BI752" s="95">
        <v>0.44500000000000001</v>
      </c>
      <c r="BJ752" s="96">
        <v>11.49</v>
      </c>
    </row>
    <row r="753" spans="54:62" ht="13.8" x14ac:dyDescent="0.25">
      <c r="BB753" s="187"/>
      <c r="BC753" s="180"/>
      <c r="BD753" s="191">
        <v>43167</v>
      </c>
      <c r="BE753" s="192">
        <v>0.41199999999999998</v>
      </c>
      <c r="BH753" s="94">
        <v>43175</v>
      </c>
      <c r="BI753" s="95">
        <v>0.439</v>
      </c>
      <c r="BJ753" s="96">
        <v>11.48</v>
      </c>
    </row>
    <row r="754" spans="54:62" ht="13.8" x14ac:dyDescent="0.25">
      <c r="BB754" s="187"/>
      <c r="BC754" s="180"/>
      <c r="BD754" s="191">
        <v>43168</v>
      </c>
      <c r="BE754" s="192">
        <v>0.40899999999999997</v>
      </c>
      <c r="BH754" s="94">
        <v>43178</v>
      </c>
      <c r="BI754" s="95">
        <v>0.434</v>
      </c>
      <c r="BJ754" s="96">
        <v>11.47</v>
      </c>
    </row>
    <row r="755" spans="54:62" ht="13.8" x14ac:dyDescent="0.25">
      <c r="BB755" s="187"/>
      <c r="BC755" s="180"/>
      <c r="BD755" s="191">
        <v>43171</v>
      </c>
      <c r="BE755" s="192">
        <v>0.40500000000000003</v>
      </c>
      <c r="BH755" s="94">
        <v>43179</v>
      </c>
      <c r="BI755" s="95">
        <v>0.42799999999999999</v>
      </c>
      <c r="BJ755" s="96">
        <v>11.47</v>
      </c>
    </row>
    <row r="756" spans="54:62" ht="13.8" x14ac:dyDescent="0.25">
      <c r="BB756" s="187"/>
      <c r="BC756" s="180"/>
      <c r="BD756" s="191">
        <v>43172</v>
      </c>
      <c r="BE756" s="192">
        <v>0.40100000000000002</v>
      </c>
      <c r="BH756" s="94">
        <v>43180</v>
      </c>
      <c r="BI756" s="95">
        <v>0.42299999999999999</v>
      </c>
      <c r="BJ756" s="96">
        <v>11.47</v>
      </c>
    </row>
    <row r="757" spans="54:62" ht="13.8" x14ac:dyDescent="0.25">
      <c r="BB757" s="187"/>
      <c r="BC757" s="180"/>
      <c r="BD757" s="191">
        <v>43173</v>
      </c>
      <c r="BE757" s="192">
        <v>0.39700000000000002</v>
      </c>
      <c r="BH757" s="94">
        <v>43181</v>
      </c>
      <c r="BI757" s="95">
        <v>0.41599999999999998</v>
      </c>
      <c r="BJ757" s="96">
        <v>11.47</v>
      </c>
    </row>
    <row r="758" spans="54:62" ht="13.8" x14ac:dyDescent="0.25">
      <c r="BB758" s="187"/>
      <c r="BC758" s="180"/>
      <c r="BD758" s="191">
        <v>43174</v>
      </c>
      <c r="BE758" s="192">
        <v>0.44500000000000001</v>
      </c>
      <c r="BH758" s="94">
        <v>43182</v>
      </c>
      <c r="BI758" s="95">
        <v>0.41</v>
      </c>
      <c r="BJ758" s="96">
        <v>11.46</v>
      </c>
    </row>
    <row r="759" spans="54:62" ht="13.8" x14ac:dyDescent="0.25">
      <c r="BB759" s="187"/>
      <c r="BC759" s="180"/>
      <c r="BD759" s="191">
        <v>43175</v>
      </c>
      <c r="BE759" s="192">
        <v>0.439</v>
      </c>
      <c r="BH759" s="94">
        <v>43185</v>
      </c>
      <c r="BI759" s="95">
        <v>0.40500000000000003</v>
      </c>
      <c r="BJ759" s="96">
        <v>11.45</v>
      </c>
    </row>
    <row r="760" spans="54:62" ht="13.8" x14ac:dyDescent="0.25">
      <c r="BB760" s="187"/>
      <c r="BC760" s="180"/>
      <c r="BD760" s="191">
        <v>43178</v>
      </c>
      <c r="BE760" s="192">
        <v>0.434</v>
      </c>
      <c r="BH760" s="94">
        <v>43186</v>
      </c>
      <c r="BI760" s="95">
        <v>0.39900000000000002</v>
      </c>
      <c r="BJ760" s="96">
        <v>11.45</v>
      </c>
    </row>
    <row r="761" spans="54:62" ht="13.8" x14ac:dyDescent="0.25">
      <c r="BB761" s="187"/>
      <c r="BC761" s="180"/>
      <c r="BD761" s="191">
        <v>43179</v>
      </c>
      <c r="BE761" s="192">
        <v>0.42799999999999999</v>
      </c>
      <c r="BH761" s="94">
        <v>43187</v>
      </c>
      <c r="BI761" s="95">
        <v>0.39300000000000002</v>
      </c>
      <c r="BJ761" s="96">
        <v>11.45</v>
      </c>
    </row>
    <row r="762" spans="54:62" ht="13.8" x14ac:dyDescent="0.25">
      <c r="BB762" s="187"/>
      <c r="BC762" s="180"/>
      <c r="BD762" s="191">
        <v>43180</v>
      </c>
      <c r="BE762" s="192">
        <v>0.42299999999999999</v>
      </c>
      <c r="BH762" s="94">
        <v>43188</v>
      </c>
      <c r="BI762" s="95">
        <v>0.38800000000000001</v>
      </c>
      <c r="BJ762" s="96">
        <v>11.45</v>
      </c>
    </row>
    <row r="763" spans="54:62" ht="13.8" x14ac:dyDescent="0.25">
      <c r="BB763" s="187"/>
      <c r="BC763" s="180"/>
      <c r="BD763" s="191">
        <v>43181</v>
      </c>
      <c r="BE763" s="192">
        <v>0.41599999999999998</v>
      </c>
      <c r="BH763" s="94">
        <v>43189</v>
      </c>
      <c r="BI763" s="95">
        <v>0.38600000000000001</v>
      </c>
      <c r="BJ763" s="96">
        <v>11.44</v>
      </c>
    </row>
    <row r="764" spans="54:62" ht="13.8" x14ac:dyDescent="0.25">
      <c r="BB764" s="187"/>
      <c r="BC764" s="180"/>
      <c r="BD764" s="191">
        <v>43182</v>
      </c>
      <c r="BE764" s="192">
        <v>0.41</v>
      </c>
      <c r="BH764" s="94">
        <v>43193</v>
      </c>
      <c r="BI764" s="95">
        <v>0.38100000000000001</v>
      </c>
      <c r="BJ764" s="96">
        <v>11.43</v>
      </c>
    </row>
    <row r="765" spans="54:62" ht="13.8" x14ac:dyDescent="0.25">
      <c r="BB765" s="187"/>
      <c r="BC765" s="180"/>
      <c r="BD765" s="191">
        <v>43185</v>
      </c>
      <c r="BE765" s="192">
        <v>0.40500000000000003</v>
      </c>
      <c r="BH765" s="94">
        <v>43194</v>
      </c>
      <c r="BI765" s="95">
        <v>0.374</v>
      </c>
      <c r="BJ765" s="96">
        <v>11.43</v>
      </c>
    </row>
    <row r="766" spans="54:62" ht="13.8" x14ac:dyDescent="0.25">
      <c r="BB766" s="187"/>
      <c r="BC766" s="180"/>
      <c r="BD766" s="191">
        <v>43186</v>
      </c>
      <c r="BE766" s="192">
        <v>0.39900000000000002</v>
      </c>
      <c r="BH766" s="94">
        <v>43195</v>
      </c>
      <c r="BI766" s="95">
        <v>0.36899999999999999</v>
      </c>
      <c r="BJ766" s="96">
        <v>11.43</v>
      </c>
    </row>
    <row r="767" spans="54:62" ht="13.8" x14ac:dyDescent="0.25">
      <c r="BB767" s="187"/>
      <c r="BC767" s="180"/>
      <c r="BD767" s="191">
        <v>43187</v>
      </c>
      <c r="BE767" s="192">
        <v>0.39300000000000002</v>
      </c>
      <c r="BH767" s="94">
        <v>43196</v>
      </c>
      <c r="BI767" s="95">
        <v>0.36299999999999999</v>
      </c>
      <c r="BJ767" s="96">
        <v>11.42</v>
      </c>
    </row>
    <row r="768" spans="54:62" ht="13.8" x14ac:dyDescent="0.25">
      <c r="BB768" s="187"/>
      <c r="BC768" s="180"/>
      <c r="BD768" s="191">
        <v>43188</v>
      </c>
      <c r="BE768" s="192">
        <v>0.38800000000000001</v>
      </c>
      <c r="BH768" s="94">
        <v>43199</v>
      </c>
      <c r="BI768" s="95">
        <v>0.35799999999999998</v>
      </c>
      <c r="BJ768" s="96">
        <v>11.42</v>
      </c>
    </row>
    <row r="769" spans="54:62" ht="13.8" x14ac:dyDescent="0.25">
      <c r="BB769" s="187"/>
      <c r="BC769" s="180"/>
      <c r="BD769" s="191">
        <v>43189</v>
      </c>
      <c r="BE769" s="192">
        <v>0.38600000000000001</v>
      </c>
      <c r="BH769" s="94">
        <v>43200</v>
      </c>
      <c r="BI769" s="95">
        <v>0.35399999999999998</v>
      </c>
      <c r="BJ769" s="96">
        <v>11.41</v>
      </c>
    </row>
    <row r="770" spans="54:62" ht="13.8" x14ac:dyDescent="0.25">
      <c r="BB770" s="187"/>
      <c r="BC770" s="180"/>
      <c r="BD770" s="191"/>
      <c r="BE770" s="193">
        <f>+BE769</f>
        <v>0.38600000000000001</v>
      </c>
      <c r="BH770" s="94">
        <v>43201</v>
      </c>
      <c r="BI770" s="95">
        <v>0.35</v>
      </c>
      <c r="BJ770" s="96">
        <v>11.41</v>
      </c>
    </row>
    <row r="771" spans="54:62" ht="13.8" x14ac:dyDescent="0.25">
      <c r="BB771" s="187"/>
      <c r="BC771" s="180"/>
      <c r="BD771" s="191">
        <v>43193</v>
      </c>
      <c r="BE771" s="192">
        <v>0.38100000000000001</v>
      </c>
      <c r="BH771" s="94">
        <v>43202</v>
      </c>
      <c r="BI771" s="95">
        <v>0.35</v>
      </c>
      <c r="BJ771" s="96">
        <v>11.42</v>
      </c>
    </row>
    <row r="772" spans="54:62" ht="13.8" x14ac:dyDescent="0.25">
      <c r="BB772" s="187"/>
      <c r="BC772" s="180"/>
      <c r="BD772" s="191">
        <v>43194</v>
      </c>
      <c r="BE772" s="192">
        <v>0.374</v>
      </c>
      <c r="BH772" s="94">
        <v>43203</v>
      </c>
      <c r="BI772" s="95">
        <v>0.34699999999999998</v>
      </c>
      <c r="BJ772" s="96">
        <v>11.42</v>
      </c>
    </row>
    <row r="773" spans="54:62" ht="13.8" x14ac:dyDescent="0.25">
      <c r="BB773" s="187"/>
      <c r="BC773" s="180"/>
      <c r="BD773" s="191">
        <v>43195</v>
      </c>
      <c r="BE773" s="192">
        <v>0.36899999999999999</v>
      </c>
      <c r="BH773" s="94">
        <v>43206</v>
      </c>
      <c r="BI773" s="95">
        <v>0.34599999999999997</v>
      </c>
      <c r="BJ773" s="96">
        <v>11.41</v>
      </c>
    </row>
    <row r="774" spans="54:62" ht="13.8" x14ac:dyDescent="0.25">
      <c r="BB774" s="187"/>
      <c r="BC774" s="180"/>
      <c r="BD774" s="191">
        <v>43196</v>
      </c>
      <c r="BE774" s="192">
        <v>0.36299999999999999</v>
      </c>
      <c r="BH774" s="94">
        <v>43207</v>
      </c>
      <c r="BI774" s="95">
        <v>0.34499999999999997</v>
      </c>
      <c r="BJ774" s="96">
        <v>11.4</v>
      </c>
    </row>
    <row r="775" spans="54:62" ht="13.8" x14ac:dyDescent="0.25">
      <c r="BB775" s="187"/>
      <c r="BC775" s="180"/>
      <c r="BD775" s="191">
        <v>43199</v>
      </c>
      <c r="BE775" s="192">
        <v>0.35799999999999998</v>
      </c>
      <c r="BH775" s="94">
        <v>43208</v>
      </c>
      <c r="BI775" s="95">
        <v>0.34200000000000003</v>
      </c>
      <c r="BJ775" s="96">
        <v>11.4</v>
      </c>
    </row>
    <row r="776" spans="54:62" ht="13.8" x14ac:dyDescent="0.25">
      <c r="BB776" s="187"/>
      <c r="BC776" s="180"/>
      <c r="BD776" s="191">
        <v>43200</v>
      </c>
      <c r="BE776" s="192">
        <v>0.35399999999999998</v>
      </c>
      <c r="BH776" s="94">
        <v>43209</v>
      </c>
      <c r="BI776" s="95">
        <v>0.34200000000000003</v>
      </c>
      <c r="BJ776" s="96">
        <v>11.4</v>
      </c>
    </row>
    <row r="777" spans="54:62" ht="13.8" x14ac:dyDescent="0.25">
      <c r="BB777" s="187"/>
      <c r="BC777" s="180"/>
      <c r="BD777" s="191">
        <v>43201</v>
      </c>
      <c r="BE777" s="192">
        <v>0.35</v>
      </c>
      <c r="BH777" s="94">
        <v>43210</v>
      </c>
      <c r="BI777" s="95">
        <v>0.34499999999999997</v>
      </c>
      <c r="BJ777" s="96">
        <v>11.4</v>
      </c>
    </row>
    <row r="778" spans="54:62" ht="13.8" x14ac:dyDescent="0.25">
      <c r="BB778" s="187"/>
      <c r="BC778" s="180"/>
      <c r="BD778" s="191">
        <v>43202</v>
      </c>
      <c r="BE778" s="192">
        <v>0.35</v>
      </c>
      <c r="BH778" s="94">
        <v>43213</v>
      </c>
      <c r="BI778" s="95">
        <v>0.34799999999999998</v>
      </c>
      <c r="BJ778" s="96">
        <v>11.39</v>
      </c>
    </row>
    <row r="779" spans="54:62" ht="13.8" x14ac:dyDescent="0.25">
      <c r="BB779" s="187"/>
      <c r="BC779" s="180"/>
      <c r="BD779" s="191">
        <v>43203</v>
      </c>
      <c r="BE779" s="192">
        <v>0.34699999999999998</v>
      </c>
      <c r="BH779" s="94">
        <v>43214</v>
      </c>
      <c r="BI779" s="95">
        <v>0.35199999999999998</v>
      </c>
      <c r="BJ779" s="96">
        <v>11.39</v>
      </c>
    </row>
    <row r="780" spans="54:62" ht="13.8" x14ac:dyDescent="0.25">
      <c r="BB780" s="187"/>
      <c r="BC780" s="180"/>
      <c r="BD780" s="191">
        <v>43206</v>
      </c>
      <c r="BE780" s="192">
        <v>0.34599999999999997</v>
      </c>
      <c r="BH780" s="94">
        <v>43215</v>
      </c>
      <c r="BI780" s="95">
        <v>0.35599999999999998</v>
      </c>
      <c r="BJ780" s="96">
        <v>11.38</v>
      </c>
    </row>
    <row r="781" spans="54:62" ht="13.8" x14ac:dyDescent="0.25">
      <c r="BB781" s="187"/>
      <c r="BC781" s="180"/>
      <c r="BD781" s="191">
        <v>43207</v>
      </c>
      <c r="BE781" s="192">
        <v>0.34499999999999997</v>
      </c>
      <c r="BH781" s="94">
        <v>43216</v>
      </c>
      <c r="BI781" s="95">
        <v>0.36</v>
      </c>
      <c r="BJ781" s="96">
        <v>11.38</v>
      </c>
    </row>
    <row r="782" spans="54:62" ht="13.8" x14ac:dyDescent="0.25">
      <c r="BB782" s="187"/>
      <c r="BC782" s="180"/>
      <c r="BD782" s="191">
        <v>43208</v>
      </c>
      <c r="BE782" s="192">
        <v>0.34200000000000003</v>
      </c>
      <c r="BH782" s="94">
        <v>43217</v>
      </c>
      <c r="BI782" s="95">
        <v>0.36299999999999999</v>
      </c>
      <c r="BJ782" s="96">
        <v>11.38</v>
      </c>
    </row>
    <row r="783" spans="54:62" ht="13.8" x14ac:dyDescent="0.25">
      <c r="BB783" s="187"/>
      <c r="BC783" s="180"/>
      <c r="BD783" s="191">
        <v>43209</v>
      </c>
      <c r="BE783" s="192">
        <v>0.34200000000000003</v>
      </c>
      <c r="BH783" s="94">
        <v>43220</v>
      </c>
      <c r="BI783" s="95">
        <v>0.36299999999999999</v>
      </c>
      <c r="BJ783" s="96">
        <v>11.37</v>
      </c>
    </row>
    <row r="784" spans="54:62" ht="13.8" x14ac:dyDescent="0.25">
      <c r="BB784" s="187"/>
      <c r="BC784" s="180"/>
      <c r="BD784" s="191">
        <v>43210</v>
      </c>
      <c r="BE784" s="192">
        <v>0.34499999999999997</v>
      </c>
      <c r="BH784" s="94">
        <v>43222</v>
      </c>
      <c r="BI784" s="95">
        <v>0.36499999999999999</v>
      </c>
      <c r="BJ784" s="96">
        <v>11.36</v>
      </c>
    </row>
    <row r="785" spans="54:62" ht="13.8" x14ac:dyDescent="0.25">
      <c r="BB785" s="187"/>
      <c r="BC785" s="180"/>
      <c r="BD785" s="191">
        <v>43213</v>
      </c>
      <c r="BE785" s="192">
        <v>0.34799999999999998</v>
      </c>
      <c r="BH785" s="94">
        <v>43223</v>
      </c>
      <c r="BI785" s="95">
        <v>0.36699999999999999</v>
      </c>
      <c r="BJ785" s="96">
        <v>11.36</v>
      </c>
    </row>
    <row r="786" spans="54:62" ht="13.8" x14ac:dyDescent="0.25">
      <c r="BB786" s="187"/>
      <c r="BC786" s="180"/>
      <c r="BD786" s="191">
        <v>43214</v>
      </c>
      <c r="BE786" s="192">
        <v>0.35199999999999998</v>
      </c>
      <c r="BH786" s="94">
        <v>43224</v>
      </c>
      <c r="BI786" s="95">
        <v>0.36799999999999999</v>
      </c>
      <c r="BJ786" s="96">
        <v>11.36</v>
      </c>
    </row>
    <row r="787" spans="54:62" ht="13.8" x14ac:dyDescent="0.25">
      <c r="BB787" s="187"/>
      <c r="BC787" s="180"/>
      <c r="BD787" s="191">
        <v>43215</v>
      </c>
      <c r="BE787" s="192">
        <v>0.35599999999999998</v>
      </c>
      <c r="BH787" s="94">
        <v>43227</v>
      </c>
      <c r="BI787" s="95">
        <v>0.36799999999999999</v>
      </c>
      <c r="BJ787" s="96">
        <v>11.35</v>
      </c>
    </row>
    <row r="788" spans="54:62" ht="13.8" x14ac:dyDescent="0.25">
      <c r="BB788" s="187"/>
      <c r="BC788" s="180"/>
      <c r="BD788" s="191">
        <v>43216</v>
      </c>
      <c r="BE788" s="192">
        <v>0.36</v>
      </c>
      <c r="BH788" s="94">
        <v>43228</v>
      </c>
      <c r="BI788" s="95">
        <v>0.36899999999999999</v>
      </c>
      <c r="BJ788" s="96">
        <v>11.35</v>
      </c>
    </row>
    <row r="789" spans="54:62" ht="13.8" x14ac:dyDescent="0.25">
      <c r="BB789" s="187"/>
      <c r="BC789" s="180"/>
      <c r="BD789" s="191">
        <v>43217</v>
      </c>
      <c r="BE789" s="192">
        <v>0.36299999999999999</v>
      </c>
      <c r="BH789" s="94">
        <v>43229</v>
      </c>
      <c r="BI789" s="95">
        <v>0.372</v>
      </c>
      <c r="BJ789" s="96">
        <v>11.34</v>
      </c>
    </row>
    <row r="790" spans="54:62" ht="13.8" x14ac:dyDescent="0.25">
      <c r="BB790" s="187"/>
      <c r="BC790" s="180"/>
      <c r="BD790" s="191">
        <v>43220</v>
      </c>
      <c r="BE790" s="192">
        <v>0.36299999999999999</v>
      </c>
      <c r="BH790" s="94">
        <v>43231</v>
      </c>
      <c r="BI790" s="95">
        <v>0.377</v>
      </c>
      <c r="BJ790" s="96">
        <v>11.37</v>
      </c>
    </row>
    <row r="791" spans="54:62" ht="13.8" x14ac:dyDescent="0.25">
      <c r="BB791" s="187"/>
      <c r="BC791" s="180"/>
      <c r="BD791" s="191"/>
      <c r="BE791" s="193">
        <f>+BE790</f>
        <v>0.36299999999999999</v>
      </c>
      <c r="BF791" s="111">
        <f>+(BC791+BE791)/2+0.37</f>
        <v>0.55149999999999999</v>
      </c>
      <c r="BH791" s="94">
        <v>43234</v>
      </c>
      <c r="BI791" s="95">
        <v>0.38</v>
      </c>
      <c r="BJ791" s="96">
        <v>11.36</v>
      </c>
    </row>
    <row r="792" spans="54:62" ht="13.8" x14ac:dyDescent="0.25">
      <c r="BB792" s="187"/>
      <c r="BC792" s="180"/>
      <c r="BD792" s="191">
        <v>43222</v>
      </c>
      <c r="BE792" s="192">
        <v>0.36499999999999999</v>
      </c>
      <c r="BH792" s="94">
        <v>43235</v>
      </c>
      <c r="BI792" s="95">
        <v>0.38500000000000001</v>
      </c>
      <c r="BJ792" s="96">
        <v>11.36</v>
      </c>
    </row>
    <row r="793" spans="54:62" ht="13.8" x14ac:dyDescent="0.25">
      <c r="BB793" s="187"/>
      <c r="BC793" s="180"/>
      <c r="BD793" s="191">
        <v>43223</v>
      </c>
      <c r="BE793" s="192">
        <v>0.36699999999999999</v>
      </c>
      <c r="BH793" s="94">
        <v>43236</v>
      </c>
      <c r="BI793" s="95">
        <v>0.38700000000000001</v>
      </c>
      <c r="BJ793" s="96">
        <v>11.35</v>
      </c>
    </row>
    <row r="794" spans="54:62" ht="13.8" x14ac:dyDescent="0.25">
      <c r="BB794" s="187"/>
      <c r="BC794" s="180"/>
      <c r="BD794" s="191">
        <v>43224</v>
      </c>
      <c r="BE794" s="192">
        <v>0.36799999999999999</v>
      </c>
      <c r="BH794" s="94">
        <v>43237</v>
      </c>
      <c r="BI794" s="95">
        <v>0.39100000000000001</v>
      </c>
      <c r="BJ794" s="96">
        <v>11.35</v>
      </c>
    </row>
    <row r="795" spans="54:62" ht="13.8" x14ac:dyDescent="0.25">
      <c r="BB795" s="187"/>
      <c r="BC795" s="180"/>
      <c r="BD795" s="191">
        <v>43227</v>
      </c>
      <c r="BE795" s="192">
        <v>0.36799999999999999</v>
      </c>
      <c r="BH795" s="94">
        <v>43238</v>
      </c>
      <c r="BI795" s="95">
        <v>0.39500000000000002</v>
      </c>
      <c r="BJ795" s="96">
        <v>11.35</v>
      </c>
    </row>
    <row r="796" spans="54:62" ht="13.8" x14ac:dyDescent="0.25">
      <c r="BB796" s="187"/>
      <c r="BC796" s="180"/>
      <c r="BD796" s="191">
        <v>43228</v>
      </c>
      <c r="BE796" s="192">
        <v>0.36899999999999999</v>
      </c>
      <c r="BH796" s="94">
        <v>43242</v>
      </c>
      <c r="BI796" s="95">
        <v>0.39500000000000002</v>
      </c>
      <c r="BJ796" s="96">
        <v>11.34</v>
      </c>
    </row>
    <row r="797" spans="54:62" ht="13.8" x14ac:dyDescent="0.25">
      <c r="BB797" s="187"/>
      <c r="BC797" s="180"/>
      <c r="BD797" s="191">
        <v>43229</v>
      </c>
      <c r="BE797" s="192">
        <v>0.372</v>
      </c>
      <c r="BH797" s="94">
        <v>43243</v>
      </c>
      <c r="BI797" s="95">
        <v>0.39200000000000002</v>
      </c>
      <c r="BJ797" s="96">
        <v>11.34</v>
      </c>
    </row>
    <row r="798" spans="54:62" ht="13.8" x14ac:dyDescent="0.25">
      <c r="BB798" s="187"/>
      <c r="BC798" s="180"/>
      <c r="BD798" s="191"/>
      <c r="BE798" s="193">
        <f>+BE797</f>
        <v>0.372</v>
      </c>
      <c r="BH798" s="94">
        <v>43244</v>
      </c>
      <c r="BI798" s="95">
        <v>0.39</v>
      </c>
      <c r="BJ798" s="96">
        <v>11.33</v>
      </c>
    </row>
    <row r="799" spans="54:62" ht="13.8" x14ac:dyDescent="0.25">
      <c r="BB799" s="187"/>
      <c r="BC799" s="180"/>
      <c r="BD799" s="191">
        <v>43231</v>
      </c>
      <c r="BE799" s="192">
        <v>0.377</v>
      </c>
      <c r="BH799" s="94">
        <v>43245</v>
      </c>
      <c r="BI799" s="95">
        <v>0.38500000000000001</v>
      </c>
      <c r="BJ799" s="96">
        <v>11.33</v>
      </c>
    </row>
    <row r="800" spans="54:62" ht="13.8" x14ac:dyDescent="0.25">
      <c r="BB800" s="187"/>
      <c r="BC800" s="180"/>
      <c r="BD800" s="191">
        <v>43234</v>
      </c>
      <c r="BE800" s="192">
        <v>0.38</v>
      </c>
      <c r="BH800" s="94">
        <v>43248</v>
      </c>
      <c r="BI800" s="95">
        <v>0.378</v>
      </c>
      <c r="BJ800" s="96">
        <v>11.32</v>
      </c>
    </row>
    <row r="801" spans="54:62" ht="13.8" x14ac:dyDescent="0.25">
      <c r="BB801" s="187"/>
      <c r="BC801" s="180"/>
      <c r="BD801" s="191">
        <v>43235</v>
      </c>
      <c r="BE801" s="192">
        <v>0.38500000000000001</v>
      </c>
      <c r="BH801" s="94">
        <v>43249</v>
      </c>
      <c r="BI801" s="95">
        <v>0.37</v>
      </c>
      <c r="BJ801" s="96">
        <v>11.32</v>
      </c>
    </row>
    <row r="802" spans="54:62" ht="13.8" x14ac:dyDescent="0.25">
      <c r="BB802" s="187"/>
      <c r="BC802" s="180"/>
      <c r="BD802" s="191">
        <v>43236</v>
      </c>
      <c r="BE802" s="192">
        <v>0.38700000000000001</v>
      </c>
      <c r="BH802" s="94">
        <v>43250</v>
      </c>
      <c r="BI802" s="95">
        <v>0.36599999999999999</v>
      </c>
      <c r="BJ802" s="96">
        <v>11.32</v>
      </c>
    </row>
    <row r="803" spans="54:62" ht="13.8" x14ac:dyDescent="0.25">
      <c r="BB803" s="187"/>
      <c r="BC803" s="180"/>
      <c r="BD803" s="191">
        <v>43237</v>
      </c>
      <c r="BE803" s="192">
        <v>0.39100000000000001</v>
      </c>
      <c r="BH803" s="94">
        <v>43252</v>
      </c>
      <c r="BI803" s="95">
        <v>0.36199999999999999</v>
      </c>
      <c r="BJ803" s="96">
        <v>11.31</v>
      </c>
    </row>
    <row r="804" spans="54:62" ht="13.8" x14ac:dyDescent="0.25">
      <c r="BB804" s="187"/>
      <c r="BC804" s="180"/>
      <c r="BD804" s="191">
        <v>43238</v>
      </c>
      <c r="BE804" s="192">
        <v>0.39500000000000002</v>
      </c>
      <c r="BH804" s="94">
        <v>43255</v>
      </c>
      <c r="BI804" s="95">
        <v>0.35799999999999998</v>
      </c>
      <c r="BJ804" s="96">
        <v>11.3</v>
      </c>
    </row>
    <row r="805" spans="54:62" ht="13.8" x14ac:dyDescent="0.25">
      <c r="BB805" s="187"/>
      <c r="BC805" s="180"/>
      <c r="BD805" s="191"/>
      <c r="BE805" s="193">
        <f>+BE804</f>
        <v>0.39500000000000002</v>
      </c>
      <c r="BH805" s="94">
        <v>43256</v>
      </c>
      <c r="BI805" s="95">
        <v>0.35399999999999998</v>
      </c>
      <c r="BJ805" s="96">
        <v>11.3</v>
      </c>
    </row>
    <row r="806" spans="54:62" ht="13.8" x14ac:dyDescent="0.25">
      <c r="BB806" s="187"/>
      <c r="BC806" s="180"/>
      <c r="BD806" s="191">
        <v>43242</v>
      </c>
      <c r="BE806" s="192">
        <v>0.39500000000000002</v>
      </c>
      <c r="BH806" s="94">
        <v>43257</v>
      </c>
      <c r="BI806" s="95">
        <v>0.35299999999999998</v>
      </c>
      <c r="BJ806" s="96">
        <v>11.3</v>
      </c>
    </row>
    <row r="807" spans="54:62" ht="13.8" x14ac:dyDescent="0.25">
      <c r="BB807" s="187"/>
      <c r="BC807" s="180"/>
      <c r="BD807" s="191">
        <v>43243</v>
      </c>
      <c r="BE807" s="192">
        <v>0.39200000000000002</v>
      </c>
      <c r="BH807" s="94">
        <v>43258</v>
      </c>
      <c r="BI807" s="95">
        <v>0.35399999999999998</v>
      </c>
      <c r="BJ807" s="96">
        <v>11.27</v>
      </c>
    </row>
    <row r="808" spans="54:62" ht="13.8" x14ac:dyDescent="0.25">
      <c r="BB808" s="187"/>
      <c r="BC808" s="180"/>
      <c r="BD808" s="191">
        <v>43244</v>
      </c>
      <c r="BE808" s="192">
        <v>0.39</v>
      </c>
      <c r="BH808" s="94">
        <v>43259</v>
      </c>
      <c r="BI808" s="95">
        <v>0.35199999999999998</v>
      </c>
      <c r="BJ808" s="96">
        <v>11.27</v>
      </c>
    </row>
    <row r="809" spans="54:62" ht="13.8" x14ac:dyDescent="0.25">
      <c r="BB809" s="187"/>
      <c r="BC809" s="180"/>
      <c r="BD809" s="191">
        <v>43245</v>
      </c>
      <c r="BE809" s="192">
        <v>0.38500000000000001</v>
      </c>
      <c r="BH809" s="94">
        <v>43262</v>
      </c>
      <c r="BI809" s="95">
        <v>0.35099999999999998</v>
      </c>
      <c r="BJ809" s="96">
        <v>11.26</v>
      </c>
    </row>
    <row r="810" spans="54:62" ht="13.8" x14ac:dyDescent="0.25">
      <c r="BB810" s="187"/>
      <c r="BC810" s="180"/>
      <c r="BD810" s="191">
        <v>43248</v>
      </c>
      <c r="BE810" s="192">
        <v>0.378</v>
      </c>
      <c r="BH810" s="94">
        <v>43263</v>
      </c>
      <c r="BI810" s="95">
        <v>0.35199999999999998</v>
      </c>
      <c r="BJ810" s="96">
        <v>11.26</v>
      </c>
    </row>
    <row r="811" spans="54:62" ht="13.8" x14ac:dyDescent="0.25">
      <c r="BB811" s="187"/>
      <c r="BC811" s="180"/>
      <c r="BD811" s="191">
        <v>43249</v>
      </c>
      <c r="BE811" s="192">
        <v>0.37</v>
      </c>
      <c r="BH811" s="94">
        <v>43264</v>
      </c>
      <c r="BI811" s="95">
        <v>0.34899999999999998</v>
      </c>
      <c r="BJ811" s="96">
        <v>11.26</v>
      </c>
    </row>
    <row r="812" spans="54:62" ht="13.8" x14ac:dyDescent="0.25">
      <c r="BB812" s="187"/>
      <c r="BC812" s="180"/>
      <c r="BD812" s="191">
        <v>43250</v>
      </c>
      <c r="BE812" s="192">
        <v>0.36599999999999999</v>
      </c>
      <c r="BH812" s="94">
        <v>43265</v>
      </c>
      <c r="BI812" s="95">
        <v>0.34399999999999997</v>
      </c>
      <c r="BJ812" s="96">
        <v>11.25</v>
      </c>
    </row>
    <row r="813" spans="54:62" ht="13.8" x14ac:dyDescent="0.25">
      <c r="BB813" s="187"/>
      <c r="BC813" s="180"/>
      <c r="BD813" s="191"/>
      <c r="BE813" s="193">
        <f>+BE812</f>
        <v>0.36599999999999999</v>
      </c>
      <c r="BH813" s="94">
        <v>43266</v>
      </c>
      <c r="BI813" s="95">
        <v>0.33700000000000002</v>
      </c>
      <c r="BJ813" s="96">
        <v>11.25</v>
      </c>
    </row>
    <row r="814" spans="54:62" ht="13.8" x14ac:dyDescent="0.25">
      <c r="BB814" s="187"/>
      <c r="BC814" s="180"/>
      <c r="BD814" s="191">
        <v>43252</v>
      </c>
      <c r="BE814" s="192">
        <v>0.36199999999999999</v>
      </c>
      <c r="BH814" s="94">
        <v>43269</v>
      </c>
      <c r="BI814" s="95">
        <v>0.36199999999999999</v>
      </c>
      <c r="BJ814" s="96">
        <v>11.63</v>
      </c>
    </row>
    <row r="815" spans="54:62" ht="13.8" x14ac:dyDescent="0.25">
      <c r="BB815" s="187"/>
      <c r="BC815" s="180"/>
      <c r="BD815" s="191">
        <v>43255</v>
      </c>
      <c r="BE815" s="192">
        <v>0.35799999999999998</v>
      </c>
      <c r="BH815" s="94">
        <v>43270</v>
      </c>
      <c r="BI815" s="95">
        <v>0.35299999999999998</v>
      </c>
      <c r="BJ815" s="96">
        <v>11.63</v>
      </c>
    </row>
    <row r="816" spans="54:62" ht="13.8" x14ac:dyDescent="0.25">
      <c r="BB816" s="187"/>
      <c r="BC816" s="180"/>
      <c r="BD816" s="191">
        <v>43256</v>
      </c>
      <c r="BE816" s="192">
        <v>0.35399999999999998</v>
      </c>
      <c r="BH816" s="94">
        <v>43271</v>
      </c>
      <c r="BI816" s="95">
        <v>0.34699999999999998</v>
      </c>
      <c r="BJ816" s="96">
        <v>11.63</v>
      </c>
    </row>
    <row r="817" spans="54:62" ht="13.8" x14ac:dyDescent="0.25">
      <c r="BB817" s="187"/>
      <c r="BC817" s="180"/>
      <c r="BD817" s="191">
        <v>43257</v>
      </c>
      <c r="BE817" s="192">
        <v>0.35299999999999998</v>
      </c>
      <c r="BH817" s="94">
        <v>43272</v>
      </c>
      <c r="BI817" s="95">
        <v>0.34</v>
      </c>
      <c r="BJ817" s="96">
        <v>11.63</v>
      </c>
    </row>
    <row r="818" spans="54:62" ht="13.8" x14ac:dyDescent="0.25">
      <c r="BB818" s="187"/>
      <c r="BC818" s="180"/>
      <c r="BD818" s="191">
        <v>43258</v>
      </c>
      <c r="BE818" s="192">
        <v>0.35399999999999998</v>
      </c>
      <c r="BH818" s="94">
        <v>43273</v>
      </c>
      <c r="BI818" s="95">
        <v>0.33400000000000002</v>
      </c>
      <c r="BJ818" s="96">
        <v>11.62</v>
      </c>
    </row>
    <row r="819" spans="54:62" ht="13.8" x14ac:dyDescent="0.25">
      <c r="BB819" s="187"/>
      <c r="BC819" s="180"/>
      <c r="BD819" s="191">
        <v>43259</v>
      </c>
      <c r="BE819" s="192">
        <v>0.35199999999999998</v>
      </c>
      <c r="BH819" s="94">
        <v>43276</v>
      </c>
      <c r="BI819" s="95">
        <v>0.33</v>
      </c>
      <c r="BJ819" s="96">
        <v>11.61</v>
      </c>
    </row>
    <row r="820" spans="54:62" ht="13.8" x14ac:dyDescent="0.25">
      <c r="BB820" s="187"/>
      <c r="BC820" s="180"/>
      <c r="BD820" s="191">
        <v>43262</v>
      </c>
      <c r="BE820" s="192">
        <v>0.35099999999999998</v>
      </c>
      <c r="BH820" s="94">
        <v>43277</v>
      </c>
      <c r="BI820" s="95">
        <v>0.32700000000000001</v>
      </c>
      <c r="BJ820" s="96">
        <v>11.61</v>
      </c>
    </row>
    <row r="821" spans="54:62" ht="13.8" x14ac:dyDescent="0.25">
      <c r="BB821" s="187"/>
      <c r="BC821" s="180"/>
      <c r="BD821" s="191">
        <v>43263</v>
      </c>
      <c r="BE821" s="192">
        <v>0.35199999999999998</v>
      </c>
      <c r="BH821" s="94">
        <v>43278</v>
      </c>
      <c r="BI821" s="95">
        <v>0.32600000000000001</v>
      </c>
      <c r="BJ821" s="96">
        <v>11.61</v>
      </c>
    </row>
    <row r="822" spans="54:62" ht="13.8" x14ac:dyDescent="0.25">
      <c r="BB822" s="187"/>
      <c r="BC822" s="180"/>
      <c r="BD822" s="191">
        <v>43264</v>
      </c>
      <c r="BE822" s="192">
        <v>0.34899999999999998</v>
      </c>
      <c r="BH822" s="94">
        <v>43279</v>
      </c>
      <c r="BI822" s="95">
        <v>0.32700000000000001</v>
      </c>
      <c r="BJ822" s="96">
        <v>11.84</v>
      </c>
    </row>
    <row r="823" spans="54:62" ht="13.8" x14ac:dyDescent="0.25">
      <c r="BB823" s="187"/>
      <c r="BC823" s="180"/>
      <c r="BD823" s="191">
        <v>43265</v>
      </c>
      <c r="BE823" s="192">
        <v>0.34399999999999997</v>
      </c>
      <c r="BH823" s="94">
        <v>43280</v>
      </c>
      <c r="BI823" s="95">
        <v>0.32200000000000001</v>
      </c>
      <c r="BJ823" s="96">
        <v>11.83</v>
      </c>
    </row>
    <row r="824" spans="54:62" ht="13.8" x14ac:dyDescent="0.25">
      <c r="BB824" s="187"/>
      <c r="BC824" s="180"/>
      <c r="BD824" s="191">
        <v>43266</v>
      </c>
      <c r="BE824" s="192">
        <v>0.33700000000000002</v>
      </c>
      <c r="BH824" s="94">
        <v>43283</v>
      </c>
      <c r="BI824" s="95">
        <v>0.317</v>
      </c>
      <c r="BJ824" s="96">
        <v>11.83</v>
      </c>
    </row>
    <row r="825" spans="54:62" ht="13.8" x14ac:dyDescent="0.25">
      <c r="BB825" s="187"/>
      <c r="BC825" s="180"/>
      <c r="BD825" s="191">
        <v>43269</v>
      </c>
      <c r="BE825" s="192">
        <v>0.36199999999999999</v>
      </c>
      <c r="BH825" s="94">
        <v>43284</v>
      </c>
      <c r="BI825" s="95">
        <v>0.312</v>
      </c>
      <c r="BJ825" s="96">
        <v>11.82</v>
      </c>
    </row>
    <row r="826" spans="54:62" ht="13.8" x14ac:dyDescent="0.25">
      <c r="BB826" s="187"/>
      <c r="BC826" s="180"/>
      <c r="BD826" s="191">
        <v>43270</v>
      </c>
      <c r="BE826" s="192">
        <v>0.35299999999999998</v>
      </c>
      <c r="BH826" s="94">
        <v>43285</v>
      </c>
      <c r="BI826" s="95">
        <v>0.30399999999999999</v>
      </c>
      <c r="BJ826" s="96">
        <v>11.82</v>
      </c>
    </row>
    <row r="827" spans="54:62" ht="13.8" x14ac:dyDescent="0.25">
      <c r="BB827" s="187"/>
      <c r="BC827" s="180"/>
      <c r="BD827" s="191">
        <v>43271</v>
      </c>
      <c r="BE827" s="192">
        <v>0.34699999999999998</v>
      </c>
      <c r="BH827" s="94">
        <v>43286</v>
      </c>
      <c r="BI827" s="95">
        <v>0.29899999999999999</v>
      </c>
      <c r="BJ827" s="96">
        <v>11.83</v>
      </c>
    </row>
    <row r="828" spans="54:62" ht="13.8" x14ac:dyDescent="0.25">
      <c r="BB828" s="187"/>
      <c r="BC828" s="180"/>
      <c r="BD828" s="191">
        <v>43272</v>
      </c>
      <c r="BE828" s="192">
        <v>0.34</v>
      </c>
      <c r="BH828" s="94">
        <v>43287</v>
      </c>
      <c r="BI828" s="95">
        <v>0.29199999999999998</v>
      </c>
      <c r="BJ828" s="96">
        <v>11.83</v>
      </c>
    </row>
    <row r="829" spans="54:62" ht="13.8" x14ac:dyDescent="0.25">
      <c r="BB829" s="187"/>
      <c r="BC829" s="180"/>
      <c r="BD829" s="191">
        <v>43273</v>
      </c>
      <c r="BE829" s="192">
        <v>0.33400000000000002</v>
      </c>
      <c r="BH829" s="94">
        <v>43290</v>
      </c>
      <c r="BI829" s="95">
        <v>0.28299999999999997</v>
      </c>
      <c r="BJ829" s="96">
        <v>11.82</v>
      </c>
    </row>
    <row r="830" spans="54:62" ht="13.8" x14ac:dyDescent="0.25">
      <c r="BB830" s="187"/>
      <c r="BC830" s="180"/>
      <c r="BD830" s="191">
        <v>43276</v>
      </c>
      <c r="BE830" s="192">
        <v>0.33</v>
      </c>
      <c r="BH830" s="94">
        <v>43291</v>
      </c>
      <c r="BI830" s="95">
        <v>0.27400000000000002</v>
      </c>
      <c r="BJ830" s="96">
        <v>11.82</v>
      </c>
    </row>
    <row r="831" spans="54:62" ht="13.8" x14ac:dyDescent="0.25">
      <c r="BB831" s="187"/>
      <c r="BC831" s="180"/>
      <c r="BD831" s="191">
        <v>43277</v>
      </c>
      <c r="BE831" s="192">
        <v>0.32700000000000001</v>
      </c>
      <c r="BH831" s="94">
        <v>43292</v>
      </c>
      <c r="BI831" s="95">
        <v>0.26600000000000001</v>
      </c>
      <c r="BJ831" s="96">
        <v>11.82</v>
      </c>
    </row>
    <row r="832" spans="54:62" ht="13.8" x14ac:dyDescent="0.25">
      <c r="BB832" s="187"/>
      <c r="BC832" s="180"/>
      <c r="BD832" s="191">
        <v>43278</v>
      </c>
      <c r="BE832" s="192">
        <v>0.32600000000000001</v>
      </c>
      <c r="BH832" s="94">
        <v>43293</v>
      </c>
      <c r="BI832" s="95">
        <v>0.26200000000000001</v>
      </c>
      <c r="BJ832" s="96">
        <v>11.93</v>
      </c>
    </row>
    <row r="833" spans="54:62" ht="13.8" x14ac:dyDescent="0.25">
      <c r="BB833" s="187"/>
      <c r="BC833" s="180"/>
      <c r="BD833" s="191">
        <v>43279</v>
      </c>
      <c r="BE833" s="192">
        <v>0.32700000000000001</v>
      </c>
      <c r="BH833" s="94">
        <v>43294</v>
      </c>
      <c r="BI833" s="95">
        <v>0.25600000000000001</v>
      </c>
      <c r="BJ833" s="96">
        <v>11.92</v>
      </c>
    </row>
    <row r="834" spans="54:62" ht="13.8" x14ac:dyDescent="0.25">
      <c r="BB834" s="187"/>
      <c r="BC834" s="180"/>
      <c r="BD834" s="191">
        <v>43280</v>
      </c>
      <c r="BE834" s="192">
        <v>0.32200000000000001</v>
      </c>
      <c r="BH834" s="94">
        <v>43297</v>
      </c>
      <c r="BI834" s="95">
        <v>0.252</v>
      </c>
      <c r="BJ834" s="96">
        <v>11.92</v>
      </c>
    </row>
    <row r="835" spans="54:62" ht="13.8" x14ac:dyDescent="0.25">
      <c r="BB835" s="187"/>
      <c r="BC835" s="180"/>
      <c r="BD835" s="191">
        <v>43283</v>
      </c>
      <c r="BE835" s="192">
        <v>0.317</v>
      </c>
      <c r="BH835" s="94">
        <v>43298</v>
      </c>
      <c r="BI835" s="95">
        <v>0.25</v>
      </c>
      <c r="BJ835" s="96">
        <v>11.91</v>
      </c>
    </row>
    <row r="836" spans="54:62" ht="13.8" x14ac:dyDescent="0.25">
      <c r="BB836" s="187"/>
      <c r="BC836" s="180"/>
      <c r="BD836" s="191">
        <v>43284</v>
      </c>
      <c r="BE836" s="192">
        <v>0.312</v>
      </c>
      <c r="BH836" s="94">
        <v>43299</v>
      </c>
      <c r="BI836" s="95">
        <v>0.246</v>
      </c>
      <c r="BJ836" s="96">
        <v>11.91</v>
      </c>
    </row>
    <row r="837" spans="54:62" ht="13.8" x14ac:dyDescent="0.25">
      <c r="BB837" s="187"/>
      <c r="BC837" s="180"/>
      <c r="BD837" s="191">
        <v>43285</v>
      </c>
      <c r="BE837" s="192">
        <v>0.30399999999999999</v>
      </c>
      <c r="BH837" s="94">
        <v>43300</v>
      </c>
      <c r="BI837" s="95">
        <v>0.24399999999999999</v>
      </c>
      <c r="BJ837" s="96">
        <v>11.91</v>
      </c>
    </row>
    <row r="838" spans="54:62" ht="13.8" x14ac:dyDescent="0.25">
      <c r="BB838" s="187"/>
      <c r="BC838" s="180"/>
      <c r="BD838" s="191">
        <v>43286</v>
      </c>
      <c r="BE838" s="192">
        <v>0.29899999999999999</v>
      </c>
      <c r="BH838" s="94">
        <v>43301</v>
      </c>
      <c r="BI838" s="95">
        <v>0.24199999999999999</v>
      </c>
      <c r="BJ838" s="96">
        <v>11.9</v>
      </c>
    </row>
    <row r="839" spans="54:62" ht="13.8" x14ac:dyDescent="0.25">
      <c r="BB839" s="187"/>
      <c r="BC839" s="180"/>
      <c r="BD839" s="191">
        <v>43287</v>
      </c>
      <c r="BE839" s="192">
        <v>0.29199999999999998</v>
      </c>
      <c r="BH839" s="94">
        <v>43304</v>
      </c>
      <c r="BI839" s="95">
        <v>0.24199999999999999</v>
      </c>
      <c r="BJ839" s="96">
        <v>11.9</v>
      </c>
    </row>
    <row r="840" spans="54:62" ht="13.8" x14ac:dyDescent="0.25">
      <c r="BB840" s="187"/>
      <c r="BC840" s="180"/>
      <c r="BD840" s="191">
        <v>43290</v>
      </c>
      <c r="BE840" s="192">
        <v>0.28299999999999997</v>
      </c>
      <c r="BH840" s="94">
        <v>43305</v>
      </c>
      <c r="BI840" s="95">
        <v>0.24199999999999999</v>
      </c>
      <c r="BJ840" s="96">
        <v>11.89</v>
      </c>
    </row>
    <row r="841" spans="54:62" ht="13.8" x14ac:dyDescent="0.25">
      <c r="BB841" s="187"/>
      <c r="BC841" s="180"/>
      <c r="BD841" s="191">
        <v>43291</v>
      </c>
      <c r="BE841" s="192">
        <v>0.27400000000000002</v>
      </c>
      <c r="BH841" s="94">
        <v>43306</v>
      </c>
      <c r="BI841" s="95">
        <v>0.24199999999999999</v>
      </c>
      <c r="BJ841" s="96">
        <v>11.89</v>
      </c>
    </row>
    <row r="842" spans="54:62" ht="13.8" x14ac:dyDescent="0.25">
      <c r="BB842" s="187"/>
      <c r="BC842" s="180"/>
      <c r="BD842" s="191">
        <v>43292</v>
      </c>
      <c r="BE842" s="192">
        <v>0.26600000000000001</v>
      </c>
      <c r="BH842" s="94">
        <v>43307</v>
      </c>
      <c r="BI842" s="95">
        <v>0.24299999999999999</v>
      </c>
      <c r="BJ842" s="96">
        <v>11.89</v>
      </c>
    </row>
    <row r="843" spans="54:62" ht="13.8" x14ac:dyDescent="0.25">
      <c r="BB843" s="187"/>
      <c r="BC843" s="180"/>
      <c r="BD843" s="191">
        <v>43293</v>
      </c>
      <c r="BE843" s="192">
        <v>0.26200000000000001</v>
      </c>
      <c r="BH843" s="94">
        <v>43308</v>
      </c>
      <c r="BI843" s="95">
        <v>0.24399999999999999</v>
      </c>
      <c r="BJ843" s="96">
        <v>11.89</v>
      </c>
    </row>
    <row r="844" spans="54:62" ht="13.8" x14ac:dyDescent="0.25">
      <c r="BB844" s="187"/>
      <c r="BC844" s="180"/>
      <c r="BD844" s="191">
        <v>43294</v>
      </c>
      <c r="BE844" s="192">
        <v>0.25600000000000001</v>
      </c>
      <c r="BH844" s="94">
        <v>43311</v>
      </c>
      <c r="BI844" s="95">
        <v>0.248</v>
      </c>
      <c r="BJ844" s="96">
        <v>11.88</v>
      </c>
    </row>
    <row r="845" spans="54:62" ht="13.8" x14ac:dyDescent="0.25">
      <c r="BB845" s="187"/>
      <c r="BC845" s="180"/>
      <c r="BD845" s="191">
        <v>43297</v>
      </c>
      <c r="BE845" s="192">
        <v>0.252</v>
      </c>
      <c r="BH845" s="94">
        <v>43312</v>
      </c>
      <c r="BI845" s="95">
        <v>0.252</v>
      </c>
      <c r="BJ845" s="96">
        <v>11.87</v>
      </c>
    </row>
    <row r="846" spans="54:62" ht="13.8" x14ac:dyDescent="0.25">
      <c r="BB846" s="187"/>
      <c r="BC846" s="180"/>
      <c r="BD846" s="191">
        <v>43298</v>
      </c>
      <c r="BE846" s="192">
        <v>0.25</v>
      </c>
      <c r="BH846" s="94">
        <v>43313</v>
      </c>
      <c r="BI846" s="95">
        <v>0.25700000000000001</v>
      </c>
      <c r="BJ846" s="96">
        <v>11.87</v>
      </c>
    </row>
    <row r="847" spans="54:62" ht="13.8" x14ac:dyDescent="0.25">
      <c r="BB847" s="187"/>
      <c r="BC847" s="180"/>
      <c r="BD847" s="191">
        <v>43299</v>
      </c>
      <c r="BE847" s="192">
        <v>0.246</v>
      </c>
      <c r="BH847" s="94">
        <v>43314</v>
      </c>
      <c r="BI847" s="95">
        <v>0.26200000000000001</v>
      </c>
      <c r="BJ847" s="96">
        <v>11.87</v>
      </c>
    </row>
    <row r="848" spans="54:62" ht="13.8" x14ac:dyDescent="0.25">
      <c r="BB848" s="187"/>
      <c r="BC848" s="180"/>
      <c r="BD848" s="191">
        <v>43300</v>
      </c>
      <c r="BE848" s="192">
        <v>0.24399999999999999</v>
      </c>
      <c r="BH848" s="94">
        <v>43315</v>
      </c>
      <c r="BI848" s="95">
        <v>0.26500000000000001</v>
      </c>
      <c r="BJ848" s="96">
        <v>11.87</v>
      </c>
    </row>
    <row r="849" spans="54:62" ht="13.8" x14ac:dyDescent="0.25">
      <c r="BB849" s="187"/>
      <c r="BC849" s="180"/>
      <c r="BD849" s="191">
        <v>43301</v>
      </c>
      <c r="BE849" s="192">
        <v>0.24199999999999999</v>
      </c>
      <c r="BH849" s="94">
        <v>43318</v>
      </c>
      <c r="BI849" s="95">
        <v>0.26800000000000002</v>
      </c>
      <c r="BJ849" s="96">
        <v>11.86</v>
      </c>
    </row>
    <row r="850" spans="54:62" ht="13.8" x14ac:dyDescent="0.25">
      <c r="BB850" s="187"/>
      <c r="BC850" s="180"/>
      <c r="BD850" s="191">
        <v>43304</v>
      </c>
      <c r="BE850" s="192">
        <v>0.24199999999999999</v>
      </c>
      <c r="BH850" s="94">
        <v>43319</v>
      </c>
      <c r="BI850" s="95">
        <v>0.26900000000000002</v>
      </c>
      <c r="BJ850" s="96">
        <v>11.86</v>
      </c>
    </row>
    <row r="851" spans="54:62" ht="13.8" x14ac:dyDescent="0.25">
      <c r="BB851" s="187"/>
      <c r="BC851" s="180"/>
      <c r="BD851" s="191">
        <v>43305</v>
      </c>
      <c r="BE851" s="192">
        <v>0.24199999999999999</v>
      </c>
      <c r="BH851" s="94">
        <v>43320</v>
      </c>
      <c r="BI851" s="95">
        <v>0.27200000000000002</v>
      </c>
      <c r="BJ851" s="96">
        <v>11.85</v>
      </c>
    </row>
    <row r="852" spans="54:62" ht="13.8" x14ac:dyDescent="0.25">
      <c r="BB852" s="187"/>
      <c r="BC852" s="180"/>
      <c r="BD852" s="191">
        <v>43306</v>
      </c>
      <c r="BE852" s="192">
        <v>0.24199999999999999</v>
      </c>
      <c r="BH852" s="94">
        <v>43321</v>
      </c>
      <c r="BI852" s="95">
        <v>0.27400000000000002</v>
      </c>
      <c r="BJ852" s="96">
        <v>11.85</v>
      </c>
    </row>
    <row r="853" spans="54:62" ht="13.8" x14ac:dyDescent="0.25">
      <c r="BB853" s="187"/>
      <c r="BC853" s="180"/>
      <c r="BD853" s="191">
        <v>43307</v>
      </c>
      <c r="BE853" s="192">
        <v>0.24299999999999999</v>
      </c>
      <c r="BH853" s="94">
        <v>43322</v>
      </c>
      <c r="BI853" s="95">
        <v>0.27500000000000002</v>
      </c>
      <c r="BJ853" s="96">
        <v>11.85</v>
      </c>
    </row>
    <row r="854" spans="54:62" ht="13.8" x14ac:dyDescent="0.25">
      <c r="BB854" s="187"/>
      <c r="BC854" s="180"/>
      <c r="BD854" s="191">
        <v>43308</v>
      </c>
      <c r="BE854" s="192">
        <v>0.24399999999999999</v>
      </c>
      <c r="BH854" s="94">
        <v>43325</v>
      </c>
      <c r="BI854" s="95">
        <v>0.27400000000000002</v>
      </c>
      <c r="BJ854" s="96">
        <v>11.84</v>
      </c>
    </row>
    <row r="855" spans="54:62" ht="13.8" x14ac:dyDescent="0.25">
      <c r="BB855" s="187"/>
      <c r="BC855" s="180"/>
      <c r="BD855" s="191">
        <v>43311</v>
      </c>
      <c r="BE855" s="192">
        <v>0.248</v>
      </c>
      <c r="BH855" s="94">
        <v>43326</v>
      </c>
      <c r="BI855" s="95">
        <v>0.27400000000000002</v>
      </c>
      <c r="BJ855" s="96">
        <v>11.84</v>
      </c>
    </row>
    <row r="856" spans="54:62" ht="13.8" x14ac:dyDescent="0.25">
      <c r="BB856" s="187"/>
      <c r="BC856" s="180"/>
      <c r="BD856" s="191">
        <v>43312</v>
      </c>
      <c r="BE856" s="192">
        <v>0.252</v>
      </c>
      <c r="BH856" s="94">
        <v>43328</v>
      </c>
      <c r="BI856" s="95">
        <v>0.27400000000000002</v>
      </c>
      <c r="BJ856" s="96">
        <v>11.83</v>
      </c>
    </row>
    <row r="857" spans="54:62" ht="13.8" x14ac:dyDescent="0.25">
      <c r="BB857" s="187"/>
      <c r="BC857" s="180"/>
      <c r="BD857" s="191">
        <v>43313</v>
      </c>
      <c r="BE857" s="192">
        <v>0.25700000000000001</v>
      </c>
      <c r="BH857" s="94">
        <v>43329</v>
      </c>
      <c r="BI857" s="95">
        <v>0.27400000000000002</v>
      </c>
      <c r="BJ857" s="96">
        <v>11.83</v>
      </c>
    </row>
    <row r="858" spans="54:62" ht="13.8" x14ac:dyDescent="0.25">
      <c r="BB858" s="187"/>
      <c r="BC858" s="180"/>
      <c r="BD858" s="191">
        <v>43314</v>
      </c>
      <c r="BE858" s="192">
        <v>0.26200000000000001</v>
      </c>
      <c r="BH858" s="94">
        <v>43332</v>
      </c>
      <c r="BI858" s="95">
        <v>0.27300000000000002</v>
      </c>
      <c r="BJ858" s="96">
        <v>11.82</v>
      </c>
    </row>
    <row r="859" spans="54:62" ht="13.8" x14ac:dyDescent="0.25">
      <c r="BB859" s="187"/>
      <c r="BC859" s="180"/>
      <c r="BD859" s="191">
        <v>43315</v>
      </c>
      <c r="BE859" s="192">
        <v>0.26500000000000001</v>
      </c>
      <c r="BH859" s="94">
        <v>43333</v>
      </c>
      <c r="BI859" s="95">
        <v>0.27</v>
      </c>
      <c r="BJ859" s="96">
        <v>11.82</v>
      </c>
    </row>
    <row r="860" spans="54:62" ht="13.8" x14ac:dyDescent="0.25">
      <c r="BB860" s="187"/>
      <c r="BC860" s="180"/>
      <c r="BD860" s="191">
        <v>43318</v>
      </c>
      <c r="BE860" s="192">
        <v>0.26800000000000002</v>
      </c>
      <c r="BH860" s="94">
        <v>43334</v>
      </c>
      <c r="BI860" s="95">
        <v>0.26900000000000002</v>
      </c>
      <c r="BJ860" s="96">
        <v>11.81</v>
      </c>
    </row>
    <row r="861" spans="54:62" ht="13.8" x14ac:dyDescent="0.25">
      <c r="BB861" s="187"/>
      <c r="BC861" s="180"/>
      <c r="BD861" s="191">
        <v>43319</v>
      </c>
      <c r="BE861" s="192">
        <v>0.26900000000000002</v>
      </c>
      <c r="BH861" s="94">
        <v>43335</v>
      </c>
      <c r="BI861" s="95">
        <v>0.26800000000000002</v>
      </c>
      <c r="BJ861" s="96">
        <v>11.81</v>
      </c>
    </row>
    <row r="862" spans="54:62" ht="13.8" x14ac:dyDescent="0.25">
      <c r="BB862" s="187"/>
      <c r="BC862" s="180"/>
      <c r="BD862" s="191">
        <v>43320</v>
      </c>
      <c r="BE862" s="192">
        <v>0.27200000000000002</v>
      </c>
      <c r="BH862" s="94">
        <v>43336</v>
      </c>
      <c r="BI862" s="95">
        <v>0.26700000000000002</v>
      </c>
      <c r="BJ862" s="96">
        <v>11.81</v>
      </c>
    </row>
    <row r="863" spans="54:62" ht="13.8" x14ac:dyDescent="0.25">
      <c r="BB863" s="187"/>
      <c r="BC863" s="180"/>
      <c r="BD863" s="191">
        <v>43321</v>
      </c>
      <c r="BE863" s="192">
        <v>0.27400000000000002</v>
      </c>
      <c r="BH863" s="94">
        <v>43339</v>
      </c>
      <c r="BI863" s="95">
        <v>0.26600000000000001</v>
      </c>
      <c r="BJ863" s="96">
        <v>11.8</v>
      </c>
    </row>
    <row r="864" spans="54:62" ht="13.8" x14ac:dyDescent="0.25">
      <c r="BB864" s="187"/>
      <c r="BC864" s="180"/>
      <c r="BD864" s="191">
        <v>43322</v>
      </c>
      <c r="BE864" s="192">
        <v>0.27500000000000002</v>
      </c>
      <c r="BH864" s="94">
        <v>43340</v>
      </c>
      <c r="BI864" s="95">
        <v>0.26600000000000001</v>
      </c>
      <c r="BJ864" s="96">
        <v>11.8</v>
      </c>
    </row>
    <row r="865" spans="54:62" ht="13.8" x14ac:dyDescent="0.25">
      <c r="BB865" s="187"/>
      <c r="BC865" s="180"/>
      <c r="BD865" s="191">
        <v>43325</v>
      </c>
      <c r="BE865" s="192">
        <v>0.27400000000000002</v>
      </c>
      <c r="BH865" s="94">
        <v>43341</v>
      </c>
      <c r="BI865" s="95">
        <v>0.26500000000000001</v>
      </c>
      <c r="BJ865" s="96">
        <v>11.8</v>
      </c>
    </row>
    <row r="866" spans="54:62" ht="13.8" x14ac:dyDescent="0.25">
      <c r="BB866" s="187"/>
      <c r="BC866" s="180"/>
      <c r="BD866" s="191">
        <v>43326</v>
      </c>
      <c r="BE866" s="192">
        <v>0.27400000000000002</v>
      </c>
      <c r="BH866" s="94">
        <v>43342</v>
      </c>
      <c r="BI866" s="95">
        <v>0.26300000000000001</v>
      </c>
      <c r="BJ866" s="96">
        <v>11.79</v>
      </c>
    </row>
    <row r="867" spans="54:62" ht="13.8" x14ac:dyDescent="0.25">
      <c r="BB867" s="187"/>
      <c r="BC867" s="180"/>
      <c r="BD867" s="191"/>
      <c r="BE867" s="193">
        <f>+BE866</f>
        <v>0.27400000000000002</v>
      </c>
      <c r="BH867" s="94">
        <v>43343</v>
      </c>
      <c r="BI867" s="95">
        <v>0.26</v>
      </c>
      <c r="BJ867" s="96">
        <v>11.79</v>
      </c>
    </row>
    <row r="868" spans="54:62" ht="13.8" x14ac:dyDescent="0.25">
      <c r="BB868" s="187"/>
      <c r="BC868" s="180"/>
      <c r="BD868" s="191">
        <v>43328</v>
      </c>
      <c r="BE868" s="192">
        <v>0.27400000000000002</v>
      </c>
      <c r="BH868" s="94">
        <v>43346</v>
      </c>
      <c r="BI868" s="95">
        <v>0.25800000000000001</v>
      </c>
      <c r="BJ868" s="96">
        <v>11.78</v>
      </c>
    </row>
    <row r="869" spans="54:62" ht="13.8" x14ac:dyDescent="0.25">
      <c r="BB869" s="187"/>
      <c r="BC869" s="180"/>
      <c r="BD869" s="191">
        <v>43329</v>
      </c>
      <c r="BE869" s="192">
        <v>0.27400000000000002</v>
      </c>
      <c r="BH869" s="94">
        <v>43347</v>
      </c>
      <c r="BI869" s="95">
        <v>0.25700000000000001</v>
      </c>
      <c r="BJ869" s="96">
        <v>11.78</v>
      </c>
    </row>
    <row r="870" spans="54:62" ht="13.8" x14ac:dyDescent="0.25">
      <c r="BB870" s="187"/>
      <c r="BC870" s="180"/>
      <c r="BD870" s="191">
        <v>43332</v>
      </c>
      <c r="BE870" s="192">
        <v>0.27300000000000002</v>
      </c>
      <c r="BH870" s="94">
        <v>43348</v>
      </c>
      <c r="BI870" s="95">
        <v>0.25700000000000001</v>
      </c>
      <c r="BJ870" s="96">
        <v>11.78</v>
      </c>
    </row>
    <row r="871" spans="54:62" ht="13.8" x14ac:dyDescent="0.25">
      <c r="BB871" s="187"/>
      <c r="BC871" s="180"/>
      <c r="BD871" s="191">
        <v>43333</v>
      </c>
      <c r="BE871" s="192">
        <v>0.27</v>
      </c>
      <c r="BH871" s="94">
        <v>43349</v>
      </c>
      <c r="BI871" s="95">
        <v>0.255</v>
      </c>
      <c r="BJ871" s="96">
        <v>11.74</v>
      </c>
    </row>
    <row r="872" spans="54:62" ht="13.8" x14ac:dyDescent="0.25">
      <c r="BB872" s="187"/>
      <c r="BC872" s="180"/>
      <c r="BD872" s="191">
        <v>43334</v>
      </c>
      <c r="BE872" s="192">
        <v>0.26900000000000002</v>
      </c>
      <c r="BH872" s="94">
        <v>43350</v>
      </c>
      <c r="BI872" s="95">
        <v>0.25600000000000001</v>
      </c>
      <c r="BJ872" s="96">
        <v>11.74</v>
      </c>
    </row>
    <row r="873" spans="54:62" ht="13.8" x14ac:dyDescent="0.25">
      <c r="BB873" s="187"/>
      <c r="BC873" s="180"/>
      <c r="BD873" s="191">
        <v>43335</v>
      </c>
      <c r="BE873" s="192">
        <v>0.26800000000000002</v>
      </c>
      <c r="BH873" s="94">
        <v>43353</v>
      </c>
      <c r="BI873" s="95">
        <v>0.25900000000000001</v>
      </c>
      <c r="BJ873" s="96">
        <v>11.73</v>
      </c>
    </row>
    <row r="874" spans="54:62" ht="13.8" x14ac:dyDescent="0.25">
      <c r="BB874" s="187"/>
      <c r="BC874" s="180"/>
      <c r="BD874" s="191">
        <v>43336</v>
      </c>
      <c r="BE874" s="192">
        <v>0.26700000000000002</v>
      </c>
      <c r="BH874" s="94">
        <v>43354</v>
      </c>
      <c r="BI874" s="95">
        <v>0.26400000000000001</v>
      </c>
      <c r="BJ874" s="96">
        <v>11.72</v>
      </c>
    </row>
    <row r="875" spans="54:62" ht="13.8" x14ac:dyDescent="0.25">
      <c r="BB875" s="187"/>
      <c r="BC875" s="180"/>
      <c r="BD875" s="191">
        <v>43339</v>
      </c>
      <c r="BE875" s="192">
        <v>0.26600000000000001</v>
      </c>
      <c r="BH875" s="94">
        <v>43355</v>
      </c>
      <c r="BI875" s="95">
        <v>0.26800000000000002</v>
      </c>
      <c r="BJ875" s="96">
        <v>11.72</v>
      </c>
    </row>
    <row r="876" spans="54:62" ht="13.8" x14ac:dyDescent="0.25">
      <c r="BB876" s="187"/>
      <c r="BC876" s="180"/>
      <c r="BD876" s="191">
        <v>43340</v>
      </c>
      <c r="BE876" s="192">
        <v>0.26600000000000001</v>
      </c>
      <c r="BH876" s="94">
        <v>43356</v>
      </c>
      <c r="BI876" s="95">
        <v>0.27200000000000002</v>
      </c>
      <c r="BJ876" s="96">
        <v>11.72</v>
      </c>
    </row>
    <row r="877" spans="54:62" ht="13.8" x14ac:dyDescent="0.25">
      <c r="BB877" s="187"/>
      <c r="BC877" s="180"/>
      <c r="BD877" s="191">
        <v>43341</v>
      </c>
      <c r="BE877" s="192">
        <v>0.26500000000000001</v>
      </c>
      <c r="BH877" s="94">
        <v>43357</v>
      </c>
      <c r="BI877" s="95">
        <v>0.27700000000000002</v>
      </c>
      <c r="BJ877" s="96">
        <v>11.72</v>
      </c>
    </row>
    <row r="878" spans="54:62" ht="13.8" x14ac:dyDescent="0.25">
      <c r="BB878" s="187"/>
      <c r="BC878" s="180"/>
      <c r="BD878" s="191">
        <v>43342</v>
      </c>
      <c r="BE878" s="192">
        <v>0.26300000000000001</v>
      </c>
      <c r="BH878" s="94">
        <v>43360</v>
      </c>
      <c r="BI878" s="95">
        <v>0.28299999999999997</v>
      </c>
      <c r="BJ878" s="96">
        <v>11.71</v>
      </c>
    </row>
    <row r="879" spans="54:62" ht="13.8" x14ac:dyDescent="0.25">
      <c r="BB879" s="187"/>
      <c r="BC879" s="180"/>
      <c r="BD879" s="191">
        <v>43343</v>
      </c>
      <c r="BE879" s="192">
        <v>0.26</v>
      </c>
      <c r="BH879" s="94">
        <v>43361</v>
      </c>
      <c r="BI879" s="95">
        <v>0.28899999999999998</v>
      </c>
      <c r="BJ879" s="96">
        <v>11.71</v>
      </c>
    </row>
    <row r="880" spans="54:62" ht="13.8" x14ac:dyDescent="0.25">
      <c r="BB880" s="187"/>
      <c r="BC880" s="180"/>
      <c r="BD880" s="191">
        <v>43346</v>
      </c>
      <c r="BE880" s="192">
        <v>0.25800000000000001</v>
      </c>
      <c r="BH880" s="94">
        <v>43362</v>
      </c>
      <c r="BI880" s="95">
        <v>0.29399999999999998</v>
      </c>
      <c r="BJ880" s="96">
        <v>11.7</v>
      </c>
    </row>
    <row r="881" spans="54:62" ht="13.8" x14ac:dyDescent="0.25">
      <c r="BB881" s="187"/>
      <c r="BC881" s="180"/>
      <c r="BD881" s="191">
        <v>43347</v>
      </c>
      <c r="BE881" s="192">
        <v>0.25700000000000001</v>
      </c>
      <c r="BH881" s="94">
        <v>43363</v>
      </c>
      <c r="BI881" s="95">
        <v>0.29899999999999999</v>
      </c>
      <c r="BJ881" s="96">
        <v>11.7</v>
      </c>
    </row>
    <row r="882" spans="54:62" ht="13.8" x14ac:dyDescent="0.25">
      <c r="BB882" s="187"/>
      <c r="BC882" s="180"/>
      <c r="BD882" s="191">
        <v>43348</v>
      </c>
      <c r="BE882" s="192">
        <v>0.25700000000000001</v>
      </c>
      <c r="BH882" s="94">
        <v>43364</v>
      </c>
      <c r="BI882" s="95">
        <v>0.30399999999999999</v>
      </c>
      <c r="BJ882" s="96">
        <v>11.7</v>
      </c>
    </row>
    <row r="883" spans="54:62" ht="13.8" x14ac:dyDescent="0.25">
      <c r="BB883" s="187"/>
      <c r="BC883" s="180"/>
      <c r="BD883" s="191">
        <v>43349</v>
      </c>
      <c r="BE883" s="192">
        <v>0.255</v>
      </c>
      <c r="BH883" s="94">
        <v>43367</v>
      </c>
      <c r="BI883" s="95">
        <v>0.308</v>
      </c>
      <c r="BJ883" s="96">
        <v>11.69</v>
      </c>
    </row>
    <row r="884" spans="54:62" ht="13.8" x14ac:dyDescent="0.25">
      <c r="BB884" s="187"/>
      <c r="BC884" s="180"/>
      <c r="BD884" s="191">
        <v>43350</v>
      </c>
      <c r="BE884" s="192">
        <v>0.25600000000000001</v>
      </c>
      <c r="BH884" s="94">
        <v>43368</v>
      </c>
      <c r="BI884" s="95">
        <v>0.314</v>
      </c>
      <c r="BJ884" s="96">
        <v>11.69</v>
      </c>
    </row>
    <row r="885" spans="54:62" ht="13.8" x14ac:dyDescent="0.25">
      <c r="BB885" s="187"/>
      <c r="BC885" s="180"/>
      <c r="BD885" s="191">
        <v>43353</v>
      </c>
      <c r="BE885" s="192">
        <v>0.25900000000000001</v>
      </c>
      <c r="BH885" s="94">
        <v>43369</v>
      </c>
      <c r="BI885" s="95">
        <v>0.31900000000000001</v>
      </c>
      <c r="BJ885" s="96">
        <v>11.68</v>
      </c>
    </row>
    <row r="886" spans="54:62" ht="13.8" x14ac:dyDescent="0.25">
      <c r="BB886" s="187"/>
      <c r="BC886" s="180"/>
      <c r="BD886" s="191">
        <v>43354</v>
      </c>
      <c r="BE886" s="192">
        <v>0.26400000000000001</v>
      </c>
      <c r="BH886" s="94">
        <v>43370</v>
      </c>
      <c r="BI886" s="95">
        <v>0.32400000000000001</v>
      </c>
      <c r="BJ886" s="96">
        <v>11.68</v>
      </c>
    </row>
    <row r="887" spans="54:62" ht="13.8" x14ac:dyDescent="0.25">
      <c r="BB887" s="187"/>
      <c r="BC887" s="180"/>
      <c r="BD887" s="191">
        <v>43355</v>
      </c>
      <c r="BE887" s="192">
        <v>0.26800000000000002</v>
      </c>
      <c r="BH887" s="94">
        <v>43371</v>
      </c>
      <c r="BI887" s="95">
        <v>0.32900000000000001</v>
      </c>
      <c r="BJ887" s="96">
        <v>11.68</v>
      </c>
    </row>
    <row r="888" spans="54:62" ht="13.8" x14ac:dyDescent="0.25">
      <c r="BB888" s="187"/>
      <c r="BC888" s="180"/>
      <c r="BD888" s="191">
        <v>43356</v>
      </c>
      <c r="BE888" s="192">
        <v>0.27200000000000002</v>
      </c>
      <c r="BH888" s="94">
        <v>43374</v>
      </c>
      <c r="BI888" s="95">
        <v>0.33500000000000002</v>
      </c>
      <c r="BJ888" s="96">
        <v>11.67</v>
      </c>
    </row>
    <row r="889" spans="54:62" ht="13.8" x14ac:dyDescent="0.25">
      <c r="BB889" s="187"/>
      <c r="BC889" s="180"/>
      <c r="BD889" s="191">
        <v>43357</v>
      </c>
      <c r="BE889" s="192">
        <v>0.27700000000000002</v>
      </c>
      <c r="BH889" s="94">
        <v>43375</v>
      </c>
      <c r="BI889" s="95">
        <v>0.33800000000000002</v>
      </c>
      <c r="BJ889" s="96">
        <v>11.67</v>
      </c>
    </row>
    <row r="890" spans="54:62" ht="13.8" x14ac:dyDescent="0.25">
      <c r="BB890" s="187"/>
      <c r="BC890" s="180"/>
      <c r="BD890" s="191">
        <v>43360</v>
      </c>
      <c r="BE890" s="192">
        <v>0.28299999999999997</v>
      </c>
      <c r="BH890" s="94">
        <v>43376</v>
      </c>
      <c r="BI890" s="95">
        <v>0.34100000000000003</v>
      </c>
      <c r="BJ890" s="96">
        <v>11.66</v>
      </c>
    </row>
    <row r="891" spans="54:62" ht="13.8" x14ac:dyDescent="0.25">
      <c r="BB891" s="187"/>
      <c r="BC891" s="180"/>
      <c r="BD891" s="191">
        <v>43361</v>
      </c>
      <c r="BE891" s="192">
        <v>0.28899999999999998</v>
      </c>
      <c r="BH891" s="94">
        <v>43377</v>
      </c>
      <c r="BI891" s="95">
        <v>0.34599999999999997</v>
      </c>
      <c r="BJ891" s="96">
        <v>11.63</v>
      </c>
    </row>
    <row r="892" spans="54:62" ht="13.8" x14ac:dyDescent="0.25">
      <c r="BB892" s="187"/>
      <c r="BC892" s="180"/>
      <c r="BD892" s="191">
        <v>43362</v>
      </c>
      <c r="BE892" s="192">
        <v>0.29399999999999998</v>
      </c>
      <c r="BH892" s="94">
        <v>43378</v>
      </c>
      <c r="BI892" s="95">
        <v>0.35199999999999998</v>
      </c>
      <c r="BJ892" s="96">
        <v>11.63</v>
      </c>
    </row>
    <row r="893" spans="54:62" ht="13.8" x14ac:dyDescent="0.25">
      <c r="BB893" s="187"/>
      <c r="BC893" s="180"/>
      <c r="BD893" s="191">
        <v>43363</v>
      </c>
      <c r="BE893" s="192">
        <v>0.29899999999999999</v>
      </c>
      <c r="BH893" s="94">
        <v>43381</v>
      </c>
      <c r="BI893" s="95">
        <v>0.35699999999999998</v>
      </c>
      <c r="BJ893" s="96">
        <v>11.62</v>
      </c>
    </row>
    <row r="894" spans="54:62" ht="13.8" x14ac:dyDescent="0.25">
      <c r="BB894" s="187"/>
      <c r="BC894" s="180"/>
      <c r="BD894" s="191">
        <v>43364</v>
      </c>
      <c r="BE894" s="192">
        <v>0.30399999999999999</v>
      </c>
      <c r="BH894" s="94">
        <v>43382</v>
      </c>
      <c r="BI894" s="95">
        <v>0.36099999999999999</v>
      </c>
      <c r="BJ894" s="96">
        <v>11.62</v>
      </c>
    </row>
    <row r="895" spans="54:62" ht="13.8" x14ac:dyDescent="0.25">
      <c r="BB895" s="187"/>
      <c r="BC895" s="180"/>
      <c r="BD895" s="191">
        <v>43367</v>
      </c>
      <c r="BE895" s="192">
        <v>0.308</v>
      </c>
      <c r="BH895" s="94">
        <v>43383</v>
      </c>
      <c r="BI895" s="95">
        <v>0.36599999999999999</v>
      </c>
      <c r="BJ895" s="96">
        <v>11.62</v>
      </c>
    </row>
    <row r="896" spans="54:62" ht="13.8" x14ac:dyDescent="0.25">
      <c r="BB896" s="187"/>
      <c r="BC896" s="180"/>
      <c r="BD896" s="191">
        <v>43368</v>
      </c>
      <c r="BE896" s="192">
        <v>0.314</v>
      </c>
      <c r="BH896" s="94">
        <v>43384</v>
      </c>
      <c r="BI896" s="95">
        <v>0.36899999999999999</v>
      </c>
      <c r="BJ896" s="96">
        <v>11.61</v>
      </c>
    </row>
    <row r="897" spans="54:62" ht="13.8" x14ac:dyDescent="0.25">
      <c r="BB897" s="187"/>
      <c r="BC897" s="180"/>
      <c r="BD897" s="191">
        <v>43369</v>
      </c>
      <c r="BE897" s="192">
        <v>0.31900000000000001</v>
      </c>
      <c r="BH897" s="94">
        <v>43385</v>
      </c>
      <c r="BI897" s="95">
        <v>0.372</v>
      </c>
      <c r="BJ897" s="96">
        <v>11.61</v>
      </c>
    </row>
    <row r="898" spans="54:62" ht="13.8" x14ac:dyDescent="0.25">
      <c r="BB898" s="187"/>
      <c r="BC898" s="180"/>
      <c r="BD898" s="191">
        <v>43370</v>
      </c>
      <c r="BE898" s="192">
        <v>0.32400000000000001</v>
      </c>
      <c r="BH898" s="94">
        <v>43388</v>
      </c>
      <c r="BI898" s="95">
        <v>0.373</v>
      </c>
      <c r="BJ898" s="96">
        <v>11.6</v>
      </c>
    </row>
    <row r="899" spans="54:62" ht="13.8" x14ac:dyDescent="0.25">
      <c r="BB899" s="187"/>
      <c r="BC899" s="180"/>
      <c r="BD899" s="191">
        <v>43371</v>
      </c>
      <c r="BE899" s="192">
        <v>0.32900000000000001</v>
      </c>
      <c r="BH899" s="94">
        <v>43389</v>
      </c>
      <c r="BI899" s="95">
        <v>0.374</v>
      </c>
      <c r="BJ899" s="96">
        <v>11.6</v>
      </c>
    </row>
    <row r="900" spans="54:62" ht="13.8" x14ac:dyDescent="0.25">
      <c r="BB900" s="187"/>
      <c r="BC900" s="180"/>
      <c r="BD900" s="191">
        <v>43374</v>
      </c>
      <c r="BE900" s="192">
        <v>0.33500000000000002</v>
      </c>
      <c r="BH900" s="94">
        <v>43390</v>
      </c>
      <c r="BI900" s="95">
        <v>0.372</v>
      </c>
      <c r="BJ900" s="96">
        <v>11.6</v>
      </c>
    </row>
    <row r="901" spans="54:62" ht="13.8" x14ac:dyDescent="0.25">
      <c r="BB901" s="187"/>
      <c r="BC901" s="180"/>
      <c r="BD901" s="191">
        <v>43375</v>
      </c>
      <c r="BE901" s="192">
        <v>0.33800000000000002</v>
      </c>
      <c r="BH901" s="94">
        <v>43391</v>
      </c>
      <c r="BI901" s="95">
        <v>0.40500000000000003</v>
      </c>
      <c r="BJ901" s="96">
        <v>12</v>
      </c>
    </row>
    <row r="902" spans="54:62" ht="13.8" x14ac:dyDescent="0.25">
      <c r="BB902" s="187"/>
      <c r="BC902" s="180"/>
      <c r="BD902" s="191">
        <v>43376</v>
      </c>
      <c r="BE902" s="192">
        <v>0.34100000000000003</v>
      </c>
      <c r="BH902" s="94">
        <v>43392</v>
      </c>
      <c r="BI902" s="95">
        <v>0.40300000000000002</v>
      </c>
      <c r="BJ902" s="96">
        <v>12</v>
      </c>
    </row>
    <row r="903" spans="54:62" ht="13.8" x14ac:dyDescent="0.25">
      <c r="BB903" s="187"/>
      <c r="BC903" s="180"/>
      <c r="BD903" s="191">
        <v>43377</v>
      </c>
      <c r="BE903" s="192">
        <v>0.34599999999999997</v>
      </c>
      <c r="BH903" s="94">
        <v>43395</v>
      </c>
      <c r="BI903" s="95">
        <v>0.40200000000000002</v>
      </c>
      <c r="BJ903" s="96">
        <v>11.99</v>
      </c>
    </row>
    <row r="904" spans="54:62" ht="13.8" x14ac:dyDescent="0.25">
      <c r="BB904" s="187"/>
      <c r="BC904" s="180"/>
      <c r="BD904" s="191">
        <v>43378</v>
      </c>
      <c r="BE904" s="192">
        <v>0.35199999999999998</v>
      </c>
      <c r="BH904" s="94">
        <v>43396</v>
      </c>
      <c r="BI904" s="95">
        <v>0.39700000000000002</v>
      </c>
      <c r="BJ904" s="96">
        <v>11.99</v>
      </c>
    </row>
    <row r="905" spans="54:62" ht="13.8" x14ac:dyDescent="0.25">
      <c r="BB905" s="187"/>
      <c r="BC905" s="180"/>
      <c r="BD905" s="191">
        <v>43381</v>
      </c>
      <c r="BE905" s="192">
        <v>0.35699999999999998</v>
      </c>
      <c r="BH905" s="94">
        <v>43397</v>
      </c>
      <c r="BI905" s="95">
        <v>0.39200000000000002</v>
      </c>
      <c r="BJ905" s="96">
        <v>11.98</v>
      </c>
    </row>
    <row r="906" spans="54:62" ht="13.8" x14ac:dyDescent="0.25">
      <c r="BB906" s="187"/>
      <c r="BC906" s="180"/>
      <c r="BD906" s="191">
        <v>43382</v>
      </c>
      <c r="BE906" s="192">
        <v>0.36099999999999999</v>
      </c>
      <c r="BH906" s="94">
        <v>43398</v>
      </c>
      <c r="BI906" s="95">
        <v>0.38700000000000001</v>
      </c>
      <c r="BJ906" s="96">
        <v>11.98</v>
      </c>
    </row>
    <row r="907" spans="54:62" ht="13.8" x14ac:dyDescent="0.25">
      <c r="BB907" s="187"/>
      <c r="BC907" s="180"/>
      <c r="BD907" s="191">
        <v>43383</v>
      </c>
      <c r="BE907" s="192">
        <v>0.36599999999999999</v>
      </c>
      <c r="BH907" s="94">
        <v>43402</v>
      </c>
      <c r="BI907" s="95">
        <v>0.38300000000000001</v>
      </c>
      <c r="BJ907" s="96">
        <v>11.97</v>
      </c>
    </row>
    <row r="908" spans="54:62" ht="13.8" x14ac:dyDescent="0.25">
      <c r="BB908" s="187"/>
      <c r="BC908" s="180"/>
      <c r="BD908" s="191">
        <v>43384</v>
      </c>
      <c r="BE908" s="192">
        <v>0.36899999999999999</v>
      </c>
      <c r="BH908" s="94">
        <v>43403</v>
      </c>
      <c r="BI908" s="95">
        <v>0.378</v>
      </c>
      <c r="BJ908" s="96">
        <v>11.97</v>
      </c>
    </row>
    <row r="909" spans="54:62" ht="13.8" x14ac:dyDescent="0.25">
      <c r="BB909" s="187"/>
      <c r="BC909" s="180"/>
      <c r="BD909" s="191">
        <v>43385</v>
      </c>
      <c r="BE909" s="192">
        <v>0.372</v>
      </c>
      <c r="BH909" s="94">
        <v>43404</v>
      </c>
      <c r="BI909" s="95">
        <v>0.375</v>
      </c>
      <c r="BJ909" s="96">
        <v>11.96</v>
      </c>
    </row>
    <row r="910" spans="54:62" ht="13.8" x14ac:dyDescent="0.25">
      <c r="BB910" s="187"/>
      <c r="BC910" s="180"/>
      <c r="BD910" s="191">
        <v>43388</v>
      </c>
      <c r="BE910" s="192">
        <v>0.373</v>
      </c>
      <c r="BH910" s="94">
        <v>43406</v>
      </c>
      <c r="BI910" s="95">
        <v>0.373</v>
      </c>
      <c r="BJ910" s="96">
        <v>11.96</v>
      </c>
    </row>
    <row r="911" spans="54:62" ht="13.8" x14ac:dyDescent="0.25">
      <c r="BB911" s="187"/>
      <c r="BC911" s="180"/>
      <c r="BD911" s="191">
        <v>43389</v>
      </c>
      <c r="BE911" s="192">
        <v>0.374</v>
      </c>
      <c r="BH911" s="94">
        <v>43409</v>
      </c>
      <c r="BI911" s="95">
        <v>0.36899999999999999</v>
      </c>
      <c r="BJ911" s="96">
        <v>11.95</v>
      </c>
    </row>
    <row r="912" spans="54:62" ht="13.8" x14ac:dyDescent="0.25">
      <c r="BB912" s="187"/>
      <c r="BC912" s="180"/>
      <c r="BD912" s="191">
        <v>43390</v>
      </c>
      <c r="BE912" s="192">
        <v>0.372</v>
      </c>
      <c r="BH912" s="94">
        <v>43410</v>
      </c>
      <c r="BI912" s="95">
        <v>0.36299999999999999</v>
      </c>
      <c r="BJ912" s="96">
        <v>11.95</v>
      </c>
    </row>
    <row r="913" spans="54:62" ht="13.8" x14ac:dyDescent="0.25">
      <c r="BB913" s="187"/>
      <c r="BC913" s="180"/>
      <c r="BD913" s="191">
        <v>43391</v>
      </c>
      <c r="BE913" s="192">
        <v>0.40500000000000003</v>
      </c>
      <c r="BH913" s="94">
        <v>43411</v>
      </c>
      <c r="BI913" s="95">
        <v>0.35899999999999999</v>
      </c>
      <c r="BJ913" s="96">
        <v>11.95</v>
      </c>
    </row>
    <row r="914" spans="54:62" ht="13.8" x14ac:dyDescent="0.25">
      <c r="BB914" s="187"/>
      <c r="BC914" s="180"/>
      <c r="BD914" s="191">
        <v>43392</v>
      </c>
      <c r="BE914" s="192">
        <v>0.40300000000000002</v>
      </c>
      <c r="BH914" s="94">
        <v>43412</v>
      </c>
      <c r="BI914" s="95">
        <v>0.35499999999999998</v>
      </c>
      <c r="BJ914" s="96">
        <v>11.94</v>
      </c>
    </row>
    <row r="915" spans="54:62" ht="13.8" x14ac:dyDescent="0.25">
      <c r="BB915" s="187"/>
      <c r="BC915" s="180"/>
      <c r="BD915" s="191">
        <v>43395</v>
      </c>
      <c r="BE915" s="192">
        <v>0.40200000000000002</v>
      </c>
      <c r="BH915" s="94">
        <v>43413</v>
      </c>
      <c r="BI915" s="95">
        <v>0.34899999999999998</v>
      </c>
      <c r="BJ915" s="96">
        <v>11.94</v>
      </c>
    </row>
    <row r="916" spans="54:62" ht="13.8" x14ac:dyDescent="0.25">
      <c r="BB916" s="187"/>
      <c r="BC916" s="180"/>
      <c r="BD916" s="191">
        <v>43396</v>
      </c>
      <c r="BE916" s="192">
        <v>0.39700000000000002</v>
      </c>
      <c r="BH916" s="94">
        <v>43416</v>
      </c>
      <c r="BI916" s="95">
        <v>0.34399999999999997</v>
      </c>
      <c r="BJ916" s="96">
        <v>11.93</v>
      </c>
    </row>
    <row r="917" spans="54:62" ht="13.8" x14ac:dyDescent="0.25">
      <c r="BB917" s="187"/>
      <c r="BC917" s="180"/>
      <c r="BD917" s="191">
        <v>43397</v>
      </c>
      <c r="BE917" s="192">
        <v>0.39200000000000002</v>
      </c>
      <c r="BH917" s="94">
        <v>43417</v>
      </c>
      <c r="BI917" s="95">
        <v>0.34</v>
      </c>
      <c r="BJ917" s="96">
        <v>11.93</v>
      </c>
    </row>
    <row r="918" spans="54:62" ht="13.8" x14ac:dyDescent="0.25">
      <c r="BB918" s="187"/>
      <c r="BC918" s="180"/>
      <c r="BD918" s="191">
        <v>43398</v>
      </c>
      <c r="BE918" s="192">
        <v>0.38700000000000001</v>
      </c>
      <c r="BH918" s="94">
        <v>43418</v>
      </c>
      <c r="BI918" s="95">
        <v>0.33700000000000002</v>
      </c>
      <c r="BJ918" s="96">
        <v>11.93</v>
      </c>
    </row>
    <row r="919" spans="54:62" ht="13.8" x14ac:dyDescent="0.25">
      <c r="BB919" s="187"/>
      <c r="BC919" s="180"/>
      <c r="BD919" s="191"/>
      <c r="BE919" s="193">
        <f>+BE918</f>
        <v>0.38700000000000001</v>
      </c>
      <c r="BH919" s="94">
        <v>43419</v>
      </c>
      <c r="BI919" s="95">
        <v>0.33300000000000002</v>
      </c>
      <c r="BJ919" s="96">
        <v>11.92</v>
      </c>
    </row>
    <row r="920" spans="54:62" ht="13.8" x14ac:dyDescent="0.25">
      <c r="BB920" s="187"/>
      <c r="BC920" s="180"/>
      <c r="BD920" s="191">
        <v>43402</v>
      </c>
      <c r="BE920" s="192">
        <v>0.38300000000000001</v>
      </c>
      <c r="BH920" s="94">
        <v>43420</v>
      </c>
      <c r="BI920" s="95">
        <v>0.33</v>
      </c>
      <c r="BJ920" s="96">
        <v>11.92</v>
      </c>
    </row>
    <row r="921" spans="54:62" ht="13.8" x14ac:dyDescent="0.25">
      <c r="BB921" s="187"/>
      <c r="BC921" s="180"/>
      <c r="BD921" s="191">
        <v>43403</v>
      </c>
      <c r="BE921" s="192">
        <v>0.378</v>
      </c>
      <c r="BH921" s="94">
        <v>43423</v>
      </c>
      <c r="BI921" s="95">
        <v>0.32800000000000001</v>
      </c>
      <c r="BJ921" s="96">
        <v>11.91</v>
      </c>
    </row>
    <row r="922" spans="54:62" ht="13.8" x14ac:dyDescent="0.25">
      <c r="BB922" s="187"/>
      <c r="BC922" s="180"/>
      <c r="BD922" s="191">
        <v>43404</v>
      </c>
      <c r="BE922" s="192">
        <v>0.375</v>
      </c>
      <c r="BH922" s="94">
        <v>43424</v>
      </c>
      <c r="BI922" s="95">
        <v>0.32700000000000001</v>
      </c>
      <c r="BJ922" s="96">
        <v>11.91</v>
      </c>
    </row>
    <row r="923" spans="54:62" ht="13.8" x14ac:dyDescent="0.25">
      <c r="BB923" s="187"/>
      <c r="BC923" s="180"/>
      <c r="BD923" s="191"/>
      <c r="BE923" s="193">
        <f>+BE922</f>
        <v>0.375</v>
      </c>
      <c r="BF923" s="111">
        <f>+(BC923+BE923)/2+0.37</f>
        <v>0.5575</v>
      </c>
      <c r="BH923" s="94">
        <v>43425</v>
      </c>
      <c r="BI923" s="95">
        <v>0.32400000000000001</v>
      </c>
      <c r="BJ923" s="96">
        <v>11.91</v>
      </c>
    </row>
    <row r="924" spans="54:62" ht="13.8" x14ac:dyDescent="0.25">
      <c r="BB924" s="187"/>
      <c r="BC924" s="180"/>
      <c r="BD924" s="191">
        <v>43406</v>
      </c>
      <c r="BE924" s="192">
        <v>0.373</v>
      </c>
      <c r="BH924" s="94">
        <v>43426</v>
      </c>
      <c r="BI924" s="95">
        <v>0.32600000000000001</v>
      </c>
      <c r="BJ924" s="96">
        <v>12.04</v>
      </c>
    </row>
    <row r="925" spans="54:62" ht="13.8" x14ac:dyDescent="0.25">
      <c r="BB925" s="187"/>
      <c r="BC925" s="180"/>
      <c r="BD925" s="191">
        <v>43409</v>
      </c>
      <c r="BE925" s="192">
        <v>0.36899999999999999</v>
      </c>
      <c r="BH925" s="94">
        <v>43427</v>
      </c>
      <c r="BI925" s="95">
        <v>0.32500000000000001</v>
      </c>
      <c r="BJ925" s="96">
        <v>12.04</v>
      </c>
    </row>
    <row r="926" spans="54:62" ht="13.8" x14ac:dyDescent="0.25">
      <c r="BB926" s="187"/>
      <c r="BC926" s="180"/>
      <c r="BD926" s="191">
        <v>43410</v>
      </c>
      <c r="BE926" s="192">
        <v>0.36299999999999999</v>
      </c>
      <c r="BH926" s="94">
        <v>43430</v>
      </c>
      <c r="BI926" s="95">
        <v>0.32500000000000001</v>
      </c>
      <c r="BJ926" s="96">
        <v>12.03</v>
      </c>
    </row>
    <row r="927" spans="54:62" ht="13.8" x14ac:dyDescent="0.25">
      <c r="BB927" s="187"/>
      <c r="BC927" s="180"/>
      <c r="BD927" s="191">
        <v>43411</v>
      </c>
      <c r="BE927" s="192">
        <v>0.35899999999999999</v>
      </c>
      <c r="BH927" s="94">
        <v>43431</v>
      </c>
      <c r="BI927" s="95">
        <v>0.32500000000000001</v>
      </c>
      <c r="BJ927" s="96">
        <v>12.03</v>
      </c>
    </row>
    <row r="928" spans="54:62" ht="13.8" x14ac:dyDescent="0.25">
      <c r="BB928" s="187"/>
      <c r="BC928" s="180"/>
      <c r="BD928" s="191">
        <v>43412</v>
      </c>
      <c r="BE928" s="192">
        <v>0.35499999999999998</v>
      </c>
      <c r="BH928" s="94">
        <v>43432</v>
      </c>
      <c r="BI928" s="95">
        <v>0.32600000000000001</v>
      </c>
      <c r="BJ928" s="96">
        <v>12.03</v>
      </c>
    </row>
    <row r="929" spans="54:62" ht="13.8" x14ac:dyDescent="0.25">
      <c r="BB929" s="187"/>
      <c r="BC929" s="180"/>
      <c r="BD929" s="191">
        <v>43413</v>
      </c>
      <c r="BE929" s="192">
        <v>0.34899999999999998</v>
      </c>
      <c r="BH929" s="94">
        <v>43433</v>
      </c>
      <c r="BI929" s="95">
        <v>0.32500000000000001</v>
      </c>
      <c r="BJ929" s="96">
        <v>12.02</v>
      </c>
    </row>
    <row r="930" spans="54:62" ht="13.8" x14ac:dyDescent="0.25">
      <c r="BB930" s="187"/>
      <c r="BC930" s="180"/>
      <c r="BD930" s="191">
        <v>43416</v>
      </c>
      <c r="BE930" s="192">
        <v>0.34399999999999997</v>
      </c>
      <c r="BH930" s="94">
        <v>43434</v>
      </c>
      <c r="BI930" s="95">
        <v>0.32200000000000001</v>
      </c>
      <c r="BJ930" s="96">
        <v>12.02</v>
      </c>
    </row>
    <row r="931" spans="54:62" ht="13.8" x14ac:dyDescent="0.25">
      <c r="BB931" s="187"/>
      <c r="BC931" s="180"/>
      <c r="BD931" s="191">
        <v>43417</v>
      </c>
      <c r="BE931" s="192">
        <v>0.34</v>
      </c>
      <c r="BH931" s="94">
        <v>43437</v>
      </c>
      <c r="BI931" s="95">
        <v>0.32</v>
      </c>
      <c r="BJ931" s="96">
        <v>12.01</v>
      </c>
    </row>
    <row r="932" spans="54:62" ht="13.8" x14ac:dyDescent="0.25">
      <c r="BB932" s="187"/>
      <c r="BC932" s="180"/>
      <c r="BD932" s="191">
        <v>43418</v>
      </c>
      <c r="BE932" s="192">
        <v>0.33700000000000002</v>
      </c>
      <c r="BH932" s="94">
        <v>43438</v>
      </c>
      <c r="BI932" s="95">
        <v>0.316</v>
      </c>
      <c r="BJ932" s="96">
        <v>12.01</v>
      </c>
    </row>
    <row r="933" spans="54:62" ht="13.8" x14ac:dyDescent="0.25">
      <c r="BB933" s="187"/>
      <c r="BC933" s="180"/>
      <c r="BD933" s="191">
        <v>43419</v>
      </c>
      <c r="BE933" s="192">
        <v>0.33300000000000002</v>
      </c>
      <c r="BH933" s="94">
        <v>43439</v>
      </c>
      <c r="BI933" s="95">
        <v>0.311</v>
      </c>
      <c r="BJ933" s="96">
        <v>12.01</v>
      </c>
    </row>
    <row r="934" spans="54:62" ht="13.8" x14ac:dyDescent="0.25">
      <c r="BB934" s="187"/>
      <c r="BC934" s="180"/>
      <c r="BD934" s="191">
        <v>43420</v>
      </c>
      <c r="BE934" s="192">
        <v>0.33</v>
      </c>
      <c r="BH934" s="94">
        <v>43440</v>
      </c>
      <c r="BI934" s="95">
        <v>0.30399999999999999</v>
      </c>
      <c r="BJ934" s="96">
        <v>12.01</v>
      </c>
    </row>
    <row r="935" spans="54:62" ht="13.8" x14ac:dyDescent="0.25">
      <c r="BB935" s="187"/>
      <c r="BC935" s="180"/>
      <c r="BD935" s="191">
        <v>43423</v>
      </c>
      <c r="BE935" s="192">
        <v>0.32800000000000001</v>
      </c>
      <c r="BH935" s="94">
        <v>43441</v>
      </c>
      <c r="BI935" s="95">
        <v>0.3</v>
      </c>
      <c r="BJ935" s="96">
        <v>12</v>
      </c>
    </row>
    <row r="936" spans="54:62" ht="13.8" x14ac:dyDescent="0.25">
      <c r="BB936" s="187"/>
      <c r="BC936" s="180"/>
      <c r="BD936" s="191">
        <v>43424</v>
      </c>
      <c r="BE936" s="192">
        <v>0.32700000000000001</v>
      </c>
      <c r="BH936" s="94">
        <v>43444</v>
      </c>
      <c r="BI936" s="95">
        <v>0.29599999999999999</v>
      </c>
      <c r="BJ936" s="96">
        <v>11.99</v>
      </c>
    </row>
    <row r="937" spans="54:62" ht="13.8" x14ac:dyDescent="0.25">
      <c r="BB937" s="187"/>
      <c r="BC937" s="180"/>
      <c r="BD937" s="191">
        <v>43425</v>
      </c>
      <c r="BE937" s="192">
        <v>0.32400000000000001</v>
      </c>
      <c r="BH937" s="94">
        <v>43445</v>
      </c>
      <c r="BI937" s="95">
        <v>0.29299999999999998</v>
      </c>
      <c r="BJ937" s="96">
        <v>11.99</v>
      </c>
    </row>
    <row r="938" spans="54:62" ht="13.8" x14ac:dyDescent="0.25">
      <c r="BB938" s="187"/>
      <c r="BC938" s="180"/>
      <c r="BD938" s="191">
        <v>43426</v>
      </c>
      <c r="BE938" s="192">
        <v>0.32600000000000001</v>
      </c>
      <c r="BH938" s="94">
        <v>43446</v>
      </c>
      <c r="BI938" s="95">
        <v>0.28899999999999998</v>
      </c>
      <c r="BJ938" s="96">
        <v>11.99</v>
      </c>
    </row>
    <row r="939" spans="54:62" ht="13.8" x14ac:dyDescent="0.25">
      <c r="BB939" s="187"/>
      <c r="BC939" s="180"/>
      <c r="BD939" s="191">
        <v>43427</v>
      </c>
      <c r="BE939" s="192">
        <v>0.32500000000000001</v>
      </c>
      <c r="BH939" s="94">
        <v>43447</v>
      </c>
      <c r="BI939" s="95">
        <v>0.28799999999999998</v>
      </c>
      <c r="BJ939" s="96">
        <v>11.99</v>
      </c>
    </row>
    <row r="940" spans="54:62" ht="13.8" x14ac:dyDescent="0.25">
      <c r="BB940" s="187"/>
      <c r="BC940" s="180"/>
      <c r="BD940" s="191">
        <v>43430</v>
      </c>
      <c r="BE940" s="192">
        <v>0.32500000000000001</v>
      </c>
      <c r="BH940" s="94">
        <v>43448</v>
      </c>
      <c r="BI940" s="95">
        <v>0.28499999999999998</v>
      </c>
      <c r="BJ940" s="96">
        <v>11.98</v>
      </c>
    </row>
    <row r="941" spans="54:62" ht="13.8" x14ac:dyDescent="0.25">
      <c r="BB941" s="187"/>
      <c r="BC941" s="180"/>
      <c r="BD941" s="191">
        <v>43431</v>
      </c>
      <c r="BE941" s="192">
        <v>0.32500000000000001</v>
      </c>
      <c r="BH941" s="94">
        <v>43451</v>
      </c>
      <c r="BI941" s="95">
        <v>0.28100000000000003</v>
      </c>
      <c r="BJ941" s="96">
        <v>11.98</v>
      </c>
    </row>
    <row r="942" spans="54:62" ht="13.8" x14ac:dyDescent="0.25">
      <c r="BB942" s="187"/>
      <c r="BC942" s="180"/>
      <c r="BD942" s="191">
        <v>43432</v>
      </c>
      <c r="BE942" s="192">
        <v>0.32600000000000001</v>
      </c>
      <c r="BH942" s="94">
        <v>43452</v>
      </c>
      <c r="BI942" s="95">
        <v>0.27700000000000002</v>
      </c>
      <c r="BJ942" s="96">
        <v>11.97</v>
      </c>
    </row>
    <row r="943" spans="54:62" ht="13.8" x14ac:dyDescent="0.25">
      <c r="BB943" s="187"/>
      <c r="BC943" s="180"/>
      <c r="BD943" s="191">
        <v>43433</v>
      </c>
      <c r="BE943" s="192">
        <v>0.32500000000000001</v>
      </c>
      <c r="BH943" s="94">
        <v>43453</v>
      </c>
      <c r="BI943" s="95">
        <v>0.27300000000000002</v>
      </c>
      <c r="BJ943" s="96">
        <v>11.97</v>
      </c>
    </row>
    <row r="944" spans="54:62" ht="13.8" x14ac:dyDescent="0.25">
      <c r="BB944" s="187"/>
      <c r="BC944" s="180"/>
      <c r="BD944" s="191">
        <v>43434</v>
      </c>
      <c r="BE944" s="192">
        <v>0.32200000000000001</v>
      </c>
      <c r="BH944" s="94">
        <v>43454</v>
      </c>
      <c r="BI944" s="95">
        <v>0.26800000000000002</v>
      </c>
      <c r="BJ944" s="96">
        <v>11.97</v>
      </c>
    </row>
    <row r="945" spans="54:62" ht="13.8" x14ac:dyDescent="0.25">
      <c r="BB945" s="187"/>
      <c r="BC945" s="180"/>
      <c r="BD945" s="191">
        <v>43437</v>
      </c>
      <c r="BE945" s="192">
        <v>0.32</v>
      </c>
      <c r="BH945" s="94">
        <v>43455</v>
      </c>
      <c r="BI945" s="95">
        <v>0.26400000000000001</v>
      </c>
      <c r="BJ945" s="96">
        <v>11.96</v>
      </c>
    </row>
    <row r="946" spans="54:62" ht="13.8" x14ac:dyDescent="0.25">
      <c r="BB946" s="187"/>
      <c r="BC946" s="180"/>
      <c r="BD946" s="191">
        <v>43438</v>
      </c>
      <c r="BE946" s="192">
        <v>0.316</v>
      </c>
      <c r="BH946" s="94">
        <v>43461</v>
      </c>
      <c r="BI946" s="95">
        <v>0.25900000000000001</v>
      </c>
      <c r="BJ946" s="96">
        <v>11.95</v>
      </c>
    </row>
    <row r="947" spans="54:62" ht="13.8" x14ac:dyDescent="0.25">
      <c r="BB947" s="187"/>
      <c r="BC947" s="180"/>
      <c r="BD947" s="191">
        <v>43439</v>
      </c>
      <c r="BE947" s="192">
        <v>0.311</v>
      </c>
      <c r="BH947" s="94">
        <v>43462</v>
      </c>
      <c r="BI947" s="95">
        <v>0.255</v>
      </c>
      <c r="BJ947" s="96">
        <v>11.95</v>
      </c>
    </row>
    <row r="948" spans="54:62" ht="13.8" x14ac:dyDescent="0.25">
      <c r="BB948" s="187"/>
      <c r="BC948" s="180"/>
      <c r="BD948" s="191">
        <v>43440</v>
      </c>
      <c r="BE948" s="192">
        <v>0.30399999999999999</v>
      </c>
      <c r="BH948" s="94">
        <v>43465</v>
      </c>
      <c r="BI948" s="95">
        <v>0.251</v>
      </c>
      <c r="BJ948" s="96">
        <v>11.94</v>
      </c>
    </row>
    <row r="949" spans="54:62" ht="13.8" x14ac:dyDescent="0.25">
      <c r="BB949" s="187"/>
      <c r="BC949" s="180"/>
      <c r="BD949" s="191">
        <v>43441</v>
      </c>
      <c r="BE949" s="192">
        <v>0.3</v>
      </c>
      <c r="BH949" s="94">
        <v>43467</v>
      </c>
      <c r="BI949" s="95">
        <v>0.245</v>
      </c>
      <c r="BJ949" s="96">
        <v>11.93</v>
      </c>
    </row>
    <row r="950" spans="54:62" ht="13.8" x14ac:dyDescent="0.25">
      <c r="BB950" s="187"/>
      <c r="BC950" s="180"/>
      <c r="BD950" s="191">
        <v>43444</v>
      </c>
      <c r="BE950" s="192">
        <v>0.29599999999999999</v>
      </c>
      <c r="BH950" s="94">
        <v>43468</v>
      </c>
      <c r="BI950" s="95">
        <v>0.24</v>
      </c>
      <c r="BJ950" s="96">
        <v>11.93</v>
      </c>
    </row>
    <row r="951" spans="54:62" ht="13.8" x14ac:dyDescent="0.25">
      <c r="BB951" s="187"/>
      <c r="BC951" s="180"/>
      <c r="BD951" s="191">
        <v>43445</v>
      </c>
      <c r="BE951" s="192">
        <v>0.29299999999999998</v>
      </c>
      <c r="BH951" s="94">
        <v>43469</v>
      </c>
      <c r="BI951" s="95">
        <v>0.23599999999999999</v>
      </c>
      <c r="BJ951" s="96">
        <v>11.93</v>
      </c>
    </row>
    <row r="952" spans="54:62" ht="13.8" x14ac:dyDescent="0.25">
      <c r="BB952" s="187"/>
      <c r="BC952" s="180"/>
      <c r="BD952" s="191">
        <v>43446</v>
      </c>
      <c r="BE952" s="192">
        <v>0.28899999999999998</v>
      </c>
      <c r="BH952" s="94">
        <v>43472</v>
      </c>
      <c r="BI952" s="95">
        <v>0.23400000000000001</v>
      </c>
      <c r="BJ952" s="96">
        <v>11.92</v>
      </c>
    </row>
    <row r="953" spans="54:62" ht="13.8" x14ac:dyDescent="0.25">
      <c r="BB953" s="187"/>
      <c r="BC953" s="180"/>
      <c r="BD953" s="191">
        <v>43447</v>
      </c>
      <c r="BE953" s="192">
        <v>0.28799999999999998</v>
      </c>
      <c r="BH953" s="94">
        <v>43473</v>
      </c>
      <c r="BI953" s="95">
        <v>0.23499999999999999</v>
      </c>
      <c r="BJ953" s="96">
        <v>11.91</v>
      </c>
    </row>
    <row r="954" spans="54:62" ht="13.8" x14ac:dyDescent="0.25">
      <c r="BB954" s="187"/>
      <c r="BC954" s="180"/>
      <c r="BD954" s="191">
        <v>43448</v>
      </c>
      <c r="BE954" s="192">
        <v>0.28499999999999998</v>
      </c>
      <c r="BH954" s="94">
        <v>43474</v>
      </c>
      <c r="BI954" s="95">
        <v>0.23499999999999999</v>
      </c>
      <c r="BJ954" s="96">
        <v>11.91</v>
      </c>
    </row>
    <row r="955" spans="54:62" ht="13.8" x14ac:dyDescent="0.25">
      <c r="BB955" s="187"/>
      <c r="BC955" s="180"/>
      <c r="BD955" s="191">
        <v>43451</v>
      </c>
      <c r="BE955" s="192">
        <v>0.28100000000000003</v>
      </c>
      <c r="BH955" s="94">
        <v>43475</v>
      </c>
      <c r="BI955" s="95">
        <v>0.23899999999999999</v>
      </c>
      <c r="BJ955" s="96">
        <v>11.95</v>
      </c>
    </row>
    <row r="956" spans="54:62" ht="13.8" x14ac:dyDescent="0.25">
      <c r="BB956" s="187"/>
      <c r="BC956" s="180"/>
      <c r="BD956" s="191">
        <v>43452</v>
      </c>
      <c r="BE956" s="192">
        <v>0.27700000000000002</v>
      </c>
      <c r="BH956" s="94">
        <v>43476</v>
      </c>
      <c r="BI956" s="95">
        <v>0.23699999999999999</v>
      </c>
      <c r="BJ956" s="96">
        <v>11.95</v>
      </c>
    </row>
    <row r="957" spans="54:62" ht="13.8" x14ac:dyDescent="0.25">
      <c r="BB957" s="187"/>
      <c r="BC957" s="180"/>
      <c r="BD957" s="191">
        <v>43453</v>
      </c>
      <c r="BE957" s="192">
        <v>0.27300000000000002</v>
      </c>
      <c r="BH957" s="94">
        <v>43479</v>
      </c>
      <c r="BI957" s="95">
        <v>0.23400000000000001</v>
      </c>
      <c r="BJ957" s="96">
        <v>11.94</v>
      </c>
    </row>
    <row r="958" spans="54:62" ht="13.8" x14ac:dyDescent="0.25">
      <c r="BB958" s="187"/>
      <c r="BC958" s="180"/>
      <c r="BD958" s="191">
        <v>43454</v>
      </c>
      <c r="BE958" s="192">
        <v>0.26800000000000002</v>
      </c>
      <c r="BH958" s="94">
        <v>43480</v>
      </c>
      <c r="BI958" s="95">
        <v>0.23</v>
      </c>
      <c r="BJ958" s="96">
        <v>11.93</v>
      </c>
    </row>
    <row r="959" spans="54:62" ht="13.8" x14ac:dyDescent="0.25">
      <c r="BB959" s="187"/>
      <c r="BC959" s="180"/>
      <c r="BD959" s="191">
        <v>43455</v>
      </c>
      <c r="BE959" s="192">
        <v>0.26400000000000001</v>
      </c>
      <c r="BH959" s="94">
        <v>43481</v>
      </c>
      <c r="BI959" s="95">
        <v>0.22600000000000001</v>
      </c>
      <c r="BJ959" s="96">
        <v>11.93</v>
      </c>
    </row>
    <row r="960" spans="54:62" ht="13.8" x14ac:dyDescent="0.25">
      <c r="BB960" s="187"/>
      <c r="BC960" s="180"/>
      <c r="BD960" s="191"/>
      <c r="BE960" s="193">
        <f>+BE959</f>
        <v>0.26400000000000001</v>
      </c>
      <c r="BH960" s="94">
        <v>43482</v>
      </c>
      <c r="BI960" s="95">
        <v>0.224</v>
      </c>
      <c r="BJ960" s="96">
        <v>11.93</v>
      </c>
    </row>
    <row r="961" spans="54:62" ht="13.8" x14ac:dyDescent="0.25">
      <c r="BB961" s="187"/>
      <c r="BC961" s="180"/>
      <c r="BD961" s="191"/>
      <c r="BE961" s="193">
        <f>+BE960</f>
        <v>0.26400000000000001</v>
      </c>
      <c r="BH961" s="94">
        <v>43483</v>
      </c>
      <c r="BI961" s="95">
        <v>0.223</v>
      </c>
      <c r="BJ961" s="96">
        <v>11.93</v>
      </c>
    </row>
    <row r="962" spans="54:62" ht="13.8" x14ac:dyDescent="0.25">
      <c r="BB962" s="187"/>
      <c r="BC962" s="180"/>
      <c r="BD962" s="191"/>
      <c r="BE962" s="193">
        <f>+BE961</f>
        <v>0.26400000000000001</v>
      </c>
      <c r="BH962" s="94">
        <v>43486</v>
      </c>
      <c r="BI962" s="95">
        <v>0.222</v>
      </c>
      <c r="BJ962" s="96">
        <v>11.92</v>
      </c>
    </row>
    <row r="963" spans="54:62" ht="13.8" x14ac:dyDescent="0.25">
      <c r="BB963" s="187"/>
      <c r="BC963" s="180"/>
      <c r="BD963" s="191">
        <v>43461</v>
      </c>
      <c r="BE963" s="192">
        <v>0.25900000000000001</v>
      </c>
      <c r="BH963" s="94">
        <v>43487</v>
      </c>
      <c r="BI963" s="95">
        <v>0.221</v>
      </c>
      <c r="BJ963" s="96">
        <v>11.92</v>
      </c>
    </row>
    <row r="964" spans="54:62" ht="13.8" x14ac:dyDescent="0.25">
      <c r="BB964" s="187"/>
      <c r="BC964" s="180"/>
      <c r="BD964" s="191">
        <v>43462</v>
      </c>
      <c r="BE964" s="192">
        <v>0.255</v>
      </c>
      <c r="BH964" s="94">
        <v>43488</v>
      </c>
      <c r="BI964" s="95">
        <v>0.22</v>
      </c>
      <c r="BJ964" s="96">
        <v>11.91</v>
      </c>
    </row>
    <row r="965" spans="54:62" ht="13.8" x14ac:dyDescent="0.25">
      <c r="BB965" s="187"/>
      <c r="BC965" s="180"/>
      <c r="BD965" s="191">
        <v>43465</v>
      </c>
      <c r="BE965" s="192">
        <v>0.251</v>
      </c>
      <c r="BH965" s="94">
        <v>43489</v>
      </c>
      <c r="BI965" s="95">
        <v>0.217</v>
      </c>
      <c r="BJ965" s="96">
        <v>11.91</v>
      </c>
    </row>
    <row r="966" spans="54:62" ht="13.8" x14ac:dyDescent="0.25">
      <c r="BB966" s="187"/>
      <c r="BC966" s="180"/>
      <c r="BD966" s="191"/>
      <c r="BE966" s="193">
        <f>+BE965</f>
        <v>0.251</v>
      </c>
      <c r="BH966" s="94">
        <v>43490</v>
      </c>
      <c r="BI966" s="95">
        <v>0.216</v>
      </c>
      <c r="BJ966" s="96">
        <v>11.91</v>
      </c>
    </row>
    <row r="967" spans="54:62" ht="13.8" x14ac:dyDescent="0.25">
      <c r="BB967" s="187"/>
      <c r="BC967" s="180"/>
      <c r="BD967" s="191">
        <v>43467</v>
      </c>
      <c r="BE967" s="192">
        <v>0.245</v>
      </c>
      <c r="BH967" s="94">
        <v>43493</v>
      </c>
      <c r="BI967" s="95">
        <v>0.214</v>
      </c>
      <c r="BJ967" s="96">
        <v>11.9</v>
      </c>
    </row>
    <row r="968" spans="54:62" ht="13.8" x14ac:dyDescent="0.25">
      <c r="BB968" s="187"/>
      <c r="BC968" s="180"/>
      <c r="BD968" s="191">
        <v>43468</v>
      </c>
      <c r="BE968" s="192">
        <v>0.24</v>
      </c>
      <c r="BH968" s="94">
        <v>43494</v>
      </c>
      <c r="BI968" s="95">
        <v>0.21299999999999999</v>
      </c>
      <c r="BJ968" s="96">
        <v>11.9</v>
      </c>
    </row>
    <row r="969" spans="54:62" ht="13.8" x14ac:dyDescent="0.25">
      <c r="BB969" s="187"/>
      <c r="BC969" s="180"/>
      <c r="BD969" s="191">
        <v>43469</v>
      </c>
      <c r="BE969" s="192">
        <v>0.23599999999999999</v>
      </c>
      <c r="BH969" s="94">
        <v>43495</v>
      </c>
      <c r="BI969" s="95">
        <v>0.214</v>
      </c>
      <c r="BJ969" s="96">
        <v>11.89</v>
      </c>
    </row>
    <row r="970" spans="54:62" ht="13.8" x14ac:dyDescent="0.25">
      <c r="BB970" s="187"/>
      <c r="BC970" s="180"/>
      <c r="BD970" s="191">
        <v>43472</v>
      </c>
      <c r="BE970" s="192">
        <v>0.23400000000000001</v>
      </c>
      <c r="BH970" s="94">
        <v>43496</v>
      </c>
      <c r="BI970" s="95">
        <v>0.214</v>
      </c>
      <c r="BJ970" s="96">
        <v>11.89</v>
      </c>
    </row>
    <row r="971" spans="54:62" ht="13.8" x14ac:dyDescent="0.25">
      <c r="BB971" s="187"/>
      <c r="BC971" s="180"/>
      <c r="BD971" s="191">
        <v>43473</v>
      </c>
      <c r="BE971" s="192">
        <v>0.23499999999999999</v>
      </c>
      <c r="BH971" s="94">
        <v>43497</v>
      </c>
      <c r="BI971" s="95">
        <v>0.21199999999999999</v>
      </c>
      <c r="BJ971" s="96">
        <v>11.89</v>
      </c>
    </row>
    <row r="972" spans="54:62" ht="13.8" x14ac:dyDescent="0.25">
      <c r="BB972" s="187"/>
      <c r="BC972" s="180"/>
      <c r="BD972" s="191">
        <v>43474</v>
      </c>
      <c r="BE972" s="192">
        <v>0.23499999999999999</v>
      </c>
      <c r="BH972" s="94">
        <v>43500</v>
      </c>
      <c r="BI972" s="95">
        <v>0.20899999999999999</v>
      </c>
      <c r="BJ972" s="96">
        <v>11.88</v>
      </c>
    </row>
    <row r="973" spans="54:62" ht="13.8" x14ac:dyDescent="0.25">
      <c r="BB973" s="187"/>
      <c r="BC973" s="180"/>
      <c r="BD973" s="191">
        <v>43475</v>
      </c>
      <c r="BE973" s="192">
        <v>0.23899999999999999</v>
      </c>
      <c r="BH973" s="94">
        <v>43501</v>
      </c>
      <c r="BI973" s="95">
        <v>0.215</v>
      </c>
      <c r="BJ973" s="96">
        <v>11.83</v>
      </c>
    </row>
    <row r="974" spans="54:62" ht="13.8" x14ac:dyDescent="0.25">
      <c r="BB974" s="187"/>
      <c r="BC974" s="180"/>
      <c r="BD974" s="191">
        <v>43476</v>
      </c>
      <c r="BE974" s="192">
        <v>0.23699999999999999</v>
      </c>
      <c r="BH974" s="94">
        <v>43502</v>
      </c>
      <c r="BI974" s="95">
        <v>0.21199999999999999</v>
      </c>
      <c r="BJ974" s="96">
        <v>11.83</v>
      </c>
    </row>
    <row r="975" spans="54:62" ht="13.8" x14ac:dyDescent="0.25">
      <c r="BB975" s="187"/>
      <c r="BC975" s="180"/>
      <c r="BD975" s="191">
        <v>43479</v>
      </c>
      <c r="BE975" s="192">
        <v>0.23400000000000001</v>
      </c>
      <c r="BH975" s="94">
        <v>43503</v>
      </c>
      <c r="BI975" s="95">
        <v>0.20799999999999999</v>
      </c>
      <c r="BJ975" s="96">
        <v>11.82</v>
      </c>
    </row>
    <row r="976" spans="54:62" ht="13.8" x14ac:dyDescent="0.25">
      <c r="BB976" s="187"/>
      <c r="BC976" s="180"/>
      <c r="BD976" s="191">
        <v>43480</v>
      </c>
      <c r="BE976" s="192">
        <v>0.23</v>
      </c>
      <c r="BH976" s="94">
        <v>43504</v>
      </c>
      <c r="BI976" s="95">
        <v>0.20399999999999999</v>
      </c>
      <c r="BJ976" s="96">
        <v>11.82</v>
      </c>
    </row>
    <row r="977" spans="54:62" ht="13.8" x14ac:dyDescent="0.25">
      <c r="BB977" s="187"/>
      <c r="BC977" s="180"/>
      <c r="BD977" s="191">
        <v>43481</v>
      </c>
      <c r="BE977" s="192">
        <v>0.22600000000000001</v>
      </c>
      <c r="BH977" s="94">
        <v>43507</v>
      </c>
      <c r="BI977" s="95">
        <v>0.20200000000000001</v>
      </c>
      <c r="BJ977" s="96">
        <v>11.81</v>
      </c>
    </row>
    <row r="978" spans="54:62" ht="13.8" x14ac:dyDescent="0.25">
      <c r="BB978" s="187"/>
      <c r="BC978" s="180"/>
      <c r="BD978" s="191">
        <v>43482</v>
      </c>
      <c r="BE978" s="192">
        <v>0.224</v>
      </c>
      <c r="BH978" s="94">
        <v>43508</v>
      </c>
      <c r="BI978" s="95">
        <v>0.2</v>
      </c>
      <c r="BJ978" s="96">
        <v>11.81</v>
      </c>
    </row>
    <row r="979" spans="54:62" ht="13.8" x14ac:dyDescent="0.25">
      <c r="BB979" s="187"/>
      <c r="BC979" s="180"/>
      <c r="BD979" s="191">
        <v>43483</v>
      </c>
      <c r="BE979" s="192">
        <v>0.223</v>
      </c>
      <c r="BH979" s="94">
        <v>43509</v>
      </c>
      <c r="BI979" s="95">
        <v>0.19900000000000001</v>
      </c>
      <c r="BJ979" s="96">
        <v>11.81</v>
      </c>
    </row>
    <row r="980" spans="54:62" ht="13.8" x14ac:dyDescent="0.25">
      <c r="BB980" s="187"/>
      <c r="BC980" s="180"/>
      <c r="BD980" s="191">
        <v>43486</v>
      </c>
      <c r="BE980" s="192">
        <v>0.222</v>
      </c>
      <c r="BH980" s="94">
        <v>43510</v>
      </c>
      <c r="BI980" s="95">
        <v>0.19600000000000001</v>
      </c>
      <c r="BJ980" s="96">
        <v>11.81</v>
      </c>
    </row>
    <row r="981" spans="54:62" ht="13.8" x14ac:dyDescent="0.25">
      <c r="BB981" s="187"/>
      <c r="BC981" s="180"/>
      <c r="BD981" s="191">
        <v>43487</v>
      </c>
      <c r="BE981" s="192">
        <v>0.221</v>
      </c>
      <c r="BH981" s="94">
        <v>43511</v>
      </c>
      <c r="BI981" s="95">
        <v>0.192</v>
      </c>
      <c r="BJ981" s="96">
        <v>11.8</v>
      </c>
    </row>
    <row r="982" spans="54:62" ht="13.8" x14ac:dyDescent="0.25">
      <c r="BB982" s="187"/>
      <c r="BC982" s="180"/>
      <c r="BD982" s="191">
        <v>43488</v>
      </c>
      <c r="BE982" s="192">
        <v>0.22</v>
      </c>
      <c r="BH982" s="94">
        <v>43514</v>
      </c>
      <c r="BI982" s="95">
        <v>0.189</v>
      </c>
      <c r="BJ982" s="96">
        <v>11.79</v>
      </c>
    </row>
    <row r="983" spans="54:62" ht="13.8" x14ac:dyDescent="0.25">
      <c r="BB983" s="187"/>
      <c r="BC983" s="180"/>
      <c r="BD983" s="191">
        <v>43489</v>
      </c>
      <c r="BE983" s="192">
        <v>0.217</v>
      </c>
      <c r="BH983" s="94">
        <v>43515</v>
      </c>
      <c r="BI983" s="95">
        <v>0.185</v>
      </c>
      <c r="BJ983" s="96">
        <v>11.79</v>
      </c>
    </row>
    <row r="984" spans="54:62" ht="13.8" x14ac:dyDescent="0.25">
      <c r="BB984" s="187"/>
      <c r="BC984" s="180"/>
      <c r="BD984" s="191">
        <v>43490</v>
      </c>
      <c r="BE984" s="192">
        <v>0.216</v>
      </c>
      <c r="BH984" s="94">
        <v>43516</v>
      </c>
      <c r="BI984" s="95">
        <v>0.182</v>
      </c>
      <c r="BJ984" s="96">
        <v>11.79</v>
      </c>
    </row>
    <row r="985" spans="54:62" ht="13.8" x14ac:dyDescent="0.25">
      <c r="BB985" s="187"/>
      <c r="BC985" s="180"/>
      <c r="BD985" s="191">
        <v>43493</v>
      </c>
      <c r="BE985" s="192">
        <v>0.214</v>
      </c>
      <c r="BH985" s="94">
        <v>43517</v>
      </c>
      <c r="BI985" s="95">
        <v>0.18099999999999999</v>
      </c>
      <c r="BJ985" s="96">
        <v>11.79</v>
      </c>
    </row>
    <row r="986" spans="54:62" ht="13.8" x14ac:dyDescent="0.25">
      <c r="BB986" s="187"/>
      <c r="BC986" s="180"/>
      <c r="BD986" s="191">
        <v>43494</v>
      </c>
      <c r="BE986" s="192">
        <v>0.21299999999999999</v>
      </c>
      <c r="BH986" s="94">
        <v>43518</v>
      </c>
      <c r="BI986" s="95">
        <v>0.17899999999999999</v>
      </c>
      <c r="BJ986" s="96">
        <v>11.78</v>
      </c>
    </row>
    <row r="987" spans="54:62" ht="13.8" x14ac:dyDescent="0.25">
      <c r="BB987" s="187"/>
      <c r="BC987" s="180"/>
      <c r="BD987" s="191">
        <v>43495</v>
      </c>
      <c r="BE987" s="192">
        <v>0.214</v>
      </c>
      <c r="BH987" s="94">
        <v>43521</v>
      </c>
      <c r="BI987" s="95">
        <v>0.17699999999999999</v>
      </c>
      <c r="BJ987" s="96">
        <v>11.78</v>
      </c>
    </row>
    <row r="988" spans="54:62" ht="13.8" x14ac:dyDescent="0.25">
      <c r="BB988" s="187"/>
      <c r="BC988" s="180"/>
      <c r="BD988" s="191">
        <v>43496</v>
      </c>
      <c r="BE988" s="192">
        <v>0.214</v>
      </c>
      <c r="BH988" s="94">
        <v>43522</v>
      </c>
      <c r="BI988" s="95">
        <v>0.17499999999999999</v>
      </c>
      <c r="BJ988" s="96">
        <v>11.77</v>
      </c>
    </row>
    <row r="989" spans="54:62" ht="13.8" x14ac:dyDescent="0.25">
      <c r="BB989" s="187"/>
      <c r="BC989" s="180"/>
      <c r="BD989" s="191">
        <v>43497</v>
      </c>
      <c r="BE989" s="192">
        <v>0.21199999999999999</v>
      </c>
      <c r="BH989" s="94">
        <v>43523</v>
      </c>
      <c r="BI989" s="95">
        <v>0.17399999999999999</v>
      </c>
      <c r="BJ989" s="96">
        <v>11.77</v>
      </c>
    </row>
    <row r="990" spans="54:62" ht="13.8" x14ac:dyDescent="0.25">
      <c r="BB990" s="187"/>
      <c r="BC990" s="180"/>
      <c r="BD990" s="191">
        <v>43500</v>
      </c>
      <c r="BE990" s="192">
        <v>0.20899999999999999</v>
      </c>
      <c r="BH990" s="94">
        <v>43524</v>
      </c>
      <c r="BI990" s="95">
        <v>0.17499999999999999</v>
      </c>
      <c r="BJ990" s="96">
        <v>11.77</v>
      </c>
    </row>
    <row r="991" spans="54:62" ht="13.8" x14ac:dyDescent="0.25">
      <c r="BB991" s="187"/>
      <c r="BC991" s="180"/>
      <c r="BD991" s="191">
        <v>43501</v>
      </c>
      <c r="BE991" s="192">
        <v>0.215</v>
      </c>
      <c r="BH991" s="94">
        <v>43525</v>
      </c>
      <c r="BI991" s="95">
        <v>0.17799999999999999</v>
      </c>
      <c r="BJ991" s="96">
        <v>11.76</v>
      </c>
    </row>
    <row r="992" spans="54:62" ht="13.8" x14ac:dyDescent="0.25">
      <c r="BB992" s="187"/>
      <c r="BC992" s="180"/>
      <c r="BD992" s="191">
        <v>43502</v>
      </c>
      <c r="BE992" s="192">
        <v>0.21199999999999999</v>
      </c>
      <c r="BH992" s="94">
        <v>43528</v>
      </c>
      <c r="BI992" s="95">
        <v>0.17899999999999999</v>
      </c>
      <c r="BJ992" s="96">
        <v>11.76</v>
      </c>
    </row>
    <row r="993" spans="54:62" ht="13.8" x14ac:dyDescent="0.25">
      <c r="BB993" s="187"/>
      <c r="BC993" s="180"/>
      <c r="BD993" s="191">
        <v>43503</v>
      </c>
      <c r="BE993" s="192">
        <v>0.20799999999999999</v>
      </c>
      <c r="BH993" s="94">
        <v>43529</v>
      </c>
      <c r="BI993" s="95">
        <v>0.18</v>
      </c>
      <c r="BJ993" s="96">
        <v>11.75</v>
      </c>
    </row>
    <row r="994" spans="54:62" ht="13.8" x14ac:dyDescent="0.25">
      <c r="BB994" s="187"/>
      <c r="BC994" s="180"/>
      <c r="BD994" s="191">
        <v>43504</v>
      </c>
      <c r="BE994" s="192">
        <v>0.20399999999999999</v>
      </c>
      <c r="BH994" s="94">
        <v>43530</v>
      </c>
      <c r="BI994" s="95">
        <v>0.17899999999999999</v>
      </c>
      <c r="BJ994" s="96">
        <v>11.75</v>
      </c>
    </row>
    <row r="995" spans="54:62" ht="13.8" x14ac:dyDescent="0.25">
      <c r="BB995" s="187"/>
      <c r="BC995" s="180"/>
      <c r="BD995" s="191">
        <v>43507</v>
      </c>
      <c r="BE995" s="192">
        <v>0.20200000000000001</v>
      </c>
      <c r="BH995" s="94">
        <v>43531</v>
      </c>
      <c r="BI995" s="95">
        <v>0.18099999999999999</v>
      </c>
      <c r="BJ995" s="96">
        <v>11.77</v>
      </c>
    </row>
    <row r="996" spans="54:62" ht="13.8" x14ac:dyDescent="0.25">
      <c r="BB996" s="187"/>
      <c r="BC996" s="180"/>
      <c r="BD996" s="191">
        <v>43508</v>
      </c>
      <c r="BE996" s="192">
        <v>0.2</v>
      </c>
      <c r="BH996" s="94">
        <v>43532</v>
      </c>
      <c r="BI996" s="95">
        <v>0.18</v>
      </c>
      <c r="BJ996" s="96">
        <v>11.77</v>
      </c>
    </row>
    <row r="997" spans="54:62" ht="13.8" x14ac:dyDescent="0.25">
      <c r="BB997" s="187"/>
      <c r="BC997" s="180"/>
      <c r="BD997" s="191">
        <v>43509</v>
      </c>
      <c r="BE997" s="192">
        <v>0.19900000000000001</v>
      </c>
      <c r="BH997" s="94">
        <v>43535</v>
      </c>
      <c r="BI997" s="95">
        <v>0.17799999999999999</v>
      </c>
      <c r="BJ997" s="96">
        <v>11.76</v>
      </c>
    </row>
    <row r="998" spans="54:62" ht="13.8" x14ac:dyDescent="0.25">
      <c r="BB998" s="187"/>
      <c r="BC998" s="180"/>
      <c r="BD998" s="191">
        <v>43510</v>
      </c>
      <c r="BE998" s="192">
        <v>0.19600000000000001</v>
      </c>
      <c r="BH998" s="94">
        <v>43536</v>
      </c>
      <c r="BI998" s="95">
        <v>0.17599999999999999</v>
      </c>
      <c r="BJ998" s="96">
        <v>11.76</v>
      </c>
    </row>
    <row r="999" spans="54:62" ht="13.8" x14ac:dyDescent="0.25">
      <c r="BB999" s="187"/>
      <c r="BC999" s="180"/>
      <c r="BD999" s="191">
        <v>43511</v>
      </c>
      <c r="BE999" s="192">
        <v>0.192</v>
      </c>
      <c r="BH999" s="94">
        <v>43537</v>
      </c>
      <c r="BI999" s="95">
        <v>0.17299999999999999</v>
      </c>
      <c r="BJ999" s="96">
        <v>11.76</v>
      </c>
    </row>
    <row r="1000" spans="54:62" ht="13.8" x14ac:dyDescent="0.25">
      <c r="BB1000" s="187"/>
      <c r="BC1000" s="180"/>
      <c r="BD1000" s="191">
        <v>43514</v>
      </c>
      <c r="BE1000" s="192">
        <v>0.189</v>
      </c>
      <c r="BH1000" s="94">
        <v>43538</v>
      </c>
      <c r="BI1000" s="95">
        <v>0.17100000000000001</v>
      </c>
      <c r="BJ1000" s="96">
        <v>11.75</v>
      </c>
    </row>
    <row r="1001" spans="54:62" ht="13.8" x14ac:dyDescent="0.25">
      <c r="BB1001" s="187"/>
      <c r="BC1001" s="180"/>
      <c r="BD1001" s="191">
        <v>43515</v>
      </c>
      <c r="BE1001" s="192">
        <v>0.185</v>
      </c>
      <c r="BH1001" s="94">
        <v>43539</v>
      </c>
      <c r="BI1001" s="95">
        <v>0.16900000000000001</v>
      </c>
      <c r="BJ1001" s="96">
        <v>11.75</v>
      </c>
    </row>
    <row r="1002" spans="54:62" ht="13.8" x14ac:dyDescent="0.25">
      <c r="BB1002" s="187"/>
      <c r="BC1002" s="180"/>
      <c r="BD1002" s="191">
        <v>43516</v>
      </c>
      <c r="BE1002" s="192">
        <v>0.182</v>
      </c>
      <c r="BH1002" s="94">
        <v>43542</v>
      </c>
      <c r="BI1002" s="95">
        <v>0.16800000000000001</v>
      </c>
      <c r="BJ1002" s="96">
        <v>11.74</v>
      </c>
    </row>
    <row r="1003" spans="54:62" ht="13.8" x14ac:dyDescent="0.25">
      <c r="BB1003" s="187"/>
      <c r="BC1003" s="180"/>
      <c r="BD1003" s="191">
        <v>43517</v>
      </c>
      <c r="BE1003" s="192">
        <v>0.18099999999999999</v>
      </c>
      <c r="BH1003" s="94">
        <v>43543</v>
      </c>
      <c r="BI1003" s="95">
        <v>0.16600000000000001</v>
      </c>
      <c r="BJ1003" s="96">
        <v>11.74</v>
      </c>
    </row>
    <row r="1004" spans="54:62" ht="13.8" x14ac:dyDescent="0.25">
      <c r="BB1004" s="187"/>
      <c r="BC1004" s="180"/>
      <c r="BD1004" s="191">
        <v>43518</v>
      </c>
      <c r="BE1004" s="192">
        <v>0.17899999999999999</v>
      </c>
      <c r="BH1004" s="94">
        <v>43544</v>
      </c>
      <c r="BI1004" s="95">
        <v>0.16500000000000001</v>
      </c>
      <c r="BJ1004" s="96">
        <v>11.74</v>
      </c>
    </row>
    <row r="1005" spans="54:62" ht="13.8" x14ac:dyDescent="0.25">
      <c r="BB1005" s="187"/>
      <c r="BC1005" s="180"/>
      <c r="BD1005" s="191">
        <v>43521</v>
      </c>
      <c r="BE1005" s="192">
        <v>0.17699999999999999</v>
      </c>
      <c r="BH1005" s="94">
        <v>43545</v>
      </c>
      <c r="BI1005" s="95">
        <v>0.161</v>
      </c>
      <c r="BJ1005" s="96">
        <v>11.73</v>
      </c>
    </row>
    <row r="1006" spans="54:62" ht="13.8" x14ac:dyDescent="0.25">
      <c r="BB1006" s="187"/>
      <c r="BC1006" s="180"/>
      <c r="BD1006" s="191">
        <v>43522</v>
      </c>
      <c r="BE1006" s="192">
        <v>0.17499999999999999</v>
      </c>
      <c r="BH1006" s="94">
        <v>43546</v>
      </c>
      <c r="BI1006" s="95">
        <v>0.155</v>
      </c>
      <c r="BJ1006" s="96">
        <v>11.73</v>
      </c>
    </row>
    <row r="1007" spans="54:62" ht="13.8" x14ac:dyDescent="0.25">
      <c r="BB1007" s="187"/>
      <c r="BC1007" s="180"/>
      <c r="BD1007" s="191">
        <v>43523</v>
      </c>
      <c r="BE1007" s="192">
        <v>0.17399999999999999</v>
      </c>
      <c r="BH1007" s="94">
        <v>43549</v>
      </c>
      <c r="BI1007" s="95">
        <v>0.14899999999999999</v>
      </c>
      <c r="BJ1007" s="96">
        <v>11.72</v>
      </c>
    </row>
    <row r="1008" spans="54:62" ht="13.8" x14ac:dyDescent="0.25">
      <c r="BB1008" s="187"/>
      <c r="BC1008" s="180"/>
      <c r="BD1008" s="191">
        <v>43524</v>
      </c>
      <c r="BE1008" s="192">
        <v>0.17499999999999999</v>
      </c>
      <c r="BH1008" s="94">
        <v>43550</v>
      </c>
      <c r="BI1008" s="95">
        <v>0.14199999999999999</v>
      </c>
      <c r="BJ1008" s="96">
        <v>11.72</v>
      </c>
    </row>
    <row r="1009" spans="54:62" ht="13.8" x14ac:dyDescent="0.25">
      <c r="BB1009" s="187"/>
      <c r="BC1009" s="180"/>
      <c r="BD1009" s="191">
        <v>43525</v>
      </c>
      <c r="BE1009" s="192">
        <v>0.17799999999999999</v>
      </c>
      <c r="BH1009" s="94">
        <v>43551</v>
      </c>
      <c r="BI1009" s="95">
        <v>0.13300000000000001</v>
      </c>
      <c r="BJ1009" s="96">
        <v>11.72</v>
      </c>
    </row>
    <row r="1010" spans="54:62" ht="13.8" x14ac:dyDescent="0.25">
      <c r="BB1010" s="187"/>
      <c r="BC1010" s="180"/>
      <c r="BD1010" s="191">
        <v>43528</v>
      </c>
      <c r="BE1010" s="192">
        <v>0.17899999999999999</v>
      </c>
      <c r="BH1010" s="94">
        <v>43552</v>
      </c>
      <c r="BI1010" s="95">
        <v>0.123</v>
      </c>
      <c r="BJ1010" s="96">
        <v>11.72</v>
      </c>
    </row>
    <row r="1011" spans="54:62" ht="13.8" x14ac:dyDescent="0.25">
      <c r="BB1011" s="187"/>
      <c r="BC1011" s="180"/>
      <c r="BD1011" s="191">
        <v>43529</v>
      </c>
      <c r="BE1011" s="192">
        <v>0.18</v>
      </c>
      <c r="BH1011" s="94">
        <v>43553</v>
      </c>
      <c r="BI1011" s="95">
        <v>0.112</v>
      </c>
      <c r="BJ1011" s="96">
        <v>11.71</v>
      </c>
    </row>
    <row r="1012" spans="54:62" ht="13.8" x14ac:dyDescent="0.25">
      <c r="BB1012" s="187"/>
      <c r="BC1012" s="180"/>
      <c r="BD1012" s="191">
        <v>43530</v>
      </c>
      <c r="BE1012" s="192">
        <v>0.17899999999999999</v>
      </c>
      <c r="BH1012" s="94">
        <v>43556</v>
      </c>
      <c r="BI1012" s="95">
        <v>0.10299999999999999</v>
      </c>
      <c r="BJ1012" s="96">
        <v>11.7</v>
      </c>
    </row>
    <row r="1013" spans="54:62" ht="13.8" x14ac:dyDescent="0.25">
      <c r="BB1013" s="187"/>
      <c r="BC1013" s="180"/>
      <c r="BD1013" s="191">
        <v>43531</v>
      </c>
      <c r="BE1013" s="192">
        <v>0.18099999999999999</v>
      </c>
      <c r="BH1013" s="94">
        <v>43557</v>
      </c>
      <c r="BI1013" s="95">
        <v>9.2999999999999999E-2</v>
      </c>
      <c r="BJ1013" s="96">
        <v>11.7</v>
      </c>
    </row>
    <row r="1014" spans="54:62" ht="13.8" x14ac:dyDescent="0.25">
      <c r="BB1014" s="187"/>
      <c r="BC1014" s="180"/>
      <c r="BD1014" s="191">
        <v>43532</v>
      </c>
      <c r="BE1014" s="192">
        <v>0.18</v>
      </c>
      <c r="BH1014" s="94">
        <v>43558</v>
      </c>
      <c r="BI1014" s="95">
        <v>8.6999999999999994E-2</v>
      </c>
      <c r="BJ1014" s="96">
        <v>11.7</v>
      </c>
    </row>
    <row r="1015" spans="54:62" ht="13.8" x14ac:dyDescent="0.25">
      <c r="BB1015" s="187"/>
      <c r="BC1015" s="180"/>
      <c r="BD1015" s="191">
        <v>43535</v>
      </c>
      <c r="BE1015" s="192">
        <v>0.17799999999999999</v>
      </c>
      <c r="BH1015" s="94">
        <v>43559</v>
      </c>
      <c r="BI1015" s="95">
        <v>8.3000000000000004E-2</v>
      </c>
      <c r="BJ1015" s="96">
        <v>11.7</v>
      </c>
    </row>
    <row r="1016" spans="54:62" ht="13.8" x14ac:dyDescent="0.25">
      <c r="BB1016" s="187"/>
      <c r="BC1016" s="180"/>
      <c r="BD1016" s="191">
        <v>43536</v>
      </c>
      <c r="BE1016" s="192">
        <v>0.17599999999999999</v>
      </c>
      <c r="BH1016" s="94">
        <v>43560</v>
      </c>
      <c r="BI1016" s="95">
        <v>0.08</v>
      </c>
      <c r="BJ1016" s="96">
        <v>11.69</v>
      </c>
    </row>
    <row r="1017" spans="54:62" ht="13.8" x14ac:dyDescent="0.25">
      <c r="BB1017" s="187"/>
      <c r="BC1017" s="180"/>
      <c r="BD1017" s="191">
        <v>43537</v>
      </c>
      <c r="BE1017" s="192">
        <v>0.17299999999999999</v>
      </c>
      <c r="BH1017" s="94">
        <v>43563</v>
      </c>
      <c r="BI1017" s="95">
        <v>7.5999999999999998E-2</v>
      </c>
      <c r="BJ1017" s="96">
        <v>11.69</v>
      </c>
    </row>
    <row r="1018" spans="54:62" ht="13.8" x14ac:dyDescent="0.25">
      <c r="BB1018" s="187"/>
      <c r="BC1018" s="180"/>
      <c r="BD1018" s="191">
        <v>43538</v>
      </c>
      <c r="BE1018" s="192">
        <v>0.17100000000000001</v>
      </c>
      <c r="BH1018" s="94">
        <v>43564</v>
      </c>
      <c r="BI1018" s="95">
        <v>7.1999999999999995E-2</v>
      </c>
      <c r="BJ1018" s="96">
        <v>11.68</v>
      </c>
    </row>
    <row r="1019" spans="54:62" ht="13.8" x14ac:dyDescent="0.25">
      <c r="BB1019" s="187"/>
      <c r="BC1019" s="180"/>
      <c r="BD1019" s="191">
        <v>43539</v>
      </c>
      <c r="BE1019" s="192">
        <v>0.16900000000000001</v>
      </c>
      <c r="BH1019" s="94">
        <v>43565</v>
      </c>
      <c r="BI1019" s="95">
        <v>6.8000000000000005E-2</v>
      </c>
      <c r="BJ1019" s="96">
        <v>11.68</v>
      </c>
    </row>
    <row r="1020" spans="54:62" ht="13.8" x14ac:dyDescent="0.25">
      <c r="BB1020" s="187"/>
      <c r="BC1020" s="180"/>
      <c r="BD1020" s="191">
        <v>43542</v>
      </c>
      <c r="BE1020" s="192">
        <v>0.16800000000000001</v>
      </c>
      <c r="BH1020" s="94">
        <v>43566</v>
      </c>
      <c r="BI1020" s="95">
        <v>6.3E-2</v>
      </c>
      <c r="BJ1020" s="96">
        <v>11.65</v>
      </c>
    </row>
    <row r="1021" spans="54:62" ht="13.8" x14ac:dyDescent="0.25">
      <c r="BB1021" s="187"/>
      <c r="BC1021" s="180"/>
      <c r="BD1021" s="191">
        <v>43543</v>
      </c>
      <c r="BE1021" s="192">
        <v>0.16600000000000001</v>
      </c>
      <c r="BH1021" s="94">
        <v>43567</v>
      </c>
      <c r="BI1021" s="95">
        <v>0.06</v>
      </c>
      <c r="BJ1021" s="96">
        <v>11.65</v>
      </c>
    </row>
    <row r="1022" spans="54:62" ht="13.8" x14ac:dyDescent="0.25">
      <c r="BB1022" s="187"/>
      <c r="BC1022" s="180"/>
      <c r="BD1022" s="191">
        <v>43544</v>
      </c>
      <c r="BE1022" s="192">
        <v>0.16500000000000001</v>
      </c>
      <c r="BH1022" s="94">
        <v>43570</v>
      </c>
      <c r="BI1022" s="95">
        <v>5.8000000000000003E-2</v>
      </c>
      <c r="BJ1022" s="96">
        <v>11.64</v>
      </c>
    </row>
    <row r="1023" spans="54:62" ht="13.8" x14ac:dyDescent="0.25">
      <c r="BB1023" s="187"/>
      <c r="BC1023" s="180"/>
      <c r="BD1023" s="191">
        <v>43545</v>
      </c>
      <c r="BE1023" s="192">
        <v>0.161</v>
      </c>
      <c r="BH1023" s="94">
        <v>43571</v>
      </c>
      <c r="BI1023" s="95">
        <v>5.6000000000000001E-2</v>
      </c>
      <c r="BJ1023" s="96">
        <v>11.64</v>
      </c>
    </row>
    <row r="1024" spans="54:62" ht="13.8" x14ac:dyDescent="0.25">
      <c r="BB1024" s="187"/>
      <c r="BC1024" s="180"/>
      <c r="BD1024" s="191">
        <v>43546</v>
      </c>
      <c r="BE1024" s="192">
        <v>0.155</v>
      </c>
      <c r="BH1024" s="94">
        <v>43572</v>
      </c>
      <c r="BI1024" s="95">
        <v>5.5E-2</v>
      </c>
      <c r="BJ1024" s="96">
        <v>11.63</v>
      </c>
    </row>
    <row r="1025" spans="54:62" ht="13.8" x14ac:dyDescent="0.25">
      <c r="BB1025" s="187"/>
      <c r="BC1025" s="180"/>
      <c r="BD1025" s="191">
        <v>43549</v>
      </c>
      <c r="BE1025" s="192">
        <v>0.14899999999999999</v>
      </c>
      <c r="BH1025" s="94">
        <v>43573</v>
      </c>
      <c r="BI1025" s="95">
        <v>5.3999999999999999E-2</v>
      </c>
      <c r="BJ1025" s="96">
        <v>11.63</v>
      </c>
    </row>
    <row r="1026" spans="54:62" ht="13.8" x14ac:dyDescent="0.25">
      <c r="BB1026" s="187"/>
      <c r="BC1026" s="180"/>
      <c r="BD1026" s="191">
        <v>43550</v>
      </c>
      <c r="BE1026" s="192">
        <v>0.14199999999999999</v>
      </c>
      <c r="BH1026" s="94">
        <v>43574</v>
      </c>
      <c r="BI1026" s="95">
        <v>5.5E-2</v>
      </c>
      <c r="BJ1026" s="96">
        <v>11.63</v>
      </c>
    </row>
    <row r="1027" spans="54:62" ht="13.8" x14ac:dyDescent="0.25">
      <c r="BB1027" s="187"/>
      <c r="BC1027" s="180"/>
      <c r="BD1027" s="191">
        <v>43551</v>
      </c>
      <c r="BE1027" s="192">
        <v>0.13300000000000001</v>
      </c>
      <c r="BH1027" s="94">
        <v>43578</v>
      </c>
      <c r="BI1027" s="95">
        <v>5.7000000000000002E-2</v>
      </c>
      <c r="BJ1027" s="96">
        <v>11.62</v>
      </c>
    </row>
    <row r="1028" spans="54:62" ht="13.8" x14ac:dyDescent="0.25">
      <c r="BB1028" s="187"/>
      <c r="BC1028" s="180"/>
      <c r="BD1028" s="191">
        <v>43552</v>
      </c>
      <c r="BE1028" s="192">
        <v>0.123</v>
      </c>
      <c r="BH1028" s="94">
        <v>43579</v>
      </c>
      <c r="BI1028" s="95">
        <v>5.7000000000000002E-2</v>
      </c>
      <c r="BJ1028" s="96">
        <v>11.61</v>
      </c>
    </row>
    <row r="1029" spans="54:62" ht="13.8" x14ac:dyDescent="0.25">
      <c r="BB1029" s="187"/>
      <c r="BC1029" s="180"/>
      <c r="BD1029" s="191">
        <v>43553</v>
      </c>
      <c r="BE1029" s="192">
        <v>0.112</v>
      </c>
      <c r="BH1029" s="94">
        <v>43580</v>
      </c>
      <c r="BI1029" s="95">
        <v>5.8999999999999997E-2</v>
      </c>
      <c r="BJ1029" s="96">
        <v>11.61</v>
      </c>
    </row>
    <row r="1030" spans="54:62" ht="13.8" x14ac:dyDescent="0.25">
      <c r="BB1030" s="187"/>
      <c r="BC1030" s="180"/>
      <c r="BD1030" s="191">
        <v>43556</v>
      </c>
      <c r="BE1030" s="192">
        <v>0.10299999999999999</v>
      </c>
      <c r="BH1030" s="94">
        <v>43581</v>
      </c>
      <c r="BI1030" s="95">
        <v>6.0999999999999999E-2</v>
      </c>
      <c r="BJ1030" s="96">
        <v>11.61</v>
      </c>
    </row>
    <row r="1031" spans="54:62" ht="13.8" x14ac:dyDescent="0.25">
      <c r="BB1031" s="187"/>
      <c r="BC1031" s="180"/>
      <c r="BD1031" s="191">
        <v>43557</v>
      </c>
      <c r="BE1031" s="192">
        <v>9.2999999999999999E-2</v>
      </c>
      <c r="BH1031" s="94">
        <v>43584</v>
      </c>
      <c r="BI1031" s="95">
        <v>6.3E-2</v>
      </c>
      <c r="BJ1031" s="96">
        <v>11.6</v>
      </c>
    </row>
    <row r="1032" spans="54:62" ht="13.8" x14ac:dyDescent="0.25">
      <c r="BB1032" s="187"/>
      <c r="BC1032" s="180"/>
      <c r="BD1032" s="191">
        <v>43558</v>
      </c>
      <c r="BE1032" s="192">
        <v>8.6999999999999994E-2</v>
      </c>
      <c r="BH1032" s="94">
        <v>43585</v>
      </c>
      <c r="BI1032" s="95">
        <v>6.5000000000000002E-2</v>
      </c>
      <c r="BJ1032" s="96">
        <v>11.6</v>
      </c>
    </row>
    <row r="1033" spans="54:62" ht="13.8" x14ac:dyDescent="0.25">
      <c r="BB1033" s="187"/>
      <c r="BC1033" s="180"/>
      <c r="BD1033" s="191">
        <v>43559</v>
      </c>
      <c r="BE1033" s="192">
        <v>8.3000000000000004E-2</v>
      </c>
      <c r="BH1033" s="94">
        <v>43587</v>
      </c>
      <c r="BI1033" s="95">
        <v>6.6000000000000003E-2</v>
      </c>
      <c r="BJ1033" s="96">
        <v>11.59</v>
      </c>
    </row>
    <row r="1034" spans="54:62" ht="13.8" x14ac:dyDescent="0.25">
      <c r="BB1034" s="187"/>
      <c r="BC1034" s="180"/>
      <c r="BD1034" s="191">
        <v>43560</v>
      </c>
      <c r="BE1034" s="192">
        <v>0.08</v>
      </c>
      <c r="BH1034" s="94">
        <v>43588</v>
      </c>
      <c r="BI1034" s="95">
        <v>6.6000000000000003E-2</v>
      </c>
      <c r="BJ1034" s="96">
        <v>11.59</v>
      </c>
    </row>
    <row r="1035" spans="54:62" ht="13.8" x14ac:dyDescent="0.25">
      <c r="BB1035" s="187"/>
      <c r="BC1035" s="180"/>
      <c r="BD1035" s="191">
        <v>43563</v>
      </c>
      <c r="BE1035" s="192">
        <v>7.5999999999999998E-2</v>
      </c>
      <c r="BH1035" s="94">
        <v>43591</v>
      </c>
      <c r="BI1035" s="95">
        <v>6.6000000000000003E-2</v>
      </c>
      <c r="BJ1035" s="96">
        <v>11.58</v>
      </c>
    </row>
    <row r="1036" spans="54:62" ht="13.8" x14ac:dyDescent="0.25">
      <c r="BB1036" s="187"/>
      <c r="BC1036" s="180"/>
      <c r="BD1036" s="191">
        <v>43564</v>
      </c>
      <c r="BE1036" s="192">
        <v>7.1999999999999995E-2</v>
      </c>
      <c r="BH1036" s="94">
        <v>43592</v>
      </c>
      <c r="BI1036" s="95">
        <v>6.3E-2</v>
      </c>
      <c r="BJ1036" s="96">
        <v>11.58</v>
      </c>
    </row>
    <row r="1037" spans="54:62" ht="13.8" x14ac:dyDescent="0.25">
      <c r="BB1037" s="187"/>
      <c r="BC1037" s="180"/>
      <c r="BD1037" s="191">
        <v>43565</v>
      </c>
      <c r="BE1037" s="192">
        <v>6.8000000000000005E-2</v>
      </c>
      <c r="BH1037" s="94">
        <v>43593</v>
      </c>
      <c r="BI1037" s="95">
        <v>6.0999999999999999E-2</v>
      </c>
      <c r="BJ1037" s="96">
        <v>11.58</v>
      </c>
    </row>
    <row r="1038" spans="54:62" ht="13.8" x14ac:dyDescent="0.25">
      <c r="BB1038" s="187"/>
      <c r="BC1038" s="180"/>
      <c r="BD1038" s="191">
        <v>43566</v>
      </c>
      <c r="BE1038" s="192">
        <v>6.3E-2</v>
      </c>
      <c r="BH1038" s="94">
        <v>43594</v>
      </c>
      <c r="BI1038" s="95">
        <v>5.8999999999999997E-2</v>
      </c>
      <c r="BJ1038" s="96">
        <v>11.54</v>
      </c>
    </row>
    <row r="1039" spans="54:62" ht="13.8" x14ac:dyDescent="0.25">
      <c r="BB1039" s="187"/>
      <c r="BC1039" s="180"/>
      <c r="BD1039" s="191">
        <v>43567</v>
      </c>
      <c r="BE1039" s="192">
        <v>0.06</v>
      </c>
      <c r="BH1039" s="94">
        <v>43595</v>
      </c>
      <c r="BI1039" s="95">
        <v>5.8000000000000003E-2</v>
      </c>
      <c r="BJ1039" s="96">
        <v>11.54</v>
      </c>
    </row>
    <row r="1040" spans="54:62" ht="13.8" x14ac:dyDescent="0.25">
      <c r="BB1040" s="187"/>
      <c r="BC1040" s="180"/>
      <c r="BD1040" s="191">
        <v>43570</v>
      </c>
      <c r="BE1040" s="192">
        <v>5.8000000000000003E-2</v>
      </c>
      <c r="BH1040" s="94">
        <v>43598</v>
      </c>
      <c r="BI1040" s="95">
        <v>5.7000000000000002E-2</v>
      </c>
      <c r="BJ1040" s="96">
        <v>11.53</v>
      </c>
    </row>
    <row r="1041" spans="54:62" ht="13.8" x14ac:dyDescent="0.25">
      <c r="BB1041" s="187"/>
      <c r="BC1041" s="180"/>
      <c r="BD1041" s="191">
        <v>43571</v>
      </c>
      <c r="BE1041" s="192">
        <v>5.6000000000000001E-2</v>
      </c>
      <c r="BH1041" s="94">
        <v>43599</v>
      </c>
      <c r="BI1041" s="95">
        <v>5.2999999999999999E-2</v>
      </c>
      <c r="BJ1041" s="96">
        <v>11.53</v>
      </c>
    </row>
    <row r="1042" spans="54:62" ht="13.8" x14ac:dyDescent="0.25">
      <c r="BB1042" s="187"/>
      <c r="BC1042" s="180"/>
      <c r="BD1042" s="191">
        <v>43572</v>
      </c>
      <c r="BE1042" s="192">
        <v>5.5E-2</v>
      </c>
      <c r="BH1042" s="94">
        <v>43600</v>
      </c>
      <c r="BI1042" s="95">
        <v>4.7E-2</v>
      </c>
      <c r="BJ1042" s="96">
        <v>11.53</v>
      </c>
    </row>
    <row r="1043" spans="54:62" ht="13.8" x14ac:dyDescent="0.25">
      <c r="BB1043" s="187"/>
      <c r="BC1043" s="180"/>
      <c r="BD1043" s="191">
        <v>43573</v>
      </c>
      <c r="BE1043" s="192">
        <v>5.3999999999999999E-2</v>
      </c>
      <c r="BH1043" s="94">
        <v>43601</v>
      </c>
      <c r="BI1043" s="95">
        <v>4.1000000000000002E-2</v>
      </c>
      <c r="BJ1043" s="96">
        <v>11.53</v>
      </c>
    </row>
    <row r="1044" spans="54:62" ht="13.8" x14ac:dyDescent="0.25">
      <c r="BB1044" s="187"/>
      <c r="BC1044" s="180"/>
      <c r="BD1044" s="191">
        <v>43574</v>
      </c>
      <c r="BE1044" s="192">
        <v>5.5E-2</v>
      </c>
      <c r="BH1044" s="94">
        <v>43602</v>
      </c>
      <c r="BI1044" s="95">
        <v>3.4000000000000002E-2</v>
      </c>
      <c r="BJ1044" s="96">
        <v>11.52</v>
      </c>
    </row>
    <row r="1045" spans="54:62" ht="13.8" x14ac:dyDescent="0.25">
      <c r="BB1045" s="187"/>
      <c r="BC1045" s="180"/>
      <c r="BD1045" s="191"/>
      <c r="BE1045" s="193">
        <f>+BE1044</f>
        <v>5.5E-2</v>
      </c>
      <c r="BH1045" s="94">
        <v>43605</v>
      </c>
      <c r="BI1045" s="95">
        <v>2.9000000000000001E-2</v>
      </c>
      <c r="BJ1045" s="96">
        <v>11.51</v>
      </c>
    </row>
    <row r="1046" spans="54:62" ht="13.8" x14ac:dyDescent="0.25">
      <c r="BB1046" s="187"/>
      <c r="BC1046" s="180"/>
      <c r="BD1046" s="191">
        <v>43578</v>
      </c>
      <c r="BE1046" s="192">
        <v>5.7000000000000002E-2</v>
      </c>
      <c r="BH1046" s="94">
        <v>43606</v>
      </c>
      <c r="BI1046" s="95">
        <v>2.8000000000000001E-2</v>
      </c>
      <c r="BJ1046" s="96">
        <v>11.51</v>
      </c>
    </row>
    <row r="1047" spans="54:62" ht="13.8" x14ac:dyDescent="0.25">
      <c r="BB1047" s="187"/>
      <c r="BC1047" s="180"/>
      <c r="BD1047" s="191">
        <v>43579</v>
      </c>
      <c r="BE1047" s="192">
        <v>5.7000000000000002E-2</v>
      </c>
      <c r="BH1047" s="94">
        <v>43607</v>
      </c>
      <c r="BI1047" s="95">
        <v>2.5000000000000001E-2</v>
      </c>
      <c r="BJ1047" s="96">
        <v>11.51</v>
      </c>
    </row>
    <row r="1048" spans="54:62" ht="13.8" x14ac:dyDescent="0.25">
      <c r="BB1048" s="187"/>
      <c r="BC1048" s="180"/>
      <c r="BD1048" s="191">
        <v>43580</v>
      </c>
      <c r="BE1048" s="192">
        <v>5.8999999999999997E-2</v>
      </c>
      <c r="BH1048" s="94">
        <v>43608</v>
      </c>
      <c r="BI1048" s="95">
        <v>2.1000000000000001E-2</v>
      </c>
      <c r="BJ1048" s="96">
        <v>11.51</v>
      </c>
    </row>
    <row r="1049" spans="54:62" ht="13.8" x14ac:dyDescent="0.25">
      <c r="BB1049" s="187"/>
      <c r="BC1049" s="180"/>
      <c r="BD1049" s="191">
        <v>43581</v>
      </c>
      <c r="BE1049" s="192">
        <v>6.0999999999999999E-2</v>
      </c>
      <c r="BH1049" s="94">
        <v>43609</v>
      </c>
      <c r="BI1049" s="95">
        <v>1.7999999999999999E-2</v>
      </c>
      <c r="BJ1049" s="96">
        <v>11.5</v>
      </c>
    </row>
    <row r="1050" spans="54:62" ht="13.8" x14ac:dyDescent="0.25">
      <c r="BB1050" s="187"/>
      <c r="BC1050" s="180"/>
      <c r="BD1050" s="191">
        <v>43584</v>
      </c>
      <c r="BE1050" s="192">
        <v>6.3E-2</v>
      </c>
      <c r="BH1050" s="94">
        <v>43612</v>
      </c>
      <c r="BI1050" s="95">
        <v>1.4E-2</v>
      </c>
      <c r="BJ1050" s="96">
        <v>11.5</v>
      </c>
    </row>
    <row r="1051" spans="54:62" ht="13.8" x14ac:dyDescent="0.25">
      <c r="BB1051" s="187"/>
      <c r="BC1051" s="180"/>
      <c r="BD1051" s="191">
        <v>43585</v>
      </c>
      <c r="BE1051" s="192">
        <v>6.5000000000000002E-2</v>
      </c>
      <c r="BH1051" s="94">
        <v>43613</v>
      </c>
      <c r="BI1051" s="95">
        <v>8.9999999999999993E-3</v>
      </c>
      <c r="BJ1051" s="96">
        <v>11.49</v>
      </c>
    </row>
    <row r="1052" spans="54:62" ht="13.8" x14ac:dyDescent="0.25">
      <c r="BB1052" s="187"/>
      <c r="BC1052" s="180"/>
      <c r="BD1052" s="191"/>
      <c r="BE1052" s="193">
        <f>+BE1051</f>
        <v>6.5000000000000002E-2</v>
      </c>
      <c r="BF1052" s="111">
        <f>+(BC1052+BE1052)/2+0.37</f>
        <v>0.40249999999999997</v>
      </c>
      <c r="BH1052" s="94">
        <v>43614</v>
      </c>
      <c r="BI1052" s="95">
        <v>3.0000000000000001E-3</v>
      </c>
      <c r="BJ1052" s="96">
        <v>11.49</v>
      </c>
    </row>
    <row r="1053" spans="54:62" ht="13.8" x14ac:dyDescent="0.25">
      <c r="BB1053" s="187"/>
      <c r="BC1053" s="180"/>
      <c r="BD1053" s="191">
        <v>43587</v>
      </c>
      <c r="BE1053" s="192">
        <v>6.6000000000000003E-2</v>
      </c>
      <c r="BH1053" s="94">
        <v>43616</v>
      </c>
      <c r="BI1053" s="95" t="s">
        <v>126</v>
      </c>
      <c r="BJ1053" s="96">
        <v>11.48</v>
      </c>
    </row>
    <row r="1054" spans="54:62" ht="13.8" x14ac:dyDescent="0.25">
      <c r="BB1054" s="187"/>
      <c r="BC1054" s="180"/>
      <c r="BD1054" s="191">
        <v>43588</v>
      </c>
      <c r="BE1054" s="192">
        <v>6.6000000000000003E-2</v>
      </c>
      <c r="BH1054" s="94">
        <v>43619</v>
      </c>
      <c r="BI1054" s="95" t="s">
        <v>127</v>
      </c>
      <c r="BJ1054" s="96">
        <v>11.48</v>
      </c>
    </row>
    <row r="1055" spans="54:62" ht="13.8" x14ac:dyDescent="0.25">
      <c r="BB1055" s="187"/>
      <c r="BC1055" s="180"/>
      <c r="BD1055" s="191">
        <v>43591</v>
      </c>
      <c r="BE1055" s="192">
        <v>6.6000000000000003E-2</v>
      </c>
      <c r="BH1055" s="94">
        <v>43620</v>
      </c>
      <c r="BI1055" s="95" t="s">
        <v>128</v>
      </c>
      <c r="BJ1055" s="96">
        <v>11.47</v>
      </c>
    </row>
    <row r="1056" spans="54:62" ht="13.8" x14ac:dyDescent="0.25">
      <c r="BB1056" s="187"/>
      <c r="BC1056" s="180"/>
      <c r="BD1056" s="191">
        <v>43592</v>
      </c>
      <c r="BE1056" s="192">
        <v>6.3E-2</v>
      </c>
      <c r="BH1056" s="94">
        <v>43621</v>
      </c>
      <c r="BI1056" s="95" t="s">
        <v>129</v>
      </c>
      <c r="BJ1056" s="96">
        <v>11.47</v>
      </c>
    </row>
    <row r="1057" spans="54:62" ht="13.8" x14ac:dyDescent="0.25">
      <c r="BB1057" s="187"/>
      <c r="BC1057" s="180"/>
      <c r="BD1057" s="191">
        <v>43593</v>
      </c>
      <c r="BE1057" s="192">
        <v>6.0999999999999999E-2</v>
      </c>
      <c r="BH1057" s="94">
        <v>43622</v>
      </c>
      <c r="BI1057" s="95" t="s">
        <v>130</v>
      </c>
      <c r="BJ1057" s="96">
        <v>11.47</v>
      </c>
    </row>
    <row r="1058" spans="54:62" ht="13.8" x14ac:dyDescent="0.25">
      <c r="BB1058" s="187"/>
      <c r="BC1058" s="180"/>
      <c r="BD1058" s="191">
        <v>43594</v>
      </c>
      <c r="BE1058" s="192">
        <v>5.8999999999999997E-2</v>
      </c>
      <c r="BH1058" s="94">
        <v>43623</v>
      </c>
      <c r="BI1058" s="95" t="s">
        <v>131</v>
      </c>
      <c r="BJ1058" s="96">
        <v>11.47</v>
      </c>
    </row>
    <row r="1059" spans="54:62" ht="13.8" x14ac:dyDescent="0.25">
      <c r="BB1059" s="187"/>
      <c r="BC1059" s="180"/>
      <c r="BD1059" s="191">
        <v>43595</v>
      </c>
      <c r="BE1059" s="192">
        <v>5.8000000000000003E-2</v>
      </c>
      <c r="BH1059" s="94">
        <v>43627</v>
      </c>
      <c r="BI1059" s="95" t="s">
        <v>61</v>
      </c>
      <c r="BJ1059" s="96">
        <v>11.46</v>
      </c>
    </row>
    <row r="1060" spans="54:62" ht="13.8" x14ac:dyDescent="0.25">
      <c r="BB1060" s="187"/>
      <c r="BC1060" s="180"/>
      <c r="BD1060" s="191">
        <v>43598</v>
      </c>
      <c r="BE1060" s="192">
        <v>5.7000000000000002E-2</v>
      </c>
      <c r="BH1060" s="94">
        <v>43628</v>
      </c>
      <c r="BI1060" s="95" t="s">
        <v>132</v>
      </c>
      <c r="BJ1060" s="96">
        <v>11.46</v>
      </c>
    </row>
    <row r="1061" spans="54:62" ht="13.8" x14ac:dyDescent="0.25">
      <c r="BB1061" s="187"/>
      <c r="BC1061" s="180"/>
      <c r="BD1061" s="191">
        <v>43599</v>
      </c>
      <c r="BE1061" s="192">
        <v>5.2999999999999999E-2</v>
      </c>
      <c r="BH1061" s="94">
        <v>43629</v>
      </c>
      <c r="BI1061" s="95" t="s">
        <v>133</v>
      </c>
      <c r="BJ1061" s="96">
        <v>11.45</v>
      </c>
    </row>
    <row r="1062" spans="54:62" ht="13.8" x14ac:dyDescent="0.25">
      <c r="BB1062" s="187"/>
      <c r="BC1062" s="180"/>
      <c r="BD1062" s="191">
        <v>43600</v>
      </c>
      <c r="BE1062" s="192">
        <v>4.7E-2</v>
      </c>
      <c r="BH1062" s="94">
        <v>43630</v>
      </c>
      <c r="BI1062" s="95" t="s">
        <v>118</v>
      </c>
      <c r="BJ1062" s="96">
        <v>11.45</v>
      </c>
    </row>
    <row r="1063" spans="54:62" ht="13.8" x14ac:dyDescent="0.25">
      <c r="BB1063" s="187"/>
      <c r="BC1063" s="180"/>
      <c r="BD1063" s="191">
        <v>43601</v>
      </c>
      <c r="BE1063" s="192">
        <v>4.1000000000000002E-2</v>
      </c>
      <c r="BH1063" s="94">
        <v>43633</v>
      </c>
      <c r="BI1063" s="95" t="s">
        <v>134</v>
      </c>
      <c r="BJ1063" s="96">
        <v>11.44</v>
      </c>
    </row>
    <row r="1064" spans="54:62" ht="13.8" x14ac:dyDescent="0.25">
      <c r="BB1064" s="187"/>
      <c r="BC1064" s="180"/>
      <c r="BD1064" s="191">
        <v>43602</v>
      </c>
      <c r="BE1064" s="192">
        <v>3.4000000000000002E-2</v>
      </c>
      <c r="BH1064" s="94">
        <v>43634</v>
      </c>
      <c r="BI1064" s="95" t="s">
        <v>135</v>
      </c>
      <c r="BJ1064" s="96">
        <v>11.44</v>
      </c>
    </row>
    <row r="1065" spans="54:62" ht="13.8" x14ac:dyDescent="0.25">
      <c r="BB1065" s="187"/>
      <c r="BC1065" s="180"/>
      <c r="BD1065" s="191">
        <v>43605</v>
      </c>
      <c r="BE1065" s="192">
        <v>2.9000000000000001E-2</v>
      </c>
      <c r="BH1065" s="94">
        <v>43635</v>
      </c>
      <c r="BI1065" s="95" t="s">
        <v>136</v>
      </c>
      <c r="BJ1065" s="96">
        <v>11.44</v>
      </c>
    </row>
    <row r="1066" spans="54:62" ht="13.8" x14ac:dyDescent="0.25">
      <c r="BB1066" s="187"/>
      <c r="BC1066" s="180"/>
      <c r="BD1066" s="191">
        <v>43606</v>
      </c>
      <c r="BE1066" s="192">
        <v>2.8000000000000001E-2</v>
      </c>
      <c r="BH1066" s="94">
        <v>43637</v>
      </c>
      <c r="BI1066" s="95" t="s">
        <v>137</v>
      </c>
      <c r="BJ1066" s="96">
        <v>11.43</v>
      </c>
    </row>
    <row r="1067" spans="54:62" ht="13.8" x14ac:dyDescent="0.25">
      <c r="BB1067" s="187"/>
      <c r="BC1067" s="180"/>
      <c r="BD1067" s="191">
        <v>43607</v>
      </c>
      <c r="BE1067" s="192">
        <v>2.5000000000000001E-2</v>
      </c>
      <c r="BH1067" s="94">
        <v>43640</v>
      </c>
      <c r="BI1067" s="95" t="s">
        <v>138</v>
      </c>
      <c r="BJ1067" s="96">
        <v>11.42</v>
      </c>
    </row>
    <row r="1068" spans="54:62" ht="13.8" x14ac:dyDescent="0.25">
      <c r="BB1068" s="187"/>
      <c r="BC1068" s="180"/>
      <c r="BD1068" s="191">
        <v>43608</v>
      </c>
      <c r="BE1068" s="192">
        <v>2.1000000000000001E-2</v>
      </c>
      <c r="BH1068" s="94">
        <v>43641</v>
      </c>
      <c r="BI1068" s="95" t="s">
        <v>139</v>
      </c>
      <c r="BJ1068" s="96">
        <v>11.42</v>
      </c>
    </row>
    <row r="1069" spans="54:62" ht="13.8" x14ac:dyDescent="0.25">
      <c r="BB1069" s="187"/>
      <c r="BC1069" s="180"/>
      <c r="BD1069" s="191">
        <v>43609</v>
      </c>
      <c r="BE1069" s="192">
        <v>1.7999999999999999E-2</v>
      </c>
      <c r="BH1069" s="94">
        <v>43642</v>
      </c>
      <c r="BI1069" s="95" t="s">
        <v>140</v>
      </c>
      <c r="BJ1069" s="96">
        <v>11.42</v>
      </c>
    </row>
    <row r="1070" spans="54:62" ht="13.8" x14ac:dyDescent="0.25">
      <c r="BB1070" s="187"/>
      <c r="BC1070" s="180"/>
      <c r="BD1070" s="191">
        <v>43612</v>
      </c>
      <c r="BE1070" s="192">
        <v>1.4E-2</v>
      </c>
      <c r="BH1070" s="94">
        <v>43643</v>
      </c>
      <c r="BI1070" s="95" t="s">
        <v>141</v>
      </c>
      <c r="BJ1070" s="96">
        <v>11.41</v>
      </c>
    </row>
    <row r="1071" spans="54:62" ht="13.8" x14ac:dyDescent="0.25">
      <c r="BB1071" s="187"/>
      <c r="BC1071" s="180"/>
      <c r="BD1071" s="191">
        <v>43613</v>
      </c>
      <c r="BE1071" s="192">
        <v>8.9999999999999993E-3</v>
      </c>
      <c r="BH1071" s="94">
        <v>43644</v>
      </c>
      <c r="BI1071" s="95" t="s">
        <v>142</v>
      </c>
      <c r="BJ1071" s="96">
        <v>11.41</v>
      </c>
    </row>
    <row r="1072" spans="54:62" ht="13.8" x14ac:dyDescent="0.25">
      <c r="BB1072" s="187"/>
      <c r="BC1072" s="180"/>
      <c r="BD1072" s="191">
        <v>43614</v>
      </c>
      <c r="BE1072" s="192">
        <v>3.0000000000000001E-3</v>
      </c>
      <c r="BH1072" s="94">
        <v>43647</v>
      </c>
      <c r="BI1072" s="95" t="s">
        <v>143</v>
      </c>
      <c r="BJ1072" s="96">
        <v>11.4</v>
      </c>
    </row>
    <row r="1073" spans="54:62" ht="13.8" x14ac:dyDescent="0.25">
      <c r="BB1073" s="187"/>
      <c r="BC1073" s="180"/>
      <c r="BD1073" s="191"/>
      <c r="BE1073" s="193">
        <f>+BE1072</f>
        <v>3.0000000000000001E-3</v>
      </c>
      <c r="BH1073" s="94">
        <v>43648</v>
      </c>
      <c r="BI1073" s="95" t="s">
        <v>97</v>
      </c>
      <c r="BJ1073" s="96">
        <v>11.83</v>
      </c>
    </row>
    <row r="1074" spans="54:62" ht="13.8" x14ac:dyDescent="0.25">
      <c r="BB1074" s="187"/>
      <c r="BC1074" s="180"/>
      <c r="BD1074" s="191">
        <v>43616</v>
      </c>
      <c r="BE1074" s="192" t="s">
        <v>126</v>
      </c>
      <c r="BH1074" s="94">
        <v>43649</v>
      </c>
      <c r="BI1074" s="95" t="s">
        <v>79</v>
      </c>
      <c r="BJ1074" s="96">
        <v>11.83</v>
      </c>
    </row>
    <row r="1075" spans="54:62" ht="13.8" x14ac:dyDescent="0.25">
      <c r="BB1075" s="187"/>
      <c r="BC1075" s="180"/>
      <c r="BD1075" s="191">
        <v>43619</v>
      </c>
      <c r="BE1075" s="192" t="s">
        <v>127</v>
      </c>
      <c r="BH1075" s="94">
        <v>43650</v>
      </c>
      <c r="BI1075" s="95" t="s">
        <v>83</v>
      </c>
      <c r="BJ1075" s="96">
        <v>11.83</v>
      </c>
    </row>
    <row r="1076" spans="54:62" ht="13.8" x14ac:dyDescent="0.25">
      <c r="BB1076" s="187"/>
      <c r="BC1076" s="180"/>
      <c r="BD1076" s="191">
        <v>43620</v>
      </c>
      <c r="BE1076" s="192" t="s">
        <v>128</v>
      </c>
      <c r="BH1076" s="94">
        <v>43651</v>
      </c>
      <c r="BI1076" s="95" t="s">
        <v>86</v>
      </c>
      <c r="BJ1076" s="96">
        <v>11.82</v>
      </c>
    </row>
    <row r="1077" spans="54:62" ht="13.8" x14ac:dyDescent="0.25">
      <c r="BB1077" s="187"/>
      <c r="BC1077" s="180"/>
      <c r="BD1077" s="191">
        <v>43621</v>
      </c>
      <c r="BE1077" s="192" t="s">
        <v>129</v>
      </c>
      <c r="BH1077" s="94">
        <v>43654</v>
      </c>
      <c r="BI1077" s="95" t="s">
        <v>88</v>
      </c>
      <c r="BJ1077" s="96">
        <v>11.82</v>
      </c>
    </row>
    <row r="1078" spans="54:62" ht="13.8" x14ac:dyDescent="0.25">
      <c r="BB1078" s="187"/>
      <c r="BC1078" s="180"/>
      <c r="BD1078" s="191">
        <v>43622</v>
      </c>
      <c r="BE1078" s="192" t="s">
        <v>130</v>
      </c>
      <c r="BH1078" s="94">
        <v>43655</v>
      </c>
      <c r="BI1078" s="95" t="s">
        <v>94</v>
      </c>
      <c r="BJ1078" s="96">
        <v>11.81</v>
      </c>
    </row>
    <row r="1079" spans="54:62" ht="13.8" x14ac:dyDescent="0.25">
      <c r="BB1079" s="187"/>
      <c r="BC1079" s="180"/>
      <c r="BD1079" s="191">
        <v>43623</v>
      </c>
      <c r="BE1079" s="192" t="s">
        <v>131</v>
      </c>
      <c r="BH1079" s="94">
        <v>43656</v>
      </c>
      <c r="BI1079" s="95" t="s">
        <v>92</v>
      </c>
      <c r="BJ1079" s="96">
        <v>11.81</v>
      </c>
    </row>
    <row r="1080" spans="54:62" ht="13.8" x14ac:dyDescent="0.25">
      <c r="BB1080" s="187"/>
      <c r="BC1080" s="180"/>
      <c r="BD1080" s="191"/>
      <c r="BE1080" s="193" t="str">
        <f>+BE1079</f>
        <v>−0,034</v>
      </c>
      <c r="BH1080" s="94">
        <v>43657</v>
      </c>
      <c r="BI1080" s="95" t="s">
        <v>144</v>
      </c>
      <c r="BJ1080" s="96">
        <v>11.81</v>
      </c>
    </row>
    <row r="1081" spans="54:62" ht="13.8" x14ac:dyDescent="0.25">
      <c r="BB1081" s="187"/>
      <c r="BC1081" s="180"/>
      <c r="BD1081" s="191">
        <v>43627</v>
      </c>
      <c r="BE1081" s="192" t="s">
        <v>61</v>
      </c>
      <c r="BH1081" s="94">
        <v>43658</v>
      </c>
      <c r="BI1081" s="95" t="s">
        <v>145</v>
      </c>
      <c r="BJ1081" s="96">
        <v>11.81</v>
      </c>
    </row>
    <row r="1082" spans="54:62" ht="13.8" x14ac:dyDescent="0.25">
      <c r="BB1082" s="187"/>
      <c r="BC1082" s="180"/>
      <c r="BD1082" s="191">
        <v>43628</v>
      </c>
      <c r="BE1082" s="192" t="s">
        <v>132</v>
      </c>
      <c r="BH1082" s="94">
        <v>43661</v>
      </c>
      <c r="BI1082" s="95" t="s">
        <v>84</v>
      </c>
      <c r="BJ1082" s="96">
        <v>12.64</v>
      </c>
    </row>
    <row r="1083" spans="54:62" ht="13.8" x14ac:dyDescent="0.25">
      <c r="BB1083" s="187"/>
      <c r="BC1083" s="180"/>
      <c r="BD1083" s="191">
        <v>43629</v>
      </c>
      <c r="BE1083" s="192" t="s">
        <v>133</v>
      </c>
      <c r="BH1083" s="94">
        <v>43662</v>
      </c>
      <c r="BI1083" s="95" t="s">
        <v>146</v>
      </c>
      <c r="BJ1083" s="96">
        <v>12.64</v>
      </c>
    </row>
    <row r="1084" spans="54:62" ht="13.8" x14ac:dyDescent="0.25">
      <c r="BB1084" s="187"/>
      <c r="BC1084" s="180"/>
      <c r="BD1084" s="191">
        <v>43630</v>
      </c>
      <c r="BE1084" s="192" t="s">
        <v>118</v>
      </c>
      <c r="BH1084" s="94">
        <v>43663</v>
      </c>
      <c r="BI1084" s="95" t="s">
        <v>86</v>
      </c>
      <c r="BJ1084" s="96">
        <v>12.64</v>
      </c>
    </row>
    <row r="1085" spans="54:62" ht="13.8" x14ac:dyDescent="0.25">
      <c r="BB1085" s="187"/>
      <c r="BC1085" s="180"/>
      <c r="BD1085" s="191">
        <v>43633</v>
      </c>
      <c r="BE1085" s="192" t="s">
        <v>134</v>
      </c>
      <c r="BH1085" s="94">
        <v>43664</v>
      </c>
      <c r="BI1085" s="95" t="s">
        <v>87</v>
      </c>
      <c r="BJ1085" s="96">
        <v>12.63</v>
      </c>
    </row>
    <row r="1086" spans="54:62" ht="13.8" x14ac:dyDescent="0.25">
      <c r="BB1086" s="187"/>
      <c r="BC1086" s="180"/>
      <c r="BD1086" s="191">
        <v>43634</v>
      </c>
      <c r="BE1086" s="192" t="s">
        <v>135</v>
      </c>
      <c r="BH1086" s="94">
        <v>43665</v>
      </c>
      <c r="BI1086" s="95" t="s">
        <v>88</v>
      </c>
      <c r="BJ1086" s="96">
        <v>12.63</v>
      </c>
    </row>
    <row r="1087" spans="54:62" ht="13.8" x14ac:dyDescent="0.25">
      <c r="BB1087" s="187"/>
      <c r="BC1087" s="180"/>
      <c r="BD1087" s="191">
        <v>43635</v>
      </c>
      <c r="BE1087" s="192" t="s">
        <v>136</v>
      </c>
      <c r="BH1087" s="94">
        <v>43668</v>
      </c>
      <c r="BI1087" s="95" t="s">
        <v>89</v>
      </c>
      <c r="BJ1087" s="96">
        <v>12.62</v>
      </c>
    </row>
    <row r="1088" spans="54:62" ht="13.8" x14ac:dyDescent="0.25">
      <c r="BB1088" s="187"/>
      <c r="BC1088" s="180"/>
      <c r="BD1088" s="191"/>
      <c r="BE1088" s="193" t="str">
        <f>+BE1087</f>
        <v>−0,086</v>
      </c>
      <c r="BH1088" s="94">
        <v>43669</v>
      </c>
      <c r="BI1088" s="95" t="s">
        <v>93</v>
      </c>
      <c r="BJ1088" s="96">
        <v>12.62</v>
      </c>
    </row>
    <row r="1089" spans="54:62" ht="13.8" x14ac:dyDescent="0.25">
      <c r="BB1089" s="187"/>
      <c r="BC1089" s="180"/>
      <c r="BD1089" s="191">
        <v>43637</v>
      </c>
      <c r="BE1089" s="192" t="s">
        <v>137</v>
      </c>
      <c r="BH1089" s="94">
        <v>43670</v>
      </c>
      <c r="BI1089" s="95" t="s">
        <v>144</v>
      </c>
      <c r="BJ1089" s="96">
        <v>12.62</v>
      </c>
    </row>
    <row r="1090" spans="54:62" ht="13.8" x14ac:dyDescent="0.25">
      <c r="BB1090" s="187"/>
      <c r="BC1090" s="180"/>
      <c r="BD1090" s="191">
        <v>43640</v>
      </c>
      <c r="BE1090" s="192" t="s">
        <v>138</v>
      </c>
      <c r="BH1090" s="94">
        <v>43671</v>
      </c>
      <c r="BI1090" s="95" t="s">
        <v>147</v>
      </c>
      <c r="BJ1090" s="96">
        <v>12.62</v>
      </c>
    </row>
    <row r="1091" spans="54:62" ht="13.8" x14ac:dyDescent="0.25">
      <c r="BB1091" s="187"/>
      <c r="BC1091" s="180"/>
      <c r="BD1091" s="191">
        <v>43641</v>
      </c>
      <c r="BE1091" s="192" t="s">
        <v>139</v>
      </c>
      <c r="BH1091" s="94">
        <v>43672</v>
      </c>
      <c r="BI1091" s="95" t="s">
        <v>148</v>
      </c>
      <c r="BJ1091" s="96">
        <v>12.61</v>
      </c>
    </row>
    <row r="1092" spans="54:62" ht="13.8" x14ac:dyDescent="0.25">
      <c r="BB1092" s="187"/>
      <c r="BC1092" s="180"/>
      <c r="BD1092" s="191">
        <v>43642</v>
      </c>
      <c r="BE1092" s="192" t="s">
        <v>140</v>
      </c>
      <c r="BH1092" s="94">
        <v>43675</v>
      </c>
      <c r="BI1092" s="95" t="s">
        <v>149</v>
      </c>
      <c r="BJ1092" s="96">
        <v>12.6</v>
      </c>
    </row>
    <row r="1093" spans="54:62" ht="13.8" x14ac:dyDescent="0.25">
      <c r="BB1093" s="187"/>
      <c r="BC1093" s="180"/>
      <c r="BD1093" s="191">
        <v>43643</v>
      </c>
      <c r="BE1093" s="192" t="s">
        <v>141</v>
      </c>
      <c r="BH1093" s="94">
        <v>43676</v>
      </c>
      <c r="BI1093" s="95" t="s">
        <v>150</v>
      </c>
      <c r="BJ1093" s="96">
        <v>12.6</v>
      </c>
    </row>
    <row r="1094" spans="54:62" ht="13.8" x14ac:dyDescent="0.25">
      <c r="BB1094" s="187"/>
      <c r="BC1094" s="180"/>
      <c r="BD1094" s="191">
        <v>43644</v>
      </c>
      <c r="BE1094" s="192" t="s">
        <v>142</v>
      </c>
      <c r="BH1094" s="94">
        <v>43677</v>
      </c>
      <c r="BI1094" s="95" t="s">
        <v>151</v>
      </c>
      <c r="BJ1094" s="96">
        <v>12.6</v>
      </c>
    </row>
    <row r="1095" spans="54:62" ht="13.8" x14ac:dyDescent="0.25">
      <c r="BB1095" s="187"/>
      <c r="BC1095" s="180"/>
      <c r="BD1095" s="191">
        <v>43647</v>
      </c>
      <c r="BE1095" s="192" t="s">
        <v>143</v>
      </c>
      <c r="BH1095" s="94">
        <v>43678</v>
      </c>
      <c r="BI1095" s="95" t="s">
        <v>152</v>
      </c>
      <c r="BJ1095" s="96">
        <v>12.6</v>
      </c>
    </row>
    <row r="1096" spans="54:62" ht="13.8" x14ac:dyDescent="0.25">
      <c r="BB1096" s="187"/>
      <c r="BC1096" s="180"/>
      <c r="BD1096" s="191">
        <v>43648</v>
      </c>
      <c r="BE1096" s="192" t="s">
        <v>97</v>
      </c>
      <c r="BH1096" s="94">
        <v>43679</v>
      </c>
      <c r="BI1096" s="95" t="s">
        <v>153</v>
      </c>
      <c r="BJ1096" s="96">
        <v>12.59</v>
      </c>
    </row>
    <row r="1097" spans="54:62" ht="13.8" x14ac:dyDescent="0.25">
      <c r="BB1097" s="187"/>
      <c r="BC1097" s="180"/>
      <c r="BD1097" s="191">
        <v>43649</v>
      </c>
      <c r="BE1097" s="192" t="s">
        <v>79</v>
      </c>
      <c r="BH1097" s="94">
        <v>43682</v>
      </c>
      <c r="BI1097" s="95" t="s">
        <v>154</v>
      </c>
      <c r="BJ1097" s="96">
        <v>12.59</v>
      </c>
    </row>
    <row r="1098" spans="54:62" ht="13.8" x14ac:dyDescent="0.25">
      <c r="BB1098" s="187"/>
      <c r="BC1098" s="180"/>
      <c r="BD1098" s="191">
        <v>43650</v>
      </c>
      <c r="BE1098" s="192" t="s">
        <v>83</v>
      </c>
      <c r="BH1098" s="94">
        <v>43683</v>
      </c>
      <c r="BI1098" s="95" t="s">
        <v>155</v>
      </c>
      <c r="BJ1098" s="96">
        <v>12.58</v>
      </c>
    </row>
    <row r="1099" spans="54:62" ht="13.8" x14ac:dyDescent="0.25">
      <c r="BB1099" s="187"/>
      <c r="BC1099" s="180"/>
      <c r="BD1099" s="191">
        <v>43651</v>
      </c>
      <c r="BE1099" s="192" t="s">
        <v>86</v>
      </c>
      <c r="BH1099" s="94">
        <v>43684</v>
      </c>
      <c r="BI1099" s="95" t="s">
        <v>156</v>
      </c>
      <c r="BJ1099" s="96">
        <v>12.58</v>
      </c>
    </row>
    <row r="1100" spans="54:62" ht="13.8" x14ac:dyDescent="0.25">
      <c r="BB1100" s="187"/>
      <c r="BC1100" s="180"/>
      <c r="BD1100" s="191">
        <v>43654</v>
      </c>
      <c r="BE1100" s="192" t="s">
        <v>88</v>
      </c>
      <c r="BH1100" s="94">
        <v>43685</v>
      </c>
      <c r="BI1100" s="95" t="s">
        <v>157</v>
      </c>
      <c r="BJ1100" s="96">
        <v>12.58</v>
      </c>
    </row>
    <row r="1101" spans="54:62" ht="13.8" x14ac:dyDescent="0.25">
      <c r="BB1101" s="187"/>
      <c r="BC1101" s="180"/>
      <c r="BD1101" s="191">
        <v>43655</v>
      </c>
      <c r="BE1101" s="192" t="s">
        <v>94</v>
      </c>
      <c r="BH1101" s="94">
        <v>43686</v>
      </c>
      <c r="BI1101" s="95" t="s">
        <v>158</v>
      </c>
      <c r="BJ1101" s="96">
        <v>12.57</v>
      </c>
    </row>
    <row r="1102" spans="54:62" ht="13.8" x14ac:dyDescent="0.25">
      <c r="BB1102" s="187"/>
      <c r="BC1102" s="180"/>
      <c r="BD1102" s="191">
        <v>43656</v>
      </c>
      <c r="BE1102" s="192" t="s">
        <v>92</v>
      </c>
      <c r="BH1102" s="94">
        <v>43689</v>
      </c>
      <c r="BI1102" s="95" t="s">
        <v>159</v>
      </c>
      <c r="BJ1102" s="96">
        <v>12.57</v>
      </c>
    </row>
    <row r="1103" spans="54:62" ht="13.8" x14ac:dyDescent="0.25">
      <c r="BB1103" s="187"/>
      <c r="BC1103" s="180"/>
      <c r="BD1103" s="191">
        <v>43657</v>
      </c>
      <c r="BE1103" s="192" t="s">
        <v>144</v>
      </c>
      <c r="BH1103" s="94">
        <v>43690</v>
      </c>
      <c r="BI1103" s="95" t="s">
        <v>160</v>
      </c>
      <c r="BJ1103" s="96">
        <v>12.56</v>
      </c>
    </row>
    <row r="1104" spans="54:62" ht="13.8" x14ac:dyDescent="0.25">
      <c r="BB1104" s="187"/>
      <c r="BC1104" s="180"/>
      <c r="BD1104" s="191">
        <v>43658</v>
      </c>
      <c r="BE1104" s="192" t="s">
        <v>145</v>
      </c>
      <c r="BH1104" s="94">
        <v>43691</v>
      </c>
      <c r="BI1104" s="95" t="s">
        <v>161</v>
      </c>
      <c r="BJ1104" s="96">
        <v>12.56</v>
      </c>
    </row>
    <row r="1105" spans="54:62" ht="13.8" x14ac:dyDescent="0.25">
      <c r="BB1105" s="187"/>
      <c r="BC1105" s="180"/>
      <c r="BD1105" s="191">
        <v>43661</v>
      </c>
      <c r="BE1105" s="192" t="s">
        <v>84</v>
      </c>
      <c r="BH1105" s="94">
        <v>43693</v>
      </c>
      <c r="BI1105" s="95" t="s">
        <v>162</v>
      </c>
      <c r="BJ1105" s="96">
        <v>12.56</v>
      </c>
    </row>
    <row r="1106" spans="54:62" ht="13.8" x14ac:dyDescent="0.25">
      <c r="BB1106" s="187"/>
      <c r="BC1106" s="180"/>
      <c r="BD1106" s="191">
        <v>43662</v>
      </c>
      <c r="BE1106" s="192" t="s">
        <v>146</v>
      </c>
      <c r="BH1106" s="94">
        <v>43696</v>
      </c>
      <c r="BI1106" s="95" t="s">
        <v>163</v>
      </c>
      <c r="BJ1106" s="96">
        <v>12.55</v>
      </c>
    </row>
    <row r="1107" spans="54:62" ht="13.8" x14ac:dyDescent="0.25">
      <c r="BB1107" s="187"/>
      <c r="BC1107" s="180"/>
      <c r="BD1107" s="191">
        <v>43663</v>
      </c>
      <c r="BE1107" s="192" t="s">
        <v>86</v>
      </c>
      <c r="BH1107" s="94">
        <v>43697</v>
      </c>
      <c r="BI1107" s="95" t="s">
        <v>164</v>
      </c>
      <c r="BJ1107" s="96">
        <v>12.54</v>
      </c>
    </row>
    <row r="1108" spans="54:62" ht="13.8" x14ac:dyDescent="0.25">
      <c r="BB1108" s="187"/>
      <c r="BC1108" s="180"/>
      <c r="BD1108" s="191">
        <v>43664</v>
      </c>
      <c r="BE1108" s="192" t="s">
        <v>87</v>
      </c>
      <c r="BH1108" s="94">
        <v>43698</v>
      </c>
      <c r="BI1108" s="95" t="s">
        <v>165</v>
      </c>
      <c r="BJ1108" s="96">
        <v>12.54</v>
      </c>
    </row>
    <row r="1109" spans="54:62" ht="13.8" x14ac:dyDescent="0.25">
      <c r="BB1109" s="187"/>
      <c r="BC1109" s="180"/>
      <c r="BD1109" s="191">
        <v>43665</v>
      </c>
      <c r="BE1109" s="192" t="s">
        <v>88</v>
      </c>
      <c r="BH1109" s="94">
        <v>43699</v>
      </c>
      <c r="BI1109" s="95" t="s">
        <v>166</v>
      </c>
      <c r="BJ1109" s="96">
        <v>12.54</v>
      </c>
    </row>
    <row r="1110" spans="54:62" ht="13.8" x14ac:dyDescent="0.25">
      <c r="BB1110" s="187"/>
      <c r="BC1110" s="180"/>
      <c r="BD1110" s="191">
        <v>43668</v>
      </c>
      <c r="BE1110" s="192" t="s">
        <v>89</v>
      </c>
      <c r="BH1110" s="94">
        <v>43700</v>
      </c>
      <c r="BI1110" s="95" t="s">
        <v>167</v>
      </c>
      <c r="BJ1110" s="96">
        <v>12.54</v>
      </c>
    </row>
    <row r="1111" spans="54:62" ht="13.8" x14ac:dyDescent="0.25">
      <c r="BB1111" s="187"/>
      <c r="BC1111" s="180"/>
      <c r="BD1111" s="191">
        <v>43669</v>
      </c>
      <c r="BE1111" s="192" t="s">
        <v>93</v>
      </c>
      <c r="BH1111" s="94">
        <v>43703</v>
      </c>
      <c r="BI1111" s="95" t="s">
        <v>168</v>
      </c>
      <c r="BJ1111" s="96">
        <v>12.53</v>
      </c>
    </row>
    <row r="1112" spans="54:62" ht="13.8" x14ac:dyDescent="0.25">
      <c r="BB1112" s="187"/>
      <c r="BC1112" s="180"/>
      <c r="BD1112" s="191">
        <v>43670</v>
      </c>
      <c r="BE1112" s="192" t="s">
        <v>144</v>
      </c>
      <c r="BH1112" s="94">
        <v>43704</v>
      </c>
      <c r="BI1112" s="95" t="s">
        <v>169</v>
      </c>
      <c r="BJ1112" s="96">
        <v>12.53</v>
      </c>
    </row>
    <row r="1113" spans="54:62" ht="13.8" x14ac:dyDescent="0.25">
      <c r="BB1113" s="187"/>
      <c r="BC1113" s="180"/>
      <c r="BD1113" s="191">
        <v>43671</v>
      </c>
      <c r="BE1113" s="192" t="s">
        <v>147</v>
      </c>
      <c r="BH1113" s="94">
        <v>43705</v>
      </c>
      <c r="BI1113" s="95" t="s">
        <v>170</v>
      </c>
      <c r="BJ1113" s="96">
        <v>12.52</v>
      </c>
    </row>
    <row r="1114" spans="54:62" ht="13.8" x14ac:dyDescent="0.25">
      <c r="BB1114" s="187"/>
      <c r="BC1114" s="180"/>
      <c r="BD1114" s="191">
        <v>43672</v>
      </c>
      <c r="BE1114" s="192" t="s">
        <v>148</v>
      </c>
      <c r="BH1114" s="94">
        <v>43706</v>
      </c>
      <c r="BI1114" s="95" t="s">
        <v>171</v>
      </c>
      <c r="BJ1114" s="96">
        <v>12.52</v>
      </c>
    </row>
    <row r="1115" spans="54:62" ht="13.8" x14ac:dyDescent="0.25">
      <c r="BB1115" s="187"/>
      <c r="BC1115" s="180"/>
      <c r="BD1115" s="191">
        <v>43675</v>
      </c>
      <c r="BE1115" s="192" t="s">
        <v>149</v>
      </c>
      <c r="BH1115" s="94">
        <v>43707</v>
      </c>
      <c r="BI1115" s="95" t="s">
        <v>172</v>
      </c>
      <c r="BJ1115" s="96">
        <v>12.52</v>
      </c>
    </row>
    <row r="1116" spans="54:62" ht="13.8" x14ac:dyDescent="0.25">
      <c r="BB1116" s="187"/>
      <c r="BC1116" s="180"/>
      <c r="BD1116" s="191">
        <v>43676</v>
      </c>
      <c r="BE1116" s="192" t="s">
        <v>150</v>
      </c>
      <c r="BH1116" s="94">
        <v>43710</v>
      </c>
      <c r="BI1116" s="95" t="s">
        <v>173</v>
      </c>
      <c r="BJ1116" s="96">
        <v>12.51</v>
      </c>
    </row>
    <row r="1117" spans="54:62" ht="13.8" x14ac:dyDescent="0.25">
      <c r="BB1117" s="187"/>
      <c r="BC1117" s="180"/>
      <c r="BD1117" s="191">
        <v>43677</v>
      </c>
      <c r="BE1117" s="192" t="s">
        <v>151</v>
      </c>
      <c r="BH1117" s="94">
        <v>43711</v>
      </c>
      <c r="BI1117" s="95" t="s">
        <v>174</v>
      </c>
      <c r="BJ1117" s="96">
        <v>12.51</v>
      </c>
    </row>
    <row r="1118" spans="54:62" ht="13.8" x14ac:dyDescent="0.25">
      <c r="BB1118" s="187"/>
      <c r="BC1118" s="180"/>
      <c r="BD1118" s="191">
        <v>43678</v>
      </c>
      <c r="BE1118" s="192" t="s">
        <v>152</v>
      </c>
      <c r="BH1118" s="94">
        <v>43712</v>
      </c>
      <c r="BI1118" s="95" t="s">
        <v>175</v>
      </c>
      <c r="BJ1118" s="96">
        <v>12.5</v>
      </c>
    </row>
    <row r="1119" spans="54:62" ht="13.8" x14ac:dyDescent="0.25">
      <c r="BB1119" s="187"/>
      <c r="BC1119" s="180"/>
      <c r="BD1119" s="191">
        <v>43679</v>
      </c>
      <c r="BE1119" s="192" t="s">
        <v>153</v>
      </c>
      <c r="BH1119" s="94">
        <v>43713</v>
      </c>
      <c r="BI1119" s="95" t="s">
        <v>175</v>
      </c>
      <c r="BJ1119" s="96">
        <v>12.47</v>
      </c>
    </row>
    <row r="1120" spans="54:62" ht="13.8" x14ac:dyDescent="0.25">
      <c r="BB1120" s="187"/>
      <c r="BC1120" s="180"/>
      <c r="BD1120" s="191">
        <v>43682</v>
      </c>
      <c r="BE1120" s="192" t="s">
        <v>154</v>
      </c>
      <c r="BH1120" s="94">
        <v>43714</v>
      </c>
      <c r="BI1120" s="95" t="s">
        <v>176</v>
      </c>
      <c r="BJ1120" s="96">
        <v>12.47</v>
      </c>
    </row>
    <row r="1121" spans="54:62" ht="13.8" x14ac:dyDescent="0.25">
      <c r="BB1121" s="187"/>
      <c r="BC1121" s="180"/>
      <c r="BD1121" s="191">
        <v>43683</v>
      </c>
      <c r="BE1121" s="192" t="s">
        <v>155</v>
      </c>
      <c r="BH1121" s="94">
        <v>43717</v>
      </c>
      <c r="BI1121" s="95" t="s">
        <v>175</v>
      </c>
      <c r="BJ1121" s="96">
        <v>12.46</v>
      </c>
    </row>
    <row r="1122" spans="54:62" ht="13.8" x14ac:dyDescent="0.25">
      <c r="BB1122" s="187"/>
      <c r="BC1122" s="180"/>
      <c r="BD1122" s="191">
        <v>43684</v>
      </c>
      <c r="BE1122" s="192" t="s">
        <v>156</v>
      </c>
      <c r="BH1122" s="94">
        <v>43718</v>
      </c>
      <c r="BI1122" s="95" t="s">
        <v>177</v>
      </c>
      <c r="BJ1122" s="96">
        <v>12.45</v>
      </c>
    </row>
    <row r="1123" spans="54:62" ht="13.8" x14ac:dyDescent="0.25">
      <c r="BB1123" s="187"/>
      <c r="BC1123" s="180"/>
      <c r="BD1123" s="191">
        <v>43685</v>
      </c>
      <c r="BE1123" s="192" t="s">
        <v>157</v>
      </c>
      <c r="BH1123" s="94">
        <v>43719</v>
      </c>
      <c r="BI1123" s="95" t="s">
        <v>178</v>
      </c>
      <c r="BJ1123" s="96">
        <v>12.45</v>
      </c>
    </row>
    <row r="1124" spans="54:62" ht="13.8" x14ac:dyDescent="0.25">
      <c r="BB1124" s="187"/>
      <c r="BC1124" s="180"/>
      <c r="BD1124" s="191">
        <v>43686</v>
      </c>
      <c r="BE1124" s="192" t="s">
        <v>158</v>
      </c>
      <c r="BH1124" s="94">
        <v>43720</v>
      </c>
      <c r="BI1124" s="95" t="s">
        <v>179</v>
      </c>
      <c r="BJ1124" s="96">
        <v>12.45</v>
      </c>
    </row>
    <row r="1125" spans="54:62" ht="13.8" x14ac:dyDescent="0.25">
      <c r="BB1125" s="187"/>
      <c r="BC1125" s="180"/>
      <c r="BD1125" s="191">
        <v>43689</v>
      </c>
      <c r="BE1125" s="192" t="s">
        <v>159</v>
      </c>
      <c r="BH1125" s="94">
        <v>43721</v>
      </c>
      <c r="BI1125" s="95" t="s">
        <v>180</v>
      </c>
      <c r="BJ1125" s="96">
        <v>12.45</v>
      </c>
    </row>
    <row r="1126" spans="54:62" ht="13.8" x14ac:dyDescent="0.25">
      <c r="BB1126" s="187"/>
      <c r="BC1126" s="180"/>
      <c r="BD1126" s="191">
        <v>43690</v>
      </c>
      <c r="BE1126" s="192" t="s">
        <v>160</v>
      </c>
      <c r="BH1126" s="94">
        <v>43724</v>
      </c>
      <c r="BI1126" s="95" t="s">
        <v>171</v>
      </c>
      <c r="BJ1126" s="96">
        <v>12.44</v>
      </c>
    </row>
    <row r="1127" spans="54:62" ht="13.8" x14ac:dyDescent="0.25">
      <c r="BB1127" s="187"/>
      <c r="BC1127" s="180"/>
      <c r="BD1127" s="191">
        <v>43691</v>
      </c>
      <c r="BE1127" s="192" t="s">
        <v>161</v>
      </c>
      <c r="BH1127" s="94">
        <v>43725</v>
      </c>
      <c r="BI1127" s="95" t="s">
        <v>170</v>
      </c>
      <c r="BJ1127" s="96">
        <v>12.44</v>
      </c>
    </row>
    <row r="1128" spans="54:62" ht="13.8" x14ac:dyDescent="0.25">
      <c r="BB1128" s="187"/>
      <c r="BC1128" s="180"/>
      <c r="BD1128" s="191"/>
      <c r="BE1128" s="193" t="str">
        <f>+BE1127</f>
        <v>−0,324</v>
      </c>
      <c r="BH1128" s="94">
        <v>43726</v>
      </c>
      <c r="BI1128" s="95" t="s">
        <v>181</v>
      </c>
      <c r="BJ1128" s="96">
        <v>12.43</v>
      </c>
    </row>
    <row r="1129" spans="54:62" ht="13.8" x14ac:dyDescent="0.25">
      <c r="BB1129" s="187"/>
      <c r="BC1129" s="180"/>
      <c r="BD1129" s="191">
        <v>43693</v>
      </c>
      <c r="BE1129" s="192" t="s">
        <v>162</v>
      </c>
      <c r="BH1129" s="94">
        <v>43727</v>
      </c>
      <c r="BI1129" s="95" t="s">
        <v>182</v>
      </c>
      <c r="BJ1129" s="96">
        <v>12.43</v>
      </c>
    </row>
    <row r="1130" spans="54:62" ht="13.8" x14ac:dyDescent="0.25">
      <c r="BB1130" s="187"/>
      <c r="BC1130" s="180"/>
      <c r="BD1130" s="191">
        <v>43696</v>
      </c>
      <c r="BE1130" s="192" t="s">
        <v>163</v>
      </c>
      <c r="BH1130" s="94">
        <v>43728</v>
      </c>
      <c r="BI1130" s="95" t="s">
        <v>168</v>
      </c>
      <c r="BJ1130" s="96">
        <v>12.43</v>
      </c>
    </row>
    <row r="1131" spans="54:62" ht="13.8" x14ac:dyDescent="0.25">
      <c r="BB1131" s="187"/>
      <c r="BC1131" s="180"/>
      <c r="BD1131" s="191">
        <v>43697</v>
      </c>
      <c r="BE1131" s="192" t="s">
        <v>164</v>
      </c>
      <c r="BH1131" s="94">
        <v>43731</v>
      </c>
      <c r="BI1131" s="95" t="s">
        <v>183</v>
      </c>
      <c r="BJ1131" s="96">
        <v>12.42</v>
      </c>
    </row>
    <row r="1132" spans="54:62" ht="13.8" x14ac:dyDescent="0.25">
      <c r="BB1132" s="187"/>
      <c r="BC1132" s="180"/>
      <c r="BD1132" s="191">
        <v>43698</v>
      </c>
      <c r="BE1132" s="192" t="s">
        <v>165</v>
      </c>
      <c r="BH1132" s="94">
        <v>43732</v>
      </c>
      <c r="BI1132" s="95" t="s">
        <v>167</v>
      </c>
      <c r="BJ1132" s="96">
        <v>12.42</v>
      </c>
    </row>
    <row r="1133" spans="54:62" ht="13.8" x14ac:dyDescent="0.25">
      <c r="BB1133" s="187"/>
      <c r="BC1133" s="180"/>
      <c r="BD1133" s="191">
        <v>43699</v>
      </c>
      <c r="BE1133" s="192" t="s">
        <v>166</v>
      </c>
      <c r="BH1133" s="94">
        <v>43733</v>
      </c>
      <c r="BI1133" s="95" t="s">
        <v>184</v>
      </c>
      <c r="BJ1133" s="96">
        <v>12.41</v>
      </c>
    </row>
    <row r="1134" spans="54:62" ht="13.8" x14ac:dyDescent="0.25">
      <c r="BB1134" s="187"/>
      <c r="BC1134" s="180"/>
      <c r="BD1134" s="191">
        <v>43700</v>
      </c>
      <c r="BE1134" s="192" t="s">
        <v>167</v>
      </c>
      <c r="BH1134" s="94">
        <v>43734</v>
      </c>
      <c r="BI1134" s="95" t="s">
        <v>185</v>
      </c>
      <c r="BJ1134" s="96">
        <v>12.41</v>
      </c>
    </row>
    <row r="1135" spans="54:62" ht="13.8" x14ac:dyDescent="0.25">
      <c r="BB1135" s="187"/>
      <c r="BC1135" s="180"/>
      <c r="BD1135" s="191">
        <v>43703</v>
      </c>
      <c r="BE1135" s="192" t="s">
        <v>168</v>
      </c>
      <c r="BH1135" s="94">
        <v>43735</v>
      </c>
      <c r="BI1135" s="95" t="s">
        <v>186</v>
      </c>
      <c r="BJ1135" s="96">
        <v>12.41</v>
      </c>
    </row>
    <row r="1136" spans="54:62" ht="13.8" x14ac:dyDescent="0.25">
      <c r="BB1136" s="187"/>
      <c r="BC1136" s="180"/>
      <c r="BD1136" s="191">
        <v>43704</v>
      </c>
      <c r="BE1136" s="192" t="s">
        <v>169</v>
      </c>
      <c r="BH1136" s="94">
        <v>43738</v>
      </c>
      <c r="BI1136" s="95" t="s">
        <v>187</v>
      </c>
      <c r="BJ1136" s="96">
        <v>12.4</v>
      </c>
    </row>
    <row r="1137" spans="54:62" ht="13.8" x14ac:dyDescent="0.25">
      <c r="BB1137" s="187"/>
      <c r="BC1137" s="180"/>
      <c r="BD1137" s="191">
        <v>43705</v>
      </c>
      <c r="BE1137" s="192" t="s">
        <v>170</v>
      </c>
      <c r="BH1137" s="94">
        <v>43739</v>
      </c>
      <c r="BI1137" s="95" t="s">
        <v>188</v>
      </c>
      <c r="BJ1137" s="96">
        <v>12.4</v>
      </c>
    </row>
    <row r="1138" spans="54:62" ht="13.8" x14ac:dyDescent="0.25">
      <c r="BB1138" s="187"/>
      <c r="BC1138" s="180"/>
      <c r="BD1138" s="191">
        <v>43706</v>
      </c>
      <c r="BE1138" s="192" t="s">
        <v>171</v>
      </c>
      <c r="BH1138" s="94">
        <v>43740</v>
      </c>
      <c r="BI1138" s="95" t="s">
        <v>189</v>
      </c>
      <c r="BJ1138" s="96">
        <v>12.39</v>
      </c>
    </row>
    <row r="1139" spans="54:62" ht="13.8" x14ac:dyDescent="0.25">
      <c r="BB1139" s="187"/>
      <c r="BC1139" s="180"/>
      <c r="BD1139" s="191">
        <v>43707</v>
      </c>
      <c r="BE1139" s="192" t="s">
        <v>172</v>
      </c>
      <c r="BH1139" s="94">
        <v>43741</v>
      </c>
      <c r="BI1139" s="95" t="s">
        <v>190</v>
      </c>
      <c r="BJ1139" s="96">
        <v>12.39</v>
      </c>
    </row>
    <row r="1140" spans="54:62" ht="13.8" x14ac:dyDescent="0.25">
      <c r="BB1140" s="187"/>
      <c r="BC1140" s="180"/>
      <c r="BD1140" s="191">
        <v>43710</v>
      </c>
      <c r="BE1140" s="192" t="s">
        <v>173</v>
      </c>
      <c r="BH1140" s="94">
        <v>43742</v>
      </c>
      <c r="BI1140" s="95" t="s">
        <v>191</v>
      </c>
      <c r="BJ1140" s="96">
        <v>12.39</v>
      </c>
    </row>
    <row r="1141" spans="54:62" ht="13.8" x14ac:dyDescent="0.25">
      <c r="BB1141" s="187"/>
      <c r="BC1141" s="180"/>
      <c r="BD1141" s="191">
        <v>43711</v>
      </c>
      <c r="BE1141" s="192" t="s">
        <v>174</v>
      </c>
      <c r="BH1141" s="94">
        <v>43745</v>
      </c>
      <c r="BI1141" s="95" t="s">
        <v>191</v>
      </c>
      <c r="BJ1141" s="96">
        <v>12.38</v>
      </c>
    </row>
    <row r="1142" spans="54:62" ht="13.8" x14ac:dyDescent="0.25">
      <c r="BB1142" s="187"/>
      <c r="BC1142" s="180"/>
      <c r="BD1142" s="191">
        <v>43712</v>
      </c>
      <c r="BE1142" s="192" t="s">
        <v>175</v>
      </c>
      <c r="BH1142" s="94">
        <v>43746</v>
      </c>
      <c r="BI1142" s="95" t="s">
        <v>190</v>
      </c>
      <c r="BJ1142" s="96">
        <v>12.38</v>
      </c>
    </row>
    <row r="1143" spans="54:62" ht="13.8" x14ac:dyDescent="0.25">
      <c r="BB1143" s="187"/>
      <c r="BC1143" s="180"/>
      <c r="BD1143" s="191">
        <v>43713</v>
      </c>
      <c r="BE1143" s="192" t="s">
        <v>175</v>
      </c>
      <c r="BH1143" s="94">
        <v>43747</v>
      </c>
      <c r="BI1143" s="95" t="s">
        <v>190</v>
      </c>
      <c r="BJ1143" s="96">
        <v>12.38</v>
      </c>
    </row>
    <row r="1144" spans="54:62" ht="13.8" x14ac:dyDescent="0.25">
      <c r="BB1144" s="187"/>
      <c r="BC1144" s="180"/>
      <c r="BD1144" s="191">
        <v>43714</v>
      </c>
      <c r="BE1144" s="192" t="s">
        <v>176</v>
      </c>
      <c r="BH1144" s="94">
        <v>43748</v>
      </c>
      <c r="BI1144" s="95" t="s">
        <v>163</v>
      </c>
      <c r="BJ1144" s="96">
        <v>12.39</v>
      </c>
    </row>
    <row r="1145" spans="54:62" ht="13.8" x14ac:dyDescent="0.25">
      <c r="BB1145" s="187"/>
      <c r="BC1145" s="180"/>
      <c r="BD1145" s="191">
        <v>43717</v>
      </c>
      <c r="BE1145" s="192" t="s">
        <v>175</v>
      </c>
      <c r="BH1145" s="94">
        <v>43749</v>
      </c>
      <c r="BI1145" s="95" t="s">
        <v>163</v>
      </c>
      <c r="BJ1145" s="96">
        <v>12.39</v>
      </c>
    </row>
    <row r="1146" spans="54:62" ht="13.8" x14ac:dyDescent="0.25">
      <c r="BB1146" s="187"/>
      <c r="BC1146" s="180"/>
      <c r="BD1146" s="191">
        <v>43718</v>
      </c>
      <c r="BE1146" s="192" t="s">
        <v>177</v>
      </c>
      <c r="BH1146" s="94">
        <v>43752</v>
      </c>
      <c r="BI1146" s="95" t="s">
        <v>163</v>
      </c>
      <c r="BJ1146" s="96">
        <v>12.38</v>
      </c>
    </row>
    <row r="1147" spans="54:62" ht="13.8" x14ac:dyDescent="0.25">
      <c r="BB1147" s="187"/>
      <c r="BC1147" s="180"/>
      <c r="BD1147" s="191">
        <v>43719</v>
      </c>
      <c r="BE1147" s="192" t="s">
        <v>178</v>
      </c>
      <c r="BH1147" s="94">
        <v>43753</v>
      </c>
      <c r="BI1147" s="95" t="s">
        <v>163</v>
      </c>
      <c r="BJ1147" s="96">
        <v>12.38</v>
      </c>
    </row>
    <row r="1148" spans="54:62" ht="13.8" x14ac:dyDescent="0.25">
      <c r="BB1148" s="187"/>
      <c r="BC1148" s="180"/>
      <c r="BD1148" s="191">
        <v>43720</v>
      </c>
      <c r="BE1148" s="192" t="s">
        <v>179</v>
      </c>
      <c r="BH1148" s="94">
        <v>43754</v>
      </c>
      <c r="BI1148" s="95" t="s">
        <v>192</v>
      </c>
      <c r="BJ1148" s="96">
        <v>12.38</v>
      </c>
    </row>
    <row r="1149" spans="54:62" ht="13.8" x14ac:dyDescent="0.25">
      <c r="BB1149" s="187"/>
      <c r="BC1149" s="180"/>
      <c r="BD1149" s="191">
        <v>43721</v>
      </c>
      <c r="BE1149" s="192" t="s">
        <v>180</v>
      </c>
      <c r="BH1149" s="94">
        <v>43755</v>
      </c>
      <c r="BI1149" s="95" t="s">
        <v>193</v>
      </c>
      <c r="BJ1149" s="96">
        <v>12.38</v>
      </c>
    </row>
    <row r="1150" spans="54:62" ht="13.8" x14ac:dyDescent="0.25">
      <c r="BB1150" s="187"/>
      <c r="BC1150" s="180"/>
      <c r="BD1150" s="191">
        <v>43724</v>
      </c>
      <c r="BE1150" s="192" t="s">
        <v>171</v>
      </c>
      <c r="BH1150" s="94">
        <v>43756</v>
      </c>
      <c r="BI1150" s="95" t="s">
        <v>194</v>
      </c>
      <c r="BJ1150" s="96">
        <v>12.37</v>
      </c>
    </row>
    <row r="1151" spans="54:62" ht="13.8" x14ac:dyDescent="0.25">
      <c r="BB1151" s="187"/>
      <c r="BC1151" s="180"/>
      <c r="BD1151" s="191">
        <v>43725</v>
      </c>
      <c r="BE1151" s="192" t="s">
        <v>170</v>
      </c>
      <c r="BH1151" s="94">
        <v>43759</v>
      </c>
      <c r="BI1151" s="95" t="s">
        <v>195</v>
      </c>
      <c r="BJ1151" s="96">
        <v>12.36</v>
      </c>
    </row>
    <row r="1152" spans="54:62" ht="13.8" x14ac:dyDescent="0.25">
      <c r="BB1152" s="187"/>
      <c r="BC1152" s="180"/>
      <c r="BD1152" s="191">
        <v>43726</v>
      </c>
      <c r="BE1152" s="192" t="s">
        <v>181</v>
      </c>
      <c r="BH1152" s="94">
        <v>43760</v>
      </c>
      <c r="BI1152" s="95" t="s">
        <v>196</v>
      </c>
      <c r="BJ1152" s="96">
        <v>12.36</v>
      </c>
    </row>
    <row r="1153" spans="54:62" ht="13.8" x14ac:dyDescent="0.25">
      <c r="BB1153" s="187"/>
      <c r="BC1153" s="180"/>
      <c r="BD1153" s="191">
        <v>43727</v>
      </c>
      <c r="BE1153" s="192" t="s">
        <v>182</v>
      </c>
      <c r="BH1153" s="94">
        <v>43761</v>
      </c>
      <c r="BI1153" s="95" t="s">
        <v>197</v>
      </c>
      <c r="BJ1153" s="96">
        <v>12.36</v>
      </c>
    </row>
    <row r="1154" spans="54:62" ht="13.8" x14ac:dyDescent="0.25">
      <c r="BB1154" s="187"/>
      <c r="BC1154" s="180"/>
      <c r="BD1154" s="191">
        <v>43728</v>
      </c>
      <c r="BE1154" s="192" t="s">
        <v>168</v>
      </c>
      <c r="BH1154" s="94">
        <v>43762</v>
      </c>
      <c r="BI1154" s="95" t="s">
        <v>198</v>
      </c>
      <c r="BJ1154" s="96">
        <v>12.36</v>
      </c>
    </row>
    <row r="1155" spans="54:62" ht="13.8" x14ac:dyDescent="0.25">
      <c r="BB1155" s="187"/>
      <c r="BC1155" s="180"/>
      <c r="BD1155" s="191">
        <v>43731</v>
      </c>
      <c r="BE1155" s="192" t="s">
        <v>183</v>
      </c>
      <c r="BH1155" s="94">
        <v>43763</v>
      </c>
      <c r="BI1155" s="95" t="s">
        <v>199</v>
      </c>
      <c r="BJ1155" s="96">
        <v>12.35</v>
      </c>
    </row>
    <row r="1156" spans="54:62" ht="13.8" x14ac:dyDescent="0.25">
      <c r="BB1156" s="187"/>
      <c r="BC1156" s="180"/>
      <c r="BD1156" s="191">
        <v>43732</v>
      </c>
      <c r="BE1156" s="192" t="s">
        <v>167</v>
      </c>
      <c r="BH1156" s="94">
        <v>43766</v>
      </c>
      <c r="BI1156" s="95" t="s">
        <v>200</v>
      </c>
      <c r="BJ1156" s="96">
        <v>12.34</v>
      </c>
    </row>
    <row r="1157" spans="54:62" ht="13.8" x14ac:dyDescent="0.25">
      <c r="BB1157" s="187"/>
      <c r="BC1157" s="180"/>
      <c r="BD1157" s="191">
        <v>43733</v>
      </c>
      <c r="BE1157" s="192" t="s">
        <v>184</v>
      </c>
      <c r="BH1157" s="94">
        <v>43767</v>
      </c>
      <c r="BI1157" s="95" t="s">
        <v>201</v>
      </c>
      <c r="BJ1157" s="96">
        <v>12.34</v>
      </c>
    </row>
    <row r="1158" spans="54:62" ht="13.8" x14ac:dyDescent="0.25">
      <c r="BB1158" s="187"/>
      <c r="BC1158" s="180"/>
      <c r="BD1158" s="191">
        <v>43734</v>
      </c>
      <c r="BE1158" s="192" t="s">
        <v>185</v>
      </c>
      <c r="BH1158" s="94">
        <v>43768</v>
      </c>
      <c r="BI1158" s="95" t="s">
        <v>202</v>
      </c>
      <c r="BJ1158" s="96">
        <v>12.34</v>
      </c>
    </row>
    <row r="1159" spans="54:62" ht="13.8" x14ac:dyDescent="0.25">
      <c r="BB1159" s="187"/>
      <c r="BC1159" s="180"/>
      <c r="BD1159" s="191">
        <v>43735</v>
      </c>
      <c r="BE1159" s="192" t="s">
        <v>186</v>
      </c>
      <c r="BH1159" s="94">
        <v>43769</v>
      </c>
      <c r="BI1159" s="95" t="s">
        <v>157</v>
      </c>
      <c r="BJ1159" s="96">
        <v>12.34</v>
      </c>
    </row>
    <row r="1160" spans="54:62" ht="13.8" x14ac:dyDescent="0.25">
      <c r="BB1160" s="187"/>
      <c r="BC1160" s="180"/>
      <c r="BD1160" s="191">
        <v>43738</v>
      </c>
      <c r="BE1160" s="192" t="s">
        <v>187</v>
      </c>
      <c r="BH1160" s="94">
        <v>43773</v>
      </c>
      <c r="BI1160" s="95" t="s">
        <v>203</v>
      </c>
      <c r="BJ1160" s="96">
        <v>12.33</v>
      </c>
    </row>
    <row r="1161" spans="54:62" ht="13.8" x14ac:dyDescent="0.25">
      <c r="BB1161" s="187"/>
      <c r="BC1161" s="180"/>
      <c r="BD1161" s="191">
        <v>43739</v>
      </c>
      <c r="BE1161" s="192" t="s">
        <v>188</v>
      </c>
      <c r="BH1161" s="94">
        <v>43774</v>
      </c>
      <c r="BI1161" s="95" t="s">
        <v>204</v>
      </c>
      <c r="BJ1161" s="96">
        <v>12.32</v>
      </c>
    </row>
    <row r="1162" spans="54:62" ht="13.8" x14ac:dyDescent="0.25">
      <c r="BB1162" s="187"/>
      <c r="BC1162" s="180"/>
      <c r="BD1162" s="191">
        <v>43740</v>
      </c>
      <c r="BE1162" s="192" t="s">
        <v>189</v>
      </c>
      <c r="BH1162" s="94">
        <v>43775</v>
      </c>
      <c r="BI1162" s="95" t="s">
        <v>205</v>
      </c>
      <c r="BJ1162" s="96">
        <v>12.32</v>
      </c>
    </row>
    <row r="1163" spans="54:62" ht="13.8" x14ac:dyDescent="0.25">
      <c r="BB1163" s="187"/>
      <c r="BC1163" s="180"/>
      <c r="BD1163" s="191">
        <v>43741</v>
      </c>
      <c r="BE1163" s="192" t="s">
        <v>190</v>
      </c>
      <c r="BH1163" s="94">
        <v>43776</v>
      </c>
      <c r="BI1163" s="95" t="s">
        <v>206</v>
      </c>
      <c r="BJ1163" s="96">
        <v>12.29</v>
      </c>
    </row>
    <row r="1164" spans="54:62" ht="13.8" x14ac:dyDescent="0.25">
      <c r="BB1164" s="187"/>
      <c r="BC1164" s="180"/>
      <c r="BD1164" s="191">
        <v>43742</v>
      </c>
      <c r="BE1164" s="192" t="s">
        <v>191</v>
      </c>
      <c r="BH1164" s="94">
        <v>43777</v>
      </c>
      <c r="BI1164" s="95" t="s">
        <v>207</v>
      </c>
      <c r="BJ1164" s="96">
        <v>12.29</v>
      </c>
    </row>
    <row r="1165" spans="54:62" ht="13.8" x14ac:dyDescent="0.25">
      <c r="BB1165" s="187"/>
      <c r="BC1165" s="180"/>
      <c r="BD1165" s="191">
        <v>43745</v>
      </c>
      <c r="BE1165" s="192" t="s">
        <v>191</v>
      </c>
      <c r="BH1165" s="94">
        <v>43780</v>
      </c>
      <c r="BI1165" s="95" t="s">
        <v>208</v>
      </c>
      <c r="BJ1165" s="96">
        <v>12.28</v>
      </c>
    </row>
    <row r="1166" spans="54:62" ht="13.8" x14ac:dyDescent="0.25">
      <c r="BB1166" s="187"/>
      <c r="BC1166" s="180"/>
      <c r="BD1166" s="191">
        <v>43746</v>
      </c>
      <c r="BE1166" s="192" t="s">
        <v>190</v>
      </c>
      <c r="BH1166" s="94">
        <v>43781</v>
      </c>
      <c r="BI1166" s="95" t="s">
        <v>209</v>
      </c>
      <c r="BJ1166" s="96">
        <v>12.28</v>
      </c>
    </row>
    <row r="1167" spans="54:62" ht="13.8" x14ac:dyDescent="0.25">
      <c r="BB1167" s="187"/>
      <c r="BC1167" s="180"/>
      <c r="BD1167" s="191">
        <v>43747</v>
      </c>
      <c r="BE1167" s="192" t="s">
        <v>190</v>
      </c>
      <c r="BH1167" s="94">
        <v>43782</v>
      </c>
      <c r="BI1167" s="95" t="s">
        <v>210</v>
      </c>
      <c r="BJ1167" s="96">
        <v>12.27</v>
      </c>
    </row>
    <row r="1168" spans="54:62" ht="13.8" x14ac:dyDescent="0.25">
      <c r="BB1168" s="187"/>
      <c r="BC1168" s="180"/>
      <c r="BD1168" s="191">
        <v>43748</v>
      </c>
      <c r="BE1168" s="192" t="s">
        <v>163</v>
      </c>
      <c r="BH1168" s="94">
        <v>43783</v>
      </c>
      <c r="BI1168" s="95" t="s">
        <v>211</v>
      </c>
      <c r="BJ1168" s="96">
        <v>12.27</v>
      </c>
    </row>
    <row r="1169" spans="54:62" ht="13.8" x14ac:dyDescent="0.25">
      <c r="BB1169" s="187"/>
      <c r="BC1169" s="180"/>
      <c r="BD1169" s="191">
        <v>43749</v>
      </c>
      <c r="BE1169" s="192" t="s">
        <v>163</v>
      </c>
      <c r="BH1169" s="94">
        <v>43784</v>
      </c>
      <c r="BI1169" s="95" t="s">
        <v>91</v>
      </c>
      <c r="BJ1169" s="96">
        <v>12.27</v>
      </c>
    </row>
    <row r="1170" spans="54:62" ht="13.8" x14ac:dyDescent="0.25">
      <c r="BB1170" s="187"/>
      <c r="BC1170" s="180"/>
      <c r="BD1170" s="191">
        <v>43752</v>
      </c>
      <c r="BE1170" s="192" t="s">
        <v>163</v>
      </c>
      <c r="BH1170" s="94">
        <v>43787</v>
      </c>
      <c r="BI1170" s="95" t="s">
        <v>93</v>
      </c>
      <c r="BJ1170" s="96">
        <v>12.26</v>
      </c>
    </row>
    <row r="1171" spans="54:62" ht="13.8" x14ac:dyDescent="0.25">
      <c r="BB1171" s="187"/>
      <c r="BC1171" s="180"/>
      <c r="BD1171" s="191">
        <v>43753</v>
      </c>
      <c r="BE1171" s="192" t="s">
        <v>163</v>
      </c>
      <c r="BH1171" s="94">
        <v>43788</v>
      </c>
      <c r="BI1171" s="95" t="s">
        <v>90</v>
      </c>
      <c r="BJ1171" s="96">
        <v>12.26</v>
      </c>
    </row>
    <row r="1172" spans="54:62" ht="13.8" x14ac:dyDescent="0.25">
      <c r="BB1172" s="187"/>
      <c r="BC1172" s="180"/>
      <c r="BD1172" s="191">
        <v>43754</v>
      </c>
      <c r="BE1172" s="192" t="s">
        <v>192</v>
      </c>
      <c r="BH1172" s="94">
        <v>43789</v>
      </c>
      <c r="BI1172" s="95" t="s">
        <v>94</v>
      </c>
      <c r="BJ1172" s="96">
        <v>12.25</v>
      </c>
    </row>
    <row r="1173" spans="54:62" ht="13.8" x14ac:dyDescent="0.25">
      <c r="BB1173" s="187"/>
      <c r="BC1173" s="180"/>
      <c r="BD1173" s="191">
        <v>43755</v>
      </c>
      <c r="BE1173" s="192" t="s">
        <v>193</v>
      </c>
      <c r="BH1173" s="94">
        <v>43790</v>
      </c>
      <c r="BI1173" s="95" t="s">
        <v>212</v>
      </c>
      <c r="BJ1173" s="96">
        <v>12.25</v>
      </c>
    </row>
    <row r="1174" spans="54:62" ht="13.8" x14ac:dyDescent="0.25">
      <c r="BB1174" s="187"/>
      <c r="BC1174" s="180"/>
      <c r="BD1174" s="191">
        <v>43756</v>
      </c>
      <c r="BE1174" s="192" t="s">
        <v>194</v>
      </c>
      <c r="BH1174" s="94">
        <v>43791</v>
      </c>
      <c r="BI1174" s="95" t="s">
        <v>213</v>
      </c>
      <c r="BJ1174" s="96">
        <v>12.24</v>
      </c>
    </row>
    <row r="1175" spans="54:62" ht="13.8" x14ac:dyDescent="0.25">
      <c r="BB1175" s="187"/>
      <c r="BC1175" s="180"/>
      <c r="BD1175" s="191">
        <v>43759</v>
      </c>
      <c r="BE1175" s="192" t="s">
        <v>195</v>
      </c>
      <c r="BH1175" s="94">
        <v>43794</v>
      </c>
      <c r="BI1175" s="95" t="s">
        <v>88</v>
      </c>
      <c r="BJ1175" s="96">
        <v>12.23</v>
      </c>
    </row>
    <row r="1176" spans="54:62" ht="13.8" x14ac:dyDescent="0.25">
      <c r="BB1176" s="187"/>
      <c r="BC1176" s="180"/>
      <c r="BD1176" s="191">
        <v>43760</v>
      </c>
      <c r="BE1176" s="192" t="s">
        <v>196</v>
      </c>
      <c r="BH1176" s="94">
        <v>43795</v>
      </c>
      <c r="BI1176" s="95" t="s">
        <v>88</v>
      </c>
      <c r="BJ1176" s="96">
        <v>12.23</v>
      </c>
    </row>
    <row r="1177" spans="54:62" ht="13.8" x14ac:dyDescent="0.25">
      <c r="BB1177" s="187"/>
      <c r="BC1177" s="180"/>
      <c r="BD1177" s="191">
        <v>43761</v>
      </c>
      <c r="BE1177" s="192" t="s">
        <v>197</v>
      </c>
      <c r="BH1177" s="94">
        <v>43796</v>
      </c>
      <c r="BI1177" s="95" t="s">
        <v>213</v>
      </c>
      <c r="BJ1177" s="96">
        <v>12.23</v>
      </c>
    </row>
    <row r="1178" spans="54:62" ht="13.8" x14ac:dyDescent="0.25">
      <c r="BB1178" s="187"/>
      <c r="BC1178" s="180"/>
      <c r="BD1178" s="191">
        <v>43762</v>
      </c>
      <c r="BE1178" s="192" t="s">
        <v>198</v>
      </c>
      <c r="BH1178" s="94">
        <v>43797</v>
      </c>
      <c r="BI1178" s="95" t="s">
        <v>214</v>
      </c>
      <c r="BJ1178" s="96">
        <v>12.21</v>
      </c>
    </row>
    <row r="1179" spans="54:62" ht="13.8" x14ac:dyDescent="0.25">
      <c r="BB1179" s="187"/>
      <c r="BC1179" s="180"/>
      <c r="BD1179" s="191">
        <v>43763</v>
      </c>
      <c r="BE1179" s="192" t="s">
        <v>199</v>
      </c>
      <c r="BH1179" s="94">
        <v>43798</v>
      </c>
      <c r="BI1179" s="95" t="s">
        <v>88</v>
      </c>
      <c r="BJ1179" s="96">
        <v>12.21</v>
      </c>
    </row>
    <row r="1180" spans="54:62" ht="13.8" x14ac:dyDescent="0.25">
      <c r="BB1180" s="187"/>
      <c r="BC1180" s="180"/>
      <c r="BD1180" s="191">
        <v>43766</v>
      </c>
      <c r="BE1180" s="192" t="s">
        <v>200</v>
      </c>
      <c r="BH1180" s="94">
        <v>43801</v>
      </c>
      <c r="BI1180" s="95" t="s">
        <v>215</v>
      </c>
      <c r="BJ1180" s="96">
        <v>12.2</v>
      </c>
    </row>
    <row r="1181" spans="54:62" ht="13.8" x14ac:dyDescent="0.25">
      <c r="BB1181" s="187"/>
      <c r="BC1181" s="180"/>
      <c r="BD1181" s="191">
        <v>43767</v>
      </c>
      <c r="BE1181" s="192" t="s">
        <v>201</v>
      </c>
      <c r="BH1181" s="94">
        <v>43802</v>
      </c>
      <c r="BI1181" s="95" t="s">
        <v>215</v>
      </c>
      <c r="BJ1181" s="96">
        <v>12.2</v>
      </c>
    </row>
    <row r="1182" spans="54:62" ht="13.8" x14ac:dyDescent="0.25">
      <c r="BB1182" s="187"/>
      <c r="BC1182" s="180"/>
      <c r="BD1182" s="191">
        <v>43768</v>
      </c>
      <c r="BE1182" s="192" t="s">
        <v>202</v>
      </c>
      <c r="BH1182" s="94">
        <v>43803</v>
      </c>
      <c r="BI1182" s="95" t="s">
        <v>216</v>
      </c>
      <c r="BJ1182" s="96">
        <v>12.2</v>
      </c>
    </row>
    <row r="1183" spans="54:62" ht="13.8" x14ac:dyDescent="0.25">
      <c r="BB1183" s="187"/>
      <c r="BC1183" s="180"/>
      <c r="BD1183" s="191">
        <v>43769</v>
      </c>
      <c r="BE1183" s="192" t="s">
        <v>157</v>
      </c>
      <c r="BH1183" s="94">
        <v>43804</v>
      </c>
      <c r="BI1183" s="95" t="s">
        <v>88</v>
      </c>
      <c r="BJ1183" s="96">
        <v>12.19</v>
      </c>
    </row>
    <row r="1184" spans="54:62" ht="13.8" x14ac:dyDescent="0.25">
      <c r="BB1184" s="187"/>
      <c r="BC1184" s="180"/>
      <c r="BD1184" s="191"/>
      <c r="BE1184" s="193">
        <v>-0.27100000000000002</v>
      </c>
      <c r="BF1184" s="111">
        <f>+(BC1184+BE1184)/2+0.37</f>
        <v>0.23449999999999999</v>
      </c>
      <c r="BH1184" s="94">
        <v>43805</v>
      </c>
      <c r="BI1184" s="95" t="s">
        <v>214</v>
      </c>
      <c r="BJ1184" s="96">
        <v>12.19</v>
      </c>
    </row>
    <row r="1185" spans="54:62" ht="13.8" x14ac:dyDescent="0.25">
      <c r="BB1185" s="187"/>
      <c r="BC1185" s="180"/>
      <c r="BD1185" s="191">
        <v>43773</v>
      </c>
      <c r="BE1185" s="192" t="s">
        <v>203</v>
      </c>
      <c r="BH1185" s="94">
        <v>43808</v>
      </c>
      <c r="BI1185" s="95" t="s">
        <v>89</v>
      </c>
      <c r="BJ1185" s="96">
        <v>12.18</v>
      </c>
    </row>
    <row r="1186" spans="54:62" ht="13.8" x14ac:dyDescent="0.25">
      <c r="BB1186" s="187"/>
      <c r="BC1186" s="180"/>
      <c r="BD1186" s="191">
        <v>43774</v>
      </c>
      <c r="BE1186" s="192" t="s">
        <v>204</v>
      </c>
      <c r="BH1186" s="94">
        <v>43809</v>
      </c>
      <c r="BI1186" s="95" t="s">
        <v>90</v>
      </c>
      <c r="BJ1186" s="96">
        <v>12.18</v>
      </c>
    </row>
    <row r="1187" spans="54:62" ht="13.8" x14ac:dyDescent="0.25">
      <c r="BB1187" s="187"/>
      <c r="BC1187" s="180"/>
      <c r="BD1187" s="191">
        <v>43775</v>
      </c>
      <c r="BE1187" s="192" t="s">
        <v>205</v>
      </c>
      <c r="BH1187" s="94">
        <v>43810</v>
      </c>
      <c r="BI1187" s="95" t="s">
        <v>93</v>
      </c>
      <c r="BJ1187" s="96">
        <v>12.18</v>
      </c>
    </row>
    <row r="1188" spans="54:62" ht="13.8" x14ac:dyDescent="0.25">
      <c r="BB1188" s="187"/>
      <c r="BC1188" s="180"/>
      <c r="BD1188" s="191">
        <v>43776</v>
      </c>
      <c r="BE1188" s="192" t="s">
        <v>206</v>
      </c>
      <c r="BH1188" s="94">
        <v>43811</v>
      </c>
      <c r="BI1188" s="95" t="s">
        <v>93</v>
      </c>
      <c r="BJ1188" s="96">
        <v>12.17</v>
      </c>
    </row>
    <row r="1189" spans="54:62" ht="13.8" x14ac:dyDescent="0.25">
      <c r="BB1189" s="187"/>
      <c r="BC1189" s="180"/>
      <c r="BD1189" s="191">
        <v>43777</v>
      </c>
      <c r="BE1189" s="192" t="s">
        <v>207</v>
      </c>
      <c r="BH1189" s="94">
        <v>43812</v>
      </c>
      <c r="BI1189" s="95" t="s">
        <v>94</v>
      </c>
      <c r="BJ1189" s="96">
        <v>12.17</v>
      </c>
    </row>
    <row r="1190" spans="54:62" ht="13.8" x14ac:dyDescent="0.25">
      <c r="BB1190" s="187"/>
      <c r="BC1190" s="180"/>
      <c r="BD1190" s="191">
        <v>43780</v>
      </c>
      <c r="BE1190" s="192" t="s">
        <v>208</v>
      </c>
      <c r="BH1190" s="94">
        <v>43815</v>
      </c>
      <c r="BI1190" s="95" t="s">
        <v>95</v>
      </c>
      <c r="BJ1190" s="96">
        <v>12.16</v>
      </c>
    </row>
    <row r="1191" spans="54:62" ht="13.8" x14ac:dyDescent="0.25">
      <c r="BB1191" s="187"/>
      <c r="BC1191" s="180"/>
      <c r="BD1191" s="191">
        <v>43781</v>
      </c>
      <c r="BE1191" s="192" t="s">
        <v>209</v>
      </c>
      <c r="BH1191" s="94">
        <v>43816</v>
      </c>
      <c r="BI1191" s="95" t="s">
        <v>95</v>
      </c>
      <c r="BJ1191" s="96">
        <v>12.15</v>
      </c>
    </row>
    <row r="1192" spans="54:62" ht="13.8" x14ac:dyDescent="0.25">
      <c r="BB1192" s="187"/>
      <c r="BC1192" s="180"/>
      <c r="BD1192" s="191">
        <v>43782</v>
      </c>
      <c r="BE1192" s="192" t="s">
        <v>210</v>
      </c>
      <c r="BH1192" s="94">
        <v>43817</v>
      </c>
      <c r="BI1192" s="95" t="s">
        <v>212</v>
      </c>
      <c r="BJ1192" s="96">
        <v>12.15</v>
      </c>
    </row>
    <row r="1193" spans="54:62" ht="13.8" x14ac:dyDescent="0.25">
      <c r="BB1193" s="187"/>
      <c r="BC1193" s="180"/>
      <c r="BD1193" s="191">
        <v>43783</v>
      </c>
      <c r="BE1193" s="192" t="s">
        <v>211</v>
      </c>
      <c r="BH1193" s="94">
        <v>43818</v>
      </c>
      <c r="BI1193" s="95" t="s">
        <v>88</v>
      </c>
      <c r="BJ1193" s="96">
        <v>12.15</v>
      </c>
    </row>
    <row r="1194" spans="54:62" ht="13.8" x14ac:dyDescent="0.25">
      <c r="BB1194" s="187"/>
      <c r="BC1194" s="180"/>
      <c r="BD1194" s="191">
        <v>43784</v>
      </c>
      <c r="BE1194" s="192" t="s">
        <v>91</v>
      </c>
      <c r="BH1194" s="94">
        <v>43819</v>
      </c>
      <c r="BI1194" s="95" t="s">
        <v>215</v>
      </c>
      <c r="BJ1194" s="96">
        <v>12.15</v>
      </c>
    </row>
    <row r="1195" spans="54:62" ht="13.8" x14ac:dyDescent="0.25">
      <c r="BB1195" s="187"/>
      <c r="BC1195" s="180"/>
      <c r="BD1195" s="191">
        <v>43787</v>
      </c>
      <c r="BE1195" s="192" t="s">
        <v>93</v>
      </c>
      <c r="BH1195" s="94">
        <v>43822</v>
      </c>
      <c r="BI1195" s="95" t="s">
        <v>87</v>
      </c>
      <c r="BJ1195" s="96">
        <v>12.14</v>
      </c>
    </row>
    <row r="1196" spans="54:62" ht="13.8" x14ac:dyDescent="0.25">
      <c r="BB1196" s="187"/>
      <c r="BC1196" s="180"/>
      <c r="BD1196" s="191">
        <v>43788</v>
      </c>
      <c r="BE1196" s="192" t="s">
        <v>90</v>
      </c>
      <c r="BH1196" s="94">
        <v>43826</v>
      </c>
      <c r="BI1196" s="95" t="s">
        <v>86</v>
      </c>
      <c r="BJ1196" s="96">
        <v>12.13</v>
      </c>
    </row>
    <row r="1197" spans="54:62" ht="13.8" x14ac:dyDescent="0.25">
      <c r="BB1197" s="187"/>
      <c r="BC1197" s="180"/>
      <c r="BD1197" s="191">
        <v>43789</v>
      </c>
      <c r="BE1197" s="192" t="s">
        <v>94</v>
      </c>
      <c r="BH1197" s="94">
        <v>43829</v>
      </c>
      <c r="BI1197" s="95" t="s">
        <v>84</v>
      </c>
      <c r="BJ1197" s="96">
        <v>12.12</v>
      </c>
    </row>
    <row r="1198" spans="54:62" ht="13.8" x14ac:dyDescent="0.25">
      <c r="BB1198" s="187"/>
      <c r="BC1198" s="180"/>
      <c r="BD1198" s="191">
        <v>43790</v>
      </c>
      <c r="BE1198" s="192" t="s">
        <v>212</v>
      </c>
      <c r="BH1198" s="94">
        <v>43830</v>
      </c>
      <c r="BI1198" s="95" t="s">
        <v>217</v>
      </c>
      <c r="BJ1198" s="96">
        <v>12.12</v>
      </c>
    </row>
    <row r="1199" spans="54:62" ht="13.8" x14ac:dyDescent="0.25">
      <c r="BB1199" s="187"/>
      <c r="BC1199" s="180"/>
      <c r="BD1199" s="191">
        <v>43791</v>
      </c>
      <c r="BE1199" s="192" t="s">
        <v>213</v>
      </c>
      <c r="BH1199" s="94">
        <v>43832</v>
      </c>
      <c r="BI1199" s="95" t="s">
        <v>218</v>
      </c>
      <c r="BJ1199" s="96">
        <v>12.11</v>
      </c>
    </row>
    <row r="1200" spans="54:62" ht="13.8" x14ac:dyDescent="0.25">
      <c r="BB1200" s="187"/>
      <c r="BC1200" s="180"/>
      <c r="BD1200" s="191">
        <v>43794</v>
      </c>
      <c r="BE1200" s="192" t="s">
        <v>88</v>
      </c>
      <c r="BH1200" s="94">
        <v>43833</v>
      </c>
      <c r="BI1200" s="95" t="s">
        <v>82</v>
      </c>
      <c r="BJ1200" s="96">
        <v>12.11</v>
      </c>
    </row>
    <row r="1201" spans="54:62" ht="13.8" x14ac:dyDescent="0.25">
      <c r="BB1201" s="187"/>
      <c r="BC1201" s="180"/>
      <c r="BD1201" s="191">
        <v>43795</v>
      </c>
      <c r="BE1201" s="192" t="s">
        <v>88</v>
      </c>
      <c r="BH1201" s="94">
        <v>43837</v>
      </c>
      <c r="BI1201" s="95" t="s">
        <v>219</v>
      </c>
      <c r="BJ1201" s="96">
        <v>12.1</v>
      </c>
    </row>
    <row r="1202" spans="54:62" ht="13.8" x14ac:dyDescent="0.25">
      <c r="BB1202" s="187"/>
      <c r="BC1202" s="180"/>
      <c r="BD1202" s="191">
        <v>43796</v>
      </c>
      <c r="BE1202" s="192" t="s">
        <v>213</v>
      </c>
      <c r="BH1202" s="94">
        <v>43838</v>
      </c>
      <c r="BI1202" s="95" t="s">
        <v>80</v>
      </c>
      <c r="BJ1202" s="96">
        <v>12.09</v>
      </c>
    </row>
    <row r="1203" spans="54:62" ht="13.8" x14ac:dyDescent="0.25">
      <c r="BB1203" s="187"/>
      <c r="BC1203" s="180"/>
      <c r="BD1203" s="191">
        <v>43797</v>
      </c>
      <c r="BE1203" s="192" t="s">
        <v>214</v>
      </c>
      <c r="BH1203" s="94">
        <v>43839</v>
      </c>
      <c r="BI1203" s="95" t="s">
        <v>81</v>
      </c>
      <c r="BJ1203" s="96">
        <v>12.06</v>
      </c>
    </row>
    <row r="1204" spans="54:62" ht="13.8" x14ac:dyDescent="0.25">
      <c r="BB1204" s="187"/>
      <c r="BC1204" s="180"/>
      <c r="BD1204" s="191">
        <v>43798</v>
      </c>
      <c r="BE1204" s="192" t="s">
        <v>88</v>
      </c>
      <c r="BH1204" s="94">
        <v>43840</v>
      </c>
      <c r="BI1204" s="95" t="s">
        <v>220</v>
      </c>
      <c r="BJ1204" s="96">
        <v>12.06</v>
      </c>
    </row>
    <row r="1205" spans="54:62" ht="13.8" x14ac:dyDescent="0.25">
      <c r="BB1205" s="187"/>
      <c r="BC1205" s="180"/>
      <c r="BD1205" s="191">
        <v>43801</v>
      </c>
      <c r="BE1205" s="192" t="s">
        <v>215</v>
      </c>
      <c r="BH1205" s="94">
        <v>43843</v>
      </c>
      <c r="BI1205" s="95" t="s">
        <v>78</v>
      </c>
      <c r="BJ1205" s="96">
        <v>12.05</v>
      </c>
    </row>
    <row r="1206" spans="54:62" ht="13.8" x14ac:dyDescent="0.25">
      <c r="BB1206" s="187"/>
      <c r="BC1206" s="180"/>
      <c r="BD1206" s="191">
        <v>43802</v>
      </c>
      <c r="BE1206" s="192" t="s">
        <v>215</v>
      </c>
      <c r="BH1206" s="94">
        <v>43844</v>
      </c>
      <c r="BI1206" s="95" t="s">
        <v>221</v>
      </c>
      <c r="BJ1206" s="96">
        <v>12.05</v>
      </c>
    </row>
    <row r="1207" spans="54:62" ht="13.8" x14ac:dyDescent="0.25">
      <c r="BB1207" s="187"/>
      <c r="BC1207" s="180"/>
      <c r="BD1207" s="191">
        <v>43803</v>
      </c>
      <c r="BE1207" s="192" t="s">
        <v>216</v>
      </c>
      <c r="BH1207" s="94">
        <v>43845</v>
      </c>
      <c r="BI1207" s="95" t="s">
        <v>97</v>
      </c>
      <c r="BJ1207" s="96">
        <v>12.04</v>
      </c>
    </row>
    <row r="1208" spans="54:62" ht="13.8" x14ac:dyDescent="0.25">
      <c r="BB1208" s="187"/>
      <c r="BC1208" s="180"/>
      <c r="BD1208" s="191">
        <v>43804</v>
      </c>
      <c r="BE1208" s="192" t="s">
        <v>88</v>
      </c>
      <c r="BH1208" s="94">
        <v>43846</v>
      </c>
      <c r="BI1208" s="95" t="s">
        <v>98</v>
      </c>
      <c r="BJ1208" s="96">
        <v>12.02</v>
      </c>
    </row>
    <row r="1209" spans="54:62" ht="13.8" x14ac:dyDescent="0.25">
      <c r="BB1209" s="187"/>
      <c r="BC1209" s="180"/>
      <c r="BD1209" s="191">
        <v>43805</v>
      </c>
      <c r="BE1209" s="192" t="s">
        <v>214</v>
      </c>
      <c r="BH1209" s="94">
        <v>43847</v>
      </c>
      <c r="BI1209" s="95" t="s">
        <v>76</v>
      </c>
      <c r="BJ1209" s="96">
        <v>12.01</v>
      </c>
    </row>
    <row r="1210" spans="54:62" ht="13.8" x14ac:dyDescent="0.25">
      <c r="BB1210" s="187"/>
      <c r="BC1210" s="180"/>
      <c r="BD1210" s="191">
        <v>43808</v>
      </c>
      <c r="BE1210" s="192" t="s">
        <v>89</v>
      </c>
      <c r="BH1210" s="94">
        <v>43850</v>
      </c>
      <c r="BI1210" s="95" t="s">
        <v>222</v>
      </c>
      <c r="BJ1210" s="96">
        <v>11.99</v>
      </c>
    </row>
    <row r="1211" spans="54:62" ht="13.8" x14ac:dyDescent="0.25">
      <c r="BB1211" s="187"/>
      <c r="BC1211" s="180"/>
      <c r="BD1211" s="191">
        <v>43809</v>
      </c>
      <c r="BE1211" s="192" t="s">
        <v>90</v>
      </c>
      <c r="BH1211" s="94">
        <v>43851</v>
      </c>
      <c r="BI1211" s="95" t="s">
        <v>75</v>
      </c>
      <c r="BJ1211" s="96">
        <v>11.98</v>
      </c>
    </row>
    <row r="1212" spans="54:62" ht="13.8" x14ac:dyDescent="0.25">
      <c r="BB1212" s="187"/>
      <c r="BC1212" s="180"/>
      <c r="BD1212" s="191">
        <v>43810</v>
      </c>
      <c r="BE1212" s="192" t="s">
        <v>93</v>
      </c>
      <c r="BH1212" s="94">
        <v>43852</v>
      </c>
      <c r="BI1212" s="95" t="s">
        <v>143</v>
      </c>
      <c r="BJ1212" s="96">
        <v>11.97</v>
      </c>
    </row>
    <row r="1213" spans="54:62" ht="13.8" x14ac:dyDescent="0.25">
      <c r="BB1213" s="187"/>
      <c r="BC1213" s="180"/>
      <c r="BD1213" s="191">
        <v>43811</v>
      </c>
      <c r="BE1213" s="192" t="s">
        <v>93</v>
      </c>
      <c r="BH1213" s="94">
        <v>43853</v>
      </c>
      <c r="BI1213" s="95" t="s">
        <v>98</v>
      </c>
      <c r="BJ1213" s="96">
        <v>11.97</v>
      </c>
    </row>
    <row r="1214" spans="54:62" ht="13.8" x14ac:dyDescent="0.25">
      <c r="BB1214" s="187"/>
      <c r="BC1214" s="180"/>
      <c r="BD1214" s="191">
        <v>43812</v>
      </c>
      <c r="BE1214" s="192" t="s">
        <v>94</v>
      </c>
      <c r="BH1214" s="94">
        <v>43854</v>
      </c>
      <c r="BI1214" s="95" t="s">
        <v>106</v>
      </c>
      <c r="BJ1214" s="96">
        <v>11.97</v>
      </c>
    </row>
    <row r="1215" spans="54:62" ht="13.8" x14ac:dyDescent="0.25">
      <c r="BB1215" s="187"/>
      <c r="BC1215" s="180"/>
      <c r="BD1215" s="191">
        <v>43815</v>
      </c>
      <c r="BE1215" s="192" t="s">
        <v>95</v>
      </c>
      <c r="BH1215" s="94">
        <v>43857</v>
      </c>
      <c r="BI1215" s="95" t="s">
        <v>103</v>
      </c>
      <c r="BJ1215" s="96">
        <v>11.95</v>
      </c>
    </row>
    <row r="1216" spans="54:62" ht="13.8" x14ac:dyDescent="0.25">
      <c r="BB1216" s="187"/>
      <c r="BC1216" s="180"/>
      <c r="BD1216" s="191">
        <v>43816</v>
      </c>
      <c r="BE1216" s="192" t="s">
        <v>95</v>
      </c>
      <c r="BH1216" s="94">
        <v>43858</v>
      </c>
      <c r="BI1216" s="95" t="s">
        <v>81</v>
      </c>
      <c r="BJ1216" s="96">
        <v>11.95</v>
      </c>
    </row>
    <row r="1217" spans="54:62" ht="13.8" x14ac:dyDescent="0.25">
      <c r="BB1217" s="187"/>
      <c r="BC1217" s="180"/>
      <c r="BD1217" s="191">
        <v>43817</v>
      </c>
      <c r="BE1217" s="192" t="s">
        <v>212</v>
      </c>
      <c r="BH1217" s="94">
        <v>43859</v>
      </c>
      <c r="BI1217" s="95" t="s">
        <v>223</v>
      </c>
      <c r="BJ1217" s="96">
        <v>11.94</v>
      </c>
    </row>
    <row r="1218" spans="54:62" ht="13.8" x14ac:dyDescent="0.25">
      <c r="BB1218" s="187"/>
      <c r="BC1218" s="180"/>
      <c r="BD1218" s="191">
        <v>43818</v>
      </c>
      <c r="BE1218" s="192" t="s">
        <v>88</v>
      </c>
      <c r="BH1218" s="94">
        <v>43860</v>
      </c>
      <c r="BI1218" s="95" t="s">
        <v>146</v>
      </c>
      <c r="BJ1218" s="96">
        <v>11.99</v>
      </c>
    </row>
    <row r="1219" spans="54:62" ht="13.8" x14ac:dyDescent="0.25">
      <c r="BB1219" s="187"/>
      <c r="BC1219" s="180"/>
      <c r="BD1219" s="191">
        <v>43819</v>
      </c>
      <c r="BE1219" s="192" t="s">
        <v>215</v>
      </c>
      <c r="BH1219" s="94">
        <v>43861</v>
      </c>
      <c r="BI1219" s="95" t="s">
        <v>213</v>
      </c>
      <c r="BJ1219" s="96">
        <v>11.98</v>
      </c>
    </row>
    <row r="1220" spans="54:62" ht="13.8" x14ac:dyDescent="0.25">
      <c r="BB1220" s="187"/>
      <c r="BC1220" s="180"/>
      <c r="BD1220" s="191">
        <v>43822</v>
      </c>
      <c r="BE1220" s="192" t="s">
        <v>87</v>
      </c>
      <c r="BH1220" s="94">
        <v>43864</v>
      </c>
      <c r="BI1220" s="95" t="s">
        <v>90</v>
      </c>
      <c r="BJ1220" s="96">
        <v>11.98</v>
      </c>
    </row>
    <row r="1221" spans="54:62" ht="13.8" x14ac:dyDescent="0.25">
      <c r="BB1221" s="187"/>
      <c r="BC1221" s="180"/>
      <c r="BD1221" s="191"/>
      <c r="BE1221" s="193" t="str">
        <f>+BE1220</f>
        <v>−0,183</v>
      </c>
      <c r="BH1221" s="94">
        <v>43865</v>
      </c>
      <c r="BI1221" s="95" t="s">
        <v>224</v>
      </c>
      <c r="BJ1221" s="96">
        <v>11.97</v>
      </c>
    </row>
    <row r="1222" spans="54:62" ht="13.8" x14ac:dyDescent="0.25">
      <c r="BB1222" s="187"/>
      <c r="BC1222" s="180"/>
      <c r="BD1222" s="191"/>
      <c r="BE1222" s="193" t="str">
        <f t="shared" ref="BE1222:BE1223" si="28">+BE1221</f>
        <v>−0,183</v>
      </c>
      <c r="BH1222" s="94">
        <v>43866</v>
      </c>
      <c r="BI1222" s="95" t="s">
        <v>225</v>
      </c>
      <c r="BJ1222" s="96">
        <v>11.94</v>
      </c>
    </row>
    <row r="1223" spans="54:62" ht="13.8" x14ac:dyDescent="0.25">
      <c r="BB1223" s="187"/>
      <c r="BC1223" s="180"/>
      <c r="BD1223" s="191"/>
      <c r="BE1223" s="193" t="str">
        <f t="shared" si="28"/>
        <v>−0,183</v>
      </c>
      <c r="BH1223" s="94">
        <v>43867</v>
      </c>
      <c r="BI1223" s="95" t="s">
        <v>226</v>
      </c>
      <c r="BJ1223" s="96">
        <v>11.94</v>
      </c>
    </row>
    <row r="1224" spans="54:62" ht="13.8" x14ac:dyDescent="0.25">
      <c r="BB1224" s="187"/>
      <c r="BC1224" s="180"/>
      <c r="BD1224" s="191">
        <v>43826</v>
      </c>
      <c r="BE1224" s="192" t="s">
        <v>86</v>
      </c>
      <c r="BH1224" s="94">
        <v>43868</v>
      </c>
      <c r="BI1224" s="95" t="s">
        <v>208</v>
      </c>
      <c r="BJ1224" s="96">
        <v>11.93</v>
      </c>
    </row>
    <row r="1225" spans="54:62" ht="13.8" x14ac:dyDescent="0.25">
      <c r="BB1225" s="187"/>
      <c r="BC1225" s="180"/>
      <c r="BD1225" s="191">
        <v>43829</v>
      </c>
      <c r="BE1225" s="192" t="s">
        <v>84</v>
      </c>
      <c r="BH1225" s="94">
        <v>43871</v>
      </c>
      <c r="BI1225" s="95" t="s">
        <v>227</v>
      </c>
      <c r="BJ1225" s="96">
        <v>11.92</v>
      </c>
    </row>
    <row r="1226" spans="54:62" ht="13.8" x14ac:dyDescent="0.25">
      <c r="BB1226" s="187"/>
      <c r="BC1226" s="180"/>
      <c r="BD1226" s="191">
        <v>43830</v>
      </c>
      <c r="BE1226" s="192" t="s">
        <v>217</v>
      </c>
      <c r="BH1226" s="94">
        <v>43872</v>
      </c>
      <c r="BI1226" s="95" t="s">
        <v>206</v>
      </c>
      <c r="BJ1226" s="96">
        <v>11.92</v>
      </c>
    </row>
    <row r="1227" spans="54:62" ht="13.8" x14ac:dyDescent="0.25">
      <c r="BB1227" s="187"/>
      <c r="BC1227" s="180"/>
      <c r="BD1227" s="191"/>
      <c r="BE1227" s="193" t="str">
        <f>+BE1226</f>
        <v>−0,173</v>
      </c>
      <c r="BH1227" s="94">
        <v>43873</v>
      </c>
      <c r="BI1227" s="95" t="s">
        <v>154</v>
      </c>
      <c r="BJ1227" s="96">
        <v>11.92</v>
      </c>
    </row>
    <row r="1228" spans="54:62" ht="13.8" x14ac:dyDescent="0.25">
      <c r="BB1228" s="187"/>
      <c r="BC1228" s="180"/>
      <c r="BD1228" s="191">
        <v>43832</v>
      </c>
      <c r="BE1228" s="192" t="s">
        <v>218</v>
      </c>
      <c r="BH1228" s="94">
        <v>43874</v>
      </c>
      <c r="BI1228" s="95" t="s">
        <v>228</v>
      </c>
      <c r="BJ1228" s="96">
        <v>11.92</v>
      </c>
    </row>
    <row r="1229" spans="54:62" ht="13.8" x14ac:dyDescent="0.25">
      <c r="BB1229" s="187"/>
      <c r="BC1229" s="180"/>
      <c r="BD1229" s="191">
        <v>43833</v>
      </c>
      <c r="BE1229" s="192" t="s">
        <v>82</v>
      </c>
      <c r="BH1229" s="94">
        <v>43875</v>
      </c>
      <c r="BI1229" s="95" t="s">
        <v>229</v>
      </c>
      <c r="BJ1229" s="96">
        <v>11.91</v>
      </c>
    </row>
    <row r="1230" spans="54:62" ht="13.8" x14ac:dyDescent="0.25">
      <c r="BB1230" s="187"/>
      <c r="BC1230" s="180"/>
      <c r="BD1230" s="191"/>
      <c r="BE1230" s="193" t="str">
        <f>+BE1229</f>
        <v>−0,170</v>
      </c>
      <c r="BH1230" s="94">
        <v>43878</v>
      </c>
      <c r="BI1230" s="95" t="s">
        <v>156</v>
      </c>
      <c r="BJ1230" s="96">
        <v>11.95</v>
      </c>
    </row>
    <row r="1231" spans="54:62" ht="13.8" x14ac:dyDescent="0.25">
      <c r="BB1231" s="187"/>
      <c r="BC1231" s="180"/>
      <c r="BD1231" s="191">
        <v>43837</v>
      </c>
      <c r="BE1231" s="192" t="s">
        <v>219</v>
      </c>
      <c r="BH1231" s="94">
        <v>43879</v>
      </c>
      <c r="BI1231" s="95" t="s">
        <v>230</v>
      </c>
      <c r="BJ1231" s="96">
        <v>11.95</v>
      </c>
    </row>
    <row r="1232" spans="54:62" ht="13.8" x14ac:dyDescent="0.25">
      <c r="BB1232" s="187"/>
      <c r="BC1232" s="180"/>
      <c r="BD1232" s="191">
        <v>43838</v>
      </c>
      <c r="BE1232" s="192" t="s">
        <v>80</v>
      </c>
      <c r="BH1232" s="94">
        <v>43880</v>
      </c>
      <c r="BI1232" s="95" t="s">
        <v>231</v>
      </c>
      <c r="BJ1232" s="96">
        <v>11.94</v>
      </c>
    </row>
    <row r="1233" spans="54:62" ht="13.8" x14ac:dyDescent="0.25">
      <c r="BB1233" s="187"/>
      <c r="BC1233" s="180"/>
      <c r="BD1233" s="191">
        <v>43839</v>
      </c>
      <c r="BE1233" s="192" t="s">
        <v>81</v>
      </c>
      <c r="BH1233" s="94">
        <v>43881</v>
      </c>
      <c r="BI1233" s="95" t="s">
        <v>202</v>
      </c>
      <c r="BJ1233" s="96">
        <v>11.94</v>
      </c>
    </row>
    <row r="1234" spans="54:62" ht="13.8" x14ac:dyDescent="0.25">
      <c r="BB1234" s="187"/>
      <c r="BC1234" s="180"/>
      <c r="BD1234" s="191">
        <v>43840</v>
      </c>
      <c r="BE1234" s="192" t="s">
        <v>220</v>
      </c>
      <c r="BH1234" s="94">
        <v>43882</v>
      </c>
      <c r="BI1234" s="95" t="s">
        <v>232</v>
      </c>
      <c r="BJ1234" s="96">
        <v>11.94</v>
      </c>
    </row>
    <row r="1235" spans="54:62" ht="13.8" x14ac:dyDescent="0.25">
      <c r="BB1235" s="187"/>
      <c r="BC1235" s="180"/>
      <c r="BD1235" s="191">
        <v>43843</v>
      </c>
      <c r="BE1235" s="192" t="s">
        <v>78</v>
      </c>
      <c r="BH1235" s="94">
        <v>43885</v>
      </c>
      <c r="BI1235" s="95" t="s">
        <v>233</v>
      </c>
      <c r="BJ1235" s="96">
        <v>11.92</v>
      </c>
    </row>
    <row r="1236" spans="54:62" ht="13.8" x14ac:dyDescent="0.25">
      <c r="BB1236" s="187"/>
      <c r="BC1236" s="180"/>
      <c r="BD1236" s="191">
        <v>43844</v>
      </c>
      <c r="BE1236" s="192" t="s">
        <v>221</v>
      </c>
      <c r="BH1236" s="94">
        <v>43886</v>
      </c>
      <c r="BI1236" s="95" t="s">
        <v>200</v>
      </c>
      <c r="BJ1236" s="96">
        <v>11.92</v>
      </c>
    </row>
    <row r="1237" spans="54:62" ht="13.8" x14ac:dyDescent="0.25">
      <c r="BB1237" s="187"/>
      <c r="BC1237" s="180"/>
      <c r="BD1237" s="191">
        <v>43845</v>
      </c>
      <c r="BE1237" s="192" t="s">
        <v>97</v>
      </c>
      <c r="BH1237" s="94">
        <v>43887</v>
      </c>
      <c r="BI1237" s="95" t="s">
        <v>159</v>
      </c>
      <c r="BJ1237" s="96">
        <v>11.92</v>
      </c>
    </row>
    <row r="1238" spans="54:62" ht="13.8" x14ac:dyDescent="0.25">
      <c r="BB1238" s="187"/>
      <c r="BC1238" s="180"/>
      <c r="BD1238" s="191">
        <v>43846</v>
      </c>
      <c r="BE1238" s="192" t="s">
        <v>98</v>
      </c>
      <c r="BH1238" s="94">
        <v>43888</v>
      </c>
      <c r="BI1238" s="95" t="s">
        <v>234</v>
      </c>
      <c r="BJ1238" s="96">
        <v>11.92</v>
      </c>
    </row>
    <row r="1239" spans="54:62" ht="13.8" x14ac:dyDescent="0.25">
      <c r="BB1239" s="187"/>
      <c r="BC1239" s="180"/>
      <c r="BD1239" s="191">
        <v>43847</v>
      </c>
      <c r="BE1239" s="192" t="s">
        <v>76</v>
      </c>
      <c r="BH1239" s="94">
        <v>43889</v>
      </c>
      <c r="BI1239" s="95" t="s">
        <v>235</v>
      </c>
      <c r="BJ1239" s="96">
        <v>11.91</v>
      </c>
    </row>
    <row r="1240" spans="54:62" ht="13.8" x14ac:dyDescent="0.25">
      <c r="BB1240" s="187"/>
      <c r="BC1240" s="180"/>
      <c r="BD1240" s="191">
        <v>43850</v>
      </c>
      <c r="BE1240" s="192" t="s">
        <v>222</v>
      </c>
      <c r="BH1240" s="94">
        <v>43892</v>
      </c>
      <c r="BI1240" s="95" t="s">
        <v>236</v>
      </c>
      <c r="BJ1240" s="96">
        <v>11.9</v>
      </c>
    </row>
    <row r="1241" spans="54:62" ht="13.8" x14ac:dyDescent="0.25">
      <c r="BB1241" s="187"/>
      <c r="BC1241" s="180"/>
      <c r="BD1241" s="191">
        <v>43851</v>
      </c>
      <c r="BE1241" s="192" t="s">
        <v>75</v>
      </c>
      <c r="BH1241" s="94">
        <v>43893</v>
      </c>
      <c r="BI1241" s="95" t="s">
        <v>161</v>
      </c>
      <c r="BJ1241" s="96">
        <v>11.9</v>
      </c>
    </row>
    <row r="1242" spans="54:62" ht="13.8" x14ac:dyDescent="0.25">
      <c r="BB1242" s="187"/>
      <c r="BC1242" s="180"/>
      <c r="BD1242" s="191">
        <v>43852</v>
      </c>
      <c r="BE1242" s="192" t="s">
        <v>143</v>
      </c>
      <c r="BH1242" s="94">
        <v>43894</v>
      </c>
      <c r="BI1242" s="95" t="s">
        <v>195</v>
      </c>
      <c r="BJ1242" s="96">
        <v>11.9</v>
      </c>
    </row>
    <row r="1243" spans="54:62" ht="13.8" x14ac:dyDescent="0.25">
      <c r="BB1243" s="187"/>
      <c r="BC1243" s="180"/>
      <c r="BD1243" s="191">
        <v>43853</v>
      </c>
      <c r="BE1243" s="192" t="s">
        <v>98</v>
      </c>
      <c r="BH1243" s="94">
        <v>43895</v>
      </c>
      <c r="BI1243" s="95" t="s">
        <v>237</v>
      </c>
      <c r="BJ1243" s="96">
        <v>11.94</v>
      </c>
    </row>
    <row r="1244" spans="54:62" ht="13.8" x14ac:dyDescent="0.25">
      <c r="BB1244" s="187"/>
      <c r="BC1244" s="180"/>
      <c r="BD1244" s="191">
        <v>43854</v>
      </c>
      <c r="BE1244" s="192" t="s">
        <v>106</v>
      </c>
      <c r="BH1244" s="94">
        <v>43896</v>
      </c>
      <c r="BI1244" s="95" t="s">
        <v>238</v>
      </c>
      <c r="BJ1244" s="96">
        <v>11.93</v>
      </c>
    </row>
    <row r="1245" spans="54:62" ht="13.8" x14ac:dyDescent="0.25">
      <c r="BB1245" s="187"/>
      <c r="BC1245" s="180"/>
      <c r="BD1245" s="191">
        <v>43857</v>
      </c>
      <c r="BE1245" s="192" t="s">
        <v>103</v>
      </c>
      <c r="BH1245" s="94">
        <v>43899</v>
      </c>
      <c r="BI1245" s="95" t="s">
        <v>239</v>
      </c>
      <c r="BJ1245" s="96">
        <v>11.92</v>
      </c>
    </row>
    <row r="1246" spans="54:62" ht="13.8" x14ac:dyDescent="0.25">
      <c r="BB1246" s="187"/>
      <c r="BC1246" s="180"/>
      <c r="BD1246" s="191">
        <v>43858</v>
      </c>
      <c r="BE1246" s="192" t="s">
        <v>81</v>
      </c>
      <c r="BH1246" s="94">
        <v>43900</v>
      </c>
      <c r="BI1246" s="95" t="s">
        <v>186</v>
      </c>
      <c r="BJ1246" s="96">
        <v>11.92</v>
      </c>
    </row>
    <row r="1247" spans="54:62" ht="13.8" x14ac:dyDescent="0.25">
      <c r="BB1247" s="187"/>
      <c r="BC1247" s="180"/>
      <c r="BD1247" s="191">
        <v>43859</v>
      </c>
      <c r="BE1247" s="192" t="s">
        <v>223</v>
      </c>
      <c r="BH1247" s="94">
        <v>43901</v>
      </c>
      <c r="BI1247" s="95" t="s">
        <v>240</v>
      </c>
      <c r="BJ1247" s="96">
        <v>11.92</v>
      </c>
    </row>
    <row r="1248" spans="54:62" ht="13.8" x14ac:dyDescent="0.25">
      <c r="BB1248" s="187"/>
      <c r="BC1248" s="180"/>
      <c r="BD1248" s="191">
        <v>43860</v>
      </c>
      <c r="BE1248" s="192" t="s">
        <v>146</v>
      </c>
      <c r="BH1248" s="94">
        <v>43902</v>
      </c>
      <c r="BI1248" s="95" t="s">
        <v>167</v>
      </c>
      <c r="BJ1248" s="96">
        <v>11.92</v>
      </c>
    </row>
    <row r="1249" spans="54:62" ht="13.8" x14ac:dyDescent="0.25">
      <c r="BB1249" s="187"/>
      <c r="BC1249" s="180"/>
      <c r="BD1249" s="191">
        <v>43861</v>
      </c>
      <c r="BE1249" s="192" t="s">
        <v>213</v>
      </c>
      <c r="BH1249" s="94">
        <v>43903</v>
      </c>
      <c r="BI1249" s="95" t="s">
        <v>241</v>
      </c>
      <c r="BJ1249" s="96">
        <v>11.91</v>
      </c>
    </row>
    <row r="1250" spans="54:62" ht="13.8" x14ac:dyDescent="0.25">
      <c r="BB1250" s="187"/>
      <c r="BC1250" s="180"/>
      <c r="BD1250" s="191">
        <v>43864</v>
      </c>
      <c r="BE1250" s="192" t="s">
        <v>90</v>
      </c>
      <c r="BH1250" s="94">
        <v>43906</v>
      </c>
      <c r="BI1250" s="95" t="s">
        <v>242</v>
      </c>
      <c r="BJ1250" s="96">
        <v>11.91</v>
      </c>
    </row>
    <row r="1251" spans="54:62" ht="13.8" x14ac:dyDescent="0.25">
      <c r="BB1251" s="187"/>
      <c r="BC1251" s="180"/>
      <c r="BD1251" s="191">
        <v>43865</v>
      </c>
      <c r="BE1251" s="192" t="s">
        <v>224</v>
      </c>
      <c r="BH1251" s="94">
        <v>43907</v>
      </c>
      <c r="BI1251" s="95" t="s">
        <v>243</v>
      </c>
      <c r="BJ1251" s="96">
        <v>11.9</v>
      </c>
    </row>
    <row r="1252" spans="54:62" ht="13.8" x14ac:dyDescent="0.25">
      <c r="BB1252" s="187"/>
      <c r="BC1252" s="180"/>
      <c r="BD1252" s="191">
        <v>43866</v>
      </c>
      <c r="BE1252" s="192" t="s">
        <v>225</v>
      </c>
      <c r="BH1252" s="94">
        <v>43908</v>
      </c>
      <c r="BI1252" s="95" t="s">
        <v>244</v>
      </c>
      <c r="BJ1252" s="96">
        <v>11.9</v>
      </c>
    </row>
    <row r="1253" spans="54:62" ht="13.8" x14ac:dyDescent="0.25">
      <c r="BB1253" s="187"/>
      <c r="BC1253" s="180"/>
      <c r="BD1253" s="191">
        <v>43867</v>
      </c>
      <c r="BE1253" s="192" t="s">
        <v>226</v>
      </c>
      <c r="BH1253" s="94">
        <v>43909</v>
      </c>
      <c r="BI1253" s="95" t="s">
        <v>245</v>
      </c>
      <c r="BJ1253" s="96">
        <v>11.9</v>
      </c>
    </row>
    <row r="1254" spans="54:62" ht="13.8" x14ac:dyDescent="0.25">
      <c r="BB1254" s="187"/>
      <c r="BC1254" s="180"/>
      <c r="BD1254" s="191">
        <v>43868</v>
      </c>
      <c r="BE1254" s="192" t="s">
        <v>208</v>
      </c>
      <c r="BH1254" s="94">
        <v>43910</v>
      </c>
      <c r="BI1254" s="95" t="s">
        <v>246</v>
      </c>
      <c r="BJ1254" s="96">
        <v>11.89</v>
      </c>
    </row>
    <row r="1255" spans="54:62" ht="13.8" x14ac:dyDescent="0.25">
      <c r="BB1255" s="187"/>
      <c r="BC1255" s="180"/>
      <c r="BD1255" s="191">
        <v>43871</v>
      </c>
      <c r="BE1255" s="192" t="s">
        <v>227</v>
      </c>
      <c r="BH1255" s="94">
        <v>43913</v>
      </c>
      <c r="BI1255" s="95" t="s">
        <v>247</v>
      </c>
      <c r="BJ1255" s="96">
        <v>11.88</v>
      </c>
    </row>
    <row r="1256" spans="54:62" ht="13.8" x14ac:dyDescent="0.25">
      <c r="BB1256" s="187"/>
      <c r="BC1256" s="180"/>
      <c r="BD1256" s="191">
        <v>43872</v>
      </c>
      <c r="BE1256" s="192" t="s">
        <v>206</v>
      </c>
      <c r="BH1256" s="94">
        <v>43914</v>
      </c>
      <c r="BI1256" s="95" t="s">
        <v>248</v>
      </c>
      <c r="BJ1256" s="96">
        <v>11.87</v>
      </c>
    </row>
    <row r="1257" spans="54:62" ht="13.8" x14ac:dyDescent="0.25">
      <c r="BB1257" s="187"/>
      <c r="BC1257" s="180"/>
      <c r="BD1257" s="191">
        <v>43873</v>
      </c>
      <c r="BE1257" s="192" t="s">
        <v>154</v>
      </c>
      <c r="BH1257" s="94">
        <v>43915</v>
      </c>
      <c r="BI1257" s="95" t="s">
        <v>249</v>
      </c>
      <c r="BJ1257" s="96">
        <v>11.86</v>
      </c>
    </row>
    <row r="1258" spans="54:62" ht="13.8" x14ac:dyDescent="0.25">
      <c r="BB1258" s="187"/>
      <c r="BC1258" s="180"/>
      <c r="BD1258" s="191">
        <v>43874</v>
      </c>
      <c r="BE1258" s="192" t="s">
        <v>228</v>
      </c>
      <c r="BH1258" s="94">
        <v>43916</v>
      </c>
      <c r="BI1258" s="95" t="s">
        <v>250</v>
      </c>
      <c r="BJ1258" s="96">
        <v>11.85</v>
      </c>
    </row>
    <row r="1259" spans="54:62" ht="13.8" x14ac:dyDescent="0.25">
      <c r="BB1259" s="187"/>
      <c r="BC1259" s="180"/>
      <c r="BD1259" s="191">
        <v>43875</v>
      </c>
      <c r="BE1259" s="192" t="s">
        <v>229</v>
      </c>
      <c r="BH1259" s="94">
        <v>43917</v>
      </c>
      <c r="BI1259" s="95" t="s">
        <v>251</v>
      </c>
      <c r="BJ1259" s="96">
        <v>11.85</v>
      </c>
    </row>
    <row r="1260" spans="54:62" ht="13.8" x14ac:dyDescent="0.25">
      <c r="BB1260" s="187"/>
      <c r="BC1260" s="180"/>
      <c r="BD1260" s="191">
        <v>43878</v>
      </c>
      <c r="BE1260" s="192" t="s">
        <v>156</v>
      </c>
      <c r="BH1260" s="94">
        <v>43920</v>
      </c>
      <c r="BI1260" s="95" t="s">
        <v>228</v>
      </c>
      <c r="BJ1260" s="96">
        <v>11.83</v>
      </c>
    </row>
    <row r="1261" spans="54:62" ht="13.8" x14ac:dyDescent="0.25">
      <c r="BB1261" s="187"/>
      <c r="BC1261" s="180"/>
      <c r="BD1261" s="191">
        <v>43879</v>
      </c>
      <c r="BE1261" s="192" t="s">
        <v>230</v>
      </c>
      <c r="BH1261" s="94">
        <v>43921</v>
      </c>
      <c r="BI1261" s="95" t="s">
        <v>252</v>
      </c>
      <c r="BJ1261" s="96">
        <v>11.82</v>
      </c>
    </row>
    <row r="1262" spans="54:62" ht="13.8" x14ac:dyDescent="0.25">
      <c r="BB1262" s="187"/>
      <c r="BC1262" s="180"/>
      <c r="BD1262" s="191">
        <v>43880</v>
      </c>
      <c r="BE1262" s="192" t="s">
        <v>231</v>
      </c>
      <c r="BH1262" s="94">
        <v>43922</v>
      </c>
      <c r="BI1262" s="95" t="s">
        <v>253</v>
      </c>
      <c r="BJ1262" s="96">
        <v>11.82</v>
      </c>
    </row>
    <row r="1263" spans="54:62" ht="13.8" x14ac:dyDescent="0.25">
      <c r="BB1263" s="187"/>
      <c r="BC1263" s="180"/>
      <c r="BD1263" s="191">
        <v>43881</v>
      </c>
      <c r="BE1263" s="192" t="s">
        <v>202</v>
      </c>
      <c r="BH1263" s="94">
        <v>43923</v>
      </c>
      <c r="BI1263" s="95" t="s">
        <v>94</v>
      </c>
      <c r="BJ1263" s="96">
        <v>11.83</v>
      </c>
    </row>
    <row r="1264" spans="54:62" ht="13.8" x14ac:dyDescent="0.25">
      <c r="BB1264" s="187"/>
      <c r="BC1264" s="180"/>
      <c r="BD1264" s="191">
        <v>43882</v>
      </c>
      <c r="BE1264" s="192" t="s">
        <v>232</v>
      </c>
      <c r="BH1264" s="94">
        <v>43924</v>
      </c>
      <c r="BI1264" s="95" t="s">
        <v>223</v>
      </c>
      <c r="BJ1264" s="96">
        <v>11.83</v>
      </c>
    </row>
    <row r="1265" spans="54:62" ht="13.8" x14ac:dyDescent="0.25">
      <c r="BB1265" s="187"/>
      <c r="BC1265" s="180"/>
      <c r="BD1265" s="191">
        <v>43885</v>
      </c>
      <c r="BE1265" s="192" t="s">
        <v>233</v>
      </c>
      <c r="BH1265" s="94">
        <v>43927</v>
      </c>
      <c r="BI1265" s="95" t="s">
        <v>98</v>
      </c>
      <c r="BJ1265" s="96">
        <v>11.82</v>
      </c>
    </row>
    <row r="1266" spans="54:62" ht="13.8" x14ac:dyDescent="0.25">
      <c r="BB1266" s="187"/>
      <c r="BC1266" s="180"/>
      <c r="BD1266" s="191">
        <v>43886</v>
      </c>
      <c r="BE1266" s="192" t="s">
        <v>200</v>
      </c>
      <c r="BH1266" s="94">
        <v>43928</v>
      </c>
      <c r="BI1266" s="95" t="s">
        <v>141</v>
      </c>
      <c r="BJ1266" s="96">
        <v>11.82</v>
      </c>
    </row>
    <row r="1267" spans="54:62" ht="13.8" x14ac:dyDescent="0.25">
      <c r="BB1267" s="187"/>
      <c r="BC1267" s="180"/>
      <c r="BD1267" s="191">
        <v>43887</v>
      </c>
      <c r="BE1267" s="192" t="s">
        <v>159</v>
      </c>
      <c r="BH1267" s="94">
        <v>43929</v>
      </c>
      <c r="BI1267" s="95" t="s">
        <v>254</v>
      </c>
      <c r="BJ1267" s="96">
        <v>11.82</v>
      </c>
    </row>
    <row r="1268" spans="54:62" ht="13.8" x14ac:dyDescent="0.25">
      <c r="BB1268" s="187"/>
      <c r="BC1268" s="180"/>
      <c r="BD1268" s="191">
        <v>43888</v>
      </c>
      <c r="BE1268" s="192" t="s">
        <v>234</v>
      </c>
      <c r="BH1268" s="94">
        <v>43930</v>
      </c>
      <c r="BI1268" s="95" t="s">
        <v>255</v>
      </c>
      <c r="BJ1268" s="96">
        <v>11.79</v>
      </c>
    </row>
    <row r="1269" spans="54:62" ht="13.8" x14ac:dyDescent="0.25">
      <c r="BB1269" s="187"/>
      <c r="BC1269" s="180"/>
      <c r="BD1269" s="191">
        <v>43889</v>
      </c>
      <c r="BE1269" s="192" t="s">
        <v>235</v>
      </c>
      <c r="BH1269" s="94">
        <v>43931</v>
      </c>
      <c r="BI1269" s="95" t="s">
        <v>256</v>
      </c>
      <c r="BJ1269" s="96">
        <v>11.79</v>
      </c>
    </row>
    <row r="1270" spans="54:62" ht="13.8" x14ac:dyDescent="0.25">
      <c r="BB1270" s="187"/>
      <c r="BC1270" s="180"/>
      <c r="BD1270" s="191">
        <v>43892</v>
      </c>
      <c r="BE1270" s="192" t="s">
        <v>236</v>
      </c>
      <c r="BH1270" s="94">
        <v>43935</v>
      </c>
      <c r="BI1270" s="95" t="s">
        <v>257</v>
      </c>
      <c r="BJ1270" s="96">
        <v>11.77</v>
      </c>
    </row>
    <row r="1271" spans="54:62" ht="13.8" x14ac:dyDescent="0.25">
      <c r="BB1271" s="187"/>
      <c r="BC1271" s="180"/>
      <c r="BD1271" s="191">
        <v>43893</v>
      </c>
      <c r="BE1271" s="192" t="s">
        <v>161</v>
      </c>
      <c r="BH1271" s="94">
        <v>43936</v>
      </c>
      <c r="BI1271" s="95" t="s">
        <v>258</v>
      </c>
      <c r="BJ1271" s="96">
        <v>11.77</v>
      </c>
    </row>
    <row r="1272" spans="54:62" ht="13.8" x14ac:dyDescent="0.25">
      <c r="BB1272" s="187"/>
      <c r="BC1272" s="180"/>
      <c r="BD1272" s="191">
        <v>43894</v>
      </c>
      <c r="BE1272" s="192" t="s">
        <v>195</v>
      </c>
      <c r="BH1272" s="94">
        <v>43937</v>
      </c>
      <c r="BI1272" s="95" t="s">
        <v>259</v>
      </c>
      <c r="BJ1272" s="96">
        <v>11.76</v>
      </c>
    </row>
    <row r="1273" spans="54:62" ht="13.8" x14ac:dyDescent="0.25">
      <c r="BB1273" s="187"/>
      <c r="BC1273" s="180"/>
      <c r="BD1273" s="191">
        <v>43895</v>
      </c>
      <c r="BE1273" s="192" t="s">
        <v>237</v>
      </c>
      <c r="BH1273" s="94">
        <v>43938</v>
      </c>
      <c r="BI1273" s="95" t="s">
        <v>260</v>
      </c>
      <c r="BJ1273" s="96">
        <v>11.76</v>
      </c>
    </row>
    <row r="1274" spans="54:62" ht="13.8" x14ac:dyDescent="0.25">
      <c r="BB1274" s="187"/>
      <c r="BC1274" s="180"/>
      <c r="BD1274" s="191">
        <v>43896</v>
      </c>
      <c r="BE1274" s="192" t="s">
        <v>238</v>
      </c>
      <c r="BH1274" s="94">
        <v>43941</v>
      </c>
      <c r="BI1274" s="95" t="s">
        <v>261</v>
      </c>
      <c r="BJ1274" s="96">
        <v>11.75</v>
      </c>
    </row>
    <row r="1275" spans="54:62" ht="13.8" x14ac:dyDescent="0.25">
      <c r="BB1275" s="187"/>
      <c r="BC1275" s="180"/>
      <c r="BD1275" s="191">
        <v>43899</v>
      </c>
      <c r="BE1275" s="192" t="s">
        <v>239</v>
      </c>
      <c r="BH1275" s="94">
        <v>43942</v>
      </c>
      <c r="BI1275" s="95" t="s">
        <v>262</v>
      </c>
      <c r="BJ1275" s="96">
        <v>11.75</v>
      </c>
    </row>
    <row r="1276" spans="54:62" ht="13.8" x14ac:dyDescent="0.25">
      <c r="BB1276" s="187"/>
      <c r="BC1276" s="180"/>
      <c r="BD1276" s="191">
        <v>43900</v>
      </c>
      <c r="BE1276" s="192" t="s">
        <v>186</v>
      </c>
      <c r="BH1276" s="94">
        <v>43943</v>
      </c>
      <c r="BI1276" s="95" t="s">
        <v>68</v>
      </c>
      <c r="BJ1276" s="96">
        <v>11.75</v>
      </c>
    </row>
    <row r="1277" spans="54:62" ht="13.8" x14ac:dyDescent="0.25">
      <c r="BB1277" s="187"/>
      <c r="BC1277" s="180"/>
      <c r="BD1277" s="191">
        <v>43901</v>
      </c>
      <c r="BE1277" s="192" t="s">
        <v>240</v>
      </c>
      <c r="BH1277" s="94">
        <v>43944</v>
      </c>
      <c r="BI1277" s="95" t="s">
        <v>69</v>
      </c>
      <c r="BJ1277" s="96">
        <v>11.74</v>
      </c>
    </row>
    <row r="1278" spans="54:62" ht="13.8" x14ac:dyDescent="0.25">
      <c r="BB1278" s="187"/>
      <c r="BC1278" s="180"/>
      <c r="BD1278" s="191">
        <v>43902</v>
      </c>
      <c r="BE1278" s="192" t="s">
        <v>167</v>
      </c>
      <c r="BH1278" s="94">
        <v>43945</v>
      </c>
      <c r="BI1278" s="95" t="s">
        <v>113</v>
      </c>
      <c r="BJ1278" s="96">
        <v>11.74</v>
      </c>
    </row>
    <row r="1279" spans="54:62" ht="13.8" x14ac:dyDescent="0.25">
      <c r="BB1279" s="187"/>
      <c r="BC1279" s="180"/>
      <c r="BD1279" s="191">
        <v>43903</v>
      </c>
      <c r="BE1279" s="192" t="s">
        <v>241</v>
      </c>
      <c r="BH1279" s="94">
        <v>43948</v>
      </c>
      <c r="BI1279" s="95" t="s">
        <v>113</v>
      </c>
      <c r="BJ1279" s="96">
        <v>11.73</v>
      </c>
    </row>
    <row r="1280" spans="54:62" ht="13.8" x14ac:dyDescent="0.25">
      <c r="BB1280" s="187"/>
      <c r="BC1280" s="180"/>
      <c r="BD1280" s="191">
        <v>43906</v>
      </c>
      <c r="BE1280" s="192" t="s">
        <v>242</v>
      </c>
      <c r="BH1280" s="94">
        <v>43949</v>
      </c>
      <c r="BI1280" s="95" t="s">
        <v>263</v>
      </c>
      <c r="BJ1280" s="96">
        <v>11.73</v>
      </c>
    </row>
    <row r="1281" spans="54:62" ht="13.8" x14ac:dyDescent="0.25">
      <c r="BB1281" s="187"/>
      <c r="BC1281" s="180"/>
      <c r="BD1281" s="191">
        <v>43907</v>
      </c>
      <c r="BE1281" s="192" t="s">
        <v>243</v>
      </c>
      <c r="BH1281" s="94">
        <v>43950</v>
      </c>
      <c r="BI1281" s="95" t="s">
        <v>264</v>
      </c>
      <c r="BJ1281" s="96">
        <v>11.73</v>
      </c>
    </row>
    <row r="1282" spans="54:62" ht="13.8" x14ac:dyDescent="0.25">
      <c r="BB1282" s="187"/>
      <c r="BC1282" s="180"/>
      <c r="BD1282" s="191">
        <v>43908</v>
      </c>
      <c r="BE1282" s="192" t="s">
        <v>244</v>
      </c>
      <c r="BH1282" s="94">
        <v>43951</v>
      </c>
      <c r="BI1282" s="95" t="s">
        <v>265</v>
      </c>
      <c r="BJ1282" s="96">
        <v>11.73</v>
      </c>
    </row>
    <row r="1283" spans="54:62" ht="13.8" x14ac:dyDescent="0.25">
      <c r="BB1283" s="187"/>
      <c r="BC1283" s="180"/>
      <c r="BD1283" s="191">
        <v>43909</v>
      </c>
      <c r="BE1283" s="192" t="s">
        <v>245</v>
      </c>
      <c r="BH1283" s="94">
        <v>43955</v>
      </c>
      <c r="BI1283" s="95" t="s">
        <v>110</v>
      </c>
      <c r="BJ1283" s="96">
        <v>11.71</v>
      </c>
    </row>
    <row r="1284" spans="54:62" ht="13.8" x14ac:dyDescent="0.25">
      <c r="BB1284" s="187"/>
      <c r="BC1284" s="180"/>
      <c r="BD1284" s="191">
        <v>43910</v>
      </c>
      <c r="BE1284" s="192" t="s">
        <v>246</v>
      </c>
      <c r="BH1284" s="94">
        <v>43956</v>
      </c>
      <c r="BI1284" s="95" t="s">
        <v>73</v>
      </c>
      <c r="BJ1284" s="96">
        <v>11.71</v>
      </c>
    </row>
    <row r="1285" spans="54:62" ht="13.8" x14ac:dyDescent="0.25">
      <c r="BB1285" s="187"/>
      <c r="BC1285" s="180"/>
      <c r="BD1285" s="191">
        <v>43913</v>
      </c>
      <c r="BE1285" s="192" t="s">
        <v>247</v>
      </c>
      <c r="BH1285" s="94">
        <v>43957</v>
      </c>
      <c r="BI1285" s="95" t="s">
        <v>97</v>
      </c>
      <c r="BJ1285" s="96">
        <v>11.7</v>
      </c>
    </row>
    <row r="1286" spans="54:62" ht="13.8" x14ac:dyDescent="0.25">
      <c r="BB1286" s="187"/>
      <c r="BC1286" s="180"/>
      <c r="BD1286" s="191">
        <v>43914</v>
      </c>
      <c r="BE1286" s="192" t="s">
        <v>248</v>
      </c>
      <c r="BH1286" s="94">
        <v>43958</v>
      </c>
      <c r="BI1286" s="95" t="s">
        <v>103</v>
      </c>
      <c r="BJ1286" s="96">
        <v>11.74</v>
      </c>
    </row>
    <row r="1287" spans="54:62" ht="13.8" x14ac:dyDescent="0.25">
      <c r="BB1287" s="187"/>
      <c r="BC1287" s="180"/>
      <c r="BD1287" s="191">
        <v>43915</v>
      </c>
      <c r="BE1287" s="192" t="s">
        <v>249</v>
      </c>
      <c r="BH1287" s="94">
        <v>43959</v>
      </c>
      <c r="BI1287" s="95" t="s">
        <v>223</v>
      </c>
      <c r="BJ1287" s="96">
        <v>11.73</v>
      </c>
    </row>
    <row r="1288" spans="54:62" ht="13.8" x14ac:dyDescent="0.25">
      <c r="BB1288" s="187"/>
      <c r="BC1288" s="180"/>
      <c r="BD1288" s="191">
        <v>43916</v>
      </c>
      <c r="BE1288" s="192" t="s">
        <v>250</v>
      </c>
      <c r="BH1288" s="94">
        <v>43962</v>
      </c>
      <c r="BI1288" s="95" t="s">
        <v>266</v>
      </c>
      <c r="BJ1288" s="96">
        <v>11.72</v>
      </c>
    </row>
    <row r="1289" spans="54:62" ht="13.8" x14ac:dyDescent="0.25">
      <c r="BB1289" s="187"/>
      <c r="BC1289" s="180"/>
      <c r="BD1289" s="191">
        <v>43917</v>
      </c>
      <c r="BE1289" s="192" t="s">
        <v>251</v>
      </c>
      <c r="BH1289" s="94">
        <v>43963</v>
      </c>
      <c r="BI1289" s="95" t="s">
        <v>88</v>
      </c>
      <c r="BJ1289" s="96">
        <v>11.71</v>
      </c>
    </row>
    <row r="1290" spans="54:62" ht="13.8" x14ac:dyDescent="0.25">
      <c r="BB1290" s="187"/>
      <c r="BC1290" s="180"/>
      <c r="BD1290" s="191">
        <v>43920</v>
      </c>
      <c r="BE1290" s="192" t="s">
        <v>228</v>
      </c>
      <c r="BH1290" s="94">
        <v>43964</v>
      </c>
      <c r="BI1290" s="95" t="s">
        <v>91</v>
      </c>
      <c r="BJ1290" s="96">
        <v>11.71</v>
      </c>
    </row>
    <row r="1291" spans="54:62" ht="13.8" x14ac:dyDescent="0.25">
      <c r="BB1291" s="187"/>
      <c r="BC1291" s="180"/>
      <c r="BD1291" s="191">
        <v>43921</v>
      </c>
      <c r="BE1291" s="192" t="s">
        <v>252</v>
      </c>
      <c r="BH1291" s="94">
        <v>43965</v>
      </c>
      <c r="BI1291" s="95" t="s">
        <v>225</v>
      </c>
      <c r="BJ1291" s="96">
        <v>11.71</v>
      </c>
    </row>
    <row r="1292" spans="54:62" ht="13.8" x14ac:dyDescent="0.25">
      <c r="BB1292" s="187"/>
      <c r="BC1292" s="180"/>
      <c r="BD1292" s="191">
        <v>43922</v>
      </c>
      <c r="BE1292" s="192" t="s">
        <v>253</v>
      </c>
      <c r="BH1292" s="94">
        <v>43966</v>
      </c>
      <c r="BI1292" s="95" t="s">
        <v>267</v>
      </c>
      <c r="BJ1292" s="96">
        <v>11.7</v>
      </c>
    </row>
    <row r="1293" spans="54:62" ht="13.8" x14ac:dyDescent="0.25">
      <c r="BB1293" s="187"/>
      <c r="BC1293" s="180"/>
      <c r="BD1293" s="191">
        <v>43923</v>
      </c>
      <c r="BE1293" s="192" t="s">
        <v>94</v>
      </c>
      <c r="BH1293" s="94">
        <v>43969</v>
      </c>
      <c r="BI1293" s="95" t="s">
        <v>149</v>
      </c>
      <c r="BJ1293" s="96">
        <v>11.69</v>
      </c>
    </row>
    <row r="1294" spans="54:62" ht="13.8" x14ac:dyDescent="0.25">
      <c r="BB1294" s="187"/>
      <c r="BC1294" s="180"/>
      <c r="BD1294" s="191">
        <v>43924</v>
      </c>
      <c r="BE1294" s="192" t="s">
        <v>223</v>
      </c>
      <c r="BH1294" s="94">
        <v>43970</v>
      </c>
      <c r="BI1294" s="95" t="s">
        <v>268</v>
      </c>
      <c r="BJ1294" s="96">
        <v>11.69</v>
      </c>
    </row>
    <row r="1295" spans="54:62" ht="13.8" x14ac:dyDescent="0.25">
      <c r="BB1295" s="187"/>
      <c r="BC1295" s="180"/>
      <c r="BD1295" s="191">
        <v>43927</v>
      </c>
      <c r="BE1295" s="192" t="s">
        <v>98</v>
      </c>
      <c r="BH1295" s="94">
        <v>43971</v>
      </c>
      <c r="BI1295" s="95" t="s">
        <v>227</v>
      </c>
      <c r="BJ1295" s="96">
        <v>11.69</v>
      </c>
    </row>
    <row r="1296" spans="54:62" ht="13.8" x14ac:dyDescent="0.25">
      <c r="BB1296" s="187"/>
      <c r="BC1296" s="180"/>
      <c r="BD1296" s="191">
        <v>43928</v>
      </c>
      <c r="BE1296" s="192" t="s">
        <v>141</v>
      </c>
      <c r="BH1296" s="94">
        <v>43973</v>
      </c>
      <c r="BI1296" s="95" t="s">
        <v>153</v>
      </c>
      <c r="BJ1296" s="96">
        <v>11.68</v>
      </c>
    </row>
    <row r="1297" spans="54:62" ht="13.8" x14ac:dyDescent="0.25">
      <c r="BB1297" s="187"/>
      <c r="BC1297" s="180"/>
      <c r="BD1297" s="191">
        <v>43929</v>
      </c>
      <c r="BE1297" s="192" t="s">
        <v>254</v>
      </c>
      <c r="BH1297" s="94">
        <v>43976</v>
      </c>
      <c r="BI1297" s="95" t="s">
        <v>154</v>
      </c>
      <c r="BJ1297" s="96">
        <v>11.67</v>
      </c>
    </row>
    <row r="1298" spans="54:62" ht="13.8" x14ac:dyDescent="0.25">
      <c r="BB1298" s="187"/>
      <c r="BC1298" s="180"/>
      <c r="BD1298" s="191">
        <v>43930</v>
      </c>
      <c r="BE1298" s="192" t="s">
        <v>255</v>
      </c>
      <c r="BH1298" s="94">
        <v>43977</v>
      </c>
      <c r="BI1298" s="95" t="s">
        <v>269</v>
      </c>
      <c r="BJ1298" s="96">
        <v>11.66</v>
      </c>
    </row>
    <row r="1299" spans="54:62" ht="13.8" x14ac:dyDescent="0.25">
      <c r="BB1299" s="187"/>
      <c r="BC1299" s="180"/>
      <c r="BD1299" s="191">
        <v>43931</v>
      </c>
      <c r="BE1299" s="192" t="s">
        <v>256</v>
      </c>
      <c r="BH1299" s="94">
        <v>43978</v>
      </c>
      <c r="BI1299" s="95" t="s">
        <v>205</v>
      </c>
      <c r="BJ1299" s="96">
        <v>11.66</v>
      </c>
    </row>
    <row r="1300" spans="54:62" ht="13.8" x14ac:dyDescent="0.25">
      <c r="BB1300" s="187"/>
      <c r="BC1300" s="180"/>
      <c r="BD1300" s="191"/>
      <c r="BE1300" s="193" t="str">
        <f>+BE1299</f>
        <v>−0,081</v>
      </c>
      <c r="BH1300" s="94">
        <v>43979</v>
      </c>
      <c r="BI1300" s="95" t="s">
        <v>228</v>
      </c>
      <c r="BJ1300" s="96">
        <v>11.65</v>
      </c>
    </row>
    <row r="1301" spans="54:62" ht="13.8" x14ac:dyDescent="0.25">
      <c r="BB1301" s="187"/>
      <c r="BC1301" s="180"/>
      <c r="BD1301" s="191">
        <v>43935</v>
      </c>
      <c r="BE1301" s="192" t="s">
        <v>257</v>
      </c>
      <c r="BH1301" s="94">
        <v>43980</v>
      </c>
      <c r="BI1301" s="95" t="s">
        <v>270</v>
      </c>
      <c r="BJ1301" s="96">
        <v>11.65</v>
      </c>
    </row>
    <row r="1302" spans="54:62" ht="13.8" x14ac:dyDescent="0.25">
      <c r="BB1302" s="187"/>
      <c r="BC1302" s="180"/>
      <c r="BD1302" s="191">
        <v>43936</v>
      </c>
      <c r="BE1302" s="192" t="s">
        <v>258</v>
      </c>
      <c r="BH1302" s="94">
        <v>43984</v>
      </c>
      <c r="BI1302" s="95" t="s">
        <v>155</v>
      </c>
      <c r="BJ1302" s="96">
        <v>11.63</v>
      </c>
    </row>
    <row r="1303" spans="54:62" ht="13.8" x14ac:dyDescent="0.25">
      <c r="BB1303" s="187"/>
      <c r="BC1303" s="180"/>
      <c r="BD1303" s="191">
        <v>43937</v>
      </c>
      <c r="BE1303" s="192" t="s">
        <v>259</v>
      </c>
      <c r="BH1303" s="94">
        <v>43985</v>
      </c>
      <c r="BI1303" s="95" t="s">
        <v>205</v>
      </c>
      <c r="BJ1303" s="96">
        <v>11.63</v>
      </c>
    </row>
    <row r="1304" spans="54:62" ht="13.8" x14ac:dyDescent="0.25">
      <c r="BB1304" s="187"/>
      <c r="BC1304" s="180"/>
      <c r="BD1304" s="191">
        <v>43938</v>
      </c>
      <c r="BE1304" s="192" t="s">
        <v>260</v>
      </c>
      <c r="BH1304" s="94">
        <v>43986</v>
      </c>
      <c r="BI1304" s="95" t="s">
        <v>271</v>
      </c>
      <c r="BJ1304" s="96">
        <v>11.59</v>
      </c>
    </row>
    <row r="1305" spans="54:62" ht="13.8" x14ac:dyDescent="0.25">
      <c r="BB1305" s="187"/>
      <c r="BC1305" s="180"/>
      <c r="BD1305" s="191">
        <v>43941</v>
      </c>
      <c r="BE1305" s="192" t="s">
        <v>261</v>
      </c>
      <c r="BH1305" s="94">
        <v>43987</v>
      </c>
      <c r="BI1305" s="95" t="s">
        <v>272</v>
      </c>
      <c r="BJ1305" s="96">
        <v>11.59</v>
      </c>
    </row>
    <row r="1306" spans="54:62" ht="13.8" x14ac:dyDescent="0.25">
      <c r="BB1306" s="187"/>
      <c r="BC1306" s="180"/>
      <c r="BD1306" s="191">
        <v>43942</v>
      </c>
      <c r="BE1306" s="192" t="s">
        <v>262</v>
      </c>
      <c r="BH1306" s="94">
        <v>43990</v>
      </c>
      <c r="BI1306" s="95" t="s">
        <v>252</v>
      </c>
      <c r="BJ1306" s="96">
        <v>11.58</v>
      </c>
    </row>
    <row r="1307" spans="54:62" ht="13.8" x14ac:dyDescent="0.25">
      <c r="BB1307" s="187"/>
      <c r="BC1307" s="180"/>
      <c r="BD1307" s="191">
        <v>43943</v>
      </c>
      <c r="BE1307" s="192" t="s">
        <v>68</v>
      </c>
      <c r="BH1307" s="94">
        <v>43991</v>
      </c>
      <c r="BI1307" s="95" t="s">
        <v>273</v>
      </c>
      <c r="BJ1307" s="96">
        <v>11.58</v>
      </c>
    </row>
    <row r="1308" spans="54:62" ht="13.8" x14ac:dyDescent="0.25">
      <c r="BB1308" s="187"/>
      <c r="BC1308" s="180"/>
      <c r="BD1308" s="191">
        <v>43944</v>
      </c>
      <c r="BE1308" s="192" t="s">
        <v>69</v>
      </c>
      <c r="BH1308" s="94">
        <v>43992</v>
      </c>
      <c r="BI1308" s="95" t="s">
        <v>274</v>
      </c>
      <c r="BJ1308" s="96">
        <v>11.58</v>
      </c>
    </row>
    <row r="1309" spans="54:62" ht="13.8" x14ac:dyDescent="0.25">
      <c r="BB1309" s="187"/>
      <c r="BC1309" s="180"/>
      <c r="BD1309" s="191">
        <v>43945</v>
      </c>
      <c r="BE1309" s="192" t="s">
        <v>113</v>
      </c>
      <c r="BH1309" s="94">
        <v>43994</v>
      </c>
      <c r="BI1309" s="95" t="s">
        <v>275</v>
      </c>
      <c r="BJ1309" s="96">
        <v>11.56</v>
      </c>
    </row>
    <row r="1310" spans="54:62" ht="13.8" x14ac:dyDescent="0.25">
      <c r="BB1310" s="187"/>
      <c r="BC1310" s="180"/>
      <c r="BD1310" s="191">
        <v>43948</v>
      </c>
      <c r="BE1310" s="192" t="s">
        <v>113</v>
      </c>
      <c r="BH1310" s="94">
        <v>43997</v>
      </c>
      <c r="BI1310" s="95" t="s">
        <v>275</v>
      </c>
      <c r="BJ1310" s="96">
        <v>11.55</v>
      </c>
    </row>
    <row r="1311" spans="54:62" ht="13.8" x14ac:dyDescent="0.25">
      <c r="BB1311" s="187"/>
      <c r="BC1311" s="180"/>
      <c r="BD1311" s="191">
        <v>43949</v>
      </c>
      <c r="BE1311" s="192" t="s">
        <v>263</v>
      </c>
      <c r="BH1311" s="94">
        <v>43998</v>
      </c>
      <c r="BI1311" s="95" t="s">
        <v>276</v>
      </c>
      <c r="BJ1311" s="96">
        <v>11.55</v>
      </c>
    </row>
    <row r="1312" spans="54:62" ht="13.8" x14ac:dyDescent="0.25">
      <c r="BB1312" s="187"/>
      <c r="BC1312" s="180"/>
      <c r="BD1312" s="191">
        <v>43950</v>
      </c>
      <c r="BE1312" s="192" t="s">
        <v>264</v>
      </c>
      <c r="BH1312" s="94">
        <v>43999</v>
      </c>
      <c r="BI1312" s="95" t="s">
        <v>276</v>
      </c>
      <c r="BJ1312" s="96">
        <v>11.54</v>
      </c>
    </row>
    <row r="1313" spans="54:62" ht="13.8" x14ac:dyDescent="0.25">
      <c r="BB1313" s="187"/>
      <c r="BC1313" s="180"/>
      <c r="BD1313" s="191">
        <v>43951</v>
      </c>
      <c r="BE1313" s="192" t="s">
        <v>265</v>
      </c>
      <c r="BH1313" s="94">
        <v>44000</v>
      </c>
      <c r="BI1313" s="95" t="s">
        <v>275</v>
      </c>
      <c r="BJ1313" s="96">
        <v>11.55</v>
      </c>
    </row>
    <row r="1314" spans="54:62" ht="13.8" x14ac:dyDescent="0.25">
      <c r="BB1314" s="187"/>
      <c r="BC1314" s="180"/>
      <c r="BD1314" s="191"/>
      <c r="BE1314" s="193">
        <v>-0.127</v>
      </c>
      <c r="BF1314" s="111">
        <f>+(BC1314+BE1314)/2+0.37</f>
        <v>0.30649999999999999</v>
      </c>
      <c r="BH1314" s="94">
        <v>44001</v>
      </c>
      <c r="BI1314" s="95" t="s">
        <v>153</v>
      </c>
      <c r="BJ1314" s="96">
        <v>11.55</v>
      </c>
    </row>
    <row r="1315" spans="54:62" ht="13.8" x14ac:dyDescent="0.25">
      <c r="BB1315" s="187"/>
      <c r="BC1315" s="180"/>
      <c r="BD1315" s="191">
        <v>43955</v>
      </c>
      <c r="BE1315" s="192" t="s">
        <v>110</v>
      </c>
      <c r="BH1315" s="94">
        <v>44004</v>
      </c>
      <c r="BI1315" s="95" t="s">
        <v>272</v>
      </c>
      <c r="BJ1315" s="96">
        <v>11.54</v>
      </c>
    </row>
    <row r="1316" spans="54:62" ht="13.8" x14ac:dyDescent="0.25">
      <c r="BB1316" s="187"/>
      <c r="BC1316" s="180"/>
      <c r="BD1316" s="191">
        <v>43956</v>
      </c>
      <c r="BE1316" s="192" t="s">
        <v>73</v>
      </c>
      <c r="BH1316" s="94">
        <v>44005</v>
      </c>
      <c r="BI1316" s="95" t="s">
        <v>277</v>
      </c>
      <c r="BJ1316" s="96">
        <v>11.53</v>
      </c>
    </row>
    <row r="1317" spans="54:62" ht="13.8" x14ac:dyDescent="0.25">
      <c r="BB1317" s="187"/>
      <c r="BC1317" s="180"/>
      <c r="BD1317" s="191">
        <v>43957</v>
      </c>
      <c r="BE1317" s="192" t="s">
        <v>97</v>
      </c>
      <c r="BH1317" s="94">
        <v>44006</v>
      </c>
      <c r="BI1317" s="95" t="s">
        <v>271</v>
      </c>
      <c r="BJ1317" s="96">
        <v>11.53</v>
      </c>
    </row>
    <row r="1318" spans="54:62" ht="13.8" x14ac:dyDescent="0.25">
      <c r="BB1318" s="187"/>
      <c r="BC1318" s="180"/>
      <c r="BD1318" s="191">
        <v>43958</v>
      </c>
      <c r="BE1318" s="192" t="s">
        <v>103</v>
      </c>
      <c r="BH1318" s="94">
        <v>44007</v>
      </c>
      <c r="BI1318" s="95" t="s">
        <v>228</v>
      </c>
      <c r="BJ1318" s="96">
        <v>11.53</v>
      </c>
    </row>
    <row r="1319" spans="54:62" ht="13.8" x14ac:dyDescent="0.25">
      <c r="BB1319" s="187"/>
      <c r="BC1319" s="180"/>
      <c r="BD1319" s="191">
        <v>43959</v>
      </c>
      <c r="BE1319" s="192" t="s">
        <v>223</v>
      </c>
      <c r="BH1319" s="94">
        <v>44008</v>
      </c>
      <c r="BI1319" s="95" t="s">
        <v>278</v>
      </c>
      <c r="BJ1319" s="96">
        <v>11.52</v>
      </c>
    </row>
    <row r="1320" spans="54:62" ht="13.8" x14ac:dyDescent="0.25">
      <c r="BB1320" s="187"/>
      <c r="BC1320" s="180"/>
      <c r="BD1320" s="191">
        <v>43962</v>
      </c>
      <c r="BE1320" s="192" t="s">
        <v>266</v>
      </c>
      <c r="BH1320" s="94">
        <v>44011</v>
      </c>
      <c r="BI1320" s="95" t="s">
        <v>279</v>
      </c>
      <c r="BJ1320" s="96">
        <v>11.51</v>
      </c>
    </row>
    <row r="1321" spans="54:62" ht="13.8" x14ac:dyDescent="0.25">
      <c r="BB1321" s="187"/>
      <c r="BC1321" s="180"/>
      <c r="BD1321" s="191">
        <v>43963</v>
      </c>
      <c r="BE1321" s="192" t="s">
        <v>88</v>
      </c>
      <c r="BH1321" s="94">
        <v>44012</v>
      </c>
      <c r="BI1321" s="95" t="s">
        <v>278</v>
      </c>
      <c r="BJ1321" s="96">
        <v>12.31</v>
      </c>
    </row>
    <row r="1322" spans="54:62" ht="13.8" x14ac:dyDescent="0.25">
      <c r="BB1322" s="187"/>
      <c r="BC1322" s="180"/>
      <c r="BD1322" s="191">
        <v>43964</v>
      </c>
      <c r="BE1322" s="192" t="s">
        <v>91</v>
      </c>
      <c r="BH1322" s="94">
        <v>44013</v>
      </c>
      <c r="BI1322" s="95" t="s">
        <v>204</v>
      </c>
      <c r="BJ1322" s="96">
        <v>12.31</v>
      </c>
    </row>
    <row r="1323" spans="54:62" ht="13.8" x14ac:dyDescent="0.25">
      <c r="BB1323" s="187"/>
      <c r="BC1323" s="180"/>
      <c r="BD1323" s="191">
        <v>43965</v>
      </c>
      <c r="BE1323" s="192" t="s">
        <v>225</v>
      </c>
      <c r="BH1323" s="94">
        <v>44014</v>
      </c>
      <c r="BI1323" s="95" t="s">
        <v>280</v>
      </c>
      <c r="BJ1323" s="96">
        <v>12.3</v>
      </c>
    </row>
    <row r="1324" spans="54:62" ht="13.8" x14ac:dyDescent="0.25">
      <c r="BB1324" s="187"/>
      <c r="BC1324" s="180"/>
      <c r="BD1324" s="191">
        <v>43966</v>
      </c>
      <c r="BE1324" s="192" t="s">
        <v>267</v>
      </c>
      <c r="BH1324" s="94">
        <v>44015</v>
      </c>
      <c r="BI1324" s="95" t="s">
        <v>281</v>
      </c>
      <c r="BJ1324" s="96">
        <v>12.3</v>
      </c>
    </row>
    <row r="1325" spans="54:62" ht="13.8" x14ac:dyDescent="0.25">
      <c r="BB1325" s="187"/>
      <c r="BC1325" s="180"/>
      <c r="BD1325" s="191">
        <v>43969</v>
      </c>
      <c r="BE1325" s="192" t="s">
        <v>149</v>
      </c>
      <c r="BH1325" s="94">
        <v>44018</v>
      </c>
      <c r="BI1325" s="95" t="s">
        <v>282</v>
      </c>
      <c r="BJ1325" s="96">
        <v>12.29</v>
      </c>
    </row>
    <row r="1326" spans="54:62" ht="13.8" x14ac:dyDescent="0.25">
      <c r="BB1326" s="187"/>
      <c r="BC1326" s="180"/>
      <c r="BD1326" s="191">
        <v>43970</v>
      </c>
      <c r="BE1326" s="192" t="s">
        <v>268</v>
      </c>
      <c r="BH1326" s="94">
        <v>44019</v>
      </c>
      <c r="BI1326" s="95" t="s">
        <v>283</v>
      </c>
      <c r="BJ1326" s="96">
        <v>12.29</v>
      </c>
    </row>
    <row r="1327" spans="54:62" ht="13.8" x14ac:dyDescent="0.25">
      <c r="BB1327" s="187"/>
      <c r="BC1327" s="180"/>
      <c r="BD1327" s="191">
        <v>43971</v>
      </c>
      <c r="BE1327" s="192" t="s">
        <v>227</v>
      </c>
      <c r="BH1327" s="94">
        <v>44020</v>
      </c>
      <c r="BI1327" s="95" t="s">
        <v>284</v>
      </c>
      <c r="BJ1327" s="96">
        <v>12.32</v>
      </c>
    </row>
    <row r="1328" spans="54:62" ht="13.8" x14ac:dyDescent="0.25">
      <c r="BB1328" s="187"/>
      <c r="BC1328" s="180"/>
      <c r="BD1328" s="191"/>
      <c r="BE1328" s="193" t="str">
        <f>+BE1327</f>
        <v>−0,223</v>
      </c>
      <c r="BH1328" s="94">
        <v>44021</v>
      </c>
      <c r="BI1328" s="95" t="s">
        <v>249</v>
      </c>
      <c r="BJ1328" s="96">
        <v>12.4</v>
      </c>
    </row>
    <row r="1329" spans="54:62" ht="13.8" x14ac:dyDescent="0.25">
      <c r="BB1329" s="187"/>
      <c r="BC1329" s="180"/>
      <c r="BD1329" s="191">
        <v>43973</v>
      </c>
      <c r="BE1329" s="192" t="s">
        <v>153</v>
      </c>
      <c r="BH1329" s="94">
        <v>44022</v>
      </c>
      <c r="BI1329" s="95" t="s">
        <v>285</v>
      </c>
      <c r="BJ1329" s="96">
        <v>12.39</v>
      </c>
    </row>
    <row r="1330" spans="54:62" ht="13.8" x14ac:dyDescent="0.25">
      <c r="BB1330" s="187"/>
      <c r="BC1330" s="180"/>
      <c r="BD1330" s="191">
        <v>43976</v>
      </c>
      <c r="BE1330" s="192" t="s">
        <v>154</v>
      </c>
      <c r="BH1330" s="94">
        <v>44025</v>
      </c>
      <c r="BI1330" s="95" t="s">
        <v>286</v>
      </c>
      <c r="BJ1330" s="96">
        <v>12.36</v>
      </c>
    </row>
    <row r="1331" spans="54:62" ht="13.8" x14ac:dyDescent="0.25">
      <c r="BB1331" s="187"/>
      <c r="BC1331" s="180"/>
      <c r="BD1331" s="191">
        <v>43977</v>
      </c>
      <c r="BE1331" s="192" t="s">
        <v>269</v>
      </c>
      <c r="BH1331" s="94">
        <v>44026</v>
      </c>
      <c r="BI1331" s="95" t="s">
        <v>159</v>
      </c>
      <c r="BJ1331" s="96">
        <v>12.36</v>
      </c>
    </row>
    <row r="1332" spans="54:62" ht="13.8" x14ac:dyDescent="0.25">
      <c r="BB1332" s="187"/>
      <c r="BC1332" s="180"/>
      <c r="BD1332" s="191">
        <v>43978</v>
      </c>
      <c r="BE1332" s="192" t="s">
        <v>205</v>
      </c>
      <c r="BH1332" s="94">
        <v>44027</v>
      </c>
      <c r="BI1332" s="95" t="s">
        <v>287</v>
      </c>
      <c r="BJ1332" s="96">
        <v>12.36</v>
      </c>
    </row>
    <row r="1333" spans="54:62" ht="13.8" x14ac:dyDescent="0.25">
      <c r="BB1333" s="187"/>
      <c r="BC1333" s="180"/>
      <c r="BD1333" s="191">
        <v>43979</v>
      </c>
      <c r="BE1333" s="192" t="s">
        <v>228</v>
      </c>
      <c r="BH1333" s="94">
        <v>44028</v>
      </c>
      <c r="BI1333" s="95" t="s">
        <v>288</v>
      </c>
      <c r="BJ1333" s="96">
        <v>12.35</v>
      </c>
    </row>
    <row r="1334" spans="54:62" ht="13.8" x14ac:dyDescent="0.25">
      <c r="BB1334" s="187"/>
      <c r="BC1334" s="180"/>
      <c r="BD1334" s="191">
        <v>43980</v>
      </c>
      <c r="BE1334" s="192" t="s">
        <v>270</v>
      </c>
      <c r="BH1334" s="94">
        <v>44029</v>
      </c>
      <c r="BI1334" s="95" t="s">
        <v>289</v>
      </c>
      <c r="BJ1334" s="96">
        <v>12.35</v>
      </c>
    </row>
    <row r="1335" spans="54:62" ht="13.8" x14ac:dyDescent="0.25">
      <c r="BB1335" s="187"/>
      <c r="BC1335" s="180"/>
      <c r="BD1335" s="191"/>
      <c r="BE1335" s="193" t="str">
        <f>+BE1334</f>
        <v>−0,246</v>
      </c>
      <c r="BH1335" s="94">
        <v>44032</v>
      </c>
      <c r="BI1335" s="95" t="s">
        <v>198</v>
      </c>
      <c r="BJ1335" s="96">
        <v>12.34</v>
      </c>
    </row>
    <row r="1336" spans="54:62" ht="13.8" x14ac:dyDescent="0.25">
      <c r="BB1336" s="187"/>
      <c r="BC1336" s="180"/>
      <c r="BD1336" s="191">
        <v>43984</v>
      </c>
      <c r="BE1336" s="192" t="s">
        <v>155</v>
      </c>
      <c r="BH1336" s="94">
        <v>44033</v>
      </c>
      <c r="BI1336" s="95" t="s">
        <v>290</v>
      </c>
      <c r="BJ1336" s="96">
        <v>12.33</v>
      </c>
    </row>
    <row r="1337" spans="54:62" ht="13.8" x14ac:dyDescent="0.25">
      <c r="BB1337" s="187"/>
      <c r="BC1337" s="180"/>
      <c r="BD1337" s="191">
        <v>43985</v>
      </c>
      <c r="BE1337" s="192" t="s">
        <v>205</v>
      </c>
      <c r="BH1337" s="94">
        <v>44034</v>
      </c>
      <c r="BI1337" s="95" t="s">
        <v>291</v>
      </c>
      <c r="BJ1337" s="96">
        <v>12.33</v>
      </c>
    </row>
    <row r="1338" spans="54:62" ht="13.8" x14ac:dyDescent="0.25">
      <c r="BB1338" s="187"/>
      <c r="BC1338" s="180"/>
      <c r="BD1338" s="191">
        <v>43986</v>
      </c>
      <c r="BE1338" s="192" t="s">
        <v>271</v>
      </c>
      <c r="BH1338" s="94">
        <v>44035</v>
      </c>
      <c r="BI1338" s="95" t="s">
        <v>247</v>
      </c>
      <c r="BJ1338" s="96">
        <v>12.33</v>
      </c>
    </row>
    <row r="1339" spans="54:62" ht="13.8" x14ac:dyDescent="0.25">
      <c r="BB1339" s="187"/>
      <c r="BC1339" s="180"/>
      <c r="BD1339" s="191">
        <v>43987</v>
      </c>
      <c r="BE1339" s="192" t="s">
        <v>272</v>
      </c>
      <c r="BH1339" s="94">
        <v>44036</v>
      </c>
      <c r="BI1339" s="95" t="s">
        <v>161</v>
      </c>
      <c r="BJ1339" s="96">
        <v>12.33</v>
      </c>
    </row>
    <row r="1340" spans="54:62" ht="13.8" x14ac:dyDescent="0.25">
      <c r="BB1340" s="187"/>
      <c r="BC1340" s="180"/>
      <c r="BD1340" s="191">
        <v>43990</v>
      </c>
      <c r="BE1340" s="192" t="s">
        <v>252</v>
      </c>
      <c r="BH1340" s="94">
        <v>44039</v>
      </c>
      <c r="BI1340" s="95" t="s">
        <v>292</v>
      </c>
      <c r="BJ1340" s="96">
        <v>12.31</v>
      </c>
    </row>
    <row r="1341" spans="54:62" ht="13.8" x14ac:dyDescent="0.25">
      <c r="BB1341" s="187"/>
      <c r="BC1341" s="180"/>
      <c r="BD1341" s="191">
        <v>43991</v>
      </c>
      <c r="BE1341" s="192" t="s">
        <v>273</v>
      </c>
      <c r="BH1341" s="94">
        <v>44040</v>
      </c>
      <c r="BI1341" s="95" t="s">
        <v>293</v>
      </c>
      <c r="BJ1341" s="96">
        <v>12.3</v>
      </c>
    </row>
    <row r="1342" spans="54:62" ht="13.8" x14ac:dyDescent="0.25">
      <c r="BB1342" s="187"/>
      <c r="BC1342" s="180"/>
      <c r="BD1342" s="191">
        <v>43992</v>
      </c>
      <c r="BE1342" s="192" t="s">
        <v>274</v>
      </c>
      <c r="BH1342" s="94">
        <v>44041</v>
      </c>
      <c r="BI1342" s="95" t="s">
        <v>294</v>
      </c>
      <c r="BJ1342" s="96">
        <v>12.34</v>
      </c>
    </row>
    <row r="1343" spans="54:62" ht="13.8" x14ac:dyDescent="0.25">
      <c r="BB1343" s="187"/>
      <c r="BC1343" s="180"/>
      <c r="BD1343" s="191"/>
      <c r="BE1343" s="193" t="str">
        <f>+BE1342</f>
        <v>−0,225</v>
      </c>
      <c r="BH1343" s="94">
        <v>44042</v>
      </c>
      <c r="BI1343" s="95" t="s">
        <v>295</v>
      </c>
      <c r="BJ1343" s="96">
        <v>12.34</v>
      </c>
    </row>
    <row r="1344" spans="54:62" ht="13.8" x14ac:dyDescent="0.25">
      <c r="BB1344" s="187"/>
      <c r="BC1344" s="180"/>
      <c r="BD1344" s="191">
        <v>43994</v>
      </c>
      <c r="BE1344" s="192" t="s">
        <v>275</v>
      </c>
      <c r="BH1344" s="94">
        <v>44043</v>
      </c>
      <c r="BI1344" s="95" t="s">
        <v>296</v>
      </c>
      <c r="BJ1344" s="96">
        <v>12.33</v>
      </c>
    </row>
    <row r="1345" spans="54:62" ht="13.8" x14ac:dyDescent="0.25">
      <c r="BB1345" s="187"/>
      <c r="BC1345" s="180"/>
      <c r="BD1345" s="191">
        <v>43997</v>
      </c>
      <c r="BE1345" s="192" t="s">
        <v>275</v>
      </c>
      <c r="BH1345" s="94">
        <v>44046</v>
      </c>
      <c r="BI1345" s="95" t="s">
        <v>245</v>
      </c>
      <c r="BJ1345" s="96">
        <v>12.32</v>
      </c>
    </row>
    <row r="1346" spans="54:62" ht="13.8" x14ac:dyDescent="0.25">
      <c r="BB1346" s="187"/>
      <c r="BC1346" s="180"/>
      <c r="BD1346" s="191">
        <v>43998</v>
      </c>
      <c r="BE1346" s="192" t="s">
        <v>276</v>
      </c>
      <c r="BH1346" s="94">
        <v>44047</v>
      </c>
      <c r="BI1346" s="95" t="s">
        <v>297</v>
      </c>
      <c r="BJ1346" s="96">
        <v>12.32</v>
      </c>
    </row>
    <row r="1347" spans="54:62" ht="13.8" x14ac:dyDescent="0.25">
      <c r="BB1347" s="187"/>
      <c r="BC1347" s="180"/>
      <c r="BD1347" s="191">
        <v>43999</v>
      </c>
      <c r="BE1347" s="192" t="s">
        <v>276</v>
      </c>
      <c r="BH1347" s="94">
        <v>44048</v>
      </c>
      <c r="BI1347" s="95" t="s">
        <v>189</v>
      </c>
      <c r="BJ1347" s="96">
        <v>12.35</v>
      </c>
    </row>
    <row r="1348" spans="54:62" ht="13.8" x14ac:dyDescent="0.25">
      <c r="BB1348" s="187"/>
      <c r="BC1348" s="180"/>
      <c r="BD1348" s="191">
        <v>44000</v>
      </c>
      <c r="BE1348" s="192" t="s">
        <v>275</v>
      </c>
      <c r="BH1348" s="94">
        <v>44049</v>
      </c>
      <c r="BI1348" s="95" t="s">
        <v>244</v>
      </c>
      <c r="BJ1348" s="96">
        <v>12.31</v>
      </c>
    </row>
    <row r="1349" spans="54:62" ht="13.8" x14ac:dyDescent="0.25">
      <c r="BB1349" s="187"/>
      <c r="BC1349" s="180"/>
      <c r="BD1349" s="191">
        <v>44001</v>
      </c>
      <c r="BE1349" s="192" t="s">
        <v>153</v>
      </c>
      <c r="BH1349" s="94">
        <v>44050</v>
      </c>
      <c r="BI1349" s="95" t="s">
        <v>239</v>
      </c>
      <c r="BJ1349" s="96">
        <v>12.31</v>
      </c>
    </row>
    <row r="1350" spans="54:62" ht="13.8" x14ac:dyDescent="0.25">
      <c r="BB1350" s="187"/>
      <c r="BC1350" s="180"/>
      <c r="BD1350" s="191">
        <v>44004</v>
      </c>
      <c r="BE1350" s="192" t="s">
        <v>272</v>
      </c>
      <c r="BH1350" s="94">
        <v>44053</v>
      </c>
      <c r="BI1350" s="95" t="s">
        <v>298</v>
      </c>
      <c r="BJ1350" s="96">
        <v>12.29</v>
      </c>
    </row>
    <row r="1351" spans="54:62" ht="13.8" x14ac:dyDescent="0.25">
      <c r="BB1351" s="187"/>
      <c r="BC1351" s="180"/>
      <c r="BD1351" s="191">
        <v>44005</v>
      </c>
      <c r="BE1351" s="192" t="s">
        <v>277</v>
      </c>
      <c r="BH1351" s="94">
        <v>44054</v>
      </c>
      <c r="BI1351" s="95" t="s">
        <v>165</v>
      </c>
      <c r="BJ1351" s="96">
        <v>12.29</v>
      </c>
    </row>
    <row r="1352" spans="54:62" ht="13.8" x14ac:dyDescent="0.25">
      <c r="BB1352" s="187"/>
      <c r="BC1352" s="180"/>
      <c r="BD1352" s="191">
        <v>44006</v>
      </c>
      <c r="BE1352" s="192" t="s">
        <v>271</v>
      </c>
      <c r="BH1352" s="94">
        <v>44055</v>
      </c>
      <c r="BI1352" s="95" t="s">
        <v>299</v>
      </c>
      <c r="BJ1352" s="96">
        <v>12.28</v>
      </c>
    </row>
    <row r="1353" spans="54:62" ht="13.8" x14ac:dyDescent="0.25">
      <c r="BB1353" s="187"/>
      <c r="BC1353" s="180"/>
      <c r="BD1353" s="191">
        <v>44007</v>
      </c>
      <c r="BE1353" s="192" t="s">
        <v>228</v>
      </c>
      <c r="BH1353" s="94">
        <v>44056</v>
      </c>
      <c r="BI1353" s="95" t="s">
        <v>243</v>
      </c>
      <c r="BJ1353" s="96">
        <v>12.28</v>
      </c>
    </row>
    <row r="1354" spans="54:62" ht="13.8" x14ac:dyDescent="0.25">
      <c r="BB1354" s="187"/>
      <c r="BC1354" s="180"/>
      <c r="BD1354" s="191">
        <v>44008</v>
      </c>
      <c r="BE1354" s="192" t="s">
        <v>278</v>
      </c>
      <c r="BH1354" s="94">
        <v>44057</v>
      </c>
      <c r="BI1354" s="95" t="s">
        <v>299</v>
      </c>
      <c r="BJ1354" s="96">
        <v>12.28</v>
      </c>
    </row>
    <row r="1355" spans="54:62" ht="13.8" x14ac:dyDescent="0.25">
      <c r="BB1355" s="187"/>
      <c r="BC1355" s="180"/>
      <c r="BD1355" s="191">
        <v>44011</v>
      </c>
      <c r="BE1355" s="192" t="s">
        <v>279</v>
      </c>
      <c r="BH1355" s="94">
        <v>44060</v>
      </c>
      <c r="BI1355" s="95" t="s">
        <v>299</v>
      </c>
      <c r="BJ1355" s="96">
        <v>12.27</v>
      </c>
    </row>
    <row r="1356" spans="54:62" ht="13.8" x14ac:dyDescent="0.25">
      <c r="BB1356" s="187"/>
      <c r="BC1356" s="180"/>
      <c r="BD1356" s="191">
        <v>44012</v>
      </c>
      <c r="BE1356" s="192" t="s">
        <v>278</v>
      </c>
      <c r="BH1356" s="94">
        <v>44061</v>
      </c>
      <c r="BI1356" s="95" t="s">
        <v>300</v>
      </c>
      <c r="BJ1356" s="96">
        <v>12.27</v>
      </c>
    </row>
    <row r="1357" spans="54:62" ht="13.8" x14ac:dyDescent="0.25">
      <c r="BB1357" s="187"/>
      <c r="BC1357" s="180"/>
      <c r="BD1357" s="191">
        <v>44013</v>
      </c>
      <c r="BE1357" s="192" t="s">
        <v>204</v>
      </c>
      <c r="BH1357" s="94">
        <v>44062</v>
      </c>
      <c r="BI1357" s="95" t="s">
        <v>299</v>
      </c>
      <c r="BJ1357" s="96">
        <v>12.27</v>
      </c>
    </row>
    <row r="1358" spans="54:62" ht="13.8" x14ac:dyDescent="0.25">
      <c r="BB1358" s="187"/>
      <c r="BC1358" s="180"/>
      <c r="BD1358" s="191">
        <v>44014</v>
      </c>
      <c r="BE1358" s="192" t="s">
        <v>280</v>
      </c>
      <c r="BH1358" s="94">
        <v>44063</v>
      </c>
      <c r="BI1358" s="95" t="s">
        <v>299</v>
      </c>
      <c r="BJ1358" s="96">
        <v>12.26</v>
      </c>
    </row>
    <row r="1359" spans="54:62" ht="13.8" x14ac:dyDescent="0.25">
      <c r="BB1359" s="187"/>
      <c r="BC1359" s="180"/>
      <c r="BD1359" s="191">
        <v>44015</v>
      </c>
      <c r="BE1359" s="192" t="s">
        <v>281</v>
      </c>
      <c r="BH1359" s="94">
        <v>44064</v>
      </c>
      <c r="BI1359" s="95" t="s">
        <v>301</v>
      </c>
      <c r="BJ1359" s="96">
        <v>12.26</v>
      </c>
    </row>
    <row r="1360" spans="54:62" ht="13.8" x14ac:dyDescent="0.25">
      <c r="BB1360" s="187"/>
      <c r="BC1360" s="180"/>
      <c r="BD1360" s="191">
        <v>44018</v>
      </c>
      <c r="BE1360" s="192" t="s">
        <v>282</v>
      </c>
      <c r="BH1360" s="94">
        <v>44067</v>
      </c>
      <c r="BI1360" s="95" t="s">
        <v>302</v>
      </c>
      <c r="BJ1360" s="96">
        <v>12.25</v>
      </c>
    </row>
    <row r="1361" spans="54:62" ht="13.8" x14ac:dyDescent="0.25">
      <c r="BB1361" s="187"/>
      <c r="BC1361" s="180"/>
      <c r="BD1361" s="191">
        <v>44019</v>
      </c>
      <c r="BE1361" s="192" t="s">
        <v>283</v>
      </c>
      <c r="BH1361" s="94">
        <v>44068</v>
      </c>
      <c r="BI1361" s="95" t="s">
        <v>301</v>
      </c>
      <c r="BJ1361" s="96">
        <v>12.25</v>
      </c>
    </row>
    <row r="1362" spans="54:62" ht="13.8" x14ac:dyDescent="0.25">
      <c r="BB1362" s="187"/>
      <c r="BC1362" s="180"/>
      <c r="BD1362" s="191">
        <v>44020</v>
      </c>
      <c r="BE1362" s="192" t="s">
        <v>284</v>
      </c>
      <c r="BH1362" s="94">
        <v>44069</v>
      </c>
      <c r="BI1362" s="95" t="s">
        <v>299</v>
      </c>
      <c r="BJ1362" s="96">
        <v>12.25</v>
      </c>
    </row>
    <row r="1363" spans="54:62" ht="13.8" x14ac:dyDescent="0.25">
      <c r="BB1363" s="187"/>
      <c r="BC1363" s="180"/>
      <c r="BD1363" s="191">
        <v>44021</v>
      </c>
      <c r="BE1363" s="192" t="s">
        <v>249</v>
      </c>
      <c r="BH1363" s="94">
        <v>44070</v>
      </c>
      <c r="BI1363" s="95" t="s">
        <v>165</v>
      </c>
      <c r="BJ1363" s="96">
        <v>12.24</v>
      </c>
    </row>
    <row r="1364" spans="54:62" ht="13.8" x14ac:dyDescent="0.25">
      <c r="BB1364" s="187"/>
      <c r="BC1364" s="180"/>
      <c r="BD1364" s="191">
        <v>44022</v>
      </c>
      <c r="BE1364" s="192" t="s">
        <v>285</v>
      </c>
      <c r="BH1364" s="94">
        <v>44071</v>
      </c>
      <c r="BI1364" s="95" t="s">
        <v>298</v>
      </c>
      <c r="BJ1364" s="96">
        <v>12.24</v>
      </c>
    </row>
    <row r="1365" spans="54:62" ht="13.8" x14ac:dyDescent="0.25">
      <c r="BB1365" s="187"/>
      <c r="BC1365" s="180"/>
      <c r="BD1365" s="191">
        <v>44025</v>
      </c>
      <c r="BE1365" s="192" t="s">
        <v>286</v>
      </c>
      <c r="BH1365" s="94">
        <v>44074</v>
      </c>
      <c r="BI1365" s="95" t="s">
        <v>303</v>
      </c>
      <c r="BJ1365" s="96">
        <v>12.23</v>
      </c>
    </row>
    <row r="1366" spans="54:62" ht="13.8" x14ac:dyDescent="0.25">
      <c r="BB1366" s="187"/>
      <c r="BC1366" s="180"/>
      <c r="BD1366" s="191">
        <v>44026</v>
      </c>
      <c r="BE1366" s="192" t="s">
        <v>159</v>
      </c>
      <c r="BH1366" s="94">
        <v>44075</v>
      </c>
      <c r="BI1366" s="95" t="s">
        <v>164</v>
      </c>
      <c r="BJ1366" s="96">
        <v>12.23</v>
      </c>
    </row>
    <row r="1367" spans="54:62" ht="13.8" x14ac:dyDescent="0.25">
      <c r="BB1367" s="187"/>
      <c r="BC1367" s="180"/>
      <c r="BD1367" s="191">
        <v>44027</v>
      </c>
      <c r="BE1367" s="192" t="s">
        <v>287</v>
      </c>
      <c r="BH1367" s="94">
        <v>44076</v>
      </c>
      <c r="BI1367" s="95" t="s">
        <v>188</v>
      </c>
      <c r="BJ1367" s="96">
        <v>12.23</v>
      </c>
    </row>
    <row r="1368" spans="54:62" ht="13.8" x14ac:dyDescent="0.25">
      <c r="BB1368" s="187"/>
      <c r="BC1368" s="180"/>
      <c r="BD1368" s="191">
        <v>44028</v>
      </c>
      <c r="BE1368" s="192" t="s">
        <v>288</v>
      </c>
      <c r="BH1368" s="94">
        <v>44077</v>
      </c>
      <c r="BI1368" s="95" t="s">
        <v>304</v>
      </c>
      <c r="BJ1368" s="96">
        <v>12.22</v>
      </c>
    </row>
    <row r="1369" spans="54:62" ht="13.8" x14ac:dyDescent="0.25">
      <c r="BB1369" s="187"/>
      <c r="BC1369" s="180"/>
      <c r="BD1369" s="191">
        <v>44029</v>
      </c>
      <c r="BE1369" s="192" t="s">
        <v>289</v>
      </c>
      <c r="BH1369" s="94">
        <v>44078</v>
      </c>
      <c r="BI1369" s="95" t="s">
        <v>305</v>
      </c>
      <c r="BJ1369" s="96">
        <v>12.22</v>
      </c>
    </row>
    <row r="1370" spans="54:62" ht="13.8" x14ac:dyDescent="0.25">
      <c r="BB1370" s="187"/>
      <c r="BC1370" s="180"/>
      <c r="BD1370" s="191">
        <v>44032</v>
      </c>
      <c r="BE1370" s="192" t="s">
        <v>198</v>
      </c>
      <c r="BH1370" s="94">
        <v>44081</v>
      </c>
      <c r="BI1370" s="95" t="s">
        <v>306</v>
      </c>
      <c r="BJ1370" s="96">
        <v>12.21</v>
      </c>
    </row>
    <row r="1371" spans="54:62" ht="13.8" x14ac:dyDescent="0.25">
      <c r="BB1371" s="187"/>
      <c r="BC1371" s="180"/>
      <c r="BD1371" s="191">
        <v>44033</v>
      </c>
      <c r="BE1371" s="192" t="s">
        <v>290</v>
      </c>
      <c r="BH1371" s="94">
        <v>44082</v>
      </c>
      <c r="BI1371" s="95" t="s">
        <v>189</v>
      </c>
      <c r="BJ1371" s="96">
        <v>12.21</v>
      </c>
    </row>
    <row r="1372" spans="54:62" ht="13.8" x14ac:dyDescent="0.25">
      <c r="BB1372" s="187"/>
      <c r="BC1372" s="180"/>
      <c r="BD1372" s="191">
        <v>44034</v>
      </c>
      <c r="BE1372" s="192" t="s">
        <v>291</v>
      </c>
      <c r="BH1372" s="94">
        <v>44083</v>
      </c>
      <c r="BI1372" s="95" t="s">
        <v>306</v>
      </c>
      <c r="BJ1372" s="96">
        <v>12.21</v>
      </c>
    </row>
    <row r="1373" spans="54:62" ht="13.8" x14ac:dyDescent="0.25">
      <c r="BB1373" s="187"/>
      <c r="BC1373" s="180"/>
      <c r="BD1373" s="191">
        <v>44035</v>
      </c>
      <c r="BE1373" s="192" t="s">
        <v>247</v>
      </c>
      <c r="BH1373" s="94">
        <v>44084</v>
      </c>
      <c r="BI1373" s="95" t="s">
        <v>189</v>
      </c>
      <c r="BJ1373" s="96">
        <v>12.2</v>
      </c>
    </row>
    <row r="1374" spans="54:62" ht="13.8" x14ac:dyDescent="0.25">
      <c r="BB1374" s="187"/>
      <c r="BC1374" s="180"/>
      <c r="BD1374" s="191">
        <v>44036</v>
      </c>
      <c r="BE1374" s="192" t="s">
        <v>161</v>
      </c>
      <c r="BH1374" s="94">
        <v>44085</v>
      </c>
      <c r="BI1374" s="95" t="s">
        <v>304</v>
      </c>
      <c r="BJ1374" s="96">
        <v>12.2</v>
      </c>
    </row>
    <row r="1375" spans="54:62" ht="13.8" x14ac:dyDescent="0.25">
      <c r="BB1375" s="187"/>
      <c r="BC1375" s="180"/>
      <c r="BD1375" s="191">
        <v>44039</v>
      </c>
      <c r="BE1375" s="192" t="s">
        <v>292</v>
      </c>
      <c r="BH1375" s="94">
        <v>44088</v>
      </c>
      <c r="BI1375" s="95" t="s">
        <v>244</v>
      </c>
      <c r="BJ1375" s="96">
        <v>12.19</v>
      </c>
    </row>
    <row r="1376" spans="54:62" ht="13.8" x14ac:dyDescent="0.25">
      <c r="BB1376" s="187"/>
      <c r="BC1376" s="180"/>
      <c r="BD1376" s="191">
        <v>44040</v>
      </c>
      <c r="BE1376" s="192" t="s">
        <v>293</v>
      </c>
      <c r="BH1376" s="94">
        <v>44089</v>
      </c>
      <c r="BI1376" s="95" t="s">
        <v>163</v>
      </c>
      <c r="BJ1376" s="96">
        <v>13.03</v>
      </c>
    </row>
    <row r="1377" spans="54:62" ht="13.8" x14ac:dyDescent="0.25">
      <c r="BB1377" s="187"/>
      <c r="BC1377" s="180"/>
      <c r="BD1377" s="191">
        <v>44041</v>
      </c>
      <c r="BE1377" s="192" t="s">
        <v>294</v>
      </c>
      <c r="BH1377" s="94">
        <v>44090</v>
      </c>
      <c r="BI1377" s="95" t="s">
        <v>307</v>
      </c>
      <c r="BJ1377" s="96">
        <v>13.03</v>
      </c>
    </row>
    <row r="1378" spans="54:62" ht="13.8" x14ac:dyDescent="0.25">
      <c r="BB1378" s="187"/>
      <c r="BC1378" s="180"/>
      <c r="BD1378" s="191">
        <v>44042</v>
      </c>
      <c r="BE1378" s="192" t="s">
        <v>295</v>
      </c>
      <c r="BH1378" s="94">
        <v>44091</v>
      </c>
      <c r="BI1378" s="95" t="s">
        <v>238</v>
      </c>
      <c r="BJ1378" s="96">
        <v>13.03</v>
      </c>
    </row>
    <row r="1379" spans="54:62" ht="13.8" x14ac:dyDescent="0.25">
      <c r="BB1379" s="187"/>
      <c r="BC1379" s="180"/>
      <c r="BD1379" s="191">
        <v>44043</v>
      </c>
      <c r="BE1379" s="192" t="s">
        <v>296</v>
      </c>
      <c r="BH1379" s="94">
        <v>44092</v>
      </c>
      <c r="BI1379" s="95" t="s">
        <v>238</v>
      </c>
      <c r="BJ1379" s="96">
        <v>13.02</v>
      </c>
    </row>
    <row r="1380" spans="54:62" ht="13.8" x14ac:dyDescent="0.25">
      <c r="BB1380" s="187"/>
      <c r="BC1380" s="180"/>
      <c r="BD1380" s="191">
        <v>44046</v>
      </c>
      <c r="BE1380" s="192" t="s">
        <v>245</v>
      </c>
      <c r="BH1380" s="94">
        <v>44095</v>
      </c>
      <c r="BI1380" s="95" t="s">
        <v>191</v>
      </c>
      <c r="BJ1380" s="96">
        <v>13.02</v>
      </c>
    </row>
    <row r="1381" spans="54:62" ht="13.8" x14ac:dyDescent="0.25">
      <c r="BB1381" s="187"/>
      <c r="BC1381" s="180"/>
      <c r="BD1381" s="191">
        <v>44047</v>
      </c>
      <c r="BE1381" s="192" t="s">
        <v>297</v>
      </c>
      <c r="BH1381" s="94">
        <v>44096</v>
      </c>
      <c r="BI1381" s="95" t="s">
        <v>306</v>
      </c>
      <c r="BJ1381" s="96">
        <v>13.01</v>
      </c>
    </row>
    <row r="1382" spans="54:62" ht="13.8" x14ac:dyDescent="0.25">
      <c r="BB1382" s="187"/>
      <c r="BC1382" s="180"/>
      <c r="BD1382" s="191">
        <v>44048</v>
      </c>
      <c r="BE1382" s="192" t="s">
        <v>189</v>
      </c>
      <c r="BH1382" s="94">
        <v>44097</v>
      </c>
      <c r="BI1382" s="95" t="s">
        <v>244</v>
      </c>
      <c r="BJ1382" s="96">
        <v>13.01</v>
      </c>
    </row>
    <row r="1383" spans="54:62" ht="13.8" x14ac:dyDescent="0.25">
      <c r="BB1383" s="187"/>
      <c r="BC1383" s="180"/>
      <c r="BD1383" s="191">
        <v>44049</v>
      </c>
      <c r="BE1383" s="192" t="s">
        <v>244</v>
      </c>
      <c r="BH1383" s="94">
        <v>44098</v>
      </c>
      <c r="BI1383" s="95" t="s">
        <v>303</v>
      </c>
      <c r="BJ1383" s="96">
        <v>13.01</v>
      </c>
    </row>
    <row r="1384" spans="54:62" ht="13.8" x14ac:dyDescent="0.25">
      <c r="BB1384" s="187"/>
      <c r="BC1384" s="180"/>
      <c r="BD1384" s="191">
        <v>44050</v>
      </c>
      <c r="BE1384" s="192" t="s">
        <v>239</v>
      </c>
      <c r="BH1384" s="94">
        <v>44099</v>
      </c>
      <c r="BI1384" s="95" t="s">
        <v>308</v>
      </c>
      <c r="BJ1384" s="96">
        <v>13</v>
      </c>
    </row>
    <row r="1385" spans="54:62" ht="13.8" x14ac:dyDescent="0.25">
      <c r="BB1385" s="187"/>
      <c r="BC1385" s="180"/>
      <c r="BD1385" s="191">
        <v>44053</v>
      </c>
      <c r="BE1385" s="192" t="s">
        <v>298</v>
      </c>
      <c r="BH1385" s="94">
        <v>44102</v>
      </c>
      <c r="BI1385" s="95" t="s">
        <v>299</v>
      </c>
      <c r="BJ1385" s="96">
        <v>13</v>
      </c>
    </row>
    <row r="1386" spans="54:62" ht="13.8" x14ac:dyDescent="0.25">
      <c r="BB1386" s="187"/>
      <c r="BC1386" s="180"/>
      <c r="BD1386" s="191">
        <v>44054</v>
      </c>
      <c r="BE1386" s="192" t="s">
        <v>165</v>
      </c>
      <c r="BH1386" s="94">
        <v>44103</v>
      </c>
      <c r="BI1386" s="95" t="s">
        <v>309</v>
      </c>
      <c r="BJ1386" s="96">
        <v>12.99</v>
      </c>
    </row>
    <row r="1387" spans="54:62" ht="13.8" x14ac:dyDescent="0.25">
      <c r="BB1387" s="187"/>
      <c r="BC1387" s="180"/>
      <c r="BD1387" s="191">
        <v>44055</v>
      </c>
      <c r="BE1387" s="192" t="s">
        <v>299</v>
      </c>
      <c r="BH1387" s="94">
        <v>44104</v>
      </c>
      <c r="BI1387" s="95" t="s">
        <v>240</v>
      </c>
      <c r="BJ1387" s="96">
        <v>12.99</v>
      </c>
    </row>
    <row r="1388" spans="54:62" ht="13.8" x14ac:dyDescent="0.25">
      <c r="BB1388" s="187"/>
      <c r="BC1388" s="180"/>
      <c r="BD1388" s="191">
        <v>44056</v>
      </c>
      <c r="BE1388" s="192" t="s">
        <v>243</v>
      </c>
      <c r="BH1388" s="94">
        <v>44105</v>
      </c>
      <c r="BI1388" s="95" t="s">
        <v>184</v>
      </c>
      <c r="BJ1388" s="96">
        <v>12.99</v>
      </c>
    </row>
    <row r="1389" spans="54:62" ht="13.8" x14ac:dyDescent="0.25">
      <c r="BB1389" s="187"/>
      <c r="BC1389" s="180"/>
      <c r="BD1389" s="191">
        <v>44057</v>
      </c>
      <c r="BE1389" s="192" t="s">
        <v>299</v>
      </c>
      <c r="BH1389" s="94">
        <v>44106</v>
      </c>
      <c r="BI1389" s="95" t="s">
        <v>242</v>
      </c>
      <c r="BJ1389" s="96">
        <v>12.99</v>
      </c>
    </row>
    <row r="1390" spans="54:62" ht="13.8" x14ac:dyDescent="0.25">
      <c r="BB1390" s="187"/>
      <c r="BC1390" s="180"/>
      <c r="BD1390" s="191">
        <v>44060</v>
      </c>
      <c r="BE1390" s="192" t="s">
        <v>299</v>
      </c>
      <c r="BH1390" s="94">
        <v>44109</v>
      </c>
      <c r="BI1390" s="95" t="s">
        <v>310</v>
      </c>
      <c r="BJ1390" s="96">
        <v>12.98</v>
      </c>
    </row>
    <row r="1391" spans="54:62" ht="13.8" x14ac:dyDescent="0.25">
      <c r="BB1391" s="187"/>
      <c r="BC1391" s="180"/>
      <c r="BD1391" s="191">
        <v>44061</v>
      </c>
      <c r="BE1391" s="192" t="s">
        <v>300</v>
      </c>
      <c r="BH1391" s="94">
        <v>44110</v>
      </c>
      <c r="BI1391" s="95" t="s">
        <v>167</v>
      </c>
      <c r="BJ1391" s="96">
        <v>12.97</v>
      </c>
    </row>
    <row r="1392" spans="54:62" ht="13.8" x14ac:dyDescent="0.25">
      <c r="BB1392" s="187"/>
      <c r="BC1392" s="180"/>
      <c r="BD1392" s="191">
        <v>44062</v>
      </c>
      <c r="BE1392" s="192" t="s">
        <v>299</v>
      </c>
      <c r="BH1392" s="94">
        <v>44111</v>
      </c>
      <c r="BI1392" s="95" t="s">
        <v>241</v>
      </c>
      <c r="BJ1392" s="96">
        <v>12.97</v>
      </c>
    </row>
    <row r="1393" spans="54:62" ht="13.8" x14ac:dyDescent="0.25">
      <c r="BB1393" s="187"/>
      <c r="BC1393" s="180"/>
      <c r="BD1393" s="191">
        <v>44063</v>
      </c>
      <c r="BE1393" s="192" t="s">
        <v>299</v>
      </c>
      <c r="BH1393" s="94">
        <v>44112</v>
      </c>
      <c r="BI1393" s="95" t="s">
        <v>311</v>
      </c>
      <c r="BJ1393" s="96">
        <v>12.93</v>
      </c>
    </row>
    <row r="1394" spans="54:62" ht="13.8" x14ac:dyDescent="0.25">
      <c r="BB1394" s="187"/>
      <c r="BC1394" s="180"/>
      <c r="BD1394" s="191">
        <v>44064</v>
      </c>
      <c r="BE1394" s="192" t="s">
        <v>301</v>
      </c>
      <c r="BH1394" s="94">
        <v>44113</v>
      </c>
      <c r="BI1394" s="95" t="s">
        <v>312</v>
      </c>
      <c r="BJ1394" s="96">
        <v>12.93</v>
      </c>
    </row>
    <row r="1395" spans="54:62" ht="13.8" x14ac:dyDescent="0.25">
      <c r="BB1395" s="187"/>
      <c r="BC1395" s="180"/>
      <c r="BD1395" s="191">
        <v>44067</v>
      </c>
      <c r="BE1395" s="192" t="s">
        <v>302</v>
      </c>
      <c r="BH1395" s="94">
        <v>44116</v>
      </c>
      <c r="BI1395" s="95" t="s">
        <v>168</v>
      </c>
      <c r="BJ1395" s="96">
        <v>12.92</v>
      </c>
    </row>
    <row r="1396" spans="54:62" ht="13.8" x14ac:dyDescent="0.25">
      <c r="BB1396" s="187"/>
      <c r="BC1396" s="180"/>
      <c r="BD1396" s="191">
        <v>44068</v>
      </c>
      <c r="BE1396" s="192" t="s">
        <v>301</v>
      </c>
      <c r="BH1396" s="94">
        <v>44117</v>
      </c>
      <c r="BI1396" s="95" t="s">
        <v>313</v>
      </c>
      <c r="BJ1396" s="96">
        <v>12.92</v>
      </c>
    </row>
    <row r="1397" spans="54:62" ht="13.8" x14ac:dyDescent="0.25">
      <c r="BB1397" s="187"/>
      <c r="BC1397" s="180"/>
      <c r="BD1397" s="191">
        <v>44069</v>
      </c>
      <c r="BE1397" s="192" t="s">
        <v>299</v>
      </c>
      <c r="BH1397" s="94">
        <v>44118</v>
      </c>
      <c r="BI1397" s="95" t="s">
        <v>314</v>
      </c>
      <c r="BJ1397" s="96">
        <v>12.92</v>
      </c>
    </row>
    <row r="1398" spans="54:62" ht="13.8" x14ac:dyDescent="0.25">
      <c r="BB1398" s="187"/>
      <c r="BC1398" s="180"/>
      <c r="BD1398" s="191">
        <v>44070</v>
      </c>
      <c r="BE1398" s="192" t="s">
        <v>165</v>
      </c>
      <c r="BH1398" s="94">
        <v>44119</v>
      </c>
      <c r="BI1398" s="95" t="s">
        <v>181</v>
      </c>
      <c r="BJ1398" s="96">
        <v>12.91</v>
      </c>
    </row>
    <row r="1399" spans="54:62" ht="13.8" x14ac:dyDescent="0.25">
      <c r="BB1399" s="187"/>
      <c r="BC1399" s="180"/>
      <c r="BD1399" s="191">
        <v>44071</v>
      </c>
      <c r="BE1399" s="192" t="s">
        <v>298</v>
      </c>
      <c r="BH1399" s="94">
        <v>44120</v>
      </c>
      <c r="BI1399" s="95" t="s">
        <v>315</v>
      </c>
      <c r="BJ1399" s="96">
        <v>12.91</v>
      </c>
    </row>
    <row r="1400" spans="54:62" ht="13.8" x14ac:dyDescent="0.25">
      <c r="BB1400" s="187"/>
      <c r="BC1400" s="180"/>
      <c r="BD1400" s="191">
        <v>44074</v>
      </c>
      <c r="BE1400" s="192" t="s">
        <v>303</v>
      </c>
      <c r="BH1400" s="94">
        <v>44123</v>
      </c>
      <c r="BI1400" s="95" t="s">
        <v>316</v>
      </c>
      <c r="BJ1400" s="96">
        <v>12.9</v>
      </c>
    </row>
    <row r="1401" spans="54:62" ht="13.8" x14ac:dyDescent="0.25">
      <c r="BB1401" s="187"/>
      <c r="BC1401" s="180"/>
      <c r="BD1401" s="191">
        <v>44075</v>
      </c>
      <c r="BE1401" s="192" t="s">
        <v>164</v>
      </c>
      <c r="BH1401" s="94">
        <v>44124</v>
      </c>
      <c r="BI1401" s="95" t="s">
        <v>317</v>
      </c>
      <c r="BJ1401" s="96">
        <v>12.9</v>
      </c>
    </row>
    <row r="1402" spans="54:62" ht="13.8" x14ac:dyDescent="0.25">
      <c r="BB1402" s="187"/>
      <c r="BC1402" s="180"/>
      <c r="BD1402" s="191">
        <v>44076</v>
      </c>
      <c r="BE1402" s="192" t="s">
        <v>188</v>
      </c>
      <c r="BH1402" s="94">
        <v>44125</v>
      </c>
      <c r="BI1402" s="95" t="s">
        <v>318</v>
      </c>
      <c r="BJ1402" s="96">
        <v>12.9</v>
      </c>
    </row>
    <row r="1403" spans="54:62" ht="13.8" x14ac:dyDescent="0.25">
      <c r="BB1403" s="187"/>
      <c r="BC1403" s="180"/>
      <c r="BD1403" s="191">
        <v>44077</v>
      </c>
      <c r="BE1403" s="192" t="s">
        <v>304</v>
      </c>
      <c r="BH1403" s="94">
        <v>44126</v>
      </c>
      <c r="BI1403" s="95" t="s">
        <v>319</v>
      </c>
      <c r="BJ1403" s="96">
        <v>12.98</v>
      </c>
    </row>
    <row r="1404" spans="54:62" ht="13.8" x14ac:dyDescent="0.25">
      <c r="BB1404" s="187"/>
      <c r="BC1404" s="180"/>
      <c r="BD1404" s="191">
        <v>44078</v>
      </c>
      <c r="BE1404" s="192" t="s">
        <v>305</v>
      </c>
      <c r="BH1404" s="94">
        <v>44127</v>
      </c>
      <c r="BI1404" s="95" t="s">
        <v>318</v>
      </c>
      <c r="BJ1404" s="96">
        <v>12.97</v>
      </c>
    </row>
    <row r="1405" spans="54:62" ht="13.8" x14ac:dyDescent="0.25">
      <c r="BB1405" s="187"/>
      <c r="BC1405" s="180"/>
      <c r="BD1405" s="191">
        <v>44081</v>
      </c>
      <c r="BE1405" s="192" t="s">
        <v>306</v>
      </c>
      <c r="BH1405" s="94">
        <v>44131</v>
      </c>
      <c r="BI1405" s="95" t="s">
        <v>320</v>
      </c>
      <c r="BJ1405" s="96">
        <v>12.96</v>
      </c>
    </row>
    <row r="1406" spans="54:62" ht="13.8" x14ac:dyDescent="0.25">
      <c r="BB1406" s="187"/>
      <c r="BC1406" s="180"/>
      <c r="BD1406" s="191">
        <v>44082</v>
      </c>
      <c r="BE1406" s="192" t="s">
        <v>189</v>
      </c>
      <c r="BH1406" s="94">
        <v>44132</v>
      </c>
      <c r="BI1406" s="95" t="s">
        <v>321</v>
      </c>
      <c r="BJ1406" s="96">
        <v>12.95</v>
      </c>
    </row>
    <row r="1407" spans="54:62" ht="13.8" x14ac:dyDescent="0.25">
      <c r="BB1407" s="187"/>
      <c r="BC1407" s="180"/>
      <c r="BD1407" s="191">
        <v>44083</v>
      </c>
      <c r="BE1407" s="192" t="s">
        <v>306</v>
      </c>
      <c r="BH1407" s="94">
        <v>44133</v>
      </c>
      <c r="BI1407" s="95" t="s">
        <v>180</v>
      </c>
      <c r="BJ1407" s="96">
        <v>12.95</v>
      </c>
    </row>
    <row r="1408" spans="54:62" ht="13.8" x14ac:dyDescent="0.25">
      <c r="BB1408" s="187"/>
      <c r="BC1408" s="180"/>
      <c r="BD1408" s="191">
        <v>44084</v>
      </c>
      <c r="BE1408" s="192" t="s">
        <v>189</v>
      </c>
      <c r="BH1408" s="94">
        <v>44134</v>
      </c>
      <c r="BI1408" s="95" t="s">
        <v>322</v>
      </c>
      <c r="BJ1408" s="96">
        <v>12.95</v>
      </c>
    </row>
    <row r="1409" spans="54:62" ht="13.8" x14ac:dyDescent="0.25">
      <c r="BB1409" s="187"/>
      <c r="BC1409" s="180"/>
      <c r="BD1409" s="191">
        <v>44085</v>
      </c>
      <c r="BE1409" s="192" t="s">
        <v>304</v>
      </c>
      <c r="BH1409" s="94">
        <v>44137</v>
      </c>
      <c r="BI1409" s="95" t="s">
        <v>173</v>
      </c>
      <c r="BJ1409" s="96">
        <v>12.94</v>
      </c>
    </row>
    <row r="1410" spans="54:62" ht="13.8" x14ac:dyDescent="0.25">
      <c r="BB1410" s="187"/>
      <c r="BC1410" s="180"/>
      <c r="BD1410" s="191">
        <v>44088</v>
      </c>
      <c r="BE1410" s="192" t="s">
        <v>244</v>
      </c>
      <c r="BH1410" s="94">
        <v>44138</v>
      </c>
      <c r="BI1410" s="95" t="s">
        <v>323</v>
      </c>
      <c r="BJ1410" s="96">
        <v>12.94</v>
      </c>
    </row>
    <row r="1411" spans="54:62" ht="13.8" x14ac:dyDescent="0.25">
      <c r="BB1411" s="187"/>
      <c r="BC1411" s="180"/>
      <c r="BD1411" s="191">
        <v>44089</v>
      </c>
      <c r="BE1411" s="192" t="s">
        <v>163</v>
      </c>
      <c r="BH1411" s="94">
        <v>44139</v>
      </c>
      <c r="BI1411" s="95" t="s">
        <v>177</v>
      </c>
      <c r="BJ1411" s="96">
        <v>12.93</v>
      </c>
    </row>
    <row r="1412" spans="54:62" ht="13.8" x14ac:dyDescent="0.25">
      <c r="BB1412" s="187"/>
      <c r="BC1412" s="180"/>
      <c r="BD1412" s="191">
        <v>44090</v>
      </c>
      <c r="BE1412" s="192" t="s">
        <v>307</v>
      </c>
      <c r="BH1412" s="94">
        <v>44140</v>
      </c>
      <c r="BI1412" s="95" t="s">
        <v>324</v>
      </c>
      <c r="BJ1412" s="96">
        <v>12.96</v>
      </c>
    </row>
    <row r="1413" spans="54:62" ht="13.8" x14ac:dyDescent="0.25">
      <c r="BB1413" s="187"/>
      <c r="BC1413" s="180"/>
      <c r="BD1413" s="191">
        <v>44091</v>
      </c>
      <c r="BE1413" s="192" t="s">
        <v>238</v>
      </c>
      <c r="BH1413" s="94">
        <v>44141</v>
      </c>
      <c r="BI1413" s="95" t="s">
        <v>325</v>
      </c>
      <c r="BJ1413" s="96">
        <v>12.96</v>
      </c>
    </row>
    <row r="1414" spans="54:62" ht="13.8" x14ac:dyDescent="0.25">
      <c r="BB1414" s="187"/>
      <c r="BC1414" s="180"/>
      <c r="BD1414" s="191">
        <v>44092</v>
      </c>
      <c r="BE1414" s="192" t="s">
        <v>238</v>
      </c>
      <c r="BH1414" s="94">
        <v>44144</v>
      </c>
      <c r="BI1414" s="95" t="s">
        <v>326</v>
      </c>
      <c r="BJ1414" s="96">
        <v>12.95</v>
      </c>
    </row>
    <row r="1415" spans="54:62" ht="13.8" x14ac:dyDescent="0.25">
      <c r="BB1415" s="187"/>
      <c r="BC1415" s="180"/>
      <c r="BD1415" s="191">
        <v>44095</v>
      </c>
      <c r="BE1415" s="192" t="s">
        <v>191</v>
      </c>
      <c r="BH1415" s="94">
        <v>44145</v>
      </c>
      <c r="BI1415" s="95" t="s">
        <v>327</v>
      </c>
      <c r="BJ1415" s="96">
        <v>12.94</v>
      </c>
    </row>
    <row r="1416" spans="54:62" ht="13.8" x14ac:dyDescent="0.25">
      <c r="BB1416" s="187"/>
      <c r="BC1416" s="180"/>
      <c r="BD1416" s="191">
        <v>44096</v>
      </c>
      <c r="BE1416" s="192" t="s">
        <v>306</v>
      </c>
      <c r="BH1416" s="94">
        <v>44146</v>
      </c>
      <c r="BI1416" s="95" t="s">
        <v>328</v>
      </c>
      <c r="BJ1416" s="96">
        <v>12.94</v>
      </c>
    </row>
    <row r="1417" spans="54:62" ht="13.8" x14ac:dyDescent="0.25">
      <c r="BB1417" s="187"/>
      <c r="BC1417" s="180"/>
      <c r="BD1417" s="191">
        <v>44097</v>
      </c>
      <c r="BE1417" s="192" t="s">
        <v>244</v>
      </c>
      <c r="BH1417" s="94">
        <v>44147</v>
      </c>
      <c r="BI1417" s="95" t="s">
        <v>329</v>
      </c>
      <c r="BJ1417" s="96">
        <v>12.94</v>
      </c>
    </row>
    <row r="1418" spans="54:62" ht="13.8" x14ac:dyDescent="0.25">
      <c r="BB1418" s="187"/>
      <c r="BC1418" s="180"/>
      <c r="BD1418" s="191">
        <v>44098</v>
      </c>
      <c r="BE1418" s="192" t="s">
        <v>303</v>
      </c>
      <c r="BH1418" s="94">
        <v>44148</v>
      </c>
      <c r="BI1418" s="95" t="s">
        <v>176</v>
      </c>
      <c r="BJ1418" s="96">
        <v>12.94</v>
      </c>
    </row>
    <row r="1419" spans="54:62" ht="13.8" x14ac:dyDescent="0.25">
      <c r="BB1419" s="187"/>
      <c r="BC1419" s="180"/>
      <c r="BD1419" s="191">
        <v>44099</v>
      </c>
      <c r="BE1419" s="192" t="s">
        <v>308</v>
      </c>
      <c r="BH1419" s="94">
        <v>44151</v>
      </c>
      <c r="BI1419" s="95" t="s">
        <v>330</v>
      </c>
      <c r="BJ1419" s="96">
        <v>12.93</v>
      </c>
    </row>
    <row r="1420" spans="54:62" ht="13.8" x14ac:dyDescent="0.25">
      <c r="BB1420" s="187"/>
      <c r="BC1420" s="180"/>
      <c r="BD1420" s="191">
        <v>44102</v>
      </c>
      <c r="BE1420" s="192" t="s">
        <v>299</v>
      </c>
      <c r="BH1420" s="94">
        <v>44152</v>
      </c>
      <c r="BI1420" s="95" t="s">
        <v>331</v>
      </c>
      <c r="BJ1420" s="96">
        <v>12.93</v>
      </c>
    </row>
    <row r="1421" spans="54:62" ht="13.8" x14ac:dyDescent="0.25">
      <c r="BB1421" s="187"/>
      <c r="BC1421" s="180"/>
      <c r="BD1421" s="191">
        <v>44103</v>
      </c>
      <c r="BE1421" s="192" t="s">
        <v>309</v>
      </c>
      <c r="BH1421" s="94">
        <v>44153</v>
      </c>
      <c r="BI1421" s="95" t="s">
        <v>174</v>
      </c>
      <c r="BJ1421" s="96">
        <v>12.92</v>
      </c>
    </row>
    <row r="1422" spans="54:62" ht="13.8" x14ac:dyDescent="0.25">
      <c r="BB1422" s="187"/>
      <c r="BC1422" s="180"/>
      <c r="BD1422" s="191">
        <v>44104</v>
      </c>
      <c r="BE1422" s="192" t="s">
        <v>240</v>
      </c>
      <c r="BH1422" s="94">
        <v>44154</v>
      </c>
      <c r="BI1422" s="95" t="s">
        <v>174</v>
      </c>
      <c r="BJ1422" s="96">
        <v>12.92</v>
      </c>
    </row>
    <row r="1423" spans="54:62" ht="13.8" x14ac:dyDescent="0.25">
      <c r="BB1423" s="187"/>
      <c r="BC1423" s="180"/>
      <c r="BD1423" s="191">
        <v>44105</v>
      </c>
      <c r="BE1423" s="192" t="s">
        <v>184</v>
      </c>
      <c r="BH1423" s="94">
        <v>44155</v>
      </c>
      <c r="BI1423" s="95" t="s">
        <v>331</v>
      </c>
      <c r="BJ1423" s="96">
        <v>12.92</v>
      </c>
    </row>
    <row r="1424" spans="54:62" ht="13.8" x14ac:dyDescent="0.25">
      <c r="BB1424" s="187"/>
      <c r="BC1424" s="180"/>
      <c r="BD1424" s="191">
        <v>44106</v>
      </c>
      <c r="BE1424" s="192" t="s">
        <v>242</v>
      </c>
      <c r="BH1424" s="94">
        <v>44158</v>
      </c>
      <c r="BI1424" s="95" t="s">
        <v>330</v>
      </c>
      <c r="BJ1424" s="96">
        <v>12.91</v>
      </c>
    </row>
    <row r="1425" spans="54:62" ht="13.8" x14ac:dyDescent="0.25">
      <c r="BB1425" s="187"/>
      <c r="BC1425" s="180"/>
      <c r="BD1425" s="191">
        <v>44109</v>
      </c>
      <c r="BE1425" s="192" t="s">
        <v>310</v>
      </c>
      <c r="BH1425" s="94">
        <v>44159</v>
      </c>
      <c r="BI1425" s="95" t="s">
        <v>175</v>
      </c>
      <c r="BJ1425" s="96">
        <v>12.91</v>
      </c>
    </row>
    <row r="1426" spans="54:62" ht="13.8" x14ac:dyDescent="0.25">
      <c r="BB1426" s="187"/>
      <c r="BC1426" s="180"/>
      <c r="BD1426" s="191">
        <v>44110</v>
      </c>
      <c r="BE1426" s="192" t="s">
        <v>167</v>
      </c>
      <c r="BH1426" s="94">
        <v>44160</v>
      </c>
      <c r="BI1426" s="95" t="s">
        <v>330</v>
      </c>
      <c r="BJ1426" s="96">
        <v>12.9</v>
      </c>
    </row>
    <row r="1427" spans="54:62" ht="13.8" x14ac:dyDescent="0.25">
      <c r="BB1427" s="187"/>
      <c r="BC1427" s="180"/>
      <c r="BD1427" s="191">
        <v>44111</v>
      </c>
      <c r="BE1427" s="192" t="s">
        <v>241</v>
      </c>
      <c r="BH1427" s="94">
        <v>44161</v>
      </c>
      <c r="BI1427" s="95" t="s">
        <v>177</v>
      </c>
      <c r="BJ1427" s="96">
        <v>12.9</v>
      </c>
    </row>
    <row r="1428" spans="54:62" ht="13.8" x14ac:dyDescent="0.25">
      <c r="BB1428" s="187"/>
      <c r="BC1428" s="180"/>
      <c r="BD1428" s="191">
        <v>44112</v>
      </c>
      <c r="BE1428" s="192" t="s">
        <v>311</v>
      </c>
      <c r="BH1428" s="94">
        <v>44162</v>
      </c>
      <c r="BI1428" s="95" t="s">
        <v>331</v>
      </c>
      <c r="BJ1428" s="96">
        <v>12.9</v>
      </c>
    </row>
    <row r="1429" spans="54:62" ht="13.8" x14ac:dyDescent="0.25">
      <c r="BB1429" s="187"/>
      <c r="BC1429" s="180"/>
      <c r="BD1429" s="191">
        <v>44113</v>
      </c>
      <c r="BE1429" s="192" t="s">
        <v>312</v>
      </c>
      <c r="BH1429" s="94">
        <v>44165</v>
      </c>
      <c r="BI1429" s="95" t="s">
        <v>174</v>
      </c>
      <c r="BJ1429" s="96">
        <v>12.89</v>
      </c>
    </row>
    <row r="1430" spans="54:62" ht="13.8" x14ac:dyDescent="0.25">
      <c r="BB1430" s="187"/>
      <c r="BC1430" s="180"/>
      <c r="BD1430" s="191">
        <v>44116</v>
      </c>
      <c r="BE1430" s="192" t="s">
        <v>168</v>
      </c>
      <c r="BH1430" s="94">
        <v>44166</v>
      </c>
      <c r="BI1430" s="95" t="s">
        <v>178</v>
      </c>
      <c r="BJ1430" s="96">
        <v>12.88</v>
      </c>
    </row>
    <row r="1431" spans="54:62" ht="13.8" x14ac:dyDescent="0.25">
      <c r="BB1431" s="187"/>
      <c r="BC1431" s="180"/>
      <c r="BD1431" s="191">
        <v>44117</v>
      </c>
      <c r="BE1431" s="192" t="s">
        <v>313</v>
      </c>
      <c r="BH1431" s="94">
        <v>44167</v>
      </c>
      <c r="BI1431" s="95" t="s">
        <v>173</v>
      </c>
      <c r="BJ1431" s="96">
        <v>12.88</v>
      </c>
    </row>
    <row r="1432" spans="54:62" ht="13.8" x14ac:dyDescent="0.25">
      <c r="BB1432" s="187"/>
      <c r="BC1432" s="180"/>
      <c r="BD1432" s="191">
        <v>44118</v>
      </c>
      <c r="BE1432" s="192" t="s">
        <v>314</v>
      </c>
      <c r="BH1432" s="94">
        <v>44168</v>
      </c>
      <c r="BI1432" s="95" t="s">
        <v>332</v>
      </c>
      <c r="BJ1432" s="96">
        <v>12.88</v>
      </c>
    </row>
    <row r="1433" spans="54:62" ht="13.8" x14ac:dyDescent="0.25">
      <c r="BB1433" s="187"/>
      <c r="BC1433" s="180"/>
      <c r="BD1433" s="191">
        <v>44119</v>
      </c>
      <c r="BE1433" s="192" t="s">
        <v>181</v>
      </c>
      <c r="BH1433" s="94">
        <v>44169</v>
      </c>
      <c r="BI1433" s="95" t="s">
        <v>322</v>
      </c>
      <c r="BJ1433" s="96">
        <v>12.87</v>
      </c>
    </row>
    <row r="1434" spans="54:62" ht="13.8" x14ac:dyDescent="0.25">
      <c r="BB1434" s="187"/>
      <c r="BC1434" s="180"/>
      <c r="BD1434" s="191">
        <v>44120</v>
      </c>
      <c r="BE1434" s="192" t="s">
        <v>315</v>
      </c>
      <c r="BH1434" s="94">
        <v>44172</v>
      </c>
      <c r="BI1434" s="95" t="s">
        <v>322</v>
      </c>
      <c r="BJ1434" s="96">
        <v>12.9</v>
      </c>
    </row>
    <row r="1435" spans="54:62" ht="13.8" x14ac:dyDescent="0.25">
      <c r="BB1435" s="187"/>
      <c r="BC1435" s="180"/>
      <c r="BD1435" s="191">
        <v>44123</v>
      </c>
      <c r="BE1435" s="192" t="s">
        <v>316</v>
      </c>
      <c r="BH1435" s="94">
        <v>44174</v>
      </c>
      <c r="BI1435" s="95" t="s">
        <v>333</v>
      </c>
      <c r="BJ1435" s="96">
        <v>12.89</v>
      </c>
    </row>
    <row r="1436" spans="54:62" ht="13.8" x14ac:dyDescent="0.25">
      <c r="BB1436" s="187"/>
      <c r="BC1436" s="180"/>
      <c r="BD1436" s="191">
        <v>44124</v>
      </c>
      <c r="BE1436" s="192" t="s">
        <v>317</v>
      </c>
      <c r="BH1436" s="94">
        <v>44175</v>
      </c>
      <c r="BI1436" s="95" t="s">
        <v>334</v>
      </c>
      <c r="BJ1436" s="96">
        <v>12.89</v>
      </c>
    </row>
    <row r="1437" spans="54:62" ht="13.8" x14ac:dyDescent="0.25">
      <c r="BB1437" s="187"/>
      <c r="BC1437" s="180"/>
      <c r="BD1437" s="191">
        <v>44125</v>
      </c>
      <c r="BE1437" s="192" t="s">
        <v>318</v>
      </c>
      <c r="BH1437" s="94">
        <v>44176</v>
      </c>
      <c r="BI1437" s="95" t="s">
        <v>174</v>
      </c>
      <c r="BJ1437" s="96">
        <v>12.89</v>
      </c>
    </row>
    <row r="1438" spans="54:62" ht="13.8" x14ac:dyDescent="0.25">
      <c r="BB1438" s="187"/>
      <c r="BC1438" s="180"/>
      <c r="BD1438" s="191">
        <v>44126</v>
      </c>
      <c r="BE1438" s="192" t="s">
        <v>319</v>
      </c>
      <c r="BH1438" s="94">
        <v>44179</v>
      </c>
      <c r="BI1438" s="95" t="s">
        <v>330</v>
      </c>
      <c r="BJ1438" s="96">
        <v>12.88</v>
      </c>
    </row>
    <row r="1439" spans="54:62" ht="13.8" x14ac:dyDescent="0.25">
      <c r="BB1439" s="187"/>
      <c r="BC1439" s="180"/>
      <c r="BD1439" s="191">
        <v>44127</v>
      </c>
      <c r="BE1439" s="192" t="s">
        <v>318</v>
      </c>
      <c r="BH1439" s="94">
        <v>44180</v>
      </c>
      <c r="BI1439" s="95" t="s">
        <v>175</v>
      </c>
      <c r="BJ1439" s="96">
        <v>12.97</v>
      </c>
    </row>
    <row r="1440" spans="54:62" ht="13.8" x14ac:dyDescent="0.25">
      <c r="BB1440" s="187"/>
      <c r="BC1440" s="180"/>
      <c r="BD1440" s="191"/>
      <c r="BE1440" s="193" t="str">
        <f>+BE1439</f>
        <v>−0,435</v>
      </c>
      <c r="BH1440" s="94">
        <v>44181</v>
      </c>
      <c r="BI1440" s="95" t="s">
        <v>175</v>
      </c>
      <c r="BJ1440" s="96">
        <v>12.97</v>
      </c>
    </row>
    <row r="1441" spans="54:62" ht="13.8" x14ac:dyDescent="0.25">
      <c r="BB1441" s="187"/>
      <c r="BC1441" s="180"/>
      <c r="BD1441" s="191">
        <v>44131</v>
      </c>
      <c r="BE1441" s="192" t="s">
        <v>320</v>
      </c>
      <c r="BH1441" s="94">
        <v>44182</v>
      </c>
      <c r="BI1441" s="95" t="s">
        <v>175</v>
      </c>
      <c r="BJ1441" s="96">
        <v>12.97</v>
      </c>
    </row>
    <row r="1442" spans="54:62" ht="13.8" x14ac:dyDescent="0.25">
      <c r="BB1442" s="187"/>
      <c r="BC1442" s="180"/>
      <c r="BD1442" s="191">
        <v>44132</v>
      </c>
      <c r="BE1442" s="192" t="s">
        <v>321</v>
      </c>
      <c r="BH1442" s="94">
        <v>44183</v>
      </c>
      <c r="BI1442" s="95" t="s">
        <v>330</v>
      </c>
      <c r="BJ1442" s="96">
        <v>12.96</v>
      </c>
    </row>
    <row r="1443" spans="54:62" ht="13.8" x14ac:dyDescent="0.25">
      <c r="BB1443" s="187"/>
      <c r="BC1443" s="180"/>
      <c r="BD1443" s="191">
        <v>44133</v>
      </c>
      <c r="BE1443" s="192" t="s">
        <v>180</v>
      </c>
      <c r="BH1443" s="94">
        <v>44186</v>
      </c>
      <c r="BI1443" s="95" t="s">
        <v>175</v>
      </c>
      <c r="BJ1443" s="96">
        <v>12.96</v>
      </c>
    </row>
    <row r="1444" spans="54:62" ht="13.8" x14ac:dyDescent="0.25">
      <c r="BB1444" s="187"/>
      <c r="BC1444" s="180"/>
      <c r="BD1444" s="191">
        <v>44134</v>
      </c>
      <c r="BE1444" s="192" t="s">
        <v>322</v>
      </c>
      <c r="BH1444" s="94">
        <v>44187</v>
      </c>
      <c r="BI1444" s="95" t="s">
        <v>175</v>
      </c>
      <c r="BJ1444" s="96">
        <v>12.95</v>
      </c>
    </row>
    <row r="1445" spans="54:62" ht="13.8" x14ac:dyDescent="0.25">
      <c r="BB1445" s="187"/>
      <c r="BC1445" s="180"/>
      <c r="BD1445" s="191">
        <v>44137</v>
      </c>
      <c r="BE1445" s="192">
        <v>-0.45500000000000002</v>
      </c>
      <c r="BF1445" s="111">
        <f>+(BC1445+BE1445)/2+0.37</f>
        <v>0.14249999999999999</v>
      </c>
      <c r="BH1445" s="94">
        <v>44188</v>
      </c>
      <c r="BI1445" s="95" t="s">
        <v>175</v>
      </c>
      <c r="BJ1445" s="96">
        <v>12.95</v>
      </c>
    </row>
    <row r="1446" spans="54:62" ht="13.8" x14ac:dyDescent="0.25">
      <c r="BB1446" s="187"/>
      <c r="BC1446" s="180"/>
      <c r="BD1446" s="191">
        <v>44138</v>
      </c>
      <c r="BE1446" s="192" t="s">
        <v>323</v>
      </c>
      <c r="BH1446" s="94">
        <v>44193</v>
      </c>
      <c r="BI1446" s="95" t="s">
        <v>330</v>
      </c>
      <c r="BJ1446" s="96">
        <v>12.94</v>
      </c>
    </row>
    <row r="1447" spans="54:62" ht="13.8" x14ac:dyDescent="0.25">
      <c r="BB1447" s="187"/>
      <c r="BC1447" s="180"/>
      <c r="BD1447" s="191">
        <v>44139</v>
      </c>
      <c r="BE1447" s="192" t="s">
        <v>177</v>
      </c>
      <c r="BH1447" s="94">
        <v>44194</v>
      </c>
      <c r="BI1447" s="95" t="s">
        <v>330</v>
      </c>
      <c r="BJ1447" s="96">
        <v>12.93</v>
      </c>
    </row>
    <row r="1448" spans="54:62" ht="13.8" x14ac:dyDescent="0.25">
      <c r="BB1448" s="187"/>
      <c r="BC1448" s="180"/>
      <c r="BD1448" s="191">
        <v>44140</v>
      </c>
      <c r="BE1448" s="192" t="s">
        <v>324</v>
      </c>
      <c r="BH1448" s="94">
        <v>44195</v>
      </c>
      <c r="BI1448" s="95" t="s">
        <v>177</v>
      </c>
      <c r="BJ1448" s="96">
        <v>12.93</v>
      </c>
    </row>
    <row r="1449" spans="54:62" ht="13.8" x14ac:dyDescent="0.25">
      <c r="BB1449" s="187"/>
      <c r="BC1449" s="180"/>
      <c r="BD1449" s="191">
        <v>44141</v>
      </c>
      <c r="BE1449" s="192" t="s">
        <v>325</v>
      </c>
      <c r="BH1449" s="94">
        <v>44196</v>
      </c>
      <c r="BI1449" s="95" t="s">
        <v>177</v>
      </c>
      <c r="BJ1449" s="96">
        <v>12.93</v>
      </c>
    </row>
    <row r="1450" spans="54:62" ht="13.8" x14ac:dyDescent="0.25">
      <c r="BB1450" s="187"/>
      <c r="BC1450" s="180"/>
      <c r="BD1450" s="191">
        <v>44144</v>
      </c>
      <c r="BE1450" s="192" t="s">
        <v>326</v>
      </c>
      <c r="BH1450" s="94">
        <v>44200</v>
      </c>
      <c r="BI1450" s="95" t="s">
        <v>330</v>
      </c>
      <c r="BJ1450" s="96">
        <v>12.92</v>
      </c>
    </row>
    <row r="1451" spans="54:62" ht="13.8" x14ac:dyDescent="0.25">
      <c r="BB1451" s="187"/>
      <c r="BC1451" s="180"/>
      <c r="BD1451" s="191">
        <v>44145</v>
      </c>
      <c r="BE1451" s="192" t="s">
        <v>327</v>
      </c>
      <c r="BH1451" s="94">
        <v>44201</v>
      </c>
      <c r="BI1451" s="95" t="s">
        <v>324</v>
      </c>
      <c r="BJ1451" s="96">
        <v>12.91</v>
      </c>
    </row>
    <row r="1452" spans="54:62" ht="13.8" x14ac:dyDescent="0.25">
      <c r="BB1452" s="187"/>
      <c r="BC1452" s="180"/>
      <c r="BD1452" s="191">
        <v>44146</v>
      </c>
      <c r="BE1452" s="192" t="s">
        <v>328</v>
      </c>
      <c r="BH1452" s="94">
        <v>44203</v>
      </c>
      <c r="BI1452" s="95" t="s">
        <v>329</v>
      </c>
      <c r="BJ1452" s="96">
        <v>12.91</v>
      </c>
    </row>
    <row r="1453" spans="54:62" ht="13.8" x14ac:dyDescent="0.25">
      <c r="BB1453" s="187"/>
      <c r="BC1453" s="180"/>
      <c r="BD1453" s="191">
        <v>44147</v>
      </c>
      <c r="BE1453" s="192" t="s">
        <v>329</v>
      </c>
      <c r="BH1453" s="94">
        <v>44204</v>
      </c>
      <c r="BI1453" s="95" t="s">
        <v>329</v>
      </c>
      <c r="BJ1453" s="96">
        <v>12.91</v>
      </c>
    </row>
    <row r="1454" spans="54:62" ht="13.8" x14ac:dyDescent="0.25">
      <c r="BB1454" s="187"/>
      <c r="BC1454" s="180"/>
      <c r="BD1454" s="191">
        <v>44148</v>
      </c>
      <c r="BE1454" s="192" t="s">
        <v>176</v>
      </c>
      <c r="BH1454" s="94">
        <v>44207</v>
      </c>
      <c r="BI1454" s="95" t="s">
        <v>176</v>
      </c>
      <c r="BJ1454" s="96">
        <v>12.9</v>
      </c>
    </row>
    <row r="1455" spans="54:62" ht="13.8" x14ac:dyDescent="0.25">
      <c r="BB1455" s="187"/>
      <c r="BC1455" s="180"/>
      <c r="BD1455" s="191">
        <v>44151</v>
      </c>
      <c r="BE1455" s="192" t="s">
        <v>330</v>
      </c>
      <c r="BH1455" s="94">
        <v>44208</v>
      </c>
      <c r="BI1455" s="95" t="s">
        <v>177</v>
      </c>
      <c r="BJ1455" s="96">
        <v>12.9</v>
      </c>
    </row>
    <row r="1456" spans="54:62" ht="13.8" x14ac:dyDescent="0.25">
      <c r="BB1456" s="187"/>
      <c r="BC1456" s="180"/>
      <c r="BD1456" s="191">
        <v>44152</v>
      </c>
      <c r="BE1456" s="192" t="s">
        <v>331</v>
      </c>
      <c r="BH1456" s="94">
        <v>44209</v>
      </c>
      <c r="BI1456" s="95" t="s">
        <v>178</v>
      </c>
      <c r="BJ1456" s="96">
        <v>12.89</v>
      </c>
    </row>
    <row r="1457" spans="54:62" ht="13.8" x14ac:dyDescent="0.25">
      <c r="BB1457" s="187"/>
      <c r="BC1457" s="180"/>
      <c r="BD1457" s="191">
        <v>44153</v>
      </c>
      <c r="BE1457" s="192" t="s">
        <v>174</v>
      </c>
      <c r="BH1457" s="94">
        <v>44210</v>
      </c>
      <c r="BI1457" s="95" t="s">
        <v>179</v>
      </c>
      <c r="BJ1457" s="96">
        <v>12.92</v>
      </c>
    </row>
    <row r="1458" spans="54:62" ht="13.8" x14ac:dyDescent="0.25">
      <c r="BB1458" s="187"/>
      <c r="BC1458" s="180"/>
      <c r="BD1458" s="191">
        <v>44154</v>
      </c>
      <c r="BE1458" s="192" t="s">
        <v>174</v>
      </c>
      <c r="BH1458" s="94">
        <v>44211</v>
      </c>
      <c r="BI1458" s="95" t="s">
        <v>332</v>
      </c>
      <c r="BJ1458" s="96">
        <v>12.92</v>
      </c>
    </row>
    <row r="1459" spans="54:62" ht="13.8" x14ac:dyDescent="0.25">
      <c r="BB1459" s="187"/>
      <c r="BC1459" s="180"/>
      <c r="BD1459" s="191">
        <v>44155</v>
      </c>
      <c r="BE1459" s="192" t="s">
        <v>331</v>
      </c>
      <c r="BH1459" s="94">
        <v>44214</v>
      </c>
      <c r="BI1459" s="95" t="s">
        <v>335</v>
      </c>
      <c r="BJ1459" s="96">
        <v>12.91</v>
      </c>
    </row>
    <row r="1460" spans="54:62" ht="13.8" x14ac:dyDescent="0.25">
      <c r="BB1460" s="187"/>
      <c r="BC1460" s="180"/>
      <c r="BD1460" s="191">
        <v>44158</v>
      </c>
      <c r="BE1460" s="192" t="s">
        <v>330</v>
      </c>
      <c r="BH1460" s="94">
        <v>44215</v>
      </c>
      <c r="BI1460" s="95" t="s">
        <v>322</v>
      </c>
      <c r="BJ1460" s="96">
        <v>12.91</v>
      </c>
    </row>
    <row r="1461" spans="54:62" ht="13.8" x14ac:dyDescent="0.25">
      <c r="BB1461" s="187"/>
      <c r="BC1461" s="180"/>
      <c r="BD1461" s="191">
        <v>44159</v>
      </c>
      <c r="BE1461" s="192" t="s">
        <v>175</v>
      </c>
      <c r="BH1461" s="94">
        <v>44216</v>
      </c>
      <c r="BI1461" s="95" t="s">
        <v>336</v>
      </c>
      <c r="BJ1461" s="96">
        <v>12.9</v>
      </c>
    </row>
    <row r="1462" spans="54:62" ht="13.8" x14ac:dyDescent="0.25">
      <c r="BB1462" s="187"/>
      <c r="BC1462" s="180"/>
      <c r="BD1462" s="191">
        <v>44160</v>
      </c>
      <c r="BE1462" s="192" t="s">
        <v>330</v>
      </c>
      <c r="BH1462" s="94">
        <v>44217</v>
      </c>
      <c r="BI1462" s="95" t="s">
        <v>180</v>
      </c>
      <c r="BJ1462" s="96">
        <v>12.89</v>
      </c>
    </row>
    <row r="1463" spans="54:62" ht="13.8" x14ac:dyDescent="0.25">
      <c r="BB1463" s="187"/>
      <c r="BC1463" s="180"/>
      <c r="BD1463" s="191">
        <v>44161</v>
      </c>
      <c r="BE1463" s="192" t="s">
        <v>177</v>
      </c>
      <c r="BH1463" s="94">
        <v>44218</v>
      </c>
      <c r="BI1463" s="95" t="s">
        <v>321</v>
      </c>
      <c r="BJ1463" s="96">
        <v>12.89</v>
      </c>
    </row>
    <row r="1464" spans="54:62" ht="13.8" x14ac:dyDescent="0.25">
      <c r="BB1464" s="187"/>
      <c r="BC1464" s="180"/>
      <c r="BD1464" s="191">
        <v>44162</v>
      </c>
      <c r="BE1464" s="192" t="s">
        <v>331</v>
      </c>
      <c r="BH1464" s="94">
        <v>44221</v>
      </c>
      <c r="BI1464" s="95" t="s">
        <v>337</v>
      </c>
      <c r="BJ1464" s="96">
        <v>12.88</v>
      </c>
    </row>
    <row r="1465" spans="54:62" ht="13.8" x14ac:dyDescent="0.25">
      <c r="BB1465" s="187"/>
      <c r="BC1465" s="180"/>
      <c r="BD1465" s="191">
        <v>44165</v>
      </c>
      <c r="BE1465" s="192" t="s">
        <v>174</v>
      </c>
      <c r="BH1465" s="94">
        <v>44222</v>
      </c>
      <c r="BI1465" s="95" t="s">
        <v>320</v>
      </c>
      <c r="BJ1465" s="96">
        <v>12.88</v>
      </c>
    </row>
    <row r="1466" spans="54:62" ht="13.8" x14ac:dyDescent="0.25">
      <c r="BB1466" s="187"/>
      <c r="BC1466" s="180"/>
      <c r="BD1466" s="191">
        <v>44166</v>
      </c>
      <c r="BE1466" s="192" t="s">
        <v>178</v>
      </c>
      <c r="BH1466" s="94">
        <v>44223</v>
      </c>
      <c r="BI1466" s="95" t="s">
        <v>171</v>
      </c>
      <c r="BJ1466" s="96">
        <v>12.88</v>
      </c>
    </row>
    <row r="1467" spans="54:62" ht="13.8" x14ac:dyDescent="0.25">
      <c r="BB1467" s="187"/>
      <c r="BC1467" s="180"/>
      <c r="BD1467" s="191">
        <v>44167</v>
      </c>
      <c r="BE1467" s="192" t="s">
        <v>173</v>
      </c>
      <c r="BH1467" s="94">
        <v>44224</v>
      </c>
      <c r="BI1467" s="95" t="s">
        <v>338</v>
      </c>
      <c r="BJ1467" s="96">
        <v>12.88</v>
      </c>
    </row>
    <row r="1468" spans="54:62" ht="13.8" x14ac:dyDescent="0.25">
      <c r="BB1468" s="187"/>
      <c r="BC1468" s="180"/>
      <c r="BD1468" s="191">
        <v>44168</v>
      </c>
      <c r="BE1468" s="192" t="s">
        <v>332</v>
      </c>
      <c r="BH1468" s="94">
        <v>44225</v>
      </c>
      <c r="BI1468" s="95" t="s">
        <v>339</v>
      </c>
      <c r="BJ1468" s="96">
        <v>12.87</v>
      </c>
    </row>
    <row r="1469" spans="54:62" ht="13.8" x14ac:dyDescent="0.25">
      <c r="BB1469" s="187"/>
      <c r="BC1469" s="180"/>
      <c r="BD1469" s="191">
        <v>44169</v>
      </c>
      <c r="BE1469" s="192" t="s">
        <v>322</v>
      </c>
      <c r="BH1469" s="94">
        <v>44228</v>
      </c>
      <c r="BI1469" s="95" t="s">
        <v>319</v>
      </c>
      <c r="BJ1469" s="96">
        <v>12.86</v>
      </c>
    </row>
    <row r="1470" spans="54:62" ht="13.8" x14ac:dyDescent="0.25">
      <c r="BB1470" s="187"/>
      <c r="BC1470" s="180"/>
      <c r="BD1470" s="191">
        <v>44172</v>
      </c>
      <c r="BE1470" s="192" t="s">
        <v>322</v>
      </c>
      <c r="BH1470" s="94">
        <v>44229</v>
      </c>
      <c r="BI1470" s="95" t="s">
        <v>340</v>
      </c>
      <c r="BJ1470" s="96">
        <v>12.86</v>
      </c>
    </row>
    <row r="1471" spans="54:62" ht="13.8" x14ac:dyDescent="0.25">
      <c r="BB1471" s="187"/>
      <c r="BC1471" s="180"/>
      <c r="BD1471" s="191"/>
      <c r="BE1471" s="193" t="str">
        <f>+BE1470</f>
        <v>−0,450</v>
      </c>
      <c r="BH1471" s="94">
        <v>44230</v>
      </c>
      <c r="BI1471" s="95" t="s">
        <v>341</v>
      </c>
      <c r="BJ1471" s="96">
        <v>12.8</v>
      </c>
    </row>
    <row r="1472" spans="54:62" ht="13.8" x14ac:dyDescent="0.25">
      <c r="BB1472" s="187"/>
      <c r="BC1472" s="180"/>
      <c r="BD1472" s="191">
        <v>44174</v>
      </c>
      <c r="BE1472" s="192" t="s">
        <v>333</v>
      </c>
      <c r="BH1472" s="94">
        <v>44231</v>
      </c>
      <c r="BI1472" s="95" t="s">
        <v>181</v>
      </c>
      <c r="BJ1472" s="96">
        <v>12.8</v>
      </c>
    </row>
    <row r="1473" spans="54:62" ht="13.8" x14ac:dyDescent="0.25">
      <c r="BB1473" s="187"/>
      <c r="BC1473" s="180"/>
      <c r="BD1473" s="191">
        <v>44175</v>
      </c>
      <c r="BE1473" s="192" t="s">
        <v>334</v>
      </c>
      <c r="BH1473" s="94">
        <v>44232</v>
      </c>
      <c r="BI1473" s="95" t="s">
        <v>169</v>
      </c>
      <c r="BJ1473" s="96">
        <v>12.8</v>
      </c>
    </row>
    <row r="1474" spans="54:62" ht="13.8" x14ac:dyDescent="0.25">
      <c r="BB1474" s="187"/>
      <c r="BC1474" s="180"/>
      <c r="BD1474" s="191">
        <v>44176</v>
      </c>
      <c r="BE1474" s="192" t="s">
        <v>174</v>
      </c>
      <c r="BH1474" s="94">
        <v>44235</v>
      </c>
      <c r="BI1474" s="95" t="s">
        <v>182</v>
      </c>
      <c r="BJ1474" s="96">
        <v>12.79</v>
      </c>
    </row>
    <row r="1475" spans="54:62" ht="13.8" x14ac:dyDescent="0.25">
      <c r="BB1475" s="187"/>
      <c r="BC1475" s="180"/>
      <c r="BD1475" s="191">
        <v>44179</v>
      </c>
      <c r="BE1475" s="192" t="s">
        <v>330</v>
      </c>
      <c r="BH1475" s="94">
        <v>44236</v>
      </c>
      <c r="BI1475" s="95" t="s">
        <v>342</v>
      </c>
      <c r="BJ1475" s="96">
        <v>12.79</v>
      </c>
    </row>
    <row r="1476" spans="54:62" ht="13.8" x14ac:dyDescent="0.25">
      <c r="BB1476" s="187"/>
      <c r="BC1476" s="180"/>
      <c r="BD1476" s="191">
        <v>44180</v>
      </c>
      <c r="BE1476" s="192" t="s">
        <v>175</v>
      </c>
      <c r="BH1476" s="94">
        <v>44237</v>
      </c>
      <c r="BI1476" s="95" t="s">
        <v>343</v>
      </c>
      <c r="BJ1476" s="96">
        <v>12.78</v>
      </c>
    </row>
    <row r="1477" spans="54:62" ht="13.8" x14ac:dyDescent="0.25">
      <c r="BB1477" s="187"/>
      <c r="BC1477" s="180"/>
      <c r="BD1477" s="191">
        <v>44181</v>
      </c>
      <c r="BE1477" s="192" t="s">
        <v>175</v>
      </c>
      <c r="BH1477" s="94">
        <v>44238</v>
      </c>
      <c r="BI1477" s="95" t="s">
        <v>344</v>
      </c>
      <c r="BJ1477" s="96">
        <v>12.78</v>
      </c>
    </row>
    <row r="1478" spans="54:62" ht="13.8" x14ac:dyDescent="0.25">
      <c r="BB1478" s="187"/>
      <c r="BC1478" s="180"/>
      <c r="BD1478" s="191">
        <v>44182</v>
      </c>
      <c r="BE1478" s="192" t="s">
        <v>175</v>
      </c>
      <c r="BH1478" s="94">
        <v>44239</v>
      </c>
      <c r="BI1478" s="95" t="s">
        <v>183</v>
      </c>
      <c r="BJ1478" s="96">
        <v>12.78</v>
      </c>
    </row>
    <row r="1479" spans="54:62" ht="13.8" x14ac:dyDescent="0.25">
      <c r="BB1479" s="187"/>
      <c r="BC1479" s="180"/>
      <c r="BD1479" s="191">
        <v>44183</v>
      </c>
      <c r="BE1479" s="192" t="s">
        <v>330</v>
      </c>
      <c r="BH1479" s="94">
        <v>44242</v>
      </c>
      <c r="BI1479" s="95" t="s">
        <v>167</v>
      </c>
      <c r="BJ1479" s="96">
        <v>12.77</v>
      </c>
    </row>
    <row r="1480" spans="54:62" ht="13.8" x14ac:dyDescent="0.25">
      <c r="BB1480" s="187"/>
      <c r="BC1480" s="180"/>
      <c r="BD1480" s="191">
        <v>44186</v>
      </c>
      <c r="BE1480" s="192" t="s">
        <v>175</v>
      </c>
      <c r="BH1480" s="94">
        <v>44243</v>
      </c>
      <c r="BI1480" s="95" t="s">
        <v>184</v>
      </c>
      <c r="BJ1480" s="96">
        <v>12.77</v>
      </c>
    </row>
    <row r="1481" spans="54:62" ht="13.8" x14ac:dyDescent="0.25">
      <c r="BB1481" s="187"/>
      <c r="BC1481" s="180"/>
      <c r="BD1481" s="191">
        <v>44187</v>
      </c>
      <c r="BE1481" s="192" t="s">
        <v>175</v>
      </c>
      <c r="BH1481" s="94">
        <v>44244</v>
      </c>
      <c r="BI1481" s="95" t="s">
        <v>185</v>
      </c>
      <c r="BJ1481" s="96">
        <v>12.76</v>
      </c>
    </row>
    <row r="1482" spans="54:62" ht="13.8" x14ac:dyDescent="0.25">
      <c r="BB1482" s="187"/>
      <c r="BC1482" s="180"/>
      <c r="BD1482" s="191">
        <v>44188</v>
      </c>
      <c r="BE1482" s="192" t="s">
        <v>175</v>
      </c>
      <c r="BH1482" s="94">
        <v>44245</v>
      </c>
      <c r="BI1482" s="95" t="s">
        <v>165</v>
      </c>
      <c r="BJ1482" s="96">
        <v>12.76</v>
      </c>
    </row>
    <row r="1483" spans="54:62" ht="13.8" x14ac:dyDescent="0.25">
      <c r="BB1483" s="187"/>
      <c r="BC1483" s="180"/>
      <c r="BD1483" s="191"/>
      <c r="BE1483" s="193" t="str">
        <f>+BE1482</f>
        <v>−0,466</v>
      </c>
      <c r="BH1483" s="94">
        <v>44246</v>
      </c>
      <c r="BI1483" s="95" t="s">
        <v>303</v>
      </c>
      <c r="BJ1483" s="96">
        <v>12.76</v>
      </c>
    </row>
    <row r="1484" spans="54:62" ht="13.8" x14ac:dyDescent="0.25">
      <c r="BB1484" s="187"/>
      <c r="BC1484" s="180"/>
      <c r="BD1484" s="191"/>
      <c r="BE1484" s="193" t="str">
        <f>+BE1483</f>
        <v>−0,466</v>
      </c>
      <c r="BH1484" s="94">
        <v>44249</v>
      </c>
      <c r="BI1484" s="95" t="s">
        <v>189</v>
      </c>
      <c r="BJ1484" s="96">
        <v>12.75</v>
      </c>
    </row>
    <row r="1485" spans="54:62" ht="13.8" x14ac:dyDescent="0.25">
      <c r="BB1485" s="187"/>
      <c r="BC1485" s="180"/>
      <c r="BD1485" s="191">
        <v>44193</v>
      </c>
      <c r="BE1485" s="192" t="s">
        <v>330</v>
      </c>
      <c r="BH1485" s="94">
        <v>44250</v>
      </c>
      <c r="BI1485" s="95" t="s">
        <v>245</v>
      </c>
      <c r="BJ1485" s="96">
        <v>12.82</v>
      </c>
    </row>
    <row r="1486" spans="54:62" ht="13.8" x14ac:dyDescent="0.25">
      <c r="BB1486" s="187"/>
      <c r="BC1486" s="180"/>
      <c r="BD1486" s="191">
        <v>44194</v>
      </c>
      <c r="BE1486" s="192" t="s">
        <v>330</v>
      </c>
      <c r="BH1486" s="94">
        <v>44251</v>
      </c>
      <c r="BI1486" s="95" t="s">
        <v>162</v>
      </c>
      <c r="BJ1486" s="96">
        <v>12.82</v>
      </c>
    </row>
    <row r="1487" spans="54:62" ht="13.8" x14ac:dyDescent="0.25">
      <c r="BB1487" s="187"/>
      <c r="BC1487" s="180"/>
      <c r="BD1487" s="191">
        <v>44195</v>
      </c>
      <c r="BE1487" s="192" t="s">
        <v>177</v>
      </c>
      <c r="BH1487" s="94">
        <v>44252</v>
      </c>
      <c r="BI1487" s="95" t="s">
        <v>345</v>
      </c>
      <c r="BJ1487" s="96">
        <v>12.82</v>
      </c>
    </row>
    <row r="1488" spans="54:62" ht="13.8" x14ac:dyDescent="0.25">
      <c r="BB1488" s="187"/>
      <c r="BC1488" s="180"/>
      <c r="BD1488" s="191">
        <v>44196</v>
      </c>
      <c r="BE1488" s="192" t="s">
        <v>177</v>
      </c>
      <c r="BH1488" s="94">
        <v>44253</v>
      </c>
      <c r="BI1488" s="95" t="s">
        <v>197</v>
      </c>
      <c r="BJ1488" s="96">
        <v>12.82</v>
      </c>
    </row>
    <row r="1489" spans="54:62" ht="13.8" x14ac:dyDescent="0.25">
      <c r="BB1489" s="187"/>
      <c r="BC1489" s="180"/>
      <c r="BD1489" s="191"/>
      <c r="BE1489" s="193" t="str">
        <f>+BE1488</f>
        <v>−0,464</v>
      </c>
      <c r="BH1489" s="94">
        <v>44256</v>
      </c>
      <c r="BI1489" s="95" t="s">
        <v>235</v>
      </c>
      <c r="BJ1489" s="96">
        <v>12.81</v>
      </c>
    </row>
    <row r="1490" spans="54:62" ht="13.8" x14ac:dyDescent="0.25">
      <c r="BB1490" s="187"/>
      <c r="BC1490" s="180"/>
      <c r="BD1490" s="191">
        <v>44200</v>
      </c>
      <c r="BE1490" s="192" t="s">
        <v>330</v>
      </c>
      <c r="BH1490" s="94">
        <v>44257</v>
      </c>
      <c r="BI1490" s="95" t="s">
        <v>234</v>
      </c>
      <c r="BJ1490" s="96">
        <v>12.81</v>
      </c>
    </row>
    <row r="1491" spans="54:62" ht="13.8" x14ac:dyDescent="0.25">
      <c r="BB1491" s="187"/>
      <c r="BC1491" s="180"/>
      <c r="BD1491" s="191">
        <v>44201</v>
      </c>
      <c r="BE1491" s="192" t="s">
        <v>324</v>
      </c>
      <c r="BH1491" s="94">
        <v>44258</v>
      </c>
      <c r="BI1491" s="95" t="s">
        <v>346</v>
      </c>
      <c r="BJ1491" s="96">
        <v>12.8</v>
      </c>
    </row>
    <row r="1492" spans="54:62" ht="13.8" x14ac:dyDescent="0.25">
      <c r="BB1492" s="187"/>
      <c r="BC1492" s="180"/>
      <c r="BD1492" s="191"/>
      <c r="BE1492" s="193" t="str">
        <f>+BE1491</f>
        <v>−0,468</v>
      </c>
      <c r="BH1492" s="94">
        <v>44259</v>
      </c>
      <c r="BI1492" s="95" t="s">
        <v>347</v>
      </c>
      <c r="BJ1492" s="96">
        <v>12.76</v>
      </c>
    </row>
    <row r="1493" spans="54:62" ht="13.8" x14ac:dyDescent="0.25">
      <c r="BB1493" s="187"/>
      <c r="BC1493" s="180"/>
      <c r="BD1493" s="191">
        <v>44203</v>
      </c>
      <c r="BE1493" s="192" t="s">
        <v>329</v>
      </c>
      <c r="BH1493" s="94">
        <v>44260</v>
      </c>
      <c r="BI1493" s="95" t="s">
        <v>201</v>
      </c>
      <c r="BJ1493" s="96">
        <v>12.76</v>
      </c>
    </row>
    <row r="1494" spans="54:62" ht="13.8" x14ac:dyDescent="0.25">
      <c r="BB1494" s="187"/>
      <c r="BC1494" s="180"/>
      <c r="BD1494" s="191">
        <v>44204</v>
      </c>
      <c r="BE1494" s="192" t="s">
        <v>329</v>
      </c>
      <c r="BH1494" s="94">
        <v>44263</v>
      </c>
      <c r="BI1494" s="95" t="s">
        <v>348</v>
      </c>
      <c r="BJ1494" s="96">
        <v>12.75</v>
      </c>
    </row>
    <row r="1495" spans="54:62" ht="13.8" x14ac:dyDescent="0.25">
      <c r="BB1495" s="187"/>
      <c r="BC1495" s="180"/>
      <c r="BD1495" s="191">
        <v>44207</v>
      </c>
      <c r="BE1495" s="192" t="s">
        <v>176</v>
      </c>
      <c r="BH1495" s="94">
        <v>44264</v>
      </c>
      <c r="BI1495" s="95" t="s">
        <v>349</v>
      </c>
      <c r="BJ1495" s="96">
        <v>12.74</v>
      </c>
    </row>
    <row r="1496" spans="54:62" ht="13.8" x14ac:dyDescent="0.25">
      <c r="BB1496" s="187"/>
      <c r="BC1496" s="180"/>
      <c r="BD1496" s="191">
        <v>44208</v>
      </c>
      <c r="BE1496" s="192" t="s">
        <v>177</v>
      </c>
      <c r="BH1496" s="94">
        <v>44265</v>
      </c>
      <c r="BI1496" s="95" t="s">
        <v>350</v>
      </c>
      <c r="BJ1496" s="96">
        <v>12.74</v>
      </c>
    </row>
    <row r="1497" spans="54:62" ht="13.8" x14ac:dyDescent="0.25">
      <c r="BB1497" s="187"/>
      <c r="BC1497" s="180"/>
      <c r="BD1497" s="191">
        <v>44209</v>
      </c>
      <c r="BE1497" s="192" t="s">
        <v>178</v>
      </c>
      <c r="BH1497" s="94">
        <v>44266</v>
      </c>
      <c r="BI1497" s="95" t="s">
        <v>281</v>
      </c>
      <c r="BJ1497" s="96">
        <v>12.74</v>
      </c>
    </row>
    <row r="1498" spans="54:62" ht="13.8" x14ac:dyDescent="0.25">
      <c r="BB1498" s="187"/>
      <c r="BC1498" s="180"/>
      <c r="BD1498" s="191">
        <v>44210</v>
      </c>
      <c r="BE1498" s="192" t="s">
        <v>179</v>
      </c>
      <c r="BH1498" s="94">
        <v>44267</v>
      </c>
      <c r="BI1498" s="95" t="s">
        <v>351</v>
      </c>
      <c r="BJ1498" s="96">
        <v>12.73</v>
      </c>
    </row>
    <row r="1499" spans="54:62" ht="13.8" x14ac:dyDescent="0.25">
      <c r="BB1499" s="187"/>
      <c r="BC1499" s="180"/>
      <c r="BD1499" s="191">
        <v>44211</v>
      </c>
      <c r="BE1499" s="192" t="s">
        <v>332</v>
      </c>
      <c r="BH1499" s="94">
        <v>44270</v>
      </c>
      <c r="BI1499" s="95" t="s">
        <v>280</v>
      </c>
      <c r="BJ1499" s="96">
        <v>12.72</v>
      </c>
    </row>
    <row r="1500" spans="54:62" ht="13.8" x14ac:dyDescent="0.25">
      <c r="BB1500" s="187"/>
      <c r="BC1500" s="180"/>
      <c r="BD1500" s="191">
        <v>44214</v>
      </c>
      <c r="BE1500" s="192" t="s">
        <v>335</v>
      </c>
      <c r="BH1500" s="94">
        <v>44271</v>
      </c>
      <c r="BI1500" s="95" t="s">
        <v>251</v>
      </c>
      <c r="BJ1500" s="96">
        <v>12.72</v>
      </c>
    </row>
    <row r="1501" spans="54:62" ht="13.8" x14ac:dyDescent="0.25">
      <c r="BB1501" s="187"/>
      <c r="BC1501" s="180"/>
      <c r="BD1501" s="191">
        <v>44215</v>
      </c>
      <c r="BE1501" s="192" t="s">
        <v>322</v>
      </c>
      <c r="BH1501" s="94">
        <v>44272</v>
      </c>
      <c r="BI1501" s="95" t="s">
        <v>352</v>
      </c>
      <c r="BJ1501" s="96">
        <v>12.71</v>
      </c>
    </row>
    <row r="1502" spans="54:62" ht="13.8" x14ac:dyDescent="0.25">
      <c r="BB1502" s="187"/>
      <c r="BC1502" s="180"/>
      <c r="BD1502" s="191">
        <v>44216</v>
      </c>
      <c r="BE1502" s="192" t="s">
        <v>336</v>
      </c>
      <c r="BH1502" s="94">
        <v>44273</v>
      </c>
      <c r="BI1502" s="95" t="s">
        <v>204</v>
      </c>
      <c r="BJ1502" s="96">
        <v>12.7</v>
      </c>
    </row>
    <row r="1503" spans="54:62" ht="13.8" x14ac:dyDescent="0.25">
      <c r="BB1503" s="187"/>
      <c r="BC1503" s="180"/>
      <c r="BD1503" s="191">
        <v>44217</v>
      </c>
      <c r="BE1503" s="192" t="s">
        <v>180</v>
      </c>
      <c r="BH1503" s="94">
        <v>44274</v>
      </c>
      <c r="BI1503" s="95" t="s">
        <v>204</v>
      </c>
      <c r="BJ1503" s="96">
        <v>12.7</v>
      </c>
    </row>
    <row r="1504" spans="54:62" ht="13.8" x14ac:dyDescent="0.25">
      <c r="BB1504" s="187"/>
      <c r="BC1504" s="180"/>
      <c r="BD1504" s="191">
        <v>44218</v>
      </c>
      <c r="BE1504" s="192" t="s">
        <v>321</v>
      </c>
      <c r="BH1504" s="94">
        <v>44277</v>
      </c>
      <c r="BI1504" s="95" t="s">
        <v>204</v>
      </c>
      <c r="BJ1504" s="96">
        <v>12.68</v>
      </c>
    </row>
    <row r="1505" spans="54:62" ht="13.8" x14ac:dyDescent="0.25">
      <c r="BB1505" s="187"/>
      <c r="BC1505" s="180"/>
      <c r="BD1505" s="191">
        <v>44221</v>
      </c>
      <c r="BE1505" s="192" t="s">
        <v>337</v>
      </c>
      <c r="BH1505" s="94">
        <v>44278</v>
      </c>
      <c r="BI1505" s="95" t="s">
        <v>353</v>
      </c>
      <c r="BJ1505" s="96">
        <v>12.68</v>
      </c>
    </row>
    <row r="1506" spans="54:62" ht="13.8" x14ac:dyDescent="0.25">
      <c r="BB1506" s="187"/>
      <c r="BC1506" s="180"/>
      <c r="BD1506" s="191">
        <v>44222</v>
      </c>
      <c r="BE1506" s="192" t="s">
        <v>320</v>
      </c>
      <c r="BH1506" s="94">
        <v>44279</v>
      </c>
      <c r="BI1506" s="95" t="s">
        <v>279</v>
      </c>
      <c r="BJ1506" s="96">
        <v>12.67</v>
      </c>
    </row>
    <row r="1507" spans="54:62" ht="13.8" x14ac:dyDescent="0.25">
      <c r="BB1507" s="187"/>
      <c r="BC1507" s="180"/>
      <c r="BD1507" s="191">
        <v>44223</v>
      </c>
      <c r="BE1507" s="192" t="s">
        <v>171</v>
      </c>
      <c r="BH1507" s="94">
        <v>44280</v>
      </c>
      <c r="BI1507" s="95" t="s">
        <v>354</v>
      </c>
      <c r="BJ1507" s="96">
        <v>12.67</v>
      </c>
    </row>
    <row r="1508" spans="54:62" ht="13.8" x14ac:dyDescent="0.25">
      <c r="BB1508" s="187"/>
      <c r="BC1508" s="180"/>
      <c r="BD1508" s="191">
        <v>44224</v>
      </c>
      <c r="BE1508" s="192" t="s">
        <v>338</v>
      </c>
      <c r="BH1508" s="94">
        <v>44281</v>
      </c>
      <c r="BI1508" s="95" t="s">
        <v>281</v>
      </c>
      <c r="BJ1508" s="96">
        <v>12.67</v>
      </c>
    </row>
    <row r="1509" spans="54:62" ht="13.8" x14ac:dyDescent="0.25">
      <c r="BB1509" s="187"/>
      <c r="BC1509" s="180"/>
      <c r="BD1509" s="191">
        <v>44225</v>
      </c>
      <c r="BE1509" s="192" t="s">
        <v>339</v>
      </c>
      <c r="BH1509" s="94">
        <v>44284</v>
      </c>
      <c r="BI1509" s="95" t="s">
        <v>230</v>
      </c>
      <c r="BJ1509" s="96">
        <v>12.66</v>
      </c>
    </row>
    <row r="1510" spans="54:62" ht="13.8" x14ac:dyDescent="0.25">
      <c r="BB1510" s="187"/>
      <c r="BC1510" s="180"/>
      <c r="BD1510" s="191">
        <v>44228</v>
      </c>
      <c r="BE1510" s="192" t="s">
        <v>319</v>
      </c>
      <c r="BH1510" s="94">
        <v>44285</v>
      </c>
      <c r="BI1510" s="95" t="s">
        <v>355</v>
      </c>
      <c r="BJ1510" s="96">
        <v>12.65</v>
      </c>
    </row>
    <row r="1511" spans="54:62" ht="13.8" x14ac:dyDescent="0.25">
      <c r="BB1511" s="187"/>
      <c r="BC1511" s="180"/>
      <c r="BD1511" s="191">
        <v>44229</v>
      </c>
      <c r="BE1511" s="192" t="s">
        <v>340</v>
      </c>
      <c r="BH1511" s="94">
        <v>44286</v>
      </c>
      <c r="BI1511" s="95" t="s">
        <v>281</v>
      </c>
      <c r="BJ1511" s="96">
        <v>12.64</v>
      </c>
    </row>
    <row r="1512" spans="54:62" ht="13.8" x14ac:dyDescent="0.25">
      <c r="BB1512" s="187"/>
      <c r="BC1512" s="180"/>
      <c r="BD1512" s="191">
        <v>44230</v>
      </c>
      <c r="BE1512" s="192" t="s">
        <v>341</v>
      </c>
      <c r="BH1512" s="94">
        <v>44287</v>
      </c>
      <c r="BI1512" s="95" t="s">
        <v>355</v>
      </c>
      <c r="BJ1512" s="96">
        <v>12.64</v>
      </c>
    </row>
    <row r="1513" spans="54:62" ht="13.8" x14ac:dyDescent="0.25">
      <c r="BB1513" s="187"/>
      <c r="BC1513" s="180"/>
      <c r="BD1513" s="191">
        <v>44231</v>
      </c>
      <c r="BE1513" s="192" t="s">
        <v>181</v>
      </c>
      <c r="BH1513" s="94">
        <v>44288</v>
      </c>
      <c r="BI1513" s="95" t="s">
        <v>230</v>
      </c>
      <c r="BJ1513" s="96">
        <v>12.64</v>
      </c>
    </row>
    <row r="1514" spans="54:62" ht="13.8" x14ac:dyDescent="0.25">
      <c r="BB1514" s="187"/>
      <c r="BC1514" s="180"/>
      <c r="BD1514" s="191">
        <v>44232</v>
      </c>
      <c r="BE1514" s="192" t="s">
        <v>169</v>
      </c>
      <c r="BH1514" s="94">
        <v>44292</v>
      </c>
      <c r="BI1514" s="95" t="s">
        <v>356</v>
      </c>
      <c r="BJ1514" s="96">
        <v>12.63</v>
      </c>
    </row>
    <row r="1515" spans="54:62" ht="13.8" x14ac:dyDescent="0.25">
      <c r="BB1515" s="187"/>
      <c r="BC1515" s="180"/>
      <c r="BD1515" s="191">
        <v>44235</v>
      </c>
      <c r="BE1515" s="192" t="s">
        <v>182</v>
      </c>
      <c r="BH1515" s="94">
        <v>44293</v>
      </c>
      <c r="BI1515" s="95" t="s">
        <v>250</v>
      </c>
      <c r="BJ1515" s="96">
        <v>12.62</v>
      </c>
    </row>
    <row r="1516" spans="54:62" ht="13.8" x14ac:dyDescent="0.25">
      <c r="BB1516" s="187"/>
      <c r="BC1516" s="180"/>
      <c r="BD1516" s="191">
        <v>44236</v>
      </c>
      <c r="BE1516" s="192" t="s">
        <v>342</v>
      </c>
      <c r="BH1516" s="94">
        <v>44294</v>
      </c>
      <c r="BI1516" s="95" t="s">
        <v>357</v>
      </c>
      <c r="BJ1516" s="96">
        <v>12.65</v>
      </c>
    </row>
    <row r="1517" spans="54:62" ht="13.8" x14ac:dyDescent="0.25">
      <c r="BB1517" s="187"/>
      <c r="BC1517" s="180"/>
      <c r="BD1517" s="191">
        <v>44237</v>
      </c>
      <c r="BE1517" s="192" t="s">
        <v>343</v>
      </c>
      <c r="BH1517" s="94">
        <v>44295</v>
      </c>
      <c r="BI1517" s="95" t="s">
        <v>357</v>
      </c>
      <c r="BJ1517" s="96">
        <v>12.65</v>
      </c>
    </row>
    <row r="1518" spans="54:62" ht="13.8" x14ac:dyDescent="0.25">
      <c r="BB1518" s="187"/>
      <c r="BC1518" s="180"/>
      <c r="BD1518" s="191">
        <v>44238</v>
      </c>
      <c r="BE1518" s="192" t="s">
        <v>344</v>
      </c>
      <c r="BH1518" s="94">
        <v>44298</v>
      </c>
      <c r="BI1518" s="95" t="s">
        <v>357</v>
      </c>
      <c r="BJ1518" s="96">
        <v>12.64</v>
      </c>
    </row>
    <row r="1519" spans="54:62" ht="13.8" x14ac:dyDescent="0.25">
      <c r="BB1519" s="187"/>
      <c r="BC1519" s="180"/>
      <c r="BD1519" s="191">
        <v>44239</v>
      </c>
      <c r="BE1519" s="192" t="s">
        <v>183</v>
      </c>
      <c r="BH1519" s="94">
        <v>44299</v>
      </c>
      <c r="BI1519" s="95" t="s">
        <v>230</v>
      </c>
      <c r="BJ1519" s="96">
        <v>12.64</v>
      </c>
    </row>
    <row r="1520" spans="54:62" ht="13.8" x14ac:dyDescent="0.25">
      <c r="BB1520" s="187"/>
      <c r="BC1520" s="180"/>
      <c r="BD1520" s="191">
        <v>44242</v>
      </c>
      <c r="BE1520" s="192" t="s">
        <v>167</v>
      </c>
      <c r="BH1520" s="94">
        <v>44300</v>
      </c>
      <c r="BI1520" s="95" t="s">
        <v>281</v>
      </c>
      <c r="BJ1520" s="96">
        <v>12.62</v>
      </c>
    </row>
    <row r="1521" spans="54:62" ht="13.8" x14ac:dyDescent="0.25">
      <c r="BB1521" s="187"/>
      <c r="BC1521" s="180"/>
      <c r="BD1521" s="191">
        <v>44243</v>
      </c>
      <c r="BE1521" s="192" t="s">
        <v>184</v>
      </c>
      <c r="BH1521" s="94">
        <v>44301</v>
      </c>
      <c r="BI1521" s="95" t="s">
        <v>358</v>
      </c>
      <c r="BJ1521" s="96">
        <v>12.62</v>
      </c>
    </row>
    <row r="1522" spans="54:62" ht="13.8" x14ac:dyDescent="0.25">
      <c r="BB1522" s="187"/>
      <c r="BC1522" s="180"/>
      <c r="BD1522" s="191">
        <v>44244</v>
      </c>
      <c r="BE1522" s="192" t="s">
        <v>185</v>
      </c>
      <c r="BH1522" s="94">
        <v>44302</v>
      </c>
      <c r="BI1522" s="95" t="s">
        <v>203</v>
      </c>
      <c r="BJ1522" s="96">
        <v>12.62</v>
      </c>
    </row>
    <row r="1523" spans="54:62" ht="13.8" x14ac:dyDescent="0.25">
      <c r="BB1523" s="187"/>
      <c r="BC1523" s="180"/>
      <c r="BD1523" s="191">
        <v>44245</v>
      </c>
      <c r="BE1523" s="192" t="s">
        <v>165</v>
      </c>
      <c r="BH1523" s="94">
        <v>44305</v>
      </c>
      <c r="BI1523" s="95" t="s">
        <v>358</v>
      </c>
      <c r="BJ1523" s="96">
        <v>12.61</v>
      </c>
    </row>
    <row r="1524" spans="54:62" ht="13.8" x14ac:dyDescent="0.25">
      <c r="BB1524" s="187"/>
      <c r="BC1524" s="180"/>
      <c r="BD1524" s="191">
        <v>44246</v>
      </c>
      <c r="BE1524" s="192" t="s">
        <v>303</v>
      </c>
      <c r="BH1524" s="94">
        <v>44306</v>
      </c>
      <c r="BI1524" s="95" t="s">
        <v>359</v>
      </c>
      <c r="BJ1524" s="96">
        <v>13.21</v>
      </c>
    </row>
    <row r="1525" spans="54:62" ht="13.8" x14ac:dyDescent="0.25">
      <c r="BB1525" s="187"/>
      <c r="BC1525" s="180"/>
      <c r="BD1525" s="191">
        <v>44249</v>
      </c>
      <c r="BE1525" s="192" t="s">
        <v>189</v>
      </c>
      <c r="BH1525" s="94">
        <v>44307</v>
      </c>
      <c r="BI1525" s="95" t="s">
        <v>360</v>
      </c>
      <c r="BJ1525" s="96">
        <v>13.24</v>
      </c>
    </row>
    <row r="1526" spans="54:62" ht="13.8" x14ac:dyDescent="0.25">
      <c r="BB1526" s="187"/>
      <c r="BC1526" s="180"/>
      <c r="BD1526" s="191">
        <v>44250</v>
      </c>
      <c r="BE1526" s="192" t="s">
        <v>245</v>
      </c>
      <c r="BH1526" s="94">
        <v>44308</v>
      </c>
      <c r="BI1526" s="95" t="s">
        <v>271</v>
      </c>
      <c r="BJ1526" s="96">
        <v>13.23</v>
      </c>
    </row>
    <row r="1527" spans="54:62" ht="13.8" x14ac:dyDescent="0.25">
      <c r="BB1527" s="187"/>
      <c r="BC1527" s="180"/>
      <c r="BD1527" s="191">
        <v>44251</v>
      </c>
      <c r="BE1527" s="192" t="s">
        <v>162</v>
      </c>
      <c r="BH1527" s="94">
        <v>44309</v>
      </c>
      <c r="BI1527" s="95" t="s">
        <v>361</v>
      </c>
      <c r="BJ1527" s="96">
        <v>13.23</v>
      </c>
    </row>
    <row r="1528" spans="54:62" ht="13.8" x14ac:dyDescent="0.25">
      <c r="BB1528" s="187"/>
      <c r="BC1528" s="180"/>
      <c r="BD1528" s="191">
        <v>44252</v>
      </c>
      <c r="BE1528" s="192" t="s">
        <v>345</v>
      </c>
      <c r="BH1528" s="94">
        <v>44312</v>
      </c>
      <c r="BI1528" s="95" t="s">
        <v>252</v>
      </c>
      <c r="BJ1528" s="96">
        <v>13.22</v>
      </c>
    </row>
    <row r="1529" spans="54:62" ht="13.8" x14ac:dyDescent="0.25">
      <c r="BB1529" s="187"/>
      <c r="BC1529" s="180"/>
      <c r="BD1529" s="191">
        <v>44253</v>
      </c>
      <c r="BE1529" s="192" t="s">
        <v>197</v>
      </c>
      <c r="BH1529" s="94">
        <v>44313</v>
      </c>
      <c r="BI1529" s="95" t="s">
        <v>273</v>
      </c>
      <c r="BJ1529" s="96">
        <v>13.22</v>
      </c>
    </row>
    <row r="1530" spans="54:62" ht="13.8" x14ac:dyDescent="0.25">
      <c r="BB1530" s="187"/>
      <c r="BC1530" s="180"/>
      <c r="BD1530" s="191">
        <v>44256</v>
      </c>
      <c r="BE1530" s="192" t="s">
        <v>235</v>
      </c>
      <c r="BH1530" s="94">
        <v>44314</v>
      </c>
      <c r="BI1530" s="95" t="s">
        <v>275</v>
      </c>
      <c r="BJ1530" s="96">
        <v>13.22</v>
      </c>
    </row>
    <row r="1531" spans="54:62" ht="13.8" x14ac:dyDescent="0.25">
      <c r="BB1531" s="187"/>
      <c r="BC1531" s="180"/>
      <c r="BD1531" s="191">
        <v>44257</v>
      </c>
      <c r="BE1531" s="192" t="s">
        <v>234</v>
      </c>
      <c r="BH1531" s="94">
        <v>44315</v>
      </c>
      <c r="BI1531" s="95" t="s">
        <v>152</v>
      </c>
      <c r="BJ1531" s="96">
        <v>13.2</v>
      </c>
    </row>
    <row r="1532" spans="54:62" ht="13.8" x14ac:dyDescent="0.25">
      <c r="BB1532" s="187"/>
      <c r="BC1532" s="180"/>
      <c r="BD1532" s="191">
        <v>44258</v>
      </c>
      <c r="BE1532" s="192" t="s">
        <v>346</v>
      </c>
      <c r="BH1532" s="94">
        <v>44316</v>
      </c>
      <c r="BI1532" s="95" t="s">
        <v>362</v>
      </c>
      <c r="BJ1532" s="96">
        <v>13.2</v>
      </c>
    </row>
    <row r="1533" spans="54:62" ht="13.8" x14ac:dyDescent="0.25">
      <c r="BB1533" s="187"/>
      <c r="BC1533" s="180"/>
      <c r="BD1533" s="191">
        <v>44259</v>
      </c>
      <c r="BE1533" s="192" t="s">
        <v>347</v>
      </c>
      <c r="BH1533" s="94">
        <v>44319</v>
      </c>
      <c r="BI1533" s="95" t="s">
        <v>150</v>
      </c>
      <c r="BJ1533" s="96">
        <v>13.19</v>
      </c>
    </row>
    <row r="1534" spans="54:62" ht="13.8" x14ac:dyDescent="0.25">
      <c r="BB1534" s="187"/>
      <c r="BC1534" s="180"/>
      <c r="BD1534" s="191">
        <v>44260</v>
      </c>
      <c r="BE1534" s="192" t="s">
        <v>201</v>
      </c>
      <c r="BH1534" s="94">
        <v>44320</v>
      </c>
      <c r="BI1534" s="95" t="s">
        <v>149</v>
      </c>
      <c r="BJ1534" s="96">
        <v>13.19</v>
      </c>
    </row>
    <row r="1535" spans="54:62" ht="13.8" x14ac:dyDescent="0.25">
      <c r="BB1535" s="187"/>
      <c r="BC1535" s="180"/>
      <c r="BD1535" s="191">
        <v>44263</v>
      </c>
      <c r="BE1535" s="192" t="s">
        <v>348</v>
      </c>
      <c r="BH1535" s="94">
        <v>44321</v>
      </c>
      <c r="BI1535" s="95" t="s">
        <v>148</v>
      </c>
      <c r="BJ1535" s="96">
        <v>13.18</v>
      </c>
    </row>
    <row r="1536" spans="54:62" ht="13.8" x14ac:dyDescent="0.25">
      <c r="BB1536" s="187"/>
      <c r="BC1536" s="180"/>
      <c r="BD1536" s="191">
        <v>44264</v>
      </c>
      <c r="BE1536" s="192" t="s">
        <v>349</v>
      </c>
      <c r="BH1536" s="94">
        <v>44322</v>
      </c>
      <c r="BI1536" s="95" t="s">
        <v>225</v>
      </c>
      <c r="BJ1536" s="96">
        <v>13.21</v>
      </c>
    </row>
    <row r="1537" spans="54:62" ht="13.8" x14ac:dyDescent="0.25">
      <c r="BB1537" s="187"/>
      <c r="BC1537" s="180"/>
      <c r="BD1537" s="191">
        <v>44265</v>
      </c>
      <c r="BE1537" s="192" t="s">
        <v>350</v>
      </c>
      <c r="BH1537" s="94">
        <v>44323</v>
      </c>
      <c r="BI1537" s="95" t="s">
        <v>224</v>
      </c>
      <c r="BJ1537" s="96">
        <v>13.25</v>
      </c>
    </row>
    <row r="1538" spans="54:62" ht="13.8" x14ac:dyDescent="0.25">
      <c r="BB1538" s="187"/>
      <c r="BC1538" s="180"/>
      <c r="BD1538" s="191">
        <v>44266</v>
      </c>
      <c r="BE1538" s="192" t="s">
        <v>281</v>
      </c>
      <c r="BH1538" s="94">
        <v>44326</v>
      </c>
      <c r="BI1538" s="95" t="s">
        <v>93</v>
      </c>
      <c r="BJ1538" s="96">
        <v>13.23</v>
      </c>
    </row>
    <row r="1539" spans="54:62" ht="13.8" x14ac:dyDescent="0.25">
      <c r="BB1539" s="187"/>
      <c r="BC1539" s="180"/>
      <c r="BD1539" s="191">
        <v>44267</v>
      </c>
      <c r="BE1539" s="192" t="s">
        <v>351</v>
      </c>
      <c r="BH1539" s="94">
        <v>44327</v>
      </c>
      <c r="BI1539" s="95" t="s">
        <v>89</v>
      </c>
      <c r="BJ1539" s="96">
        <v>13.23</v>
      </c>
    </row>
    <row r="1540" spans="54:62" ht="13.8" x14ac:dyDescent="0.25">
      <c r="BB1540" s="187"/>
      <c r="BC1540" s="180"/>
      <c r="BD1540" s="191">
        <v>44270</v>
      </c>
      <c r="BE1540" s="192" t="s">
        <v>280</v>
      </c>
      <c r="BH1540" s="94">
        <v>44328</v>
      </c>
      <c r="BI1540" s="95" t="s">
        <v>216</v>
      </c>
      <c r="BJ1540" s="96">
        <v>13.23</v>
      </c>
    </row>
    <row r="1541" spans="54:62" ht="13.8" x14ac:dyDescent="0.25">
      <c r="BB1541" s="187"/>
      <c r="BC1541" s="180"/>
      <c r="BD1541" s="191">
        <v>44271</v>
      </c>
      <c r="BE1541" s="192" t="s">
        <v>251</v>
      </c>
      <c r="BH1541" s="94">
        <v>44330</v>
      </c>
      <c r="BI1541" s="95" t="s">
        <v>86</v>
      </c>
      <c r="BJ1541" s="96">
        <v>13.26</v>
      </c>
    </row>
    <row r="1542" spans="54:62" ht="13.8" x14ac:dyDescent="0.25">
      <c r="BB1542" s="187"/>
      <c r="BC1542" s="180"/>
      <c r="BD1542" s="191">
        <v>44272</v>
      </c>
      <c r="BE1542" s="192" t="s">
        <v>352</v>
      </c>
      <c r="BH1542" s="94">
        <v>44333</v>
      </c>
      <c r="BI1542" s="95" t="s">
        <v>217</v>
      </c>
      <c r="BJ1542" s="96">
        <v>13.25</v>
      </c>
    </row>
    <row r="1543" spans="54:62" ht="13.8" x14ac:dyDescent="0.25">
      <c r="BB1543" s="187"/>
      <c r="BC1543" s="180"/>
      <c r="BD1543" s="191">
        <v>44273</v>
      </c>
      <c r="BE1543" s="192" t="s">
        <v>204</v>
      </c>
      <c r="BH1543" s="94">
        <v>44334</v>
      </c>
      <c r="BI1543" s="95" t="s">
        <v>80</v>
      </c>
      <c r="BJ1543" s="96">
        <v>13.24</v>
      </c>
    </row>
    <row r="1544" spans="54:62" ht="13.8" x14ac:dyDescent="0.25">
      <c r="BB1544" s="187"/>
      <c r="BC1544" s="180"/>
      <c r="BD1544" s="191">
        <v>44274</v>
      </c>
      <c r="BE1544" s="192" t="s">
        <v>204</v>
      </c>
      <c r="BH1544" s="94">
        <v>44335</v>
      </c>
      <c r="BI1544" s="95" t="s">
        <v>103</v>
      </c>
      <c r="BJ1544" s="96">
        <v>13.24</v>
      </c>
    </row>
    <row r="1545" spans="54:62" ht="13.8" x14ac:dyDescent="0.25">
      <c r="BB1545" s="187"/>
      <c r="BC1545" s="180"/>
      <c r="BD1545" s="191">
        <v>44277</v>
      </c>
      <c r="BE1545" s="192" t="s">
        <v>204</v>
      </c>
      <c r="BH1545" s="94">
        <v>44336</v>
      </c>
      <c r="BI1545" s="95" t="s">
        <v>97</v>
      </c>
      <c r="BJ1545" s="96">
        <v>13.24</v>
      </c>
    </row>
    <row r="1546" spans="54:62" ht="13.8" x14ac:dyDescent="0.25">
      <c r="BB1546" s="187"/>
      <c r="BC1546" s="180"/>
      <c r="BD1546" s="191">
        <v>44278</v>
      </c>
      <c r="BE1546" s="192" t="s">
        <v>353</v>
      </c>
      <c r="BH1546" s="94">
        <v>44337</v>
      </c>
      <c r="BI1546" s="95" t="s">
        <v>99</v>
      </c>
      <c r="BJ1546" s="96">
        <v>13.23</v>
      </c>
    </row>
    <row r="1547" spans="54:62" ht="13.8" x14ac:dyDescent="0.25">
      <c r="BB1547" s="187"/>
      <c r="BC1547" s="180"/>
      <c r="BD1547" s="191">
        <v>44279</v>
      </c>
      <c r="BE1547" s="192" t="s">
        <v>279</v>
      </c>
      <c r="BH1547" s="94">
        <v>44341</v>
      </c>
      <c r="BI1547" s="95" t="s">
        <v>101</v>
      </c>
      <c r="BJ1547" s="96">
        <v>13.22</v>
      </c>
    </row>
    <row r="1548" spans="54:62" ht="13.8" x14ac:dyDescent="0.25">
      <c r="BB1548" s="187"/>
      <c r="BC1548" s="180"/>
      <c r="BD1548" s="191">
        <v>44280</v>
      </c>
      <c r="BE1548" s="192" t="s">
        <v>354</v>
      </c>
      <c r="BH1548" s="94">
        <v>44342</v>
      </c>
      <c r="BI1548" s="95" t="s">
        <v>108</v>
      </c>
      <c r="BJ1548" s="96">
        <v>13.22</v>
      </c>
    </row>
    <row r="1549" spans="54:62" ht="13.8" x14ac:dyDescent="0.25">
      <c r="BB1549" s="187"/>
      <c r="BC1549" s="180"/>
      <c r="BD1549" s="191">
        <v>44281</v>
      </c>
      <c r="BE1549" s="192" t="s">
        <v>281</v>
      </c>
      <c r="BH1549" s="94">
        <v>44343</v>
      </c>
      <c r="BI1549" s="95" t="s">
        <v>142</v>
      </c>
      <c r="BJ1549" s="96">
        <v>13.21</v>
      </c>
    </row>
    <row r="1550" spans="54:62" ht="13.8" x14ac:dyDescent="0.25">
      <c r="BB1550" s="187"/>
      <c r="BC1550" s="180"/>
      <c r="BD1550" s="191">
        <v>44284</v>
      </c>
      <c r="BE1550" s="192" t="s">
        <v>230</v>
      </c>
      <c r="BH1550" s="94">
        <v>44344</v>
      </c>
      <c r="BI1550" s="95" t="s">
        <v>363</v>
      </c>
      <c r="BJ1550" s="96">
        <v>13.21</v>
      </c>
    </row>
    <row r="1551" spans="54:62" ht="13.8" x14ac:dyDescent="0.25">
      <c r="BB1551" s="187"/>
      <c r="BC1551" s="180"/>
      <c r="BD1551" s="191">
        <v>44285</v>
      </c>
      <c r="BE1551" s="192" t="s">
        <v>355</v>
      </c>
      <c r="BH1551" s="94">
        <v>44347</v>
      </c>
      <c r="BI1551" s="95" t="s">
        <v>364</v>
      </c>
      <c r="BJ1551" s="96">
        <v>13.29</v>
      </c>
    </row>
    <row r="1552" spans="54:62" ht="13.8" x14ac:dyDescent="0.25">
      <c r="BB1552" s="187"/>
      <c r="BC1552" s="180"/>
      <c r="BD1552" s="191">
        <v>44286</v>
      </c>
      <c r="BE1552" s="192" t="s">
        <v>281</v>
      </c>
      <c r="BH1552" s="94">
        <v>44348</v>
      </c>
      <c r="BI1552" s="95" t="s">
        <v>365</v>
      </c>
      <c r="BJ1552" s="96">
        <v>13.29</v>
      </c>
    </row>
    <row r="1553" spans="54:62" ht="13.8" x14ac:dyDescent="0.25">
      <c r="BB1553" s="187"/>
      <c r="BC1553" s="180"/>
      <c r="BD1553" s="191">
        <v>44287</v>
      </c>
      <c r="BE1553" s="192" t="s">
        <v>355</v>
      </c>
      <c r="BH1553" s="94">
        <v>44349</v>
      </c>
      <c r="BI1553" s="95" t="s">
        <v>364</v>
      </c>
      <c r="BJ1553" s="96">
        <v>13.28</v>
      </c>
    </row>
    <row r="1554" spans="54:62" ht="13.8" x14ac:dyDescent="0.25">
      <c r="BB1554" s="187"/>
      <c r="BC1554" s="180"/>
      <c r="BD1554" s="191">
        <v>44288</v>
      </c>
      <c r="BE1554" s="192" t="s">
        <v>230</v>
      </c>
      <c r="BH1554" s="94">
        <v>44351</v>
      </c>
      <c r="BI1554" s="95" t="s">
        <v>111</v>
      </c>
      <c r="BJ1554" s="96">
        <v>13.28</v>
      </c>
    </row>
    <row r="1555" spans="54:62" ht="13.8" x14ac:dyDescent="0.25">
      <c r="BB1555" s="187"/>
      <c r="BC1555" s="180"/>
      <c r="BD1555" s="191"/>
      <c r="BE1555" s="193" t="str">
        <f>+BE1554</f>
        <v>−0,265</v>
      </c>
      <c r="BH1555" s="94">
        <v>44354</v>
      </c>
      <c r="BI1555" s="95" t="s">
        <v>141</v>
      </c>
      <c r="BJ1555" s="96">
        <v>13.27</v>
      </c>
    </row>
    <row r="1556" spans="54:62" ht="13.8" x14ac:dyDescent="0.25">
      <c r="BB1556" s="187"/>
      <c r="BC1556" s="180"/>
      <c r="BD1556" s="191">
        <v>44292</v>
      </c>
      <c r="BE1556" s="192" t="s">
        <v>356</v>
      </c>
      <c r="BH1556" s="94">
        <v>44355</v>
      </c>
      <c r="BI1556" s="95" t="s">
        <v>366</v>
      </c>
      <c r="BJ1556" s="96">
        <v>13.27</v>
      </c>
    </row>
    <row r="1557" spans="54:62" ht="13.8" x14ac:dyDescent="0.25">
      <c r="BB1557" s="187"/>
      <c r="BC1557" s="180"/>
      <c r="BD1557" s="191">
        <v>44293</v>
      </c>
      <c r="BE1557" s="192" t="s">
        <v>250</v>
      </c>
      <c r="BH1557" s="94">
        <v>44356</v>
      </c>
      <c r="BI1557" s="95" t="s">
        <v>141</v>
      </c>
      <c r="BJ1557" s="96">
        <v>13.25</v>
      </c>
    </row>
    <row r="1558" spans="54:62" ht="13.8" x14ac:dyDescent="0.25">
      <c r="BB1558" s="187"/>
      <c r="BC1558" s="180"/>
      <c r="BD1558" s="191">
        <v>44294</v>
      </c>
      <c r="BE1558" s="192" t="s">
        <v>357</v>
      </c>
      <c r="BH1558" s="94">
        <v>44357</v>
      </c>
      <c r="BI1558" s="95" t="s">
        <v>365</v>
      </c>
      <c r="BJ1558" s="96">
        <v>13.21</v>
      </c>
    </row>
    <row r="1559" spans="54:62" ht="13.8" x14ac:dyDescent="0.25">
      <c r="BB1559" s="187"/>
      <c r="BC1559" s="180"/>
      <c r="BD1559" s="191">
        <v>44295</v>
      </c>
      <c r="BE1559" s="192" t="s">
        <v>357</v>
      </c>
      <c r="BH1559" s="94">
        <v>44358</v>
      </c>
      <c r="BI1559" s="95" t="s">
        <v>72</v>
      </c>
      <c r="BJ1559" s="96">
        <v>13.21</v>
      </c>
    </row>
    <row r="1560" spans="54:62" ht="13.8" x14ac:dyDescent="0.25">
      <c r="BB1560" s="187"/>
      <c r="BC1560" s="180"/>
      <c r="BD1560" s="191">
        <v>44298</v>
      </c>
      <c r="BE1560" s="192" t="s">
        <v>357</v>
      </c>
      <c r="BH1560" s="94">
        <v>44361</v>
      </c>
      <c r="BI1560" s="95" t="s">
        <v>108</v>
      </c>
      <c r="BJ1560" s="96">
        <v>13.2</v>
      </c>
    </row>
    <row r="1561" spans="54:62" ht="13.8" x14ac:dyDescent="0.25">
      <c r="BB1561" s="187"/>
      <c r="BC1561" s="180"/>
      <c r="BD1561" s="191">
        <v>44299</v>
      </c>
      <c r="BE1561" s="192" t="s">
        <v>230</v>
      </c>
      <c r="BH1561" s="94">
        <v>44362</v>
      </c>
      <c r="BI1561" s="95" t="s">
        <v>74</v>
      </c>
      <c r="BJ1561" s="96">
        <v>13.2</v>
      </c>
    </row>
    <row r="1562" spans="54:62" ht="13.8" x14ac:dyDescent="0.25">
      <c r="BB1562" s="187"/>
      <c r="BC1562" s="180"/>
      <c r="BD1562" s="191">
        <v>44300</v>
      </c>
      <c r="BE1562" s="192" t="s">
        <v>281</v>
      </c>
      <c r="BH1562" s="94">
        <v>44363</v>
      </c>
      <c r="BI1562" s="95" t="s">
        <v>98</v>
      </c>
      <c r="BJ1562" s="96">
        <v>13.19</v>
      </c>
    </row>
    <row r="1563" spans="54:62" ht="13.8" x14ac:dyDescent="0.25">
      <c r="BB1563" s="187"/>
      <c r="BC1563" s="180"/>
      <c r="BD1563" s="191">
        <v>44301</v>
      </c>
      <c r="BE1563" s="192" t="s">
        <v>358</v>
      </c>
      <c r="BH1563" s="94">
        <v>44364</v>
      </c>
      <c r="BI1563" s="95" t="s">
        <v>77</v>
      </c>
      <c r="BJ1563" s="96">
        <v>13.18</v>
      </c>
    </row>
    <row r="1564" spans="54:62" ht="13.8" x14ac:dyDescent="0.25">
      <c r="BB1564" s="187"/>
      <c r="BC1564" s="180"/>
      <c r="BD1564" s="191">
        <v>44302</v>
      </c>
      <c r="BE1564" s="192" t="s">
        <v>203</v>
      </c>
      <c r="BH1564" s="94">
        <v>44365</v>
      </c>
      <c r="BI1564" s="95" t="s">
        <v>103</v>
      </c>
      <c r="BJ1564" s="96">
        <v>13.18</v>
      </c>
    </row>
    <row r="1565" spans="54:62" ht="13.8" x14ac:dyDescent="0.25">
      <c r="BB1565" s="187"/>
      <c r="BC1565" s="180"/>
      <c r="BD1565" s="191">
        <v>44305</v>
      </c>
      <c r="BE1565" s="192" t="s">
        <v>358</v>
      </c>
      <c r="BH1565" s="94">
        <v>44368</v>
      </c>
      <c r="BI1565" s="95" t="s">
        <v>367</v>
      </c>
      <c r="BJ1565" s="96">
        <v>13.17</v>
      </c>
    </row>
    <row r="1566" spans="54:62" ht="13.8" x14ac:dyDescent="0.25">
      <c r="BB1566" s="187"/>
      <c r="BC1566" s="180"/>
      <c r="BD1566" s="191">
        <v>44306</v>
      </c>
      <c r="BE1566" s="192" t="s">
        <v>359</v>
      </c>
      <c r="BH1566" s="94">
        <v>44369</v>
      </c>
      <c r="BI1566" s="95" t="s">
        <v>219</v>
      </c>
      <c r="BJ1566" s="96">
        <v>13.16</v>
      </c>
    </row>
    <row r="1567" spans="54:62" ht="13.8" x14ac:dyDescent="0.25">
      <c r="BB1567" s="187"/>
      <c r="BC1567" s="180"/>
      <c r="BD1567" s="191">
        <v>44307</v>
      </c>
      <c r="BE1567" s="192" t="s">
        <v>360</v>
      </c>
      <c r="BH1567" s="94">
        <v>44370</v>
      </c>
      <c r="BI1567" s="95" t="s">
        <v>82</v>
      </c>
      <c r="BJ1567" s="96">
        <v>13.16</v>
      </c>
    </row>
    <row r="1568" spans="54:62" ht="13.8" x14ac:dyDescent="0.25">
      <c r="BB1568" s="187"/>
      <c r="BC1568" s="180"/>
      <c r="BD1568" s="191">
        <v>44308</v>
      </c>
      <c r="BE1568" s="192" t="s">
        <v>271</v>
      </c>
      <c r="BH1568" s="94">
        <v>44371</v>
      </c>
      <c r="BI1568" s="95" t="s">
        <v>82</v>
      </c>
      <c r="BJ1568" s="96">
        <v>13.16</v>
      </c>
    </row>
    <row r="1569" spans="54:62" ht="13.8" x14ac:dyDescent="0.25">
      <c r="BB1569" s="187"/>
      <c r="BC1569" s="180"/>
      <c r="BD1569" s="191">
        <v>44309</v>
      </c>
      <c r="BE1569" s="192" t="s">
        <v>361</v>
      </c>
      <c r="BH1569" s="94">
        <v>44372</v>
      </c>
      <c r="BI1569" s="95" t="s">
        <v>82</v>
      </c>
      <c r="BJ1569" s="96">
        <v>13.16</v>
      </c>
    </row>
    <row r="1570" spans="54:62" ht="13.8" x14ac:dyDescent="0.25">
      <c r="BB1570" s="187"/>
      <c r="BC1570" s="180"/>
      <c r="BD1570" s="191">
        <v>44312</v>
      </c>
      <c r="BE1570" s="192" t="s">
        <v>252</v>
      </c>
      <c r="BH1570" s="94">
        <v>44375</v>
      </c>
      <c r="BI1570" s="95" t="s">
        <v>82</v>
      </c>
      <c r="BJ1570" s="96">
        <v>13.15</v>
      </c>
    </row>
    <row r="1571" spans="54:62" ht="13.8" x14ac:dyDescent="0.25">
      <c r="BB1571" s="187"/>
      <c r="BC1571" s="180"/>
      <c r="BD1571" s="191">
        <v>44313</v>
      </c>
      <c r="BE1571" s="192" t="s">
        <v>273</v>
      </c>
      <c r="BH1571" s="94">
        <v>44376</v>
      </c>
      <c r="BI1571" s="95" t="s">
        <v>82</v>
      </c>
      <c r="BJ1571" s="96">
        <v>13.15</v>
      </c>
    </row>
    <row r="1572" spans="54:62" ht="13.8" x14ac:dyDescent="0.25">
      <c r="BB1572" s="187"/>
      <c r="BC1572" s="180"/>
      <c r="BD1572" s="191">
        <v>44314</v>
      </c>
      <c r="BE1572" s="192" t="s">
        <v>275</v>
      </c>
      <c r="BH1572" s="94">
        <v>44377</v>
      </c>
      <c r="BI1572" s="95" t="s">
        <v>368</v>
      </c>
      <c r="BJ1572" s="96">
        <v>13.14</v>
      </c>
    </row>
    <row r="1573" spans="54:62" ht="13.8" x14ac:dyDescent="0.25">
      <c r="BB1573" s="187"/>
      <c r="BC1573" s="180"/>
      <c r="BD1573" s="191">
        <v>44315</v>
      </c>
      <c r="BE1573" s="192" t="s">
        <v>152</v>
      </c>
      <c r="BH1573" s="94">
        <v>44378</v>
      </c>
      <c r="BI1573" s="95" t="s">
        <v>83</v>
      </c>
      <c r="BJ1573" s="96">
        <v>13.14</v>
      </c>
    </row>
    <row r="1574" spans="54:62" ht="13.8" x14ac:dyDescent="0.25">
      <c r="BB1574" s="187"/>
      <c r="BC1574" s="180"/>
      <c r="BD1574" s="191">
        <v>44316</v>
      </c>
      <c r="BE1574" s="192" t="s">
        <v>362</v>
      </c>
      <c r="BH1574" s="94">
        <v>44379</v>
      </c>
      <c r="BI1574" s="95" t="s">
        <v>223</v>
      </c>
      <c r="BJ1574" s="96">
        <v>13.14</v>
      </c>
    </row>
    <row r="1575" spans="54:62" ht="13.8" x14ac:dyDescent="0.25">
      <c r="BB1575" s="187"/>
      <c r="BC1575" s="180"/>
      <c r="BD1575" s="191">
        <v>44319</v>
      </c>
      <c r="BE1575" s="192">
        <v>-0.217</v>
      </c>
      <c r="BF1575" s="111">
        <f>+(BC1575+BE1575)/2+0.37</f>
        <v>0.26150000000000001</v>
      </c>
      <c r="BH1575" s="94">
        <v>44382</v>
      </c>
      <c r="BI1575" s="95" t="s">
        <v>84</v>
      </c>
      <c r="BJ1575" s="96">
        <v>13.13</v>
      </c>
    </row>
    <row r="1576" spans="54:62" ht="13.8" x14ac:dyDescent="0.25">
      <c r="BB1576" s="187"/>
      <c r="BC1576" s="180"/>
      <c r="BD1576" s="191">
        <v>44320</v>
      </c>
      <c r="BE1576" s="192" t="s">
        <v>149</v>
      </c>
      <c r="BH1576" s="94">
        <v>44383</v>
      </c>
      <c r="BI1576" s="95" t="s">
        <v>369</v>
      </c>
      <c r="BJ1576" s="96">
        <v>13.13</v>
      </c>
    </row>
    <row r="1577" spans="54:62" ht="13.8" x14ac:dyDescent="0.25">
      <c r="BB1577" s="187"/>
      <c r="BC1577" s="180"/>
      <c r="BD1577" s="191">
        <v>44321</v>
      </c>
      <c r="BE1577" s="192" t="s">
        <v>148</v>
      </c>
      <c r="BH1577" s="94">
        <v>44384</v>
      </c>
      <c r="BI1577" s="95" t="s">
        <v>86</v>
      </c>
      <c r="BJ1577" s="96">
        <v>13.12</v>
      </c>
    </row>
    <row r="1578" spans="54:62" ht="13.8" x14ac:dyDescent="0.25">
      <c r="BB1578" s="187"/>
      <c r="BC1578" s="180"/>
      <c r="BD1578" s="191">
        <v>44322</v>
      </c>
      <c r="BE1578" s="192" t="s">
        <v>225</v>
      </c>
      <c r="BH1578" s="94">
        <v>44385</v>
      </c>
      <c r="BI1578" s="95" t="s">
        <v>215</v>
      </c>
      <c r="BJ1578" s="96">
        <v>13.08</v>
      </c>
    </row>
    <row r="1579" spans="54:62" ht="13.8" x14ac:dyDescent="0.25">
      <c r="BB1579" s="187"/>
      <c r="BC1579" s="180"/>
      <c r="BD1579" s="191">
        <v>44323</v>
      </c>
      <c r="BE1579" s="192" t="s">
        <v>224</v>
      </c>
      <c r="BH1579" s="94">
        <v>44386</v>
      </c>
      <c r="BI1579" s="95" t="s">
        <v>88</v>
      </c>
      <c r="BJ1579" s="96">
        <v>13.08</v>
      </c>
    </row>
    <row r="1580" spans="54:62" ht="13.8" x14ac:dyDescent="0.25">
      <c r="BB1580" s="187"/>
      <c r="BC1580" s="180"/>
      <c r="BD1580" s="191">
        <v>44326</v>
      </c>
      <c r="BE1580" s="192" t="s">
        <v>93</v>
      </c>
      <c r="BH1580" s="94">
        <v>44389</v>
      </c>
      <c r="BI1580" s="95" t="s">
        <v>214</v>
      </c>
      <c r="BJ1580" s="96">
        <v>13.07</v>
      </c>
    </row>
    <row r="1581" spans="54:62" ht="13.8" x14ac:dyDescent="0.25">
      <c r="BB1581" s="187"/>
      <c r="BC1581" s="180"/>
      <c r="BD1581" s="191">
        <v>44327</v>
      </c>
      <c r="BE1581" s="192" t="s">
        <v>89</v>
      </c>
      <c r="BH1581" s="94">
        <v>44390</v>
      </c>
      <c r="BI1581" s="95" t="s">
        <v>213</v>
      </c>
      <c r="BJ1581" s="96">
        <v>13.2</v>
      </c>
    </row>
    <row r="1582" spans="54:62" ht="13.8" x14ac:dyDescent="0.25">
      <c r="BB1582" s="187"/>
      <c r="BC1582" s="180"/>
      <c r="BD1582" s="191">
        <v>44328</v>
      </c>
      <c r="BE1582" s="192" t="s">
        <v>216</v>
      </c>
      <c r="BH1582" s="94">
        <v>44391</v>
      </c>
      <c r="BI1582" s="95" t="s">
        <v>95</v>
      </c>
      <c r="BJ1582" s="96">
        <v>13.2</v>
      </c>
    </row>
    <row r="1583" spans="54:62" ht="13.8" x14ac:dyDescent="0.25">
      <c r="BB1583" s="187"/>
      <c r="BC1583" s="180"/>
      <c r="BD1583" s="191"/>
      <c r="BE1583" s="193" t="str">
        <f>+BE1582</f>
        <v>−0,186</v>
      </c>
      <c r="BH1583" s="94">
        <v>44392</v>
      </c>
      <c r="BI1583" s="95" t="s">
        <v>92</v>
      </c>
      <c r="BJ1583" s="96">
        <v>13.19</v>
      </c>
    </row>
    <row r="1584" spans="54:62" ht="13.8" x14ac:dyDescent="0.25">
      <c r="BB1584" s="187"/>
      <c r="BC1584" s="180"/>
      <c r="BD1584" s="191">
        <v>44330</v>
      </c>
      <c r="BE1584" s="192" t="s">
        <v>86</v>
      </c>
      <c r="BH1584" s="94">
        <v>44393</v>
      </c>
      <c r="BI1584" s="95" t="s">
        <v>145</v>
      </c>
      <c r="BJ1584" s="96">
        <v>13.19</v>
      </c>
    </row>
    <row r="1585" spans="54:62" ht="13.8" x14ac:dyDescent="0.25">
      <c r="BB1585" s="187"/>
      <c r="BC1585" s="180"/>
      <c r="BD1585" s="191">
        <v>44333</v>
      </c>
      <c r="BE1585" s="192" t="s">
        <v>217</v>
      </c>
      <c r="BH1585" s="94">
        <v>44396</v>
      </c>
      <c r="BI1585" s="95" t="s">
        <v>226</v>
      </c>
      <c r="BJ1585" s="96">
        <v>13.18</v>
      </c>
    </row>
    <row r="1586" spans="54:62" ht="13.8" x14ac:dyDescent="0.25">
      <c r="BB1586" s="187"/>
      <c r="BC1586" s="180"/>
      <c r="BD1586" s="191">
        <v>44334</v>
      </c>
      <c r="BE1586" s="192" t="s">
        <v>80</v>
      </c>
      <c r="BH1586" s="94">
        <v>44397</v>
      </c>
      <c r="BI1586" s="95" t="s">
        <v>208</v>
      </c>
      <c r="BJ1586" s="96">
        <v>13.18</v>
      </c>
    </row>
    <row r="1587" spans="54:62" ht="13.8" x14ac:dyDescent="0.25">
      <c r="BB1587" s="187"/>
      <c r="BC1587" s="180"/>
      <c r="BD1587" s="191">
        <v>44335</v>
      </c>
      <c r="BE1587" s="192" t="s">
        <v>103</v>
      </c>
      <c r="BH1587" s="94">
        <v>44398</v>
      </c>
      <c r="BI1587" s="95" t="s">
        <v>227</v>
      </c>
      <c r="BJ1587" s="96">
        <v>13.17</v>
      </c>
    </row>
    <row r="1588" spans="54:62" ht="13.8" x14ac:dyDescent="0.25">
      <c r="BB1588" s="187"/>
      <c r="BC1588" s="180"/>
      <c r="BD1588" s="191">
        <v>44336</v>
      </c>
      <c r="BE1588" s="192" t="s">
        <v>97</v>
      </c>
      <c r="BH1588" s="94">
        <v>44399</v>
      </c>
      <c r="BI1588" s="95" t="s">
        <v>153</v>
      </c>
      <c r="BJ1588" s="96">
        <v>13.17</v>
      </c>
    </row>
    <row r="1589" spans="54:62" ht="13.8" x14ac:dyDescent="0.25">
      <c r="BB1589" s="187"/>
      <c r="BC1589" s="180"/>
      <c r="BD1589" s="191">
        <v>44337</v>
      </c>
      <c r="BE1589" s="192" t="s">
        <v>99</v>
      </c>
      <c r="BH1589" s="94">
        <v>44400</v>
      </c>
      <c r="BI1589" s="95" t="s">
        <v>269</v>
      </c>
      <c r="BJ1589" s="96">
        <v>13.17</v>
      </c>
    </row>
    <row r="1590" spans="54:62" ht="13.8" x14ac:dyDescent="0.25">
      <c r="BB1590" s="187"/>
      <c r="BC1590" s="180"/>
      <c r="BD1590" s="191"/>
      <c r="BE1590" s="193" t="str">
        <f>+BE1589</f>
        <v>−0,148</v>
      </c>
      <c r="BH1590" s="94">
        <v>44403</v>
      </c>
      <c r="BI1590" s="95" t="s">
        <v>370</v>
      </c>
      <c r="BJ1590" s="96">
        <v>13.16</v>
      </c>
    </row>
    <row r="1591" spans="54:62" ht="13.8" x14ac:dyDescent="0.25">
      <c r="BB1591" s="187"/>
      <c r="BC1591" s="180"/>
      <c r="BD1591" s="191">
        <v>44341</v>
      </c>
      <c r="BE1591" s="192" t="s">
        <v>101</v>
      </c>
      <c r="BH1591" s="94">
        <v>44404</v>
      </c>
      <c r="BI1591" s="95" t="s">
        <v>280</v>
      </c>
      <c r="BJ1591" s="96">
        <v>13.16</v>
      </c>
    </row>
    <row r="1592" spans="54:62" ht="13.8" x14ac:dyDescent="0.25">
      <c r="BB1592" s="187"/>
      <c r="BC1592" s="180"/>
      <c r="BD1592" s="191">
        <v>44342</v>
      </c>
      <c r="BE1592" s="192" t="s">
        <v>108</v>
      </c>
      <c r="BH1592" s="94">
        <v>44405</v>
      </c>
      <c r="BI1592" s="95" t="s">
        <v>357</v>
      </c>
      <c r="BJ1592" s="96">
        <v>13.15</v>
      </c>
    </row>
    <row r="1593" spans="54:62" ht="13.8" x14ac:dyDescent="0.25">
      <c r="BB1593" s="187"/>
      <c r="BC1593" s="180"/>
      <c r="BD1593" s="191">
        <v>44343</v>
      </c>
      <c r="BE1593" s="192" t="s">
        <v>142</v>
      </c>
      <c r="BH1593" s="94">
        <v>44406</v>
      </c>
      <c r="BI1593" s="95" t="s">
        <v>349</v>
      </c>
      <c r="BJ1593" s="96">
        <v>13.15</v>
      </c>
    </row>
    <row r="1594" spans="54:62" ht="13.8" x14ac:dyDescent="0.25">
      <c r="BB1594" s="187"/>
      <c r="BC1594" s="180"/>
      <c r="BD1594" s="191">
        <v>44344</v>
      </c>
      <c r="BE1594" s="192" t="s">
        <v>363</v>
      </c>
      <c r="BH1594" s="94">
        <v>44407</v>
      </c>
      <c r="BI1594" s="95" t="s">
        <v>232</v>
      </c>
      <c r="BJ1594" s="96">
        <v>13.15</v>
      </c>
    </row>
    <row r="1595" spans="54:62" ht="13.8" x14ac:dyDescent="0.25">
      <c r="BB1595" s="187"/>
      <c r="BC1595" s="180"/>
      <c r="BD1595" s="191">
        <v>44347</v>
      </c>
      <c r="BE1595" s="192" t="s">
        <v>364</v>
      </c>
      <c r="BH1595" s="94">
        <v>44410</v>
      </c>
      <c r="BI1595" s="95" t="s">
        <v>347</v>
      </c>
      <c r="BJ1595" s="96">
        <v>13.14</v>
      </c>
    </row>
    <row r="1596" spans="54:62" ht="13.8" x14ac:dyDescent="0.25">
      <c r="BB1596" s="187"/>
      <c r="BC1596" s="180"/>
      <c r="BD1596" s="191">
        <v>44348</v>
      </c>
      <c r="BE1596" s="192" t="s">
        <v>365</v>
      </c>
      <c r="BH1596" s="94">
        <v>44411</v>
      </c>
      <c r="BI1596" s="95" t="s">
        <v>371</v>
      </c>
      <c r="BJ1596" s="96">
        <v>13.14</v>
      </c>
    </row>
    <row r="1597" spans="54:62" ht="13.8" x14ac:dyDescent="0.25">
      <c r="BB1597" s="187"/>
      <c r="BC1597" s="180"/>
      <c r="BD1597" s="191">
        <v>44349</v>
      </c>
      <c r="BE1597" s="192" t="s">
        <v>364</v>
      </c>
      <c r="BH1597" s="94">
        <v>44412</v>
      </c>
      <c r="BI1597" s="95" t="s">
        <v>372</v>
      </c>
      <c r="BJ1597" s="96">
        <v>13.13</v>
      </c>
    </row>
    <row r="1598" spans="54:62" ht="13.8" x14ac:dyDescent="0.25">
      <c r="BB1598" s="187"/>
      <c r="BC1598" s="180"/>
      <c r="BD1598" s="191"/>
      <c r="BE1598" s="193" t="str">
        <f>+BE1597</f>
        <v>−0,135</v>
      </c>
      <c r="BH1598" s="94">
        <v>44413</v>
      </c>
      <c r="BI1598" s="95" t="s">
        <v>373</v>
      </c>
      <c r="BJ1598" s="96">
        <v>13.09</v>
      </c>
    </row>
    <row r="1599" spans="54:62" ht="13.8" x14ac:dyDescent="0.25">
      <c r="BB1599" s="187"/>
      <c r="BC1599" s="180"/>
      <c r="BD1599" s="191">
        <v>44351</v>
      </c>
      <c r="BE1599" s="192" t="s">
        <v>111</v>
      </c>
      <c r="BH1599" s="94">
        <v>44414</v>
      </c>
      <c r="BI1599" s="95" t="s">
        <v>291</v>
      </c>
      <c r="BJ1599" s="96">
        <v>13.09</v>
      </c>
    </row>
    <row r="1600" spans="54:62" ht="13.8" x14ac:dyDescent="0.25">
      <c r="BB1600" s="187"/>
      <c r="BC1600" s="180"/>
      <c r="BD1600" s="191">
        <v>44354</v>
      </c>
      <c r="BE1600" s="192" t="s">
        <v>141</v>
      </c>
      <c r="BH1600" s="94">
        <v>44417</v>
      </c>
      <c r="BI1600" s="95" t="s">
        <v>161</v>
      </c>
      <c r="BJ1600" s="96">
        <v>13.08</v>
      </c>
    </row>
    <row r="1601" spans="54:62" ht="13.8" x14ac:dyDescent="0.25">
      <c r="BB1601" s="187"/>
      <c r="BC1601" s="180"/>
      <c r="BD1601" s="191">
        <v>44355</v>
      </c>
      <c r="BE1601" s="192" t="s">
        <v>366</v>
      </c>
      <c r="BH1601" s="94">
        <v>44418</v>
      </c>
      <c r="BI1601" s="95" t="s">
        <v>374</v>
      </c>
      <c r="BJ1601" s="96">
        <v>13.08</v>
      </c>
    </row>
    <row r="1602" spans="54:62" ht="13.8" x14ac:dyDescent="0.25">
      <c r="BB1602" s="187"/>
      <c r="BC1602" s="180"/>
      <c r="BD1602" s="191">
        <v>44356</v>
      </c>
      <c r="BE1602" s="192" t="s">
        <v>141</v>
      </c>
      <c r="BH1602" s="94">
        <v>44419</v>
      </c>
      <c r="BI1602" s="95" t="s">
        <v>246</v>
      </c>
      <c r="BJ1602" s="96">
        <v>13.08</v>
      </c>
    </row>
    <row r="1603" spans="54:62" ht="13.8" x14ac:dyDescent="0.25">
      <c r="BB1603" s="187"/>
      <c r="BC1603" s="180"/>
      <c r="BD1603" s="191">
        <v>44357</v>
      </c>
      <c r="BE1603" s="192" t="s">
        <v>365</v>
      </c>
      <c r="BH1603" s="94">
        <v>44420</v>
      </c>
      <c r="BI1603" s="95" t="s">
        <v>295</v>
      </c>
      <c r="BJ1603" s="96">
        <v>13.08</v>
      </c>
    </row>
    <row r="1604" spans="54:62" ht="13.8" x14ac:dyDescent="0.25">
      <c r="BB1604" s="187"/>
      <c r="BC1604" s="180"/>
      <c r="BD1604" s="191">
        <v>44358</v>
      </c>
      <c r="BE1604" s="192" t="s">
        <v>72</v>
      </c>
      <c r="BH1604" s="94">
        <v>44421</v>
      </c>
      <c r="BI1604" s="95" t="s">
        <v>193</v>
      </c>
      <c r="BJ1604" s="96">
        <v>13.07</v>
      </c>
    </row>
    <row r="1605" spans="54:62" ht="13.8" x14ac:dyDescent="0.25">
      <c r="BB1605" s="187"/>
      <c r="BC1605" s="180"/>
      <c r="BD1605" s="191">
        <v>44361</v>
      </c>
      <c r="BE1605" s="192" t="s">
        <v>108</v>
      </c>
      <c r="BH1605" s="94">
        <v>44424</v>
      </c>
      <c r="BI1605" s="95" t="s">
        <v>192</v>
      </c>
      <c r="BJ1605" s="96">
        <v>13.07</v>
      </c>
    </row>
    <row r="1606" spans="54:62" ht="13.8" x14ac:dyDescent="0.25">
      <c r="BB1606" s="187"/>
      <c r="BC1606" s="180"/>
      <c r="BD1606" s="191">
        <v>44362</v>
      </c>
      <c r="BE1606" s="192" t="s">
        <v>74</v>
      </c>
      <c r="BH1606" s="94">
        <v>44425</v>
      </c>
      <c r="BI1606" s="95" t="s">
        <v>307</v>
      </c>
      <c r="BJ1606" s="96">
        <v>13.06</v>
      </c>
    </row>
    <row r="1607" spans="54:62" ht="13.8" x14ac:dyDescent="0.25">
      <c r="BB1607" s="187"/>
      <c r="BC1607" s="180"/>
      <c r="BD1607" s="191">
        <v>44363</v>
      </c>
      <c r="BE1607" s="192" t="s">
        <v>98</v>
      </c>
      <c r="BH1607" s="94">
        <v>44426</v>
      </c>
      <c r="BI1607" s="95" t="s">
        <v>191</v>
      </c>
      <c r="BJ1607" s="96">
        <v>13.06</v>
      </c>
    </row>
    <row r="1608" spans="54:62" ht="13.8" x14ac:dyDescent="0.25">
      <c r="BB1608" s="187"/>
      <c r="BC1608" s="180"/>
      <c r="BD1608" s="191">
        <v>44364</v>
      </c>
      <c r="BE1608" s="192" t="s">
        <v>77</v>
      </c>
      <c r="BH1608" s="94">
        <v>44427</v>
      </c>
      <c r="BI1608" s="95" t="s">
        <v>189</v>
      </c>
      <c r="BJ1608" s="96">
        <v>13.06</v>
      </c>
    </row>
    <row r="1609" spans="54:62" ht="13.8" x14ac:dyDescent="0.25">
      <c r="BB1609" s="187"/>
      <c r="BC1609" s="180"/>
      <c r="BD1609" s="191">
        <v>44365</v>
      </c>
      <c r="BE1609" s="192" t="s">
        <v>103</v>
      </c>
      <c r="BH1609" s="94">
        <v>44428</v>
      </c>
      <c r="BI1609" s="95" t="s">
        <v>297</v>
      </c>
      <c r="BJ1609" s="96">
        <v>13.05</v>
      </c>
    </row>
    <row r="1610" spans="54:62" ht="13.8" x14ac:dyDescent="0.25">
      <c r="BB1610" s="187"/>
      <c r="BC1610" s="180"/>
      <c r="BD1610" s="191">
        <v>44368</v>
      </c>
      <c r="BE1610" s="192" t="s">
        <v>367</v>
      </c>
      <c r="BH1610" s="94">
        <v>44431</v>
      </c>
      <c r="BI1610" s="95" t="s">
        <v>375</v>
      </c>
      <c r="BJ1610" s="96">
        <v>13.05</v>
      </c>
    </row>
    <row r="1611" spans="54:62" ht="13.8" x14ac:dyDescent="0.25">
      <c r="BB1611" s="187"/>
      <c r="BC1611" s="180"/>
      <c r="BD1611" s="191">
        <v>44369</v>
      </c>
      <c r="BE1611" s="192" t="s">
        <v>219</v>
      </c>
      <c r="BH1611" s="94">
        <v>44432</v>
      </c>
      <c r="BI1611" s="95" t="s">
        <v>306</v>
      </c>
      <c r="BJ1611" s="96">
        <v>13.04</v>
      </c>
    </row>
    <row r="1612" spans="54:62" ht="13.8" x14ac:dyDescent="0.25">
      <c r="BB1612" s="187"/>
      <c r="BC1612" s="180"/>
      <c r="BD1612" s="191">
        <v>44370</v>
      </c>
      <c r="BE1612" s="192" t="s">
        <v>82</v>
      </c>
      <c r="BH1612" s="94">
        <v>44433</v>
      </c>
      <c r="BI1612" s="95" t="s">
        <v>305</v>
      </c>
      <c r="BJ1612" s="96">
        <v>13.04</v>
      </c>
    </row>
    <row r="1613" spans="54:62" ht="13.8" x14ac:dyDescent="0.25">
      <c r="BB1613" s="187"/>
      <c r="BC1613" s="180"/>
      <c r="BD1613" s="191">
        <v>44371</v>
      </c>
      <c r="BE1613" s="192" t="s">
        <v>82</v>
      </c>
      <c r="BH1613" s="94">
        <v>44434</v>
      </c>
      <c r="BI1613" s="95" t="s">
        <v>306</v>
      </c>
      <c r="BJ1613" s="96">
        <v>13.04</v>
      </c>
    </row>
    <row r="1614" spans="54:62" ht="13.8" x14ac:dyDescent="0.25">
      <c r="BB1614" s="187"/>
      <c r="BC1614" s="180"/>
      <c r="BD1614" s="191">
        <v>44372</v>
      </c>
      <c r="BE1614" s="192" t="s">
        <v>82</v>
      </c>
      <c r="BH1614" s="94">
        <v>44435</v>
      </c>
      <c r="BI1614" s="95" t="s">
        <v>189</v>
      </c>
      <c r="BJ1614" s="96">
        <v>13.04</v>
      </c>
    </row>
    <row r="1615" spans="54:62" ht="13.8" x14ac:dyDescent="0.25">
      <c r="BB1615" s="187"/>
      <c r="BC1615" s="180"/>
      <c r="BD1615" s="191">
        <v>44375</v>
      </c>
      <c r="BE1615" s="192" t="s">
        <v>82</v>
      </c>
      <c r="BH1615" s="94">
        <v>44438</v>
      </c>
      <c r="BI1615" s="95" t="s">
        <v>375</v>
      </c>
      <c r="BJ1615" s="96">
        <v>13.03</v>
      </c>
    </row>
    <row r="1616" spans="54:62" ht="13.8" x14ac:dyDescent="0.25">
      <c r="BB1616" s="187"/>
      <c r="BC1616" s="180"/>
      <c r="BD1616" s="191">
        <v>44376</v>
      </c>
      <c r="BE1616" s="192" t="s">
        <v>82</v>
      </c>
      <c r="BH1616" s="94">
        <v>44439</v>
      </c>
      <c r="BI1616" s="95" t="s">
        <v>191</v>
      </c>
      <c r="BJ1616" s="96">
        <v>13.02</v>
      </c>
    </row>
    <row r="1617" spans="54:62" ht="13.8" x14ac:dyDescent="0.25">
      <c r="BB1617" s="187"/>
      <c r="BC1617" s="180"/>
      <c r="BD1617" s="191">
        <v>44377</v>
      </c>
      <c r="BE1617" s="192" t="s">
        <v>368</v>
      </c>
      <c r="BH1617" s="94">
        <v>44440</v>
      </c>
      <c r="BI1617" s="95" t="s">
        <v>163</v>
      </c>
      <c r="BJ1617" s="96">
        <v>13.02</v>
      </c>
    </row>
    <row r="1618" spans="54:62" ht="13.8" x14ac:dyDescent="0.25">
      <c r="BB1618" s="187"/>
      <c r="BC1618" s="180"/>
      <c r="BD1618" s="191">
        <v>44378</v>
      </c>
      <c r="BE1618" s="192" t="s">
        <v>83</v>
      </c>
      <c r="BH1618" s="94">
        <v>44441</v>
      </c>
      <c r="BI1618" s="95" t="s">
        <v>192</v>
      </c>
      <c r="BJ1618" s="96">
        <v>13.02</v>
      </c>
    </row>
    <row r="1619" spans="54:62" ht="13.8" x14ac:dyDescent="0.25">
      <c r="BB1619" s="187"/>
      <c r="BC1619" s="180"/>
      <c r="BD1619" s="191">
        <v>44379</v>
      </c>
      <c r="BE1619" s="192" t="s">
        <v>223</v>
      </c>
      <c r="BH1619" s="94">
        <v>44442</v>
      </c>
      <c r="BI1619" s="95" t="s">
        <v>376</v>
      </c>
      <c r="BJ1619" s="96">
        <v>13.02</v>
      </c>
    </row>
    <row r="1620" spans="54:62" ht="13.8" x14ac:dyDescent="0.25">
      <c r="BB1620" s="187"/>
      <c r="BC1620" s="180"/>
      <c r="BD1620" s="191">
        <v>44382</v>
      </c>
      <c r="BE1620" s="192" t="s">
        <v>84</v>
      </c>
      <c r="BH1620" s="94">
        <v>44445</v>
      </c>
      <c r="BI1620" s="95" t="s">
        <v>237</v>
      </c>
      <c r="BJ1620" s="96">
        <v>13.01</v>
      </c>
    </row>
    <row r="1621" spans="54:62" ht="13.8" x14ac:dyDescent="0.25">
      <c r="BB1621" s="187"/>
      <c r="BC1621" s="180"/>
      <c r="BD1621" s="191">
        <v>44383</v>
      </c>
      <c r="BE1621" s="192" t="s">
        <v>369</v>
      </c>
      <c r="BH1621" s="94">
        <v>44446</v>
      </c>
      <c r="BI1621" s="95" t="s">
        <v>162</v>
      </c>
      <c r="BJ1621" s="96">
        <v>13.01</v>
      </c>
    </row>
    <row r="1622" spans="54:62" ht="13.8" x14ac:dyDescent="0.25">
      <c r="BB1622" s="187"/>
      <c r="BC1622" s="180"/>
      <c r="BD1622" s="191">
        <v>44384</v>
      </c>
      <c r="BE1622" s="192" t="s">
        <v>86</v>
      </c>
      <c r="BH1622" s="94">
        <v>44447</v>
      </c>
      <c r="BI1622" s="95" t="s">
        <v>246</v>
      </c>
      <c r="BJ1622" s="96">
        <v>13</v>
      </c>
    </row>
    <row r="1623" spans="54:62" ht="13.8" x14ac:dyDescent="0.25">
      <c r="BB1623" s="187"/>
      <c r="BC1623" s="180"/>
      <c r="BD1623" s="191">
        <v>44385</v>
      </c>
      <c r="BE1623" s="192" t="s">
        <v>215</v>
      </c>
      <c r="BH1623" s="94">
        <v>44448</v>
      </c>
      <c r="BI1623" s="95" t="s">
        <v>374</v>
      </c>
      <c r="BJ1623" s="96">
        <v>13</v>
      </c>
    </row>
    <row r="1624" spans="54:62" ht="13.8" x14ac:dyDescent="0.25">
      <c r="BB1624" s="187"/>
      <c r="BC1624" s="180"/>
      <c r="BD1624" s="191">
        <v>44386</v>
      </c>
      <c r="BE1624" s="192" t="s">
        <v>88</v>
      </c>
      <c r="BH1624" s="94">
        <v>44449</v>
      </c>
      <c r="BI1624" s="95" t="s">
        <v>292</v>
      </c>
      <c r="BJ1624" s="96">
        <v>13</v>
      </c>
    </row>
    <row r="1625" spans="54:62" ht="13.8" x14ac:dyDescent="0.25">
      <c r="BB1625" s="187"/>
      <c r="BC1625" s="180"/>
      <c r="BD1625" s="191">
        <v>44389</v>
      </c>
      <c r="BE1625" s="192" t="s">
        <v>214</v>
      </c>
      <c r="BH1625" s="94">
        <v>44452</v>
      </c>
      <c r="BI1625" s="95" t="s">
        <v>377</v>
      </c>
      <c r="BJ1625" s="96">
        <v>12.99</v>
      </c>
    </row>
    <row r="1626" spans="54:62" ht="13.8" x14ac:dyDescent="0.25">
      <c r="BB1626" s="187"/>
      <c r="BC1626" s="180"/>
      <c r="BD1626" s="191">
        <v>44390</v>
      </c>
      <c r="BE1626" s="192" t="s">
        <v>213</v>
      </c>
      <c r="BH1626" s="94">
        <v>44453</v>
      </c>
      <c r="BI1626" s="95" t="s">
        <v>291</v>
      </c>
      <c r="BJ1626" s="96">
        <v>12.99</v>
      </c>
    </row>
    <row r="1627" spans="54:62" ht="13.8" x14ac:dyDescent="0.25">
      <c r="BB1627" s="187"/>
      <c r="BC1627" s="180"/>
      <c r="BD1627" s="191">
        <v>44391</v>
      </c>
      <c r="BE1627" s="192" t="s">
        <v>95</v>
      </c>
      <c r="BH1627" s="94">
        <v>44454</v>
      </c>
      <c r="BI1627" s="95" t="s">
        <v>373</v>
      </c>
      <c r="BJ1627" s="96">
        <v>12.98</v>
      </c>
    </row>
    <row r="1628" spans="54:62" ht="13.8" x14ac:dyDescent="0.25">
      <c r="BB1628" s="187"/>
      <c r="BC1628" s="180"/>
      <c r="BD1628" s="191">
        <v>44392</v>
      </c>
      <c r="BE1628" s="192" t="s">
        <v>92</v>
      </c>
      <c r="BH1628" s="94">
        <v>44455</v>
      </c>
      <c r="BI1628" s="95" t="s">
        <v>289</v>
      </c>
      <c r="BJ1628" s="96">
        <v>12.98</v>
      </c>
    </row>
    <row r="1629" spans="54:62" ht="13.8" x14ac:dyDescent="0.25">
      <c r="BB1629" s="187"/>
      <c r="BC1629" s="180"/>
      <c r="BD1629" s="191">
        <v>44393</v>
      </c>
      <c r="BE1629" s="192" t="s">
        <v>145</v>
      </c>
      <c r="BH1629" s="94">
        <v>44456</v>
      </c>
      <c r="BI1629" s="95" t="s">
        <v>289</v>
      </c>
      <c r="BJ1629" s="96">
        <v>12.97</v>
      </c>
    </row>
    <row r="1630" spans="54:62" ht="13.8" x14ac:dyDescent="0.25">
      <c r="BB1630" s="187"/>
      <c r="BC1630" s="180"/>
      <c r="BD1630" s="191">
        <v>44396</v>
      </c>
      <c r="BE1630" s="192" t="s">
        <v>226</v>
      </c>
      <c r="BH1630" s="94">
        <v>44459</v>
      </c>
      <c r="BI1630" s="95" t="s">
        <v>347</v>
      </c>
      <c r="BJ1630" s="96">
        <v>13.32</v>
      </c>
    </row>
    <row r="1631" spans="54:62" ht="13.8" x14ac:dyDescent="0.25">
      <c r="BB1631" s="187"/>
      <c r="BC1631" s="180"/>
      <c r="BD1631" s="191">
        <v>44397</v>
      </c>
      <c r="BE1631" s="192" t="s">
        <v>208</v>
      </c>
      <c r="BH1631" s="94">
        <v>44460</v>
      </c>
      <c r="BI1631" s="95" t="s">
        <v>249</v>
      </c>
      <c r="BJ1631" s="96">
        <v>13.32</v>
      </c>
    </row>
    <row r="1632" spans="54:62" ht="13.8" x14ac:dyDescent="0.25">
      <c r="BB1632" s="187"/>
      <c r="BC1632" s="180"/>
      <c r="BD1632" s="191">
        <v>44398</v>
      </c>
      <c r="BE1632" s="192" t="s">
        <v>227</v>
      </c>
      <c r="BH1632" s="94">
        <v>44461</v>
      </c>
      <c r="BI1632" s="95" t="s">
        <v>232</v>
      </c>
      <c r="BJ1632" s="96">
        <v>13.32</v>
      </c>
    </row>
    <row r="1633" spans="54:62" ht="13.8" x14ac:dyDescent="0.25">
      <c r="BB1633" s="187"/>
      <c r="BC1633" s="180"/>
      <c r="BD1633" s="191">
        <v>44399</v>
      </c>
      <c r="BE1633" s="192" t="s">
        <v>153</v>
      </c>
      <c r="BH1633" s="94">
        <v>44462</v>
      </c>
      <c r="BI1633" s="95" t="s">
        <v>250</v>
      </c>
      <c r="BJ1633" s="96">
        <v>13.35</v>
      </c>
    </row>
    <row r="1634" spans="54:62" ht="13.8" x14ac:dyDescent="0.25">
      <c r="BB1634" s="187"/>
      <c r="BC1634" s="180"/>
      <c r="BD1634" s="191">
        <v>44400</v>
      </c>
      <c r="BE1634" s="192" t="s">
        <v>269</v>
      </c>
      <c r="BH1634" s="94">
        <v>44463</v>
      </c>
      <c r="BI1634" s="95" t="s">
        <v>281</v>
      </c>
      <c r="BJ1634" s="96">
        <v>13.35</v>
      </c>
    </row>
    <row r="1635" spans="54:62" ht="13.8" x14ac:dyDescent="0.25">
      <c r="BB1635" s="187"/>
      <c r="BC1635" s="180"/>
      <c r="BD1635" s="191">
        <v>44403</v>
      </c>
      <c r="BE1635" s="192" t="s">
        <v>370</v>
      </c>
      <c r="BH1635" s="94">
        <v>44466</v>
      </c>
      <c r="BI1635" s="95" t="s">
        <v>280</v>
      </c>
      <c r="BJ1635" s="96">
        <v>13.34</v>
      </c>
    </row>
    <row r="1636" spans="54:62" ht="13.8" x14ac:dyDescent="0.25">
      <c r="BB1636" s="187"/>
      <c r="BC1636" s="180"/>
      <c r="BD1636" s="191">
        <v>44404</v>
      </c>
      <c r="BE1636" s="192" t="s">
        <v>280</v>
      </c>
      <c r="BH1636" s="94">
        <v>44467</v>
      </c>
      <c r="BI1636" s="95" t="s">
        <v>378</v>
      </c>
      <c r="BJ1636" s="96">
        <v>13.34</v>
      </c>
    </row>
    <row r="1637" spans="54:62" ht="13.8" x14ac:dyDescent="0.25">
      <c r="BB1637" s="187"/>
      <c r="BC1637" s="180"/>
      <c r="BD1637" s="191">
        <v>44405</v>
      </c>
      <c r="BE1637" s="192" t="s">
        <v>357</v>
      </c>
      <c r="BH1637" s="94">
        <v>44468</v>
      </c>
      <c r="BI1637" s="95" t="s">
        <v>228</v>
      </c>
      <c r="BJ1637" s="96">
        <v>13.34</v>
      </c>
    </row>
    <row r="1638" spans="54:62" ht="13.8" x14ac:dyDescent="0.25">
      <c r="BB1638" s="187"/>
      <c r="BC1638" s="180"/>
      <c r="BD1638" s="191">
        <v>44406</v>
      </c>
      <c r="BE1638" s="192" t="s">
        <v>349</v>
      </c>
      <c r="BH1638" s="94">
        <v>44469</v>
      </c>
      <c r="BI1638" s="95" t="s">
        <v>271</v>
      </c>
      <c r="BJ1638" s="96">
        <v>13.33</v>
      </c>
    </row>
    <row r="1639" spans="54:62" ht="13.8" x14ac:dyDescent="0.25">
      <c r="BB1639" s="187"/>
      <c r="BC1639" s="180"/>
      <c r="BD1639" s="191">
        <v>44407</v>
      </c>
      <c r="BE1639" s="192" t="s">
        <v>232</v>
      </c>
      <c r="BH1639" s="94">
        <v>44470</v>
      </c>
      <c r="BI1639" s="95" t="s">
        <v>272</v>
      </c>
      <c r="BJ1639" s="96">
        <v>13.33</v>
      </c>
    </row>
    <row r="1640" spans="54:62" ht="13.8" x14ac:dyDescent="0.25">
      <c r="BB1640" s="187"/>
      <c r="BC1640" s="180"/>
      <c r="BD1640" s="191">
        <v>44410</v>
      </c>
      <c r="BE1640" s="192" t="s">
        <v>347</v>
      </c>
      <c r="BH1640" s="94">
        <v>44473</v>
      </c>
      <c r="BI1640" s="95" t="s">
        <v>273</v>
      </c>
      <c r="BJ1640" s="96">
        <v>13.32</v>
      </c>
    </row>
    <row r="1641" spans="54:62" ht="13.8" x14ac:dyDescent="0.25">
      <c r="BB1641" s="187"/>
      <c r="BC1641" s="180"/>
      <c r="BD1641" s="191">
        <v>44411</v>
      </c>
      <c r="BE1641" s="192" t="s">
        <v>371</v>
      </c>
      <c r="BH1641" s="94">
        <v>44474</v>
      </c>
      <c r="BI1641" s="95" t="s">
        <v>274</v>
      </c>
      <c r="BJ1641" s="96">
        <v>13.32</v>
      </c>
    </row>
    <row r="1642" spans="54:62" ht="13.8" x14ac:dyDescent="0.25">
      <c r="BB1642" s="187"/>
      <c r="BC1642" s="180"/>
      <c r="BD1642" s="191">
        <v>44412</v>
      </c>
      <c r="BE1642" s="192" t="s">
        <v>372</v>
      </c>
      <c r="BH1642" s="94">
        <v>44475</v>
      </c>
      <c r="BI1642" s="95" t="s">
        <v>362</v>
      </c>
      <c r="BJ1642" s="96">
        <v>13.32</v>
      </c>
    </row>
    <row r="1643" spans="54:62" ht="13.8" x14ac:dyDescent="0.25">
      <c r="BB1643" s="187"/>
      <c r="BC1643" s="180"/>
      <c r="BD1643" s="191">
        <v>44413</v>
      </c>
      <c r="BE1643" s="192" t="s">
        <v>373</v>
      </c>
      <c r="BH1643" s="94">
        <v>44476</v>
      </c>
      <c r="BI1643" s="95" t="s">
        <v>253</v>
      </c>
      <c r="BJ1643" s="96">
        <v>13.28</v>
      </c>
    </row>
    <row r="1644" spans="54:62" ht="13.8" x14ac:dyDescent="0.25">
      <c r="BB1644" s="187"/>
      <c r="BC1644" s="180"/>
      <c r="BD1644" s="191">
        <v>44414</v>
      </c>
      <c r="BE1644" s="192" t="s">
        <v>291</v>
      </c>
      <c r="BH1644" s="94">
        <v>44477</v>
      </c>
      <c r="BI1644" s="95" t="s">
        <v>148</v>
      </c>
      <c r="BJ1644" s="96">
        <v>13.27</v>
      </c>
    </row>
    <row r="1645" spans="54:62" ht="13.8" x14ac:dyDescent="0.25">
      <c r="BB1645" s="187"/>
      <c r="BC1645" s="180"/>
      <c r="BD1645" s="191">
        <v>44417</v>
      </c>
      <c r="BE1645" s="192" t="s">
        <v>161</v>
      </c>
      <c r="BH1645" s="94">
        <v>44480</v>
      </c>
      <c r="BI1645" s="95" t="s">
        <v>379</v>
      </c>
      <c r="BJ1645" s="96">
        <v>13.27</v>
      </c>
    </row>
    <row r="1646" spans="54:62" ht="13.8" x14ac:dyDescent="0.25">
      <c r="BB1646" s="187"/>
      <c r="BC1646" s="180"/>
      <c r="BD1646" s="191">
        <v>44418</v>
      </c>
      <c r="BE1646" s="192" t="s">
        <v>374</v>
      </c>
      <c r="BH1646" s="94">
        <v>44481</v>
      </c>
      <c r="BI1646" s="95" t="s">
        <v>92</v>
      </c>
      <c r="BJ1646" s="96">
        <v>13.26</v>
      </c>
    </row>
    <row r="1647" spans="54:62" ht="13.8" x14ac:dyDescent="0.25">
      <c r="BB1647" s="187"/>
      <c r="BC1647" s="180"/>
      <c r="BD1647" s="191">
        <v>44419</v>
      </c>
      <c r="BE1647" s="192" t="s">
        <v>246</v>
      </c>
      <c r="BH1647" s="94">
        <v>44482</v>
      </c>
      <c r="BI1647" s="95" t="s">
        <v>214</v>
      </c>
      <c r="BJ1647" s="96">
        <v>13.28</v>
      </c>
    </row>
    <row r="1648" spans="54:62" ht="13.8" x14ac:dyDescent="0.25">
      <c r="BB1648" s="187"/>
      <c r="BC1648" s="180"/>
      <c r="BD1648" s="191">
        <v>44420</v>
      </c>
      <c r="BE1648" s="192" t="s">
        <v>295</v>
      </c>
      <c r="BH1648" s="94">
        <v>44483</v>
      </c>
      <c r="BI1648" s="95" t="s">
        <v>266</v>
      </c>
      <c r="BJ1648" s="96">
        <v>13.28</v>
      </c>
    </row>
    <row r="1649" spans="54:62" ht="13.8" x14ac:dyDescent="0.25">
      <c r="BB1649" s="187"/>
      <c r="BC1649" s="180"/>
      <c r="BD1649" s="191">
        <v>44421</v>
      </c>
      <c r="BE1649" s="192" t="s">
        <v>193</v>
      </c>
      <c r="BH1649" s="94">
        <v>44484</v>
      </c>
      <c r="BI1649" s="95" t="s">
        <v>86</v>
      </c>
      <c r="BJ1649" s="96">
        <v>13.28</v>
      </c>
    </row>
    <row r="1650" spans="54:62" ht="13.8" x14ac:dyDescent="0.25">
      <c r="BB1650" s="187"/>
      <c r="BC1650" s="180"/>
      <c r="BD1650" s="191">
        <v>44424</v>
      </c>
      <c r="BE1650" s="192" t="s">
        <v>192</v>
      </c>
      <c r="BH1650" s="94">
        <v>44487</v>
      </c>
      <c r="BI1650" s="95" t="s">
        <v>223</v>
      </c>
      <c r="BJ1650" s="96">
        <v>13.27</v>
      </c>
    </row>
    <row r="1651" spans="54:62" ht="13.8" x14ac:dyDescent="0.25">
      <c r="BB1651" s="187"/>
      <c r="BC1651" s="180"/>
      <c r="BD1651" s="191">
        <v>44425</v>
      </c>
      <c r="BE1651" s="192" t="s">
        <v>307</v>
      </c>
      <c r="BH1651" s="94">
        <v>44488</v>
      </c>
      <c r="BI1651" s="95" t="s">
        <v>80</v>
      </c>
      <c r="BJ1651" s="96">
        <v>13.26</v>
      </c>
    </row>
    <row r="1652" spans="54:62" ht="13.8" x14ac:dyDescent="0.25">
      <c r="BB1652" s="187"/>
      <c r="BC1652" s="180"/>
      <c r="BD1652" s="191">
        <v>44426</v>
      </c>
      <c r="BE1652" s="192" t="s">
        <v>191</v>
      </c>
      <c r="BH1652" s="94">
        <v>44489</v>
      </c>
      <c r="BI1652" s="95" t="s">
        <v>102</v>
      </c>
      <c r="BJ1652" s="96">
        <v>13.26</v>
      </c>
    </row>
    <row r="1653" spans="54:62" ht="13.8" x14ac:dyDescent="0.25">
      <c r="BB1653" s="187"/>
      <c r="BC1653" s="180"/>
      <c r="BD1653" s="191">
        <v>44427</v>
      </c>
      <c r="BE1653" s="192" t="s">
        <v>189</v>
      </c>
      <c r="BH1653" s="94">
        <v>44490</v>
      </c>
      <c r="BI1653" s="95" t="s">
        <v>76</v>
      </c>
      <c r="BJ1653" s="96">
        <v>13.26</v>
      </c>
    </row>
    <row r="1654" spans="54:62" ht="13.8" x14ac:dyDescent="0.25">
      <c r="BB1654" s="187"/>
      <c r="BC1654" s="180"/>
      <c r="BD1654" s="191">
        <v>44428</v>
      </c>
      <c r="BE1654" s="192" t="s">
        <v>297</v>
      </c>
      <c r="BH1654" s="94">
        <v>44491</v>
      </c>
      <c r="BI1654" s="95" t="s">
        <v>99</v>
      </c>
      <c r="BJ1654" s="96">
        <v>13.26</v>
      </c>
    </row>
    <row r="1655" spans="54:62" ht="13.8" x14ac:dyDescent="0.25">
      <c r="BB1655" s="187"/>
      <c r="BC1655" s="180"/>
      <c r="BD1655" s="191">
        <v>44431</v>
      </c>
      <c r="BE1655" s="192" t="s">
        <v>375</v>
      </c>
      <c r="BH1655" s="94">
        <v>44494</v>
      </c>
      <c r="BI1655" s="95" t="s">
        <v>101</v>
      </c>
      <c r="BJ1655" s="96">
        <v>13.25</v>
      </c>
    </row>
    <row r="1656" spans="54:62" ht="13.8" x14ac:dyDescent="0.25">
      <c r="BB1656" s="187"/>
      <c r="BC1656" s="180"/>
      <c r="BD1656" s="191">
        <v>44432</v>
      </c>
      <c r="BE1656" s="192" t="s">
        <v>306</v>
      </c>
      <c r="BH1656" s="94">
        <v>44496</v>
      </c>
      <c r="BI1656" s="95" t="s">
        <v>108</v>
      </c>
      <c r="BJ1656" s="96">
        <v>13.24</v>
      </c>
    </row>
    <row r="1657" spans="54:62" ht="13.8" x14ac:dyDescent="0.25">
      <c r="BB1657" s="187"/>
      <c r="BC1657" s="180"/>
      <c r="BD1657" s="191">
        <v>44433</v>
      </c>
      <c r="BE1657" s="192" t="s">
        <v>305</v>
      </c>
      <c r="BH1657" s="94">
        <v>44497</v>
      </c>
      <c r="BI1657" s="95" t="s">
        <v>109</v>
      </c>
      <c r="BJ1657" s="96">
        <v>13.24</v>
      </c>
    </row>
    <row r="1658" spans="54:62" ht="13.8" x14ac:dyDescent="0.25">
      <c r="BB1658" s="187"/>
      <c r="BC1658" s="180"/>
      <c r="BD1658" s="191">
        <v>44434</v>
      </c>
      <c r="BE1658" s="192" t="s">
        <v>306</v>
      </c>
      <c r="BH1658" s="94">
        <v>44498</v>
      </c>
      <c r="BI1658" s="95" t="s">
        <v>365</v>
      </c>
      <c r="BJ1658" s="96">
        <v>13.24</v>
      </c>
    </row>
    <row r="1659" spans="54:62" ht="13.8" x14ac:dyDescent="0.25">
      <c r="BB1659" s="187"/>
      <c r="BC1659" s="180"/>
      <c r="BD1659" s="191">
        <v>44435</v>
      </c>
      <c r="BE1659" s="192" t="s">
        <v>189</v>
      </c>
      <c r="BH1659" s="94">
        <v>44502</v>
      </c>
      <c r="BI1659" s="95" t="s">
        <v>366</v>
      </c>
      <c r="BJ1659" s="96">
        <v>13.23</v>
      </c>
    </row>
    <row r="1660" spans="54:62" ht="13.8" x14ac:dyDescent="0.25">
      <c r="BB1660" s="187"/>
      <c r="BC1660" s="180"/>
      <c r="BD1660" s="191">
        <v>44438</v>
      </c>
      <c r="BE1660" s="192" t="s">
        <v>375</v>
      </c>
      <c r="BH1660" s="94">
        <v>44503</v>
      </c>
      <c r="BI1660" s="95" t="s">
        <v>71</v>
      </c>
      <c r="BJ1660" s="96">
        <v>13.22</v>
      </c>
    </row>
    <row r="1661" spans="54:62" ht="13.8" x14ac:dyDescent="0.25">
      <c r="BB1661" s="187"/>
      <c r="BC1661" s="180"/>
      <c r="BD1661" s="191">
        <v>44439</v>
      </c>
      <c r="BE1661" s="192" t="s">
        <v>191</v>
      </c>
      <c r="BH1661" s="94">
        <v>44504</v>
      </c>
      <c r="BI1661" s="95" t="s">
        <v>380</v>
      </c>
      <c r="BJ1661" s="96">
        <v>13.23</v>
      </c>
    </row>
    <row r="1662" spans="54:62" ht="13.8" x14ac:dyDescent="0.25">
      <c r="BB1662" s="187"/>
      <c r="BC1662" s="180"/>
      <c r="BD1662" s="191">
        <v>44440</v>
      </c>
      <c r="BE1662" s="192" t="s">
        <v>163</v>
      </c>
      <c r="BH1662" s="94">
        <v>44505</v>
      </c>
      <c r="BI1662" s="95" t="s">
        <v>112</v>
      </c>
      <c r="BJ1662" s="96">
        <v>13.22</v>
      </c>
    </row>
    <row r="1663" spans="54:62" ht="13.8" x14ac:dyDescent="0.25">
      <c r="BB1663" s="187"/>
      <c r="BC1663" s="180"/>
      <c r="BD1663" s="191">
        <v>44441</v>
      </c>
      <c r="BE1663" s="192" t="s">
        <v>192</v>
      </c>
      <c r="BH1663" s="94">
        <v>44508</v>
      </c>
      <c r="BI1663" s="95" t="s">
        <v>366</v>
      </c>
      <c r="BJ1663" s="96">
        <v>13.22</v>
      </c>
    </row>
    <row r="1664" spans="54:62" ht="13.8" x14ac:dyDescent="0.25">
      <c r="BB1664" s="187"/>
      <c r="BC1664" s="180"/>
      <c r="BD1664" s="191">
        <v>44442</v>
      </c>
      <c r="BE1664" s="192" t="s">
        <v>376</v>
      </c>
      <c r="BH1664" s="94">
        <v>44509</v>
      </c>
      <c r="BI1664" s="95" t="s">
        <v>364</v>
      </c>
      <c r="BJ1664" s="96">
        <v>13.21</v>
      </c>
    </row>
    <row r="1665" spans="54:62" ht="13.8" x14ac:dyDescent="0.25">
      <c r="BB1665" s="187"/>
      <c r="BC1665" s="180"/>
      <c r="BD1665" s="191">
        <v>44445</v>
      </c>
      <c r="BE1665" s="192" t="s">
        <v>237</v>
      </c>
      <c r="BH1665" s="94">
        <v>44510</v>
      </c>
      <c r="BI1665" s="95" t="s">
        <v>142</v>
      </c>
      <c r="BJ1665" s="96">
        <v>13.21</v>
      </c>
    </row>
    <row r="1666" spans="54:62" ht="13.8" x14ac:dyDescent="0.25">
      <c r="BB1666" s="187"/>
      <c r="BC1666" s="180"/>
      <c r="BD1666" s="191">
        <v>44446</v>
      </c>
      <c r="BE1666" s="192" t="s">
        <v>162</v>
      </c>
      <c r="BH1666" s="94">
        <v>44511</v>
      </c>
      <c r="BI1666" s="95" t="s">
        <v>73</v>
      </c>
      <c r="BJ1666" s="96">
        <v>13.21</v>
      </c>
    </row>
    <row r="1667" spans="54:62" ht="13.8" x14ac:dyDescent="0.25">
      <c r="BB1667" s="187"/>
      <c r="BC1667" s="180"/>
      <c r="BD1667" s="191">
        <v>44447</v>
      </c>
      <c r="BE1667" s="192" t="s">
        <v>246</v>
      </c>
      <c r="BH1667" s="94">
        <v>44512</v>
      </c>
      <c r="BI1667" s="95" t="s">
        <v>75</v>
      </c>
      <c r="BJ1667" s="96">
        <v>13.2</v>
      </c>
    </row>
    <row r="1668" spans="54:62" ht="13.8" x14ac:dyDescent="0.25">
      <c r="BB1668" s="187"/>
      <c r="BC1668" s="180"/>
      <c r="BD1668" s="191">
        <v>44448</v>
      </c>
      <c r="BE1668" s="192" t="s">
        <v>374</v>
      </c>
      <c r="BH1668" s="94">
        <v>44515</v>
      </c>
      <c r="BI1668" s="95" t="s">
        <v>97</v>
      </c>
      <c r="BJ1668" s="96">
        <v>13.2</v>
      </c>
    </row>
    <row r="1669" spans="54:62" ht="13.8" x14ac:dyDescent="0.25">
      <c r="BB1669" s="187"/>
      <c r="BC1669" s="180"/>
      <c r="BD1669" s="191">
        <v>44449</v>
      </c>
      <c r="BE1669" s="192" t="s">
        <v>292</v>
      </c>
      <c r="BH1669" s="94">
        <v>44516</v>
      </c>
      <c r="BI1669" s="95" t="s">
        <v>221</v>
      </c>
      <c r="BJ1669" s="96">
        <v>13.19</v>
      </c>
    </row>
    <row r="1670" spans="54:62" ht="13.8" x14ac:dyDescent="0.25">
      <c r="BB1670" s="187"/>
      <c r="BC1670" s="180"/>
      <c r="BD1670" s="191">
        <v>44452</v>
      </c>
      <c r="BE1670" s="192" t="s">
        <v>377</v>
      </c>
      <c r="BH1670" s="94">
        <v>44517</v>
      </c>
      <c r="BI1670" s="95" t="s">
        <v>103</v>
      </c>
      <c r="BJ1670" s="96">
        <v>13.19</v>
      </c>
    </row>
    <row r="1671" spans="54:62" ht="13.8" x14ac:dyDescent="0.25">
      <c r="BB1671" s="187"/>
      <c r="BC1671" s="180"/>
      <c r="BD1671" s="191">
        <v>44453</v>
      </c>
      <c r="BE1671" s="192" t="s">
        <v>291</v>
      </c>
      <c r="BH1671" s="94">
        <v>44518</v>
      </c>
      <c r="BI1671" s="95" t="s">
        <v>80</v>
      </c>
      <c r="BJ1671" s="96">
        <v>13.19</v>
      </c>
    </row>
    <row r="1672" spans="54:62" ht="13.8" x14ac:dyDescent="0.25">
      <c r="BB1672" s="187"/>
      <c r="BC1672" s="180"/>
      <c r="BD1672" s="191">
        <v>44454</v>
      </c>
      <c r="BE1672" s="192" t="s">
        <v>373</v>
      </c>
      <c r="BH1672" s="94">
        <v>44519</v>
      </c>
      <c r="BI1672" s="95" t="s">
        <v>223</v>
      </c>
      <c r="BJ1672" s="96">
        <v>13.19</v>
      </c>
    </row>
    <row r="1673" spans="54:62" ht="13.8" x14ac:dyDescent="0.25">
      <c r="BB1673" s="187"/>
      <c r="BC1673" s="180"/>
      <c r="BD1673" s="191">
        <v>44455</v>
      </c>
      <c r="BE1673" s="192" t="s">
        <v>289</v>
      </c>
      <c r="BH1673" s="94">
        <v>44522</v>
      </c>
      <c r="BI1673" s="95" t="s">
        <v>78</v>
      </c>
      <c r="BJ1673" s="96">
        <v>13.74</v>
      </c>
    </row>
    <row r="1674" spans="54:62" ht="13.8" x14ac:dyDescent="0.25">
      <c r="BB1674" s="187"/>
      <c r="BC1674" s="180"/>
      <c r="BD1674" s="191">
        <v>44456</v>
      </c>
      <c r="BE1674" s="192" t="s">
        <v>289</v>
      </c>
      <c r="BH1674" s="94">
        <v>44523</v>
      </c>
      <c r="BI1674" s="95" t="s">
        <v>367</v>
      </c>
      <c r="BJ1674" s="96">
        <v>13.73</v>
      </c>
    </row>
    <row r="1675" spans="54:62" ht="13.8" x14ac:dyDescent="0.25">
      <c r="BB1675" s="187"/>
      <c r="BC1675" s="180"/>
      <c r="BD1675" s="191">
        <v>44459</v>
      </c>
      <c r="BE1675" s="192" t="s">
        <v>347</v>
      </c>
      <c r="BH1675" s="94">
        <v>44524</v>
      </c>
      <c r="BI1675" s="95" t="s">
        <v>219</v>
      </c>
      <c r="BJ1675" s="96">
        <v>13.73</v>
      </c>
    </row>
    <row r="1676" spans="54:62" ht="13.8" x14ac:dyDescent="0.25">
      <c r="BB1676" s="187"/>
      <c r="BC1676" s="180"/>
      <c r="BD1676" s="191">
        <v>44460</v>
      </c>
      <c r="BE1676" s="192" t="s">
        <v>249</v>
      </c>
      <c r="BH1676" s="94">
        <v>44525</v>
      </c>
      <c r="BI1676" s="95" t="s">
        <v>368</v>
      </c>
      <c r="BJ1676" s="96">
        <v>13.73</v>
      </c>
    </row>
    <row r="1677" spans="54:62" ht="13.8" x14ac:dyDescent="0.25">
      <c r="BB1677" s="187"/>
      <c r="BC1677" s="180"/>
      <c r="BD1677" s="191">
        <v>44461</v>
      </c>
      <c r="BE1677" s="192" t="s">
        <v>232</v>
      </c>
      <c r="BH1677" s="94">
        <v>44526</v>
      </c>
      <c r="BI1677" s="95" t="s">
        <v>381</v>
      </c>
      <c r="BJ1677" s="96">
        <v>13.73</v>
      </c>
    </row>
    <row r="1678" spans="54:62" ht="13.8" x14ac:dyDescent="0.25">
      <c r="BB1678" s="187"/>
      <c r="BC1678" s="180"/>
      <c r="BD1678" s="191">
        <v>44462</v>
      </c>
      <c r="BE1678" s="192" t="s">
        <v>250</v>
      </c>
      <c r="BH1678" s="94">
        <v>44529</v>
      </c>
      <c r="BI1678" s="95" t="s">
        <v>266</v>
      </c>
      <c r="BJ1678" s="96">
        <v>13.72</v>
      </c>
    </row>
    <row r="1679" spans="54:62" ht="13.8" x14ac:dyDescent="0.25">
      <c r="BB1679" s="187"/>
      <c r="BC1679" s="180"/>
      <c r="BD1679" s="191">
        <v>44463</v>
      </c>
      <c r="BE1679" s="192" t="s">
        <v>281</v>
      </c>
      <c r="BH1679" s="94">
        <v>44530</v>
      </c>
      <c r="BI1679" s="95" t="s">
        <v>89</v>
      </c>
      <c r="BJ1679" s="96">
        <v>13.72</v>
      </c>
    </row>
    <row r="1680" spans="54:62" ht="13.8" x14ac:dyDescent="0.25">
      <c r="BB1680" s="187"/>
      <c r="BC1680" s="180"/>
      <c r="BD1680" s="191">
        <v>44466</v>
      </c>
      <c r="BE1680" s="192" t="s">
        <v>280</v>
      </c>
      <c r="BH1680" s="94">
        <v>44531</v>
      </c>
      <c r="BI1680" s="95" t="s">
        <v>93</v>
      </c>
      <c r="BJ1680" s="96">
        <v>13.71</v>
      </c>
    </row>
    <row r="1681" spans="54:62" ht="13.8" x14ac:dyDescent="0.25">
      <c r="BB1681" s="187"/>
      <c r="BC1681" s="180"/>
      <c r="BD1681" s="191">
        <v>44467</v>
      </c>
      <c r="BE1681" s="192" t="s">
        <v>378</v>
      </c>
      <c r="BH1681" s="94">
        <v>44532</v>
      </c>
      <c r="BI1681" s="95" t="s">
        <v>144</v>
      </c>
      <c r="BJ1681" s="96">
        <v>13.71</v>
      </c>
    </row>
    <row r="1682" spans="54:62" ht="13.8" x14ac:dyDescent="0.25">
      <c r="BB1682" s="187"/>
      <c r="BC1682" s="180"/>
      <c r="BD1682" s="191">
        <v>44468</v>
      </c>
      <c r="BE1682" s="192" t="s">
        <v>228</v>
      </c>
      <c r="BH1682" s="94">
        <v>44533</v>
      </c>
      <c r="BI1682" s="95" t="s">
        <v>225</v>
      </c>
      <c r="BJ1682" s="96">
        <v>13.71</v>
      </c>
    </row>
    <row r="1683" spans="54:62" ht="13.8" x14ac:dyDescent="0.25">
      <c r="BB1683" s="187"/>
      <c r="BC1683" s="180"/>
      <c r="BD1683" s="191">
        <v>44469</v>
      </c>
      <c r="BE1683" s="192" t="s">
        <v>271</v>
      </c>
      <c r="BH1683" s="94">
        <v>44536</v>
      </c>
      <c r="BI1683" s="95" t="s">
        <v>147</v>
      </c>
      <c r="BJ1683" s="96">
        <v>13.7</v>
      </c>
    </row>
    <row r="1684" spans="54:62" ht="13.8" x14ac:dyDescent="0.25">
      <c r="BB1684" s="187"/>
      <c r="BC1684" s="180"/>
      <c r="BD1684" s="191">
        <v>44470</v>
      </c>
      <c r="BE1684" s="192" t="s">
        <v>272</v>
      </c>
      <c r="BH1684" s="94">
        <v>44537</v>
      </c>
      <c r="BI1684" s="95" t="s">
        <v>226</v>
      </c>
      <c r="BJ1684" s="96">
        <v>13.7</v>
      </c>
    </row>
    <row r="1685" spans="54:62" ht="13.8" x14ac:dyDescent="0.25">
      <c r="BB1685" s="187"/>
      <c r="BC1685" s="180"/>
      <c r="BD1685" s="191">
        <v>44473</v>
      </c>
      <c r="BE1685" s="192" t="s">
        <v>273</v>
      </c>
      <c r="BH1685" s="94">
        <v>44539</v>
      </c>
      <c r="BI1685" s="95" t="s">
        <v>226</v>
      </c>
      <c r="BJ1685" s="96">
        <v>13.69</v>
      </c>
    </row>
    <row r="1686" spans="54:62" ht="13.8" x14ac:dyDescent="0.25">
      <c r="BB1686" s="187"/>
      <c r="BC1686" s="180"/>
      <c r="BD1686" s="191">
        <v>44474</v>
      </c>
      <c r="BE1686" s="192" t="s">
        <v>274</v>
      </c>
      <c r="BH1686" s="94">
        <v>44540</v>
      </c>
      <c r="BI1686" s="95" t="s">
        <v>148</v>
      </c>
      <c r="BJ1686" s="96">
        <v>13.69</v>
      </c>
    </row>
    <row r="1687" spans="54:62" ht="13.8" x14ac:dyDescent="0.25">
      <c r="BB1687" s="187"/>
      <c r="BC1687" s="180"/>
      <c r="BD1687" s="191">
        <v>44475</v>
      </c>
      <c r="BE1687" s="192" t="s">
        <v>362</v>
      </c>
      <c r="BH1687" s="94">
        <v>44543</v>
      </c>
      <c r="BI1687" s="95" t="s">
        <v>382</v>
      </c>
      <c r="BJ1687" s="96">
        <v>13.68</v>
      </c>
    </row>
    <row r="1688" spans="54:62" ht="13.8" x14ac:dyDescent="0.25">
      <c r="BB1688" s="187"/>
      <c r="BC1688" s="180"/>
      <c r="BD1688" s="191">
        <v>44476</v>
      </c>
      <c r="BE1688" s="192" t="s">
        <v>253</v>
      </c>
      <c r="BH1688" s="94">
        <v>44544</v>
      </c>
      <c r="BI1688" s="95" t="s">
        <v>149</v>
      </c>
      <c r="BJ1688" s="96">
        <v>13.68</v>
      </c>
    </row>
    <row r="1689" spans="54:62" ht="13.8" x14ac:dyDescent="0.25">
      <c r="BB1689" s="187"/>
      <c r="BC1689" s="180"/>
      <c r="BD1689" s="191">
        <v>44477</v>
      </c>
      <c r="BE1689" s="192" t="s">
        <v>148</v>
      </c>
      <c r="BH1689" s="94">
        <v>44545</v>
      </c>
      <c r="BI1689" s="95" t="s">
        <v>253</v>
      </c>
      <c r="BJ1689" s="96">
        <v>13.67</v>
      </c>
    </row>
    <row r="1690" spans="54:62" ht="13.8" x14ac:dyDescent="0.25">
      <c r="BB1690" s="187"/>
      <c r="BC1690" s="180"/>
      <c r="BD1690" s="191">
        <v>44480</v>
      </c>
      <c r="BE1690" s="192" t="s">
        <v>379</v>
      </c>
      <c r="BH1690" s="94">
        <v>44546</v>
      </c>
      <c r="BI1690" s="95" t="s">
        <v>150</v>
      </c>
      <c r="BJ1690" s="96">
        <v>13.66</v>
      </c>
    </row>
    <row r="1691" spans="54:62" ht="13.8" x14ac:dyDescent="0.25">
      <c r="BB1691" s="187"/>
      <c r="BC1691" s="180"/>
      <c r="BD1691" s="191">
        <v>44481</v>
      </c>
      <c r="BE1691" s="192" t="s">
        <v>92</v>
      </c>
      <c r="BH1691" s="94">
        <v>44547</v>
      </c>
      <c r="BI1691" s="95" t="s">
        <v>383</v>
      </c>
      <c r="BJ1691" s="96">
        <v>13.65</v>
      </c>
    </row>
    <row r="1692" spans="54:62" ht="13.8" x14ac:dyDescent="0.25">
      <c r="BB1692" s="187"/>
      <c r="BC1692" s="180"/>
      <c r="BD1692" s="191">
        <v>44482</v>
      </c>
      <c r="BE1692" s="192" t="s">
        <v>214</v>
      </c>
      <c r="BH1692" s="94">
        <v>44550</v>
      </c>
      <c r="BI1692" s="95" t="s">
        <v>362</v>
      </c>
      <c r="BJ1692" s="96">
        <v>13.64</v>
      </c>
    </row>
    <row r="1693" spans="54:62" ht="13.8" x14ac:dyDescent="0.25">
      <c r="BB1693" s="187"/>
      <c r="BC1693" s="180"/>
      <c r="BD1693" s="191">
        <v>44483</v>
      </c>
      <c r="BE1693" s="192" t="s">
        <v>266</v>
      </c>
      <c r="BH1693" s="94">
        <v>44551</v>
      </c>
      <c r="BI1693" s="95" t="s">
        <v>383</v>
      </c>
      <c r="BJ1693" s="96">
        <v>13.65</v>
      </c>
    </row>
    <row r="1694" spans="54:62" ht="13.8" x14ac:dyDescent="0.25">
      <c r="BB1694" s="187"/>
      <c r="BC1694" s="180"/>
      <c r="BD1694" s="191">
        <v>44484</v>
      </c>
      <c r="BE1694" s="192" t="s">
        <v>86</v>
      </c>
      <c r="BH1694" s="94">
        <v>44552</v>
      </c>
      <c r="BI1694" s="95" t="s">
        <v>268</v>
      </c>
      <c r="BJ1694" s="96">
        <v>13.65</v>
      </c>
    </row>
    <row r="1695" spans="54:62" ht="13.8" x14ac:dyDescent="0.25">
      <c r="BB1695" s="187"/>
      <c r="BC1695" s="180"/>
      <c r="BD1695" s="191">
        <v>44487</v>
      </c>
      <c r="BE1695" s="192" t="s">
        <v>223</v>
      </c>
      <c r="BH1695" s="94">
        <v>44553</v>
      </c>
      <c r="BI1695" s="95" t="s">
        <v>383</v>
      </c>
      <c r="BJ1695" s="96">
        <v>13.65</v>
      </c>
    </row>
    <row r="1696" spans="54:62" ht="13.8" x14ac:dyDescent="0.25">
      <c r="BB1696" s="187"/>
      <c r="BC1696" s="180"/>
      <c r="BD1696" s="191">
        <v>44488</v>
      </c>
      <c r="BE1696" s="192" t="s">
        <v>80</v>
      </c>
      <c r="BH1696" s="94">
        <v>44557</v>
      </c>
      <c r="BI1696" s="95" t="s">
        <v>383</v>
      </c>
      <c r="BJ1696" s="96">
        <v>13.63</v>
      </c>
    </row>
    <row r="1697" spans="54:62" ht="13.8" x14ac:dyDescent="0.25">
      <c r="BB1697" s="187"/>
      <c r="BC1697" s="180"/>
      <c r="BD1697" s="191">
        <v>44489</v>
      </c>
      <c r="BE1697" s="192" t="s">
        <v>102</v>
      </c>
      <c r="BH1697" s="94">
        <v>44558</v>
      </c>
      <c r="BI1697" s="95" t="s">
        <v>208</v>
      </c>
      <c r="BJ1697" s="96">
        <v>13.63</v>
      </c>
    </row>
    <row r="1698" spans="54:62" ht="13.8" x14ac:dyDescent="0.25">
      <c r="BB1698" s="187"/>
      <c r="BC1698" s="180"/>
      <c r="BD1698" s="191">
        <v>44490</v>
      </c>
      <c r="BE1698" s="192" t="s">
        <v>76</v>
      </c>
      <c r="BH1698" s="94">
        <v>44559</v>
      </c>
      <c r="BI1698" s="95" t="s">
        <v>384</v>
      </c>
      <c r="BJ1698" s="96">
        <v>13.63</v>
      </c>
    </row>
    <row r="1699" spans="54:62" ht="13.8" x14ac:dyDescent="0.25">
      <c r="BB1699" s="187"/>
      <c r="BC1699" s="180"/>
      <c r="BD1699" s="191">
        <v>44491</v>
      </c>
      <c r="BE1699" s="192" t="s">
        <v>99</v>
      </c>
      <c r="BH1699" s="94">
        <v>44560</v>
      </c>
      <c r="BI1699" s="95" t="s">
        <v>379</v>
      </c>
      <c r="BJ1699" s="96">
        <v>13.63</v>
      </c>
    </row>
    <row r="1700" spans="54:62" ht="13.8" x14ac:dyDescent="0.25">
      <c r="BB1700" s="187"/>
      <c r="BC1700" s="180"/>
      <c r="BD1700" s="191">
        <v>44494</v>
      </c>
      <c r="BE1700" s="192" t="s">
        <v>101</v>
      </c>
      <c r="BH1700" s="94">
        <v>44561</v>
      </c>
      <c r="BI1700" s="95" t="s">
        <v>211</v>
      </c>
      <c r="BJ1700" s="96">
        <v>13.62</v>
      </c>
    </row>
    <row r="1701" spans="54:62" ht="13.8" x14ac:dyDescent="0.25">
      <c r="BB1701" s="187"/>
      <c r="BC1701" s="180"/>
      <c r="BD1701" s="191"/>
      <c r="BE1701" s="193" t="str">
        <f>+BE1700</f>
        <v>−0,144</v>
      </c>
      <c r="BH1701" s="94">
        <v>44564</v>
      </c>
      <c r="BI1701" s="95" t="s">
        <v>212</v>
      </c>
      <c r="BJ1701" s="96">
        <v>13.62</v>
      </c>
    </row>
    <row r="1702" spans="54:62" ht="13.8" x14ac:dyDescent="0.25">
      <c r="BB1702" s="187"/>
      <c r="BC1702" s="180"/>
      <c r="BD1702" s="191">
        <v>44496</v>
      </c>
      <c r="BE1702" s="192" t="s">
        <v>108</v>
      </c>
      <c r="BH1702" s="94">
        <v>44565</v>
      </c>
      <c r="BI1702" s="95" t="s">
        <v>86</v>
      </c>
      <c r="BJ1702" s="96">
        <v>13.61</v>
      </c>
    </row>
    <row r="1703" spans="54:62" ht="13.8" x14ac:dyDescent="0.25">
      <c r="BB1703" s="187"/>
      <c r="BC1703" s="180"/>
      <c r="BD1703" s="191">
        <v>44497</v>
      </c>
      <c r="BE1703" s="192" t="s">
        <v>109</v>
      </c>
      <c r="BH1703" s="94">
        <v>44566</v>
      </c>
      <c r="BI1703" s="95" t="s">
        <v>368</v>
      </c>
      <c r="BJ1703" s="96">
        <v>13.61</v>
      </c>
    </row>
    <row r="1704" spans="54:62" ht="13.8" x14ac:dyDescent="0.25">
      <c r="BB1704" s="187"/>
      <c r="BC1704" s="180"/>
      <c r="BD1704" s="191">
        <v>44498</v>
      </c>
      <c r="BE1704" s="192" t="s">
        <v>365</v>
      </c>
      <c r="BH1704" s="94">
        <v>44568</v>
      </c>
      <c r="BI1704" s="95" t="s">
        <v>78</v>
      </c>
      <c r="BJ1704" s="96">
        <v>13.6</v>
      </c>
    </row>
    <row r="1705" spans="54:62" ht="13.8" x14ac:dyDescent="0.25">
      <c r="BB1705" s="187"/>
      <c r="BC1705" s="180"/>
      <c r="BD1705" s="191"/>
      <c r="BE1705" s="193">
        <v>-0.13400000000000001</v>
      </c>
      <c r="BF1705" s="111">
        <f>+(BC1705+BE1705)/2+0.37</f>
        <v>0.30299999999999999</v>
      </c>
      <c r="BH1705" s="94">
        <v>44571</v>
      </c>
      <c r="BI1705" s="95" t="s">
        <v>143</v>
      </c>
      <c r="BJ1705" s="96">
        <v>13.6</v>
      </c>
    </row>
    <row r="1706" spans="54:62" ht="13.8" x14ac:dyDescent="0.25">
      <c r="BB1706" s="187"/>
      <c r="BC1706" s="180"/>
      <c r="BD1706" s="191">
        <v>44502</v>
      </c>
      <c r="BE1706" s="192" t="s">
        <v>366</v>
      </c>
      <c r="BH1706" s="94">
        <v>44572</v>
      </c>
      <c r="BI1706" s="95" t="s">
        <v>363</v>
      </c>
      <c r="BJ1706" s="96">
        <v>13.59</v>
      </c>
    </row>
    <row r="1707" spans="54:62" ht="13.8" x14ac:dyDescent="0.25">
      <c r="BB1707" s="187"/>
      <c r="BC1707" s="180"/>
      <c r="BD1707" s="191">
        <v>44503</v>
      </c>
      <c r="BE1707" s="192" t="s">
        <v>71</v>
      </c>
      <c r="BH1707" s="94">
        <v>44573</v>
      </c>
      <c r="BI1707" s="95" t="s">
        <v>265</v>
      </c>
      <c r="BJ1707" s="96">
        <v>13.59</v>
      </c>
    </row>
    <row r="1708" spans="54:62" ht="13.8" x14ac:dyDescent="0.25">
      <c r="BB1708" s="187"/>
      <c r="BC1708" s="180"/>
      <c r="BD1708" s="191">
        <v>44504</v>
      </c>
      <c r="BE1708" s="192" t="s">
        <v>380</v>
      </c>
      <c r="BH1708" s="94">
        <v>44574</v>
      </c>
      <c r="BI1708" s="95" t="s">
        <v>385</v>
      </c>
      <c r="BJ1708" s="96">
        <v>13.62</v>
      </c>
    </row>
    <row r="1709" spans="54:62" ht="13.8" x14ac:dyDescent="0.25">
      <c r="BB1709" s="187"/>
      <c r="BC1709" s="180"/>
      <c r="BD1709" s="191">
        <v>44505</v>
      </c>
      <c r="BE1709" s="192" t="s">
        <v>112</v>
      </c>
      <c r="BH1709" s="94">
        <v>44575</v>
      </c>
      <c r="BI1709" s="95" t="s">
        <v>386</v>
      </c>
      <c r="BJ1709" s="96">
        <v>13.62</v>
      </c>
    </row>
    <row r="1710" spans="54:62" ht="13.8" x14ac:dyDescent="0.25">
      <c r="BB1710" s="187"/>
      <c r="BC1710" s="180"/>
      <c r="BD1710" s="191">
        <v>44508</v>
      </c>
      <c r="BE1710" s="192" t="s">
        <v>366</v>
      </c>
      <c r="BH1710" s="94">
        <v>44578</v>
      </c>
      <c r="BI1710" s="95" t="s">
        <v>387</v>
      </c>
      <c r="BJ1710" s="96">
        <v>13.61</v>
      </c>
    </row>
    <row r="1711" spans="54:62" ht="13.8" x14ac:dyDescent="0.25">
      <c r="BB1711" s="187"/>
      <c r="BC1711" s="180"/>
      <c r="BD1711" s="191">
        <v>44509</v>
      </c>
      <c r="BE1711" s="192" t="s">
        <v>364</v>
      </c>
      <c r="BH1711" s="94">
        <v>44579</v>
      </c>
      <c r="BI1711" s="95" t="s">
        <v>256</v>
      </c>
      <c r="BJ1711" s="96">
        <v>13.6</v>
      </c>
    </row>
    <row r="1712" spans="54:62" ht="13.8" x14ac:dyDescent="0.25">
      <c r="BB1712" s="187"/>
      <c r="BC1712" s="180"/>
      <c r="BD1712" s="191">
        <v>44510</v>
      </c>
      <c r="BE1712" s="192" t="s">
        <v>142</v>
      </c>
      <c r="BH1712" s="94">
        <v>44580</v>
      </c>
      <c r="BI1712" s="95" t="s">
        <v>388</v>
      </c>
      <c r="BJ1712" s="96">
        <v>13.6</v>
      </c>
    </row>
    <row r="1713" spans="54:62" ht="13.8" x14ac:dyDescent="0.25">
      <c r="BB1713" s="187"/>
      <c r="BC1713" s="180"/>
      <c r="BD1713" s="191">
        <v>44511</v>
      </c>
      <c r="BE1713" s="192" t="s">
        <v>73</v>
      </c>
      <c r="BH1713" s="94">
        <v>44581</v>
      </c>
      <c r="BI1713" s="95" t="s">
        <v>389</v>
      </c>
      <c r="BJ1713" s="96">
        <v>13.6</v>
      </c>
    </row>
    <row r="1714" spans="54:62" ht="13.8" x14ac:dyDescent="0.25">
      <c r="BB1714" s="187"/>
      <c r="BC1714" s="180"/>
      <c r="BD1714" s="191">
        <v>44512</v>
      </c>
      <c r="BE1714" s="192" t="s">
        <v>75</v>
      </c>
      <c r="BH1714" s="94">
        <v>44582</v>
      </c>
      <c r="BI1714" s="95" t="s">
        <v>390</v>
      </c>
      <c r="BJ1714" s="96">
        <v>13.6</v>
      </c>
    </row>
    <row r="1715" spans="54:62" ht="13.8" x14ac:dyDescent="0.25">
      <c r="BB1715" s="187"/>
      <c r="BC1715" s="180"/>
      <c r="BD1715" s="191">
        <v>44515</v>
      </c>
      <c r="BE1715" s="192" t="s">
        <v>97</v>
      </c>
      <c r="BH1715" s="94">
        <v>44585</v>
      </c>
      <c r="BI1715" s="95" t="s">
        <v>122</v>
      </c>
      <c r="BJ1715" s="96">
        <v>13.59</v>
      </c>
    </row>
    <row r="1716" spans="54:62" ht="13.8" x14ac:dyDescent="0.25">
      <c r="BB1716" s="187"/>
      <c r="BC1716" s="180"/>
      <c r="BD1716" s="191">
        <v>44516</v>
      </c>
      <c r="BE1716" s="192" t="s">
        <v>221</v>
      </c>
      <c r="BH1716" s="94">
        <v>44586</v>
      </c>
      <c r="BI1716" s="95" t="s">
        <v>391</v>
      </c>
      <c r="BJ1716" s="96">
        <v>13.59</v>
      </c>
    </row>
    <row r="1717" spans="54:62" ht="13.8" x14ac:dyDescent="0.25">
      <c r="BB1717" s="187"/>
      <c r="BC1717" s="180"/>
      <c r="BD1717" s="191">
        <v>44517</v>
      </c>
      <c r="BE1717" s="192" t="s">
        <v>103</v>
      </c>
      <c r="BH1717" s="94">
        <v>44587</v>
      </c>
      <c r="BI1717" s="95" t="s">
        <v>392</v>
      </c>
      <c r="BJ1717" s="96">
        <v>13.7</v>
      </c>
    </row>
    <row r="1718" spans="54:62" ht="13.8" x14ac:dyDescent="0.25">
      <c r="BB1718" s="187"/>
      <c r="BC1718" s="180"/>
      <c r="BD1718" s="191">
        <v>44518</v>
      </c>
      <c r="BE1718" s="192" t="s">
        <v>80</v>
      </c>
      <c r="BH1718" s="94">
        <v>44588</v>
      </c>
      <c r="BI1718" s="95" t="s">
        <v>124</v>
      </c>
      <c r="BJ1718" s="96">
        <v>13.7</v>
      </c>
    </row>
    <row r="1719" spans="54:62" ht="13.8" x14ac:dyDescent="0.25">
      <c r="BB1719" s="187"/>
      <c r="BC1719" s="180"/>
      <c r="BD1719" s="191">
        <v>44519</v>
      </c>
      <c r="BE1719" s="192" t="s">
        <v>223</v>
      </c>
      <c r="BH1719" s="94">
        <v>44589</v>
      </c>
      <c r="BI1719" s="95" t="s">
        <v>393</v>
      </c>
      <c r="BJ1719" s="96">
        <v>13.7</v>
      </c>
    </row>
    <row r="1720" spans="54:62" ht="13.8" x14ac:dyDescent="0.25">
      <c r="BB1720" s="187"/>
      <c r="BC1720" s="180"/>
      <c r="BD1720" s="191">
        <v>44522</v>
      </c>
      <c r="BE1720" s="192" t="s">
        <v>78</v>
      </c>
      <c r="BH1720" s="94">
        <v>44592</v>
      </c>
      <c r="BI1720" s="95" t="s">
        <v>394</v>
      </c>
      <c r="BJ1720" s="96">
        <v>13.69</v>
      </c>
    </row>
    <row r="1721" spans="54:62" ht="13.8" x14ac:dyDescent="0.25">
      <c r="BB1721" s="187"/>
      <c r="BC1721" s="180"/>
      <c r="BD1721" s="191">
        <v>44523</v>
      </c>
      <c r="BE1721" s="192" t="s">
        <v>367</v>
      </c>
      <c r="BH1721" s="94">
        <v>44593</v>
      </c>
      <c r="BI1721" s="95">
        <v>0</v>
      </c>
      <c r="BJ1721" s="96">
        <v>13.77</v>
      </c>
    </row>
    <row r="1722" spans="54:62" ht="13.8" x14ac:dyDescent="0.25">
      <c r="BB1722" s="187"/>
      <c r="BC1722" s="180"/>
      <c r="BD1722" s="191">
        <v>44524</v>
      </c>
      <c r="BE1722" s="192" t="s">
        <v>219</v>
      </c>
      <c r="BH1722" s="94">
        <v>44594</v>
      </c>
      <c r="BI1722" s="95">
        <v>7.0000000000000001E-3</v>
      </c>
      <c r="BJ1722" s="96">
        <v>13.77</v>
      </c>
    </row>
    <row r="1723" spans="54:62" ht="13.8" x14ac:dyDescent="0.25">
      <c r="BB1723" s="187"/>
      <c r="BC1723" s="180"/>
      <c r="BD1723" s="191">
        <v>44525</v>
      </c>
      <c r="BE1723" s="192" t="s">
        <v>368</v>
      </c>
      <c r="BH1723" s="94">
        <v>44595</v>
      </c>
      <c r="BI1723" s="95">
        <v>1.6E-2</v>
      </c>
      <c r="BJ1723" s="96">
        <v>13.77</v>
      </c>
    </row>
    <row r="1724" spans="54:62" ht="13.8" x14ac:dyDescent="0.25">
      <c r="BB1724" s="187"/>
      <c r="BC1724" s="180"/>
      <c r="BD1724" s="191">
        <v>44526</v>
      </c>
      <c r="BE1724" s="192" t="s">
        <v>381</v>
      </c>
      <c r="BH1724" s="94">
        <v>44596</v>
      </c>
      <c r="BI1724" s="95">
        <v>0.03</v>
      </c>
      <c r="BJ1724" s="96">
        <v>13.76</v>
      </c>
    </row>
    <row r="1725" spans="54:62" ht="13.8" x14ac:dyDescent="0.25">
      <c r="BB1725" s="187"/>
      <c r="BC1725" s="180"/>
      <c r="BD1725" s="191">
        <v>44529</v>
      </c>
      <c r="BE1725" s="192" t="s">
        <v>266</v>
      </c>
      <c r="BH1725" s="94">
        <v>44599</v>
      </c>
      <c r="BI1725" s="95">
        <v>4.5999999999999999E-2</v>
      </c>
      <c r="BJ1725" s="96">
        <v>13.75</v>
      </c>
    </row>
    <row r="1726" spans="54:62" ht="13.8" x14ac:dyDescent="0.25">
      <c r="BB1726" s="187"/>
      <c r="BC1726" s="180"/>
      <c r="BD1726" s="191">
        <v>44530</v>
      </c>
      <c r="BE1726" s="192" t="s">
        <v>89</v>
      </c>
      <c r="BH1726" s="94">
        <v>44600</v>
      </c>
      <c r="BI1726" s="95">
        <v>6.2E-2</v>
      </c>
      <c r="BJ1726" s="96">
        <v>13.74</v>
      </c>
    </row>
    <row r="1727" spans="54:62" ht="13.8" x14ac:dyDescent="0.25">
      <c r="BB1727" s="187"/>
      <c r="BC1727" s="180"/>
      <c r="BD1727" s="191">
        <v>44531</v>
      </c>
      <c r="BE1727" s="192" t="s">
        <v>93</v>
      </c>
      <c r="BH1727" s="94">
        <v>44601</v>
      </c>
      <c r="BI1727" s="95">
        <v>7.6999999999999999E-2</v>
      </c>
      <c r="BJ1727" s="96">
        <v>13.74</v>
      </c>
    </row>
    <row r="1728" spans="54:62" ht="13.8" x14ac:dyDescent="0.25">
      <c r="BB1728" s="187"/>
      <c r="BC1728" s="180"/>
      <c r="BD1728" s="191">
        <v>44532</v>
      </c>
      <c r="BE1728" s="192" t="s">
        <v>144</v>
      </c>
      <c r="BH1728" s="94">
        <v>44602</v>
      </c>
      <c r="BI1728" s="95">
        <v>9.4E-2</v>
      </c>
      <c r="BJ1728" s="96">
        <v>13.74</v>
      </c>
    </row>
    <row r="1729" spans="54:62" ht="13.8" x14ac:dyDescent="0.25">
      <c r="BB1729" s="187"/>
      <c r="BC1729" s="180"/>
      <c r="BD1729" s="191">
        <v>44533</v>
      </c>
      <c r="BE1729" s="192" t="s">
        <v>225</v>
      </c>
      <c r="BH1729" s="94">
        <v>44603</v>
      </c>
      <c r="BI1729" s="95">
        <v>0.114</v>
      </c>
      <c r="BJ1729" s="96">
        <v>13.74</v>
      </c>
    </row>
    <row r="1730" spans="54:62" ht="13.8" x14ac:dyDescent="0.25">
      <c r="BB1730" s="187"/>
      <c r="BC1730" s="180"/>
      <c r="BD1730" s="191">
        <v>44536</v>
      </c>
      <c r="BE1730" s="192" t="s">
        <v>147</v>
      </c>
      <c r="BH1730" s="94">
        <v>44606</v>
      </c>
      <c r="BI1730" s="95">
        <v>0.13</v>
      </c>
      <c r="BJ1730" s="96">
        <v>13.73</v>
      </c>
    </row>
    <row r="1731" spans="54:62" ht="13.8" x14ac:dyDescent="0.25">
      <c r="BB1731" s="187"/>
      <c r="BC1731" s="180"/>
      <c r="BD1731" s="191">
        <v>44537</v>
      </c>
      <c r="BE1731" s="192" t="s">
        <v>226</v>
      </c>
      <c r="BH1731" s="94">
        <v>44607</v>
      </c>
      <c r="BI1731" s="95">
        <v>0.14699999999999999</v>
      </c>
      <c r="BJ1731" s="96">
        <v>13.73</v>
      </c>
    </row>
    <row r="1732" spans="54:62" ht="13.8" x14ac:dyDescent="0.25">
      <c r="BB1732" s="187"/>
      <c r="BC1732" s="180"/>
      <c r="BD1732" s="191"/>
      <c r="BE1732" s="193" t="str">
        <f>+BE1731</f>
        <v>−0,208</v>
      </c>
      <c r="BH1732" s="94">
        <v>44608</v>
      </c>
      <c r="BI1732" s="95">
        <v>0.16300000000000001</v>
      </c>
      <c r="BJ1732" s="96">
        <v>13.72</v>
      </c>
    </row>
    <row r="1733" spans="54:62" ht="13.8" x14ac:dyDescent="0.25">
      <c r="BB1733" s="187"/>
      <c r="BC1733" s="180"/>
      <c r="BD1733" s="191">
        <v>44539</v>
      </c>
      <c r="BE1733" s="192" t="s">
        <v>226</v>
      </c>
      <c r="BH1733" s="94">
        <v>44609</v>
      </c>
      <c r="BI1733" s="95">
        <v>0.17899999999999999</v>
      </c>
      <c r="BJ1733" s="96">
        <v>13.72</v>
      </c>
    </row>
    <row r="1734" spans="54:62" ht="13.8" x14ac:dyDescent="0.25">
      <c r="BB1734" s="187"/>
      <c r="BC1734" s="180"/>
      <c r="BD1734" s="191">
        <v>44540</v>
      </c>
      <c r="BE1734" s="192" t="s">
        <v>148</v>
      </c>
      <c r="BH1734" s="94">
        <v>44610</v>
      </c>
      <c r="BI1734" s="95">
        <v>0.193</v>
      </c>
      <c r="BJ1734" s="96">
        <v>13.72</v>
      </c>
    </row>
    <row r="1735" spans="54:62" ht="13.8" x14ac:dyDescent="0.25">
      <c r="BB1735" s="187"/>
      <c r="BC1735" s="180"/>
      <c r="BD1735" s="191">
        <v>44543</v>
      </c>
      <c r="BE1735" s="192" t="s">
        <v>382</v>
      </c>
      <c r="BH1735" s="94">
        <v>44613</v>
      </c>
      <c r="BI1735" s="95">
        <v>0.21</v>
      </c>
      <c r="BJ1735" s="96">
        <v>13.71</v>
      </c>
    </row>
    <row r="1736" spans="54:62" ht="13.8" x14ac:dyDescent="0.25">
      <c r="BB1736" s="187"/>
      <c r="BC1736" s="180"/>
      <c r="BD1736" s="191">
        <v>44544</v>
      </c>
      <c r="BE1736" s="192" t="s">
        <v>149</v>
      </c>
      <c r="BH1736" s="94">
        <v>44614</v>
      </c>
      <c r="BI1736" s="95">
        <v>0.22700000000000001</v>
      </c>
      <c r="BJ1736" s="96">
        <v>13.71</v>
      </c>
    </row>
    <row r="1737" spans="54:62" ht="13.8" x14ac:dyDescent="0.25">
      <c r="BB1737" s="187"/>
      <c r="BC1737" s="180"/>
      <c r="BD1737" s="191">
        <v>44545</v>
      </c>
      <c r="BE1737" s="192" t="s">
        <v>253</v>
      </c>
      <c r="BH1737" s="94">
        <v>44615</v>
      </c>
      <c r="BI1737" s="95">
        <v>0.24399999999999999</v>
      </c>
      <c r="BJ1737" s="96">
        <v>13.7</v>
      </c>
    </row>
    <row r="1738" spans="54:62" ht="13.8" x14ac:dyDescent="0.25">
      <c r="BB1738" s="187"/>
      <c r="BC1738" s="180"/>
      <c r="BD1738" s="191">
        <v>44546</v>
      </c>
      <c r="BE1738" s="192" t="s">
        <v>150</v>
      </c>
      <c r="BH1738" s="94">
        <v>44616</v>
      </c>
      <c r="BI1738" s="95">
        <v>0.25700000000000001</v>
      </c>
      <c r="BJ1738" s="96">
        <v>13.69</v>
      </c>
    </row>
    <row r="1739" spans="54:62" ht="13.8" x14ac:dyDescent="0.25">
      <c r="BB1739" s="187"/>
      <c r="BC1739" s="180"/>
      <c r="BD1739" s="191">
        <v>44547</v>
      </c>
      <c r="BE1739" s="192" t="s">
        <v>383</v>
      </c>
      <c r="BH1739" s="94">
        <v>44617</v>
      </c>
      <c r="BI1739" s="95">
        <v>0.27100000000000002</v>
      </c>
      <c r="BJ1739" s="96">
        <v>13.68</v>
      </c>
    </row>
    <row r="1740" spans="54:62" ht="13.8" x14ac:dyDescent="0.25">
      <c r="BB1740" s="187"/>
      <c r="BC1740" s="180"/>
      <c r="BD1740" s="191">
        <v>44550</v>
      </c>
      <c r="BE1740" s="192" t="s">
        <v>362</v>
      </c>
      <c r="BH1740" s="94">
        <v>44620</v>
      </c>
      <c r="BI1740" s="95">
        <v>0.28199999999999997</v>
      </c>
      <c r="BJ1740" s="96">
        <v>13.67</v>
      </c>
    </row>
    <row r="1741" spans="54:62" ht="13.8" x14ac:dyDescent="0.25">
      <c r="BB1741" s="187"/>
      <c r="BC1741" s="180"/>
      <c r="BD1741" s="191">
        <v>44551</v>
      </c>
      <c r="BE1741" s="192" t="s">
        <v>383</v>
      </c>
      <c r="BH1741" s="94">
        <v>44621</v>
      </c>
      <c r="BI1741" s="95">
        <v>0.28499999999999998</v>
      </c>
      <c r="BJ1741" s="96">
        <v>13.67</v>
      </c>
    </row>
    <row r="1742" spans="54:62" ht="13.8" x14ac:dyDescent="0.25">
      <c r="BB1742" s="187"/>
      <c r="BC1742" s="180"/>
      <c r="BD1742" s="191">
        <v>44552</v>
      </c>
      <c r="BE1742" s="192" t="s">
        <v>268</v>
      </c>
      <c r="BH1742" s="94">
        <v>44622</v>
      </c>
      <c r="BI1742" s="95">
        <v>0.28599999999999998</v>
      </c>
      <c r="BJ1742" s="96">
        <v>13.67</v>
      </c>
    </row>
    <row r="1743" spans="54:62" ht="13.8" x14ac:dyDescent="0.25">
      <c r="BB1743" s="187"/>
      <c r="BC1743" s="180"/>
      <c r="BD1743" s="191">
        <v>44553</v>
      </c>
      <c r="BE1743" s="192" t="s">
        <v>383</v>
      </c>
      <c r="BH1743" s="94">
        <v>44623</v>
      </c>
      <c r="BI1743" s="95">
        <v>0.28899999999999998</v>
      </c>
      <c r="BJ1743" s="96">
        <v>13.67</v>
      </c>
    </row>
    <row r="1744" spans="54:62" ht="13.8" x14ac:dyDescent="0.25">
      <c r="BB1744" s="187"/>
      <c r="BC1744" s="180"/>
      <c r="BD1744" s="191"/>
      <c r="BE1744" s="193" t="str">
        <f>+BE1743</f>
        <v>−0,219</v>
      </c>
      <c r="BH1744" s="94">
        <v>44624</v>
      </c>
      <c r="BI1744" s="95">
        <v>0.28100000000000003</v>
      </c>
      <c r="BJ1744" s="96">
        <v>13.66</v>
      </c>
    </row>
    <row r="1745" spans="54:62" ht="13.8" x14ac:dyDescent="0.25">
      <c r="BB1745" s="187"/>
      <c r="BC1745" s="180"/>
      <c r="BD1745" s="191">
        <v>44557</v>
      </c>
      <c r="BE1745" s="192" t="s">
        <v>383</v>
      </c>
      <c r="BH1745" s="94">
        <v>44627</v>
      </c>
      <c r="BI1745" s="95">
        <v>0.27200000000000002</v>
      </c>
      <c r="BJ1745" s="96">
        <v>13.66</v>
      </c>
    </row>
    <row r="1746" spans="54:62" ht="13.8" x14ac:dyDescent="0.25">
      <c r="BB1746" s="187"/>
      <c r="BC1746" s="180"/>
      <c r="BD1746" s="191">
        <v>44558</v>
      </c>
      <c r="BE1746" s="192" t="s">
        <v>208</v>
      </c>
      <c r="BH1746" s="94">
        <v>44628</v>
      </c>
      <c r="BI1746" s="95">
        <v>0.26600000000000001</v>
      </c>
      <c r="BJ1746" s="96">
        <v>13.72</v>
      </c>
    </row>
    <row r="1747" spans="54:62" ht="13.8" x14ac:dyDescent="0.25">
      <c r="BB1747" s="187"/>
      <c r="BC1747" s="180"/>
      <c r="BD1747" s="191">
        <v>44559</v>
      </c>
      <c r="BE1747" s="192" t="s">
        <v>384</v>
      </c>
      <c r="BH1747" s="94">
        <v>44629</v>
      </c>
      <c r="BI1747" s="95">
        <v>0.26500000000000001</v>
      </c>
      <c r="BJ1747" s="96">
        <v>13.72</v>
      </c>
    </row>
    <row r="1748" spans="54:62" ht="13.8" x14ac:dyDescent="0.25">
      <c r="BB1748" s="187"/>
      <c r="BC1748" s="180"/>
      <c r="BD1748" s="191">
        <v>44560</v>
      </c>
      <c r="BE1748" s="192" t="s">
        <v>379</v>
      </c>
      <c r="BH1748" s="94">
        <v>44630</v>
      </c>
      <c r="BI1748" s="95">
        <v>0.26300000000000001</v>
      </c>
      <c r="BJ1748" s="96">
        <v>13.67</v>
      </c>
    </row>
    <row r="1749" spans="54:62" ht="13.8" x14ac:dyDescent="0.25">
      <c r="BB1749" s="187"/>
      <c r="BC1749" s="180"/>
      <c r="BD1749" s="191">
        <v>44561</v>
      </c>
      <c r="BE1749" s="192" t="s">
        <v>211</v>
      </c>
      <c r="BH1749" s="94">
        <v>44631</v>
      </c>
      <c r="BI1749" s="95">
        <v>0.26500000000000001</v>
      </c>
      <c r="BJ1749" s="96">
        <v>13.67</v>
      </c>
    </row>
    <row r="1750" spans="54:62" ht="13.8" x14ac:dyDescent="0.25">
      <c r="BB1750" s="187"/>
      <c r="BC1750" s="180"/>
      <c r="BD1750" s="191">
        <v>44564</v>
      </c>
      <c r="BE1750" s="192" t="s">
        <v>212</v>
      </c>
      <c r="BH1750" s="94">
        <v>44634</v>
      </c>
      <c r="BI1750" s="95">
        <v>0.27200000000000002</v>
      </c>
      <c r="BJ1750" s="96">
        <v>13.66</v>
      </c>
    </row>
    <row r="1751" spans="54:62" ht="13.8" x14ac:dyDescent="0.25">
      <c r="BB1751" s="187"/>
      <c r="BC1751" s="180"/>
      <c r="BD1751" s="191">
        <v>44565</v>
      </c>
      <c r="BE1751" s="192" t="s">
        <v>86</v>
      </c>
      <c r="BH1751" s="94">
        <v>44635</v>
      </c>
      <c r="BI1751" s="95">
        <v>0.27400000000000002</v>
      </c>
      <c r="BJ1751" s="96">
        <v>13.66</v>
      </c>
    </row>
    <row r="1752" spans="54:62" ht="13.8" x14ac:dyDescent="0.25">
      <c r="BB1752" s="187"/>
      <c r="BC1752" s="180"/>
      <c r="BD1752" s="191">
        <v>44566</v>
      </c>
      <c r="BE1752" s="192" t="s">
        <v>368</v>
      </c>
      <c r="BH1752" s="94">
        <v>44636</v>
      </c>
      <c r="BI1752" s="95">
        <v>0.27800000000000002</v>
      </c>
      <c r="BJ1752" s="96">
        <v>13.64</v>
      </c>
    </row>
    <row r="1753" spans="54:62" ht="13.8" x14ac:dyDescent="0.25">
      <c r="BB1753" s="187"/>
      <c r="BC1753" s="180"/>
      <c r="BD1753" s="191"/>
      <c r="BE1753" s="193" t="str">
        <f>+BE1752</f>
        <v>−0,171</v>
      </c>
      <c r="BH1753" s="94">
        <v>44637</v>
      </c>
      <c r="BI1753" s="95">
        <v>0.28399999999999997</v>
      </c>
      <c r="BJ1753" s="96">
        <v>13.63</v>
      </c>
    </row>
    <row r="1754" spans="54:62" ht="13.8" x14ac:dyDescent="0.25">
      <c r="BB1754" s="187"/>
      <c r="BC1754" s="180"/>
      <c r="BD1754" s="191">
        <v>44568</v>
      </c>
      <c r="BE1754" s="192" t="s">
        <v>78</v>
      </c>
      <c r="BH1754" s="94">
        <v>44638</v>
      </c>
      <c r="BI1754" s="95">
        <v>0.28999999999999998</v>
      </c>
      <c r="BJ1754" s="96">
        <v>13.63</v>
      </c>
    </row>
    <row r="1755" spans="54:62" ht="13.8" x14ac:dyDescent="0.25">
      <c r="BB1755" s="187"/>
      <c r="BC1755" s="180"/>
      <c r="BD1755" s="191">
        <v>44571</v>
      </c>
      <c r="BE1755" s="192" t="s">
        <v>143</v>
      </c>
      <c r="BH1755" s="94">
        <v>44641</v>
      </c>
      <c r="BI1755" s="95">
        <v>0.29899999999999999</v>
      </c>
      <c r="BJ1755" s="96">
        <v>13.62</v>
      </c>
    </row>
    <row r="1756" spans="54:62" ht="13.8" x14ac:dyDescent="0.25">
      <c r="BB1756" s="187"/>
      <c r="BC1756" s="180"/>
      <c r="BD1756" s="191">
        <v>44572</v>
      </c>
      <c r="BE1756" s="192" t="s">
        <v>363</v>
      </c>
      <c r="BH1756" s="94">
        <v>44642</v>
      </c>
      <c r="BI1756" s="95">
        <v>0.31</v>
      </c>
      <c r="BJ1756" s="96">
        <v>13.62</v>
      </c>
    </row>
    <row r="1757" spans="54:62" ht="13.8" x14ac:dyDescent="0.25">
      <c r="BB1757" s="187"/>
      <c r="BC1757" s="180"/>
      <c r="BD1757" s="191">
        <v>44573</v>
      </c>
      <c r="BE1757" s="192" t="s">
        <v>265</v>
      </c>
      <c r="BH1757" s="94">
        <v>44643</v>
      </c>
      <c r="BI1757" s="95">
        <v>0.31900000000000001</v>
      </c>
      <c r="BJ1757" s="96">
        <v>13.62</v>
      </c>
    </row>
    <row r="1758" spans="54:62" ht="13.8" x14ac:dyDescent="0.25">
      <c r="BB1758" s="187"/>
      <c r="BC1758" s="180"/>
      <c r="BD1758" s="191">
        <v>44574</v>
      </c>
      <c r="BE1758" s="192" t="s">
        <v>385</v>
      </c>
      <c r="BH1758" s="94">
        <v>44644</v>
      </c>
      <c r="BI1758" s="95">
        <v>0.33200000000000002</v>
      </c>
      <c r="BJ1758" s="96">
        <v>13.61</v>
      </c>
    </row>
    <row r="1759" spans="54:62" ht="13.8" x14ac:dyDescent="0.25">
      <c r="BB1759" s="187"/>
      <c r="BC1759" s="180"/>
      <c r="BD1759" s="191">
        <v>44575</v>
      </c>
      <c r="BE1759" s="192" t="s">
        <v>386</v>
      </c>
      <c r="BH1759" s="94">
        <v>44645</v>
      </c>
      <c r="BI1759" s="95">
        <v>0.34399999999999997</v>
      </c>
      <c r="BJ1759" s="96">
        <v>13.61</v>
      </c>
    </row>
    <row r="1760" spans="54:62" ht="13.8" x14ac:dyDescent="0.25">
      <c r="BB1760" s="187"/>
      <c r="BC1760" s="180"/>
      <c r="BD1760" s="191">
        <v>44578</v>
      </c>
      <c r="BE1760" s="192" t="s">
        <v>387</v>
      </c>
      <c r="BH1760" s="94">
        <v>44648</v>
      </c>
      <c r="BI1760" s="95">
        <v>0.36</v>
      </c>
      <c r="BJ1760" s="96">
        <v>13.6</v>
      </c>
    </row>
    <row r="1761" spans="54:62" ht="13.8" x14ac:dyDescent="0.25">
      <c r="BB1761" s="187"/>
      <c r="BC1761" s="180"/>
      <c r="BD1761" s="191">
        <v>44579</v>
      </c>
      <c r="BE1761" s="192" t="s">
        <v>256</v>
      </c>
      <c r="BH1761" s="94">
        <v>44649</v>
      </c>
      <c r="BI1761" s="95">
        <v>0.38700000000000001</v>
      </c>
      <c r="BJ1761" s="96">
        <v>13.6</v>
      </c>
    </row>
    <row r="1762" spans="54:62" ht="13.8" x14ac:dyDescent="0.25">
      <c r="BB1762" s="187"/>
      <c r="BC1762" s="180"/>
      <c r="BD1762" s="191">
        <v>44580</v>
      </c>
      <c r="BE1762" s="192" t="s">
        <v>388</v>
      </c>
      <c r="BH1762" s="94">
        <v>44650</v>
      </c>
      <c r="BI1762" s="95">
        <v>0.42799999999999999</v>
      </c>
      <c r="BJ1762" s="96">
        <v>13.53</v>
      </c>
    </row>
    <row r="1763" spans="54:62" ht="13.8" x14ac:dyDescent="0.25">
      <c r="BB1763" s="187"/>
      <c r="BC1763" s="180"/>
      <c r="BD1763" s="191">
        <v>44581</v>
      </c>
      <c r="BE1763" s="192" t="s">
        <v>389</v>
      </c>
      <c r="BH1763" s="94">
        <v>44651</v>
      </c>
      <c r="BI1763" s="95">
        <v>0.44900000000000001</v>
      </c>
      <c r="BJ1763" s="96">
        <v>13.53</v>
      </c>
    </row>
    <row r="1764" spans="54:62" ht="13.8" x14ac:dyDescent="0.25">
      <c r="BB1764" s="187"/>
      <c r="BC1764" s="180"/>
      <c r="BD1764" s="191">
        <v>44582</v>
      </c>
      <c r="BE1764" s="192" t="s">
        <v>390</v>
      </c>
      <c r="BH1764" s="94">
        <v>44652</v>
      </c>
      <c r="BI1764" s="95">
        <v>0.47399999999999998</v>
      </c>
      <c r="BJ1764" s="96">
        <v>13.53</v>
      </c>
    </row>
    <row r="1765" spans="54:62" ht="13.8" x14ac:dyDescent="0.25">
      <c r="BB1765" s="187"/>
      <c r="BC1765" s="180"/>
      <c r="BD1765" s="191">
        <v>44585</v>
      </c>
      <c r="BE1765" s="192" t="s">
        <v>122</v>
      </c>
      <c r="BH1765" s="94">
        <v>44655</v>
      </c>
      <c r="BI1765" s="95">
        <v>0.497</v>
      </c>
      <c r="BJ1765" s="96">
        <v>13.52</v>
      </c>
    </row>
    <row r="1766" spans="54:62" ht="13.8" x14ac:dyDescent="0.25">
      <c r="BB1766" s="187"/>
      <c r="BC1766" s="180"/>
      <c r="BD1766" s="191">
        <v>44586</v>
      </c>
      <c r="BE1766" s="192" t="s">
        <v>391</v>
      </c>
      <c r="BH1766" s="94">
        <v>44656</v>
      </c>
      <c r="BI1766" s="95">
        <v>0.52200000000000002</v>
      </c>
      <c r="BJ1766" s="96">
        <v>13.51</v>
      </c>
    </row>
    <row r="1767" spans="54:62" ht="13.8" x14ac:dyDescent="0.25">
      <c r="BB1767" s="187"/>
      <c r="BC1767" s="180"/>
      <c r="BD1767" s="191">
        <v>44587</v>
      </c>
      <c r="BE1767" s="192" t="s">
        <v>392</v>
      </c>
      <c r="BH1767" s="94">
        <v>44657</v>
      </c>
      <c r="BI1767" s="95">
        <v>0.54600000000000004</v>
      </c>
      <c r="BJ1767" s="96">
        <v>13.51</v>
      </c>
    </row>
    <row r="1768" spans="54:62" ht="13.8" x14ac:dyDescent="0.25">
      <c r="BB1768" s="187"/>
      <c r="BC1768" s="180"/>
      <c r="BD1768" s="191">
        <v>44588</v>
      </c>
      <c r="BE1768" s="192" t="s">
        <v>124</v>
      </c>
      <c r="BH1768" s="94">
        <v>44658</v>
      </c>
      <c r="BI1768" s="95">
        <v>0.57099999999999995</v>
      </c>
      <c r="BJ1768" s="96">
        <v>13.52</v>
      </c>
    </row>
    <row r="1769" spans="54:62" ht="13.8" x14ac:dyDescent="0.25">
      <c r="BB1769" s="187"/>
      <c r="BC1769" s="180"/>
      <c r="BD1769" s="191">
        <v>44589</v>
      </c>
      <c r="BE1769" s="192" t="s">
        <v>393</v>
      </c>
      <c r="BH1769" s="94">
        <v>44659</v>
      </c>
      <c r="BI1769" s="95">
        <v>0.59099999999999997</v>
      </c>
      <c r="BJ1769" s="96">
        <v>13.52</v>
      </c>
    </row>
    <row r="1770" spans="54:62" ht="13.8" x14ac:dyDescent="0.25">
      <c r="BB1770" s="187"/>
      <c r="BC1770" s="180"/>
      <c r="BD1770" s="191">
        <v>44592</v>
      </c>
      <c r="BE1770" s="192" t="s">
        <v>394</v>
      </c>
      <c r="BH1770" s="94">
        <v>44662</v>
      </c>
      <c r="BI1770" s="95">
        <v>0.61199999999999999</v>
      </c>
      <c r="BJ1770" s="96">
        <v>13.5</v>
      </c>
    </row>
    <row r="1771" spans="54:62" ht="13.8" x14ac:dyDescent="0.25">
      <c r="BB1771" s="187"/>
      <c r="BC1771" s="180"/>
      <c r="BD1771" s="191">
        <v>44593</v>
      </c>
      <c r="BE1771" s="192">
        <v>0</v>
      </c>
      <c r="BH1771" s="94">
        <v>44663</v>
      </c>
      <c r="BI1771" s="95">
        <v>0.63300000000000001</v>
      </c>
      <c r="BJ1771" s="96">
        <v>13.5</v>
      </c>
    </row>
    <row r="1772" spans="54:62" ht="13.8" x14ac:dyDescent="0.25">
      <c r="BB1772" s="187"/>
      <c r="BC1772" s="180"/>
      <c r="BD1772" s="191">
        <v>44594</v>
      </c>
      <c r="BE1772" s="192">
        <v>7.0000000000000001E-3</v>
      </c>
      <c r="BH1772" s="94">
        <v>44664</v>
      </c>
      <c r="BI1772" s="95">
        <v>0.65300000000000002</v>
      </c>
      <c r="BJ1772" s="96">
        <v>13.49</v>
      </c>
    </row>
    <row r="1773" spans="54:62" ht="13.8" x14ac:dyDescent="0.25">
      <c r="BB1773" s="187"/>
      <c r="BC1773" s="180"/>
      <c r="BD1773" s="191">
        <v>44595</v>
      </c>
      <c r="BE1773" s="192">
        <v>1.6E-2</v>
      </c>
      <c r="BH1773" s="94">
        <v>44665</v>
      </c>
      <c r="BI1773" s="95">
        <v>0.67100000000000004</v>
      </c>
      <c r="BJ1773" s="96">
        <v>13.49</v>
      </c>
    </row>
    <row r="1774" spans="54:62" ht="13.8" x14ac:dyDescent="0.25">
      <c r="BB1774" s="187"/>
      <c r="BC1774" s="180"/>
      <c r="BD1774" s="191">
        <v>44596</v>
      </c>
      <c r="BE1774" s="192">
        <v>0.03</v>
      </c>
      <c r="BH1774" s="94">
        <v>44666</v>
      </c>
      <c r="BI1774" s="95">
        <v>0.68400000000000005</v>
      </c>
      <c r="BJ1774" s="96">
        <v>13.49</v>
      </c>
    </row>
    <row r="1775" spans="54:62" ht="13.8" x14ac:dyDescent="0.25">
      <c r="BB1775" s="187"/>
      <c r="BC1775" s="180"/>
      <c r="BD1775" s="191">
        <v>44599</v>
      </c>
      <c r="BE1775" s="192">
        <v>4.5999999999999999E-2</v>
      </c>
      <c r="BH1775" s="94">
        <v>44670</v>
      </c>
      <c r="BI1775" s="95">
        <v>0.70699999999999996</v>
      </c>
      <c r="BJ1775" s="96">
        <v>13.48</v>
      </c>
    </row>
    <row r="1776" spans="54:62" ht="13.8" x14ac:dyDescent="0.25">
      <c r="BB1776" s="187"/>
      <c r="BC1776" s="180"/>
      <c r="BD1776" s="191">
        <v>44600</v>
      </c>
      <c r="BE1776" s="192">
        <v>6.2E-2</v>
      </c>
      <c r="BH1776" s="94">
        <v>44671</v>
      </c>
      <c r="BI1776" s="95">
        <v>0.754</v>
      </c>
      <c r="BJ1776" s="96">
        <v>13.79</v>
      </c>
    </row>
    <row r="1777" spans="54:62" ht="13.8" x14ac:dyDescent="0.25">
      <c r="BB1777" s="187"/>
      <c r="BC1777" s="180"/>
      <c r="BD1777" s="191">
        <v>44601</v>
      </c>
      <c r="BE1777" s="192">
        <v>7.6999999999999999E-2</v>
      </c>
      <c r="BH1777" s="94">
        <v>44672</v>
      </c>
      <c r="BI1777" s="95">
        <v>0.77300000000000002</v>
      </c>
      <c r="BJ1777" s="96">
        <v>13.78</v>
      </c>
    </row>
    <row r="1778" spans="54:62" ht="13.8" x14ac:dyDescent="0.25">
      <c r="BB1778" s="187"/>
      <c r="BC1778" s="180"/>
      <c r="BD1778" s="191">
        <v>44602</v>
      </c>
      <c r="BE1778" s="192">
        <v>9.4E-2</v>
      </c>
      <c r="BH1778" s="94">
        <v>44673</v>
      </c>
      <c r="BI1778" s="95">
        <v>0.79400000000000004</v>
      </c>
      <c r="BJ1778" s="96">
        <v>13.78</v>
      </c>
    </row>
    <row r="1779" spans="54:62" ht="13.8" x14ac:dyDescent="0.25">
      <c r="BB1779" s="187"/>
      <c r="BC1779" s="180"/>
      <c r="BD1779" s="191">
        <v>44603</v>
      </c>
      <c r="BE1779" s="192">
        <v>0.114</v>
      </c>
      <c r="BH1779" s="94">
        <v>44676</v>
      </c>
      <c r="BI1779" s="95">
        <v>0.81200000000000006</v>
      </c>
      <c r="BJ1779" s="96">
        <v>13.77</v>
      </c>
    </row>
    <row r="1780" spans="54:62" ht="13.8" x14ac:dyDescent="0.25">
      <c r="BB1780" s="187"/>
      <c r="BC1780" s="180"/>
      <c r="BD1780" s="191">
        <v>44606</v>
      </c>
      <c r="BE1780" s="192">
        <v>0.13</v>
      </c>
      <c r="BH1780" s="94">
        <v>44677</v>
      </c>
      <c r="BI1780" s="95">
        <v>0.82399999999999995</v>
      </c>
      <c r="BJ1780" s="96">
        <v>13.76</v>
      </c>
    </row>
    <row r="1781" spans="54:62" ht="13.8" x14ac:dyDescent="0.25">
      <c r="BB1781" s="187"/>
      <c r="BC1781" s="180"/>
      <c r="BD1781" s="191">
        <v>44607</v>
      </c>
      <c r="BE1781" s="192">
        <v>0.14699999999999999</v>
      </c>
      <c r="BH1781" s="94">
        <v>44678</v>
      </c>
      <c r="BI1781" s="95">
        <v>0.83299999999999996</v>
      </c>
      <c r="BJ1781" s="96">
        <v>13.76</v>
      </c>
    </row>
    <row r="1782" spans="54:62" ht="13.8" x14ac:dyDescent="0.25">
      <c r="BB1782" s="187"/>
      <c r="BC1782" s="180"/>
      <c r="BD1782" s="191">
        <v>44608</v>
      </c>
      <c r="BE1782" s="192">
        <v>0.16300000000000001</v>
      </c>
      <c r="BH1782" s="94">
        <v>44679</v>
      </c>
      <c r="BI1782" s="95">
        <v>0.84199999999999997</v>
      </c>
      <c r="BJ1782" s="96">
        <v>13.76</v>
      </c>
    </row>
    <row r="1783" spans="54:62" ht="13.8" x14ac:dyDescent="0.25">
      <c r="BB1783" s="187"/>
      <c r="BC1783" s="180"/>
      <c r="BD1783" s="191">
        <v>44609</v>
      </c>
      <c r="BE1783" s="192">
        <v>0.17899999999999999</v>
      </c>
      <c r="BH1783" s="94">
        <v>44680</v>
      </c>
      <c r="BI1783" s="95">
        <v>0.86</v>
      </c>
      <c r="BJ1783" s="96">
        <v>13.74</v>
      </c>
    </row>
    <row r="1784" spans="54:62" ht="13.8" x14ac:dyDescent="0.25">
      <c r="BB1784" s="187"/>
      <c r="BC1784" s="180"/>
      <c r="BD1784" s="191">
        <v>44610</v>
      </c>
      <c r="BE1784" s="192">
        <v>0.193</v>
      </c>
      <c r="BH1784" s="94">
        <v>44683</v>
      </c>
      <c r="BI1784" s="95">
        <v>0.877</v>
      </c>
      <c r="BJ1784" s="96">
        <v>13.73</v>
      </c>
    </row>
    <row r="1785" spans="54:62" ht="13.8" x14ac:dyDescent="0.25">
      <c r="BB1785" s="187"/>
      <c r="BC1785" s="180"/>
      <c r="BD1785" s="191">
        <v>44613</v>
      </c>
      <c r="BE1785" s="192">
        <v>0.21</v>
      </c>
      <c r="BH1785" s="94">
        <v>44684</v>
      </c>
      <c r="BI1785" s="95">
        <v>0.89800000000000002</v>
      </c>
      <c r="BJ1785" s="96">
        <v>13.73</v>
      </c>
    </row>
    <row r="1786" spans="54:62" ht="13.8" x14ac:dyDescent="0.25">
      <c r="BB1786" s="187"/>
      <c r="BC1786" s="180"/>
      <c r="BD1786" s="191">
        <v>44614</v>
      </c>
      <c r="BE1786" s="192">
        <v>0.22700000000000001</v>
      </c>
      <c r="BH1786" s="94">
        <v>44685</v>
      </c>
      <c r="BI1786" s="95">
        <v>0.91700000000000004</v>
      </c>
      <c r="BJ1786" s="96">
        <v>13.72</v>
      </c>
    </row>
    <row r="1787" spans="54:62" ht="13.8" x14ac:dyDescent="0.25">
      <c r="BB1787" s="187"/>
      <c r="BC1787" s="180"/>
      <c r="BD1787" s="191">
        <v>44615</v>
      </c>
      <c r="BE1787" s="192">
        <v>0.24399999999999999</v>
      </c>
      <c r="BH1787" s="94">
        <v>44686</v>
      </c>
      <c r="BI1787" s="95">
        <v>0.92900000000000005</v>
      </c>
      <c r="BJ1787" s="96">
        <v>13.71</v>
      </c>
    </row>
    <row r="1788" spans="54:62" ht="13.8" x14ac:dyDescent="0.25">
      <c r="BB1788" s="187"/>
      <c r="BC1788" s="180"/>
      <c r="BD1788" s="191">
        <v>44616</v>
      </c>
      <c r="BE1788" s="192">
        <v>0.25700000000000001</v>
      </c>
      <c r="BH1788" s="94">
        <v>44687</v>
      </c>
      <c r="BI1788" s="95">
        <v>0.94799999999999995</v>
      </c>
      <c r="BJ1788" s="96">
        <v>13.71</v>
      </c>
    </row>
    <row r="1789" spans="54:62" ht="13.8" x14ac:dyDescent="0.25">
      <c r="BB1789" s="187"/>
      <c r="BC1789" s="180"/>
      <c r="BD1789" s="191">
        <v>44617</v>
      </c>
      <c r="BE1789" s="192">
        <v>0.27100000000000002</v>
      </c>
      <c r="BH1789" s="94">
        <v>44690</v>
      </c>
      <c r="BI1789" s="95">
        <v>0.96599999999999997</v>
      </c>
      <c r="BJ1789" s="96">
        <v>13.7</v>
      </c>
    </row>
    <row r="1790" spans="54:62" ht="13.8" x14ac:dyDescent="0.25">
      <c r="BB1790" s="187"/>
      <c r="BC1790" s="180"/>
      <c r="BD1790" s="191">
        <v>44620</v>
      </c>
      <c r="BE1790" s="192">
        <v>0.28199999999999997</v>
      </c>
      <c r="BH1790" s="94">
        <v>44691</v>
      </c>
      <c r="BI1790" s="95">
        <v>0.97499999999999998</v>
      </c>
      <c r="BJ1790" s="96">
        <v>13.7</v>
      </c>
    </row>
    <row r="1791" spans="54:62" ht="13.8" x14ac:dyDescent="0.25">
      <c r="BB1791" s="187"/>
      <c r="BC1791" s="180"/>
      <c r="BD1791" s="191">
        <v>44621</v>
      </c>
      <c r="BE1791" s="192">
        <v>0.28499999999999998</v>
      </c>
      <c r="BH1791" s="94">
        <v>44692</v>
      </c>
      <c r="BI1791" s="95">
        <v>0.98199999999999998</v>
      </c>
      <c r="BJ1791" s="96">
        <v>13.69</v>
      </c>
    </row>
    <row r="1792" spans="54:62" ht="13.8" x14ac:dyDescent="0.25">
      <c r="BB1792" s="187"/>
      <c r="BC1792" s="180"/>
      <c r="BD1792" s="191">
        <v>44622</v>
      </c>
      <c r="BE1792" s="192">
        <v>0.28599999999999998</v>
      </c>
      <c r="BH1792" s="94">
        <v>44693</v>
      </c>
      <c r="BI1792" s="95">
        <v>0.98699999999999999</v>
      </c>
      <c r="BJ1792" s="96">
        <v>13.65</v>
      </c>
    </row>
    <row r="1793" spans="54:62" ht="13.8" x14ac:dyDescent="0.25">
      <c r="BB1793" s="187"/>
      <c r="BC1793" s="180"/>
      <c r="BD1793" s="191">
        <v>44623</v>
      </c>
      <c r="BE1793" s="192">
        <v>0.28899999999999998</v>
      </c>
      <c r="BH1793" s="94">
        <v>44694</v>
      </c>
      <c r="BI1793" s="95">
        <v>0.99299999999999999</v>
      </c>
      <c r="BJ1793" s="96">
        <v>13.66</v>
      </c>
    </row>
    <row r="1794" spans="54:62" ht="13.8" x14ac:dyDescent="0.25">
      <c r="BB1794" s="187"/>
      <c r="BC1794" s="180"/>
      <c r="BD1794" s="191">
        <v>44624</v>
      </c>
      <c r="BE1794" s="192">
        <v>0.28100000000000003</v>
      </c>
      <c r="BH1794" s="94">
        <v>44697</v>
      </c>
      <c r="BI1794" s="95">
        <v>0.995</v>
      </c>
      <c r="BJ1794" s="96">
        <v>13.72</v>
      </c>
    </row>
    <row r="1795" spans="54:62" ht="13.8" x14ac:dyDescent="0.25">
      <c r="BB1795" s="187"/>
      <c r="BC1795" s="180"/>
      <c r="BD1795" s="191">
        <v>44627</v>
      </c>
      <c r="BE1795" s="192">
        <v>0.27200000000000002</v>
      </c>
      <c r="BH1795" s="94">
        <v>44698</v>
      </c>
      <c r="BI1795" s="95">
        <v>1.0009999999999999</v>
      </c>
      <c r="BJ1795" s="96">
        <v>13.72</v>
      </c>
    </row>
    <row r="1796" spans="54:62" ht="13.8" x14ac:dyDescent="0.25">
      <c r="BB1796" s="187"/>
      <c r="BC1796" s="180"/>
      <c r="BD1796" s="191">
        <v>44628</v>
      </c>
      <c r="BE1796" s="192">
        <v>0.26600000000000001</v>
      </c>
      <c r="BH1796" s="94">
        <v>44699</v>
      </c>
      <c r="BI1796" s="95">
        <v>1.0109999999999999</v>
      </c>
      <c r="BJ1796" s="96">
        <v>13.7</v>
      </c>
    </row>
    <row r="1797" spans="54:62" ht="13.8" x14ac:dyDescent="0.25">
      <c r="BB1797" s="187"/>
      <c r="BC1797" s="180"/>
      <c r="BD1797" s="191">
        <v>44629</v>
      </c>
      <c r="BE1797" s="192">
        <v>0.26500000000000001</v>
      </c>
      <c r="BH1797" s="94">
        <v>44700</v>
      </c>
      <c r="BI1797" s="95">
        <v>1.0169999999999999</v>
      </c>
      <c r="BJ1797" s="96">
        <v>13.7</v>
      </c>
    </row>
    <row r="1798" spans="54:62" ht="13.8" x14ac:dyDescent="0.25">
      <c r="BB1798" s="187"/>
      <c r="BC1798" s="180"/>
      <c r="BD1798" s="191">
        <v>44630</v>
      </c>
      <c r="BE1798" s="192">
        <v>0.26300000000000001</v>
      </c>
      <c r="BH1798" s="94">
        <v>44701</v>
      </c>
      <c r="BI1798" s="95">
        <v>1.0209999999999999</v>
      </c>
      <c r="BJ1798" s="96">
        <v>13.7</v>
      </c>
    </row>
    <row r="1799" spans="54:62" ht="13.8" x14ac:dyDescent="0.25">
      <c r="BB1799" s="187"/>
      <c r="BC1799" s="180"/>
      <c r="BD1799" s="191">
        <v>44631</v>
      </c>
      <c r="BE1799" s="192">
        <v>0.26500000000000001</v>
      </c>
      <c r="BH1799" s="94">
        <v>44704</v>
      </c>
      <c r="BI1799" s="95">
        <v>1.0289999999999999</v>
      </c>
      <c r="BJ1799" s="96">
        <v>13.69</v>
      </c>
    </row>
    <row r="1800" spans="54:62" ht="13.8" x14ac:dyDescent="0.25">
      <c r="BB1800" s="187"/>
      <c r="BC1800" s="180"/>
      <c r="BD1800" s="191">
        <v>44634</v>
      </c>
      <c r="BE1800" s="192">
        <v>0.27200000000000002</v>
      </c>
      <c r="BH1800" s="94">
        <v>44705</v>
      </c>
      <c r="BI1800" s="95">
        <v>1.0409999999999999</v>
      </c>
      <c r="BJ1800" s="96">
        <v>13.69</v>
      </c>
    </row>
    <row r="1801" spans="54:62" ht="13.8" x14ac:dyDescent="0.25">
      <c r="BB1801" s="187"/>
      <c r="BC1801" s="180"/>
      <c r="BD1801" s="191">
        <v>44635</v>
      </c>
      <c r="BE1801" s="192">
        <v>0.27400000000000002</v>
      </c>
      <c r="BH1801" s="94">
        <v>44706</v>
      </c>
      <c r="BI1801" s="95">
        <v>1.0509999999999999</v>
      </c>
      <c r="BJ1801" s="96">
        <v>13.69</v>
      </c>
    </row>
    <row r="1802" spans="54:62" ht="13.8" x14ac:dyDescent="0.25">
      <c r="BB1802" s="187"/>
      <c r="BC1802" s="180"/>
      <c r="BD1802" s="191">
        <v>44636</v>
      </c>
      <c r="BE1802" s="192">
        <v>0.27800000000000002</v>
      </c>
      <c r="BH1802" s="94">
        <v>44708</v>
      </c>
      <c r="BI1802" s="95">
        <v>1.0609999999999999</v>
      </c>
      <c r="BJ1802" s="96">
        <v>13.67</v>
      </c>
    </row>
    <row r="1803" spans="54:62" ht="13.8" x14ac:dyDescent="0.25">
      <c r="BB1803" s="187"/>
      <c r="BC1803" s="180"/>
      <c r="BD1803" s="191">
        <v>44637</v>
      </c>
      <c r="BE1803" s="192">
        <v>0.28399999999999997</v>
      </c>
      <c r="BH1803" s="94">
        <v>44711</v>
      </c>
      <c r="BI1803" s="95">
        <v>1.07</v>
      </c>
      <c r="BJ1803" s="96">
        <v>13.66</v>
      </c>
    </row>
    <row r="1804" spans="54:62" ht="13.8" x14ac:dyDescent="0.25">
      <c r="BB1804" s="187"/>
      <c r="BC1804" s="180"/>
      <c r="BD1804" s="191">
        <v>44638</v>
      </c>
      <c r="BE1804" s="192">
        <v>0.28999999999999998</v>
      </c>
      <c r="BH1804" s="94">
        <v>44712</v>
      </c>
      <c r="BI1804" s="95">
        <v>1.095</v>
      </c>
      <c r="BJ1804" s="96">
        <v>13.87</v>
      </c>
    </row>
    <row r="1805" spans="54:62" ht="13.8" x14ac:dyDescent="0.25">
      <c r="BB1805" s="187"/>
      <c r="BC1805" s="180"/>
      <c r="BD1805" s="191">
        <v>44641</v>
      </c>
      <c r="BE1805" s="192">
        <v>0.29899999999999999</v>
      </c>
      <c r="BH1805" s="94">
        <v>44713</v>
      </c>
      <c r="BI1805" s="95">
        <v>1.1060000000000001</v>
      </c>
      <c r="BJ1805" s="96">
        <v>13.87</v>
      </c>
    </row>
    <row r="1806" spans="54:62" ht="13.8" x14ac:dyDescent="0.25">
      <c r="BB1806" s="187"/>
      <c r="BC1806" s="180"/>
      <c r="BD1806" s="191">
        <v>44642</v>
      </c>
      <c r="BE1806" s="192">
        <v>0.31</v>
      </c>
      <c r="BH1806" s="94">
        <v>44714</v>
      </c>
      <c r="BI1806" s="95">
        <v>1.119</v>
      </c>
      <c r="BJ1806" s="96">
        <v>13.86</v>
      </c>
    </row>
    <row r="1807" spans="54:62" ht="13.8" x14ac:dyDescent="0.25">
      <c r="BB1807" s="187"/>
      <c r="BC1807" s="180"/>
      <c r="BD1807" s="191">
        <v>44643</v>
      </c>
      <c r="BE1807" s="192">
        <v>0.31900000000000001</v>
      </c>
      <c r="BH1807" s="94">
        <v>44715</v>
      </c>
      <c r="BI1807" s="95">
        <v>1.135</v>
      </c>
      <c r="BJ1807" s="96">
        <v>13.86</v>
      </c>
    </row>
    <row r="1808" spans="54:62" ht="13.8" x14ac:dyDescent="0.25">
      <c r="BB1808" s="187"/>
      <c r="BC1808" s="180"/>
      <c r="BD1808" s="191">
        <v>44644</v>
      </c>
      <c r="BE1808" s="192">
        <v>0.33200000000000002</v>
      </c>
      <c r="BH1808" s="94">
        <v>44719</v>
      </c>
      <c r="BI1808" s="95">
        <v>1.147</v>
      </c>
      <c r="BJ1808" s="96">
        <v>13.85</v>
      </c>
    </row>
    <row r="1809" spans="54:62" ht="13.8" x14ac:dyDescent="0.25">
      <c r="BB1809" s="187"/>
      <c r="BC1809" s="180"/>
      <c r="BD1809" s="191">
        <v>44645</v>
      </c>
      <c r="BE1809" s="192">
        <v>0.34399999999999997</v>
      </c>
      <c r="BH1809" s="94">
        <v>44720</v>
      </c>
      <c r="BI1809" s="95">
        <v>1.161</v>
      </c>
      <c r="BJ1809" s="96">
        <v>13.84</v>
      </c>
    </row>
    <row r="1810" spans="54:62" ht="13.8" x14ac:dyDescent="0.25">
      <c r="BB1810" s="187"/>
      <c r="BC1810" s="180"/>
      <c r="BD1810" s="191">
        <v>44648</v>
      </c>
      <c r="BE1810" s="192">
        <v>0.36</v>
      </c>
      <c r="BH1810" s="94">
        <v>44721</v>
      </c>
      <c r="BI1810" s="95">
        <v>1.1819999999999999</v>
      </c>
      <c r="BJ1810" s="96">
        <v>13.81</v>
      </c>
    </row>
    <row r="1811" spans="54:62" ht="13.8" x14ac:dyDescent="0.25">
      <c r="BB1811" s="187"/>
      <c r="BC1811" s="180"/>
      <c r="BD1811" s="191">
        <v>44649</v>
      </c>
      <c r="BE1811" s="192">
        <v>0.38700000000000001</v>
      </c>
      <c r="BH1811" s="94">
        <v>44722</v>
      </c>
      <c r="BI1811" s="95">
        <v>1.2090000000000001</v>
      </c>
      <c r="BJ1811" s="96">
        <v>13.8</v>
      </c>
    </row>
    <row r="1812" spans="54:62" ht="13.8" x14ac:dyDescent="0.25">
      <c r="BB1812" s="187"/>
      <c r="BC1812" s="180"/>
      <c r="BD1812" s="191">
        <v>44650</v>
      </c>
      <c r="BE1812" s="192">
        <v>0.42799999999999999</v>
      </c>
      <c r="BH1812" s="94">
        <v>44725</v>
      </c>
      <c r="BI1812" s="95">
        <v>1.2490000000000001</v>
      </c>
      <c r="BJ1812" s="96">
        <v>13.79</v>
      </c>
    </row>
    <row r="1813" spans="54:62" ht="13.8" x14ac:dyDescent="0.25">
      <c r="BB1813" s="187"/>
      <c r="BC1813" s="180"/>
      <c r="BD1813" s="191">
        <v>44651</v>
      </c>
      <c r="BE1813" s="192">
        <v>0.44900000000000001</v>
      </c>
      <c r="BH1813" s="94">
        <v>44726</v>
      </c>
      <c r="BI1813" s="95">
        <v>1.2929999999999999</v>
      </c>
      <c r="BJ1813" s="96">
        <v>13.79</v>
      </c>
    </row>
    <row r="1814" spans="54:62" ht="13.8" x14ac:dyDescent="0.25">
      <c r="BB1814" s="187"/>
      <c r="BC1814" s="180"/>
      <c r="BD1814" s="191">
        <v>44652</v>
      </c>
      <c r="BE1814" s="192">
        <v>0.47399999999999998</v>
      </c>
      <c r="BH1814" s="94">
        <v>44727</v>
      </c>
      <c r="BI1814" s="95">
        <v>1.333</v>
      </c>
      <c r="BJ1814" s="96">
        <v>13.79</v>
      </c>
    </row>
    <row r="1815" spans="54:62" ht="13.8" x14ac:dyDescent="0.25">
      <c r="BB1815" s="187"/>
      <c r="BC1815" s="180"/>
      <c r="BD1815" s="191">
        <v>44655</v>
      </c>
      <c r="BE1815" s="192">
        <v>0.497</v>
      </c>
      <c r="BH1815" s="94">
        <v>44729</v>
      </c>
      <c r="BI1815" s="95">
        <v>1.371</v>
      </c>
      <c r="BJ1815" s="96">
        <v>13.78</v>
      </c>
    </row>
    <row r="1816" spans="54:62" ht="13.8" x14ac:dyDescent="0.25">
      <c r="BB1816" s="187"/>
      <c r="BC1816" s="180"/>
      <c r="BD1816" s="191">
        <v>44656</v>
      </c>
      <c r="BE1816" s="192">
        <v>0.52200000000000002</v>
      </c>
      <c r="BH1816" s="94">
        <v>44732</v>
      </c>
      <c r="BI1816" s="95">
        <v>1.405</v>
      </c>
      <c r="BJ1816" s="96">
        <v>13.78</v>
      </c>
    </row>
    <row r="1817" spans="54:62" ht="13.8" x14ac:dyDescent="0.25">
      <c r="BB1817" s="187"/>
      <c r="BC1817" s="180"/>
      <c r="BD1817" s="191">
        <v>44657</v>
      </c>
      <c r="BE1817" s="192">
        <v>0.54600000000000004</v>
      </c>
      <c r="BH1817" s="94">
        <v>44733</v>
      </c>
      <c r="BI1817" s="95">
        <v>1.448</v>
      </c>
      <c r="BJ1817" s="96">
        <v>13.77</v>
      </c>
    </row>
    <row r="1818" spans="54:62" ht="13.8" x14ac:dyDescent="0.25">
      <c r="BB1818" s="187"/>
      <c r="BC1818" s="180"/>
      <c r="BD1818" s="191">
        <v>44658</v>
      </c>
      <c r="BE1818" s="192">
        <v>0.57099999999999995</v>
      </c>
      <c r="BH1818" s="94">
        <v>44734</v>
      </c>
      <c r="BI1818" s="95">
        <v>1.4850000000000001</v>
      </c>
      <c r="BJ1818" s="96">
        <v>13.77</v>
      </c>
    </row>
    <row r="1819" spans="54:62" ht="13.8" x14ac:dyDescent="0.25">
      <c r="BB1819" s="187"/>
      <c r="BC1819" s="180"/>
      <c r="BD1819" s="191">
        <v>44659</v>
      </c>
      <c r="BE1819" s="192">
        <v>0.59099999999999997</v>
      </c>
      <c r="BH1819" s="94">
        <v>44735</v>
      </c>
      <c r="BI1819" s="95">
        <v>1.5089999999999999</v>
      </c>
      <c r="BJ1819" s="96">
        <v>13.77</v>
      </c>
    </row>
    <row r="1820" spans="54:62" ht="13.8" x14ac:dyDescent="0.25">
      <c r="BB1820" s="187"/>
      <c r="BC1820" s="180"/>
      <c r="BD1820" s="191">
        <v>44662</v>
      </c>
      <c r="BE1820" s="192">
        <v>0.61199999999999999</v>
      </c>
      <c r="BH1820" s="94">
        <v>44736</v>
      </c>
      <c r="BI1820" s="95">
        <v>1.532</v>
      </c>
      <c r="BJ1820" s="96">
        <v>13.76</v>
      </c>
    </row>
    <row r="1821" spans="54:62" ht="13.8" x14ac:dyDescent="0.25">
      <c r="BB1821" s="187"/>
      <c r="BC1821" s="180"/>
      <c r="BD1821" s="191">
        <v>44663</v>
      </c>
      <c r="BE1821" s="192">
        <v>0.63300000000000001</v>
      </c>
      <c r="BH1821" s="94">
        <v>44739</v>
      </c>
      <c r="BI1821" s="95">
        <v>1.5609999999999999</v>
      </c>
      <c r="BJ1821" s="96">
        <v>13.76</v>
      </c>
    </row>
    <row r="1822" spans="54:62" ht="13.8" x14ac:dyDescent="0.25">
      <c r="BB1822" s="187"/>
      <c r="BC1822" s="180"/>
      <c r="BD1822" s="191">
        <v>44664</v>
      </c>
      <c r="BE1822" s="192">
        <v>0.65300000000000002</v>
      </c>
      <c r="BH1822" s="94">
        <v>44740</v>
      </c>
      <c r="BI1822" s="95">
        <v>1.593</v>
      </c>
      <c r="BJ1822" s="96">
        <v>13.76</v>
      </c>
    </row>
    <row r="1823" spans="54:62" ht="13.8" x14ac:dyDescent="0.25">
      <c r="BB1823" s="187"/>
      <c r="BC1823" s="180"/>
      <c r="BD1823" s="191">
        <v>44665</v>
      </c>
      <c r="BE1823" s="192">
        <v>0.67100000000000004</v>
      </c>
      <c r="BH1823" s="94">
        <v>44741</v>
      </c>
      <c r="BI1823" s="95">
        <v>1.6180000000000001</v>
      </c>
      <c r="BJ1823" s="96">
        <v>13.72</v>
      </c>
    </row>
    <row r="1824" spans="54:62" ht="13.8" x14ac:dyDescent="0.25">
      <c r="BB1824" s="187"/>
      <c r="BC1824" s="180"/>
      <c r="BD1824" s="191">
        <v>44666</v>
      </c>
      <c r="BE1824" s="192">
        <v>0.68400000000000005</v>
      </c>
      <c r="BH1824" s="94">
        <v>44742</v>
      </c>
      <c r="BI1824" s="95">
        <v>1.633</v>
      </c>
      <c r="BJ1824" s="96">
        <v>13.72</v>
      </c>
    </row>
    <row r="1825" spans="54:62" ht="13.8" x14ac:dyDescent="0.25">
      <c r="BB1825" s="187"/>
      <c r="BC1825" s="180"/>
      <c r="BD1825" s="191"/>
      <c r="BE1825" s="193">
        <f>+BE1824</f>
        <v>0.68400000000000005</v>
      </c>
      <c r="BH1825" s="94">
        <v>44743</v>
      </c>
      <c r="BI1825" s="95">
        <v>1.641</v>
      </c>
      <c r="BJ1825" s="96">
        <v>13.72</v>
      </c>
    </row>
    <row r="1826" spans="54:62" ht="13.8" x14ac:dyDescent="0.25">
      <c r="BB1826" s="187"/>
      <c r="BC1826" s="180"/>
      <c r="BD1826" s="191">
        <v>44670</v>
      </c>
      <c r="BE1826" s="192">
        <v>0.70699999999999996</v>
      </c>
      <c r="BH1826" s="94">
        <v>44746</v>
      </c>
      <c r="BI1826" s="95">
        <v>1.645</v>
      </c>
      <c r="BJ1826" s="96">
        <v>13.71</v>
      </c>
    </row>
    <row r="1827" spans="54:62" ht="13.8" x14ac:dyDescent="0.25">
      <c r="BB1827" s="187"/>
      <c r="BC1827" s="180"/>
      <c r="BD1827" s="191">
        <v>44671</v>
      </c>
      <c r="BE1827" s="192">
        <v>0.754</v>
      </c>
      <c r="BH1827" s="94">
        <v>44747</v>
      </c>
      <c r="BI1827" s="95">
        <v>1.6459999999999999</v>
      </c>
      <c r="BJ1827" s="96">
        <v>13.71</v>
      </c>
    </row>
    <row r="1828" spans="54:62" ht="13.8" x14ac:dyDescent="0.25">
      <c r="BB1828" s="187"/>
      <c r="BC1828" s="180"/>
      <c r="BD1828" s="191">
        <v>44672</v>
      </c>
      <c r="BE1828" s="192">
        <v>0.77300000000000002</v>
      </c>
      <c r="BH1828" s="94">
        <v>44748</v>
      </c>
      <c r="BI1828" s="95">
        <v>1.641</v>
      </c>
      <c r="BJ1828" s="96">
        <v>13.7</v>
      </c>
    </row>
    <row r="1829" spans="54:62" ht="13.8" x14ac:dyDescent="0.25">
      <c r="BB1829" s="187"/>
      <c r="BC1829" s="180"/>
      <c r="BD1829" s="191">
        <v>44673</v>
      </c>
      <c r="BE1829" s="192">
        <v>0.79400000000000004</v>
      </c>
      <c r="BH1829" s="94">
        <v>44749</v>
      </c>
      <c r="BI1829" s="95">
        <v>1.641</v>
      </c>
      <c r="BJ1829" s="96">
        <v>13.66</v>
      </c>
    </row>
    <row r="1830" spans="54:62" ht="13.8" x14ac:dyDescent="0.25">
      <c r="BB1830" s="187"/>
      <c r="BC1830" s="180"/>
      <c r="BD1830" s="191">
        <v>44676</v>
      </c>
      <c r="BE1830" s="192">
        <v>0.81200000000000006</v>
      </c>
      <c r="BH1830" s="94">
        <v>44750</v>
      </c>
      <c r="BI1830" s="95">
        <v>1.637</v>
      </c>
      <c r="BJ1830" s="96">
        <v>13.66</v>
      </c>
    </row>
    <row r="1831" spans="54:62" ht="13.8" x14ac:dyDescent="0.25">
      <c r="BB1831" s="187"/>
      <c r="BC1831" s="180"/>
      <c r="BD1831" s="191">
        <v>44677</v>
      </c>
      <c r="BE1831" s="192">
        <v>0.82399999999999995</v>
      </c>
      <c r="BH1831" s="94">
        <v>44753</v>
      </c>
      <c r="BI1831" s="95">
        <v>1.6259999999999999</v>
      </c>
      <c r="BJ1831" s="96">
        <v>13.65</v>
      </c>
    </row>
    <row r="1832" spans="54:62" ht="13.8" x14ac:dyDescent="0.25">
      <c r="BB1832" s="187"/>
      <c r="BC1832" s="180"/>
      <c r="BD1832" s="191">
        <v>44678</v>
      </c>
      <c r="BE1832" s="192">
        <v>0.83299999999999996</v>
      </c>
      <c r="BH1832" s="94">
        <v>44754</v>
      </c>
      <c r="BI1832" s="95">
        <v>1.6020000000000001</v>
      </c>
      <c r="BJ1832" s="96">
        <v>13.65</v>
      </c>
    </row>
    <row r="1833" spans="54:62" ht="13.8" x14ac:dyDescent="0.25">
      <c r="BB1833" s="187"/>
      <c r="BC1833" s="180"/>
      <c r="BD1833" s="191">
        <v>44679</v>
      </c>
      <c r="BE1833" s="192">
        <v>0.84199999999999997</v>
      </c>
      <c r="BH1833" s="94">
        <v>44755</v>
      </c>
      <c r="BI1833" s="95">
        <v>1.573</v>
      </c>
      <c r="BJ1833" s="96">
        <v>13.65</v>
      </c>
    </row>
    <row r="1834" spans="54:62" ht="13.8" x14ac:dyDescent="0.25">
      <c r="BB1834" s="187"/>
      <c r="BC1834" s="180"/>
      <c r="BD1834" s="191">
        <v>44680</v>
      </c>
      <c r="BE1834" s="192">
        <v>0.86</v>
      </c>
      <c r="BH1834" s="94">
        <v>44756</v>
      </c>
      <c r="BI1834" s="95">
        <v>1.55</v>
      </c>
      <c r="BJ1834" s="96">
        <v>13.65</v>
      </c>
    </row>
    <row r="1835" spans="54:62" ht="13.8" x14ac:dyDescent="0.25">
      <c r="BB1835" s="187"/>
      <c r="BC1835" s="180"/>
      <c r="BD1835" s="191">
        <v>44683</v>
      </c>
      <c r="BE1835" s="192">
        <v>0.877</v>
      </c>
      <c r="BF1835" s="111">
        <f>+(BC1835+BE1835)/2+0.37</f>
        <v>0.8085</v>
      </c>
      <c r="BH1835" s="94">
        <v>44757</v>
      </c>
      <c r="BI1835" s="95">
        <v>1.5629999999999999</v>
      </c>
      <c r="BJ1835" s="96">
        <v>14.15</v>
      </c>
    </row>
    <row r="1836" spans="54:62" ht="13.8" x14ac:dyDescent="0.25">
      <c r="BB1836" s="187"/>
      <c r="BC1836" s="180"/>
      <c r="BD1836" s="191">
        <v>44684</v>
      </c>
      <c r="BE1836" s="192">
        <v>0.89800000000000002</v>
      </c>
      <c r="BH1836" s="94">
        <v>44760</v>
      </c>
      <c r="BI1836" s="95">
        <v>1.54</v>
      </c>
      <c r="BJ1836" s="96">
        <v>14.14</v>
      </c>
    </row>
    <row r="1837" spans="54:62" ht="13.8" x14ac:dyDescent="0.25">
      <c r="BB1837" s="187"/>
      <c r="BC1837" s="180"/>
      <c r="BD1837" s="191">
        <v>44685</v>
      </c>
      <c r="BE1837" s="192">
        <v>0.91700000000000004</v>
      </c>
      <c r="BH1837" s="94">
        <v>44761</v>
      </c>
      <c r="BI1837" s="95">
        <v>1.514</v>
      </c>
      <c r="BJ1837" s="96">
        <v>14.14</v>
      </c>
    </row>
    <row r="1838" spans="54:62" ht="13.8" x14ac:dyDescent="0.25">
      <c r="BB1838" s="187"/>
      <c r="BC1838" s="180"/>
      <c r="BD1838" s="191">
        <v>44686</v>
      </c>
      <c r="BE1838" s="192">
        <v>0.92900000000000005</v>
      </c>
      <c r="BH1838" s="94">
        <v>44762</v>
      </c>
      <c r="BI1838" s="95">
        <v>1.4930000000000001</v>
      </c>
      <c r="BJ1838" s="96">
        <v>14.14</v>
      </c>
    </row>
    <row r="1839" spans="54:62" ht="13.8" x14ac:dyDescent="0.25">
      <c r="BB1839" s="187"/>
      <c r="BC1839" s="180"/>
      <c r="BD1839" s="191">
        <v>44687</v>
      </c>
      <c r="BE1839" s="192">
        <v>0.94799999999999995</v>
      </c>
      <c r="BH1839" s="94">
        <v>44763</v>
      </c>
      <c r="BI1839" s="95">
        <v>1.4830000000000001</v>
      </c>
      <c r="BJ1839" s="96">
        <v>14.13</v>
      </c>
    </row>
    <row r="1840" spans="54:62" ht="13.8" x14ac:dyDescent="0.25">
      <c r="BB1840" s="187"/>
      <c r="BC1840" s="180"/>
      <c r="BD1840" s="191">
        <v>44690</v>
      </c>
      <c r="BE1840" s="192">
        <v>0.96599999999999997</v>
      </c>
      <c r="BH1840" s="94">
        <v>44764</v>
      </c>
      <c r="BI1840" s="95">
        <v>1.4650000000000001</v>
      </c>
      <c r="BJ1840" s="96">
        <v>14.13</v>
      </c>
    </row>
    <row r="1841" spans="54:62" ht="13.8" x14ac:dyDescent="0.25">
      <c r="BB1841" s="187"/>
      <c r="BC1841" s="180"/>
      <c r="BD1841" s="191">
        <v>44691</v>
      </c>
      <c r="BE1841" s="192">
        <v>0.97499999999999998</v>
      </c>
      <c r="BH1841" s="94">
        <v>44767</v>
      </c>
      <c r="BI1841" s="95">
        <v>1.4419999999999999</v>
      </c>
      <c r="BJ1841" s="96">
        <v>14.12</v>
      </c>
    </row>
    <row r="1842" spans="54:62" ht="13.8" x14ac:dyDescent="0.25">
      <c r="BB1842" s="187"/>
      <c r="BC1842" s="180"/>
      <c r="BD1842" s="191">
        <v>44692</v>
      </c>
      <c r="BE1842" s="192">
        <v>0.98199999999999998</v>
      </c>
      <c r="BH1842" s="94">
        <v>44768</v>
      </c>
      <c r="BI1842" s="95">
        <v>1.411</v>
      </c>
      <c r="BJ1842" s="96">
        <v>14.12</v>
      </c>
    </row>
    <row r="1843" spans="54:62" ht="13.8" x14ac:dyDescent="0.25">
      <c r="BB1843" s="187"/>
      <c r="BC1843" s="180"/>
      <c r="BD1843" s="191">
        <v>44693</v>
      </c>
      <c r="BE1843" s="192">
        <v>0.98699999999999999</v>
      </c>
      <c r="BH1843" s="94">
        <v>44769</v>
      </c>
      <c r="BI1843" s="95">
        <v>1.383</v>
      </c>
      <c r="BJ1843" s="96">
        <v>14.12</v>
      </c>
    </row>
    <row r="1844" spans="54:62" ht="13.8" x14ac:dyDescent="0.25">
      <c r="BB1844" s="187"/>
      <c r="BC1844" s="180"/>
      <c r="BD1844" s="191">
        <v>44694</v>
      </c>
      <c r="BE1844" s="192">
        <v>0.99299999999999999</v>
      </c>
      <c r="BH1844" s="94">
        <v>44770</v>
      </c>
      <c r="BI1844" s="95">
        <v>1.36</v>
      </c>
      <c r="BJ1844" s="96">
        <v>14.11</v>
      </c>
    </row>
    <row r="1845" spans="54:62" ht="13.8" x14ac:dyDescent="0.25">
      <c r="BB1845" s="187"/>
      <c r="BC1845" s="180"/>
      <c r="BD1845" s="191">
        <v>44697</v>
      </c>
      <c r="BE1845" s="192">
        <v>0.995</v>
      </c>
      <c r="BH1845" s="94">
        <v>44771</v>
      </c>
      <c r="BI1845" s="95">
        <v>1.341</v>
      </c>
      <c r="BJ1845" s="96">
        <v>14.11</v>
      </c>
    </row>
    <row r="1846" spans="54:62" ht="13.8" x14ac:dyDescent="0.25">
      <c r="BB1846" s="187"/>
      <c r="BC1846" s="180"/>
      <c r="BD1846" s="191">
        <v>44698</v>
      </c>
      <c r="BE1846" s="192">
        <v>1.0009999999999999</v>
      </c>
      <c r="BH1846" s="94">
        <v>44774</v>
      </c>
      <c r="BI1846" s="95">
        <v>1.319</v>
      </c>
      <c r="BJ1846" s="96">
        <v>14.1</v>
      </c>
    </row>
    <row r="1847" spans="54:62" ht="13.8" x14ac:dyDescent="0.25">
      <c r="BB1847" s="187"/>
      <c r="BC1847" s="180"/>
      <c r="BD1847" s="191">
        <v>44699</v>
      </c>
      <c r="BE1847" s="192">
        <v>1.0109999999999999</v>
      </c>
      <c r="BH1847" s="94">
        <v>44775</v>
      </c>
      <c r="BI1847" s="95">
        <v>1.296</v>
      </c>
      <c r="BJ1847" s="96">
        <v>14.1</v>
      </c>
    </row>
    <row r="1848" spans="54:62" ht="13.8" x14ac:dyDescent="0.25">
      <c r="BB1848" s="187"/>
      <c r="BC1848" s="180"/>
      <c r="BD1848" s="191">
        <v>44700</v>
      </c>
      <c r="BE1848" s="192">
        <v>1.0169999999999999</v>
      </c>
      <c r="BH1848" s="94">
        <v>44776</v>
      </c>
      <c r="BI1848" s="95">
        <v>1.284</v>
      </c>
      <c r="BJ1848" s="96">
        <v>14.1</v>
      </c>
    </row>
    <row r="1849" spans="54:62" ht="13.8" x14ac:dyDescent="0.25">
      <c r="BB1849" s="187"/>
      <c r="BC1849" s="180"/>
      <c r="BD1849" s="191">
        <v>44701</v>
      </c>
      <c r="BE1849" s="192">
        <v>1.0209999999999999</v>
      </c>
      <c r="BH1849" s="94">
        <v>44777</v>
      </c>
      <c r="BI1849" s="95">
        <v>1.266</v>
      </c>
      <c r="BJ1849" s="96">
        <v>14.09</v>
      </c>
    </row>
    <row r="1850" spans="54:62" ht="13.8" x14ac:dyDescent="0.25">
      <c r="BB1850" s="187"/>
      <c r="BC1850" s="180"/>
      <c r="BD1850" s="191">
        <v>44704</v>
      </c>
      <c r="BE1850" s="192">
        <v>1.0289999999999999</v>
      </c>
      <c r="BH1850" s="94">
        <v>44778</v>
      </c>
      <c r="BI1850" s="95">
        <v>1.248</v>
      </c>
      <c r="BJ1850" s="96">
        <v>14.09</v>
      </c>
    </row>
    <row r="1851" spans="54:62" ht="13.8" x14ac:dyDescent="0.25">
      <c r="BB1851" s="187"/>
      <c r="BC1851" s="180"/>
      <c r="BD1851" s="191">
        <v>44705</v>
      </c>
      <c r="BE1851" s="192">
        <v>1.0409999999999999</v>
      </c>
      <c r="BH1851" s="94">
        <v>44781</v>
      </c>
      <c r="BI1851" s="95">
        <v>1.234</v>
      </c>
      <c r="BJ1851" s="96">
        <v>14.08</v>
      </c>
    </row>
    <row r="1852" spans="54:62" ht="13.8" x14ac:dyDescent="0.25">
      <c r="BB1852" s="187"/>
      <c r="BC1852" s="180"/>
      <c r="BD1852" s="191">
        <v>44706</v>
      </c>
      <c r="BE1852" s="192">
        <v>1.0509999999999999</v>
      </c>
      <c r="BH1852" s="94">
        <v>44782</v>
      </c>
      <c r="BI1852" s="95">
        <v>1.2290000000000001</v>
      </c>
      <c r="BJ1852" s="96">
        <v>14.08</v>
      </c>
    </row>
    <row r="1853" spans="54:62" ht="13.8" x14ac:dyDescent="0.25">
      <c r="BB1853" s="187"/>
      <c r="BC1853" s="180"/>
      <c r="BD1853" s="191"/>
      <c r="BE1853" s="193">
        <f>+BE1852</f>
        <v>1.0509999999999999</v>
      </c>
      <c r="BH1853" s="94">
        <v>44783</v>
      </c>
      <c r="BI1853" s="95">
        <v>1.2190000000000001</v>
      </c>
      <c r="BJ1853" s="96">
        <v>14.08</v>
      </c>
    </row>
    <row r="1854" spans="54:62" ht="13.8" x14ac:dyDescent="0.25">
      <c r="BB1854" s="187"/>
      <c r="BC1854" s="180"/>
      <c r="BD1854" s="191">
        <v>44708</v>
      </c>
      <c r="BE1854" s="192">
        <v>1.0609999999999999</v>
      </c>
      <c r="BH1854" s="94">
        <v>44784</v>
      </c>
      <c r="BI1854" s="95">
        <v>1.21</v>
      </c>
      <c r="BJ1854" s="96">
        <v>14.08</v>
      </c>
    </row>
    <row r="1855" spans="54:62" ht="13.8" x14ac:dyDescent="0.25">
      <c r="BB1855" s="187"/>
      <c r="BC1855" s="180"/>
      <c r="BD1855" s="191">
        <v>44711</v>
      </c>
      <c r="BE1855" s="192">
        <v>1.07</v>
      </c>
      <c r="BH1855" s="94">
        <v>44785</v>
      </c>
      <c r="BI1855" s="95">
        <v>1.206</v>
      </c>
      <c r="BJ1855" s="96">
        <v>14.08</v>
      </c>
    </row>
    <row r="1856" spans="54:62" ht="13.8" x14ac:dyDescent="0.25">
      <c r="BB1856" s="187"/>
      <c r="BC1856" s="180"/>
      <c r="BD1856" s="191">
        <v>44712</v>
      </c>
      <c r="BE1856" s="192">
        <v>1.095</v>
      </c>
      <c r="BH1856" s="94">
        <v>44789</v>
      </c>
      <c r="BI1856" s="95">
        <v>1.198</v>
      </c>
      <c r="BJ1856" s="96">
        <v>14.06</v>
      </c>
    </row>
    <row r="1857" spans="54:62" ht="13.8" x14ac:dyDescent="0.25">
      <c r="BB1857" s="187"/>
      <c r="BC1857" s="180"/>
      <c r="BD1857" s="191">
        <v>44713</v>
      </c>
      <c r="BE1857" s="192">
        <v>1.1060000000000001</v>
      </c>
      <c r="BH1857" s="94">
        <v>44790</v>
      </c>
      <c r="BI1857" s="95">
        <v>1.1919999999999999</v>
      </c>
      <c r="BJ1857" s="96">
        <v>14.06</v>
      </c>
    </row>
    <row r="1858" spans="54:62" ht="13.8" x14ac:dyDescent="0.25">
      <c r="BB1858" s="187"/>
      <c r="BC1858" s="180"/>
      <c r="BD1858" s="191">
        <v>44714</v>
      </c>
      <c r="BE1858" s="192">
        <v>1.119</v>
      </c>
      <c r="BH1858" s="94">
        <v>44791</v>
      </c>
      <c r="BI1858" s="95">
        <v>1.1870000000000001</v>
      </c>
      <c r="BJ1858" s="96">
        <v>14.02</v>
      </c>
    </row>
    <row r="1859" spans="54:62" ht="13.8" x14ac:dyDescent="0.25">
      <c r="BB1859" s="187"/>
      <c r="BC1859" s="180"/>
      <c r="BD1859" s="191">
        <v>44715</v>
      </c>
      <c r="BE1859" s="192">
        <v>1.135</v>
      </c>
      <c r="BH1859" s="94">
        <v>44792</v>
      </c>
      <c r="BI1859" s="95">
        <v>1.1879999999999999</v>
      </c>
      <c r="BJ1859" s="96">
        <v>14.01</v>
      </c>
    </row>
    <row r="1860" spans="54:62" ht="13.8" x14ac:dyDescent="0.25">
      <c r="BB1860" s="187"/>
      <c r="BC1860" s="180"/>
      <c r="BD1860" s="191"/>
      <c r="BE1860" s="193">
        <f>+BE1859</f>
        <v>1.135</v>
      </c>
      <c r="BH1860" s="94">
        <v>44795</v>
      </c>
      <c r="BI1860" s="95">
        <v>1.2</v>
      </c>
      <c r="BJ1860" s="96">
        <v>14.01</v>
      </c>
    </row>
    <row r="1861" spans="54:62" ht="13.8" x14ac:dyDescent="0.25">
      <c r="BB1861" s="187"/>
      <c r="BC1861" s="180"/>
      <c r="BD1861" s="191">
        <v>44719</v>
      </c>
      <c r="BE1861" s="192">
        <v>1.147</v>
      </c>
      <c r="BH1861" s="94">
        <v>44796</v>
      </c>
      <c r="BI1861" s="95">
        <v>1.216</v>
      </c>
      <c r="BJ1861" s="96">
        <v>14</v>
      </c>
    </row>
    <row r="1862" spans="54:62" ht="13.8" x14ac:dyDescent="0.25">
      <c r="BB1862" s="187"/>
      <c r="BC1862" s="180"/>
      <c r="BD1862" s="191">
        <v>44720</v>
      </c>
      <c r="BE1862" s="192">
        <v>1.161</v>
      </c>
      <c r="BH1862" s="94">
        <v>44797</v>
      </c>
      <c r="BI1862" s="95">
        <v>1.238</v>
      </c>
      <c r="BJ1862" s="96">
        <v>14</v>
      </c>
    </row>
    <row r="1863" spans="54:62" ht="13.8" x14ac:dyDescent="0.25">
      <c r="BB1863" s="187"/>
      <c r="BC1863" s="180"/>
      <c r="BD1863" s="191">
        <v>44721</v>
      </c>
      <c r="BE1863" s="192">
        <v>1.1819999999999999</v>
      </c>
      <c r="BH1863" s="94">
        <v>44798</v>
      </c>
      <c r="BI1863" s="95">
        <v>1.2589999999999999</v>
      </c>
      <c r="BJ1863" s="96">
        <v>14</v>
      </c>
    </row>
    <row r="1864" spans="54:62" ht="13.8" x14ac:dyDescent="0.25">
      <c r="BB1864" s="187"/>
      <c r="BC1864" s="180"/>
      <c r="BD1864" s="191">
        <v>44722</v>
      </c>
      <c r="BE1864" s="192">
        <v>1.2090000000000001</v>
      </c>
      <c r="BH1864" s="94">
        <v>44799</v>
      </c>
      <c r="BI1864" s="95">
        <v>1.286</v>
      </c>
      <c r="BJ1864" s="96">
        <v>13.99</v>
      </c>
    </row>
    <row r="1865" spans="54:62" ht="13.8" x14ac:dyDescent="0.25">
      <c r="BB1865" s="187"/>
      <c r="BC1865" s="180"/>
      <c r="BD1865" s="191">
        <v>44725</v>
      </c>
      <c r="BE1865" s="192">
        <v>1.2490000000000001</v>
      </c>
      <c r="BH1865" s="94">
        <v>44802</v>
      </c>
      <c r="BI1865" s="95">
        <v>1.3220000000000001</v>
      </c>
      <c r="BJ1865" s="96">
        <v>13.99</v>
      </c>
    </row>
    <row r="1866" spans="54:62" ht="13.8" x14ac:dyDescent="0.25">
      <c r="BB1866" s="187"/>
      <c r="BC1866" s="180"/>
      <c r="BD1866" s="191">
        <v>44726</v>
      </c>
      <c r="BE1866" s="192">
        <v>1.2929999999999999</v>
      </c>
      <c r="BH1866" s="94">
        <v>44803</v>
      </c>
      <c r="BI1866" s="95">
        <v>1.361</v>
      </c>
      <c r="BJ1866" s="96">
        <v>13.98</v>
      </c>
    </row>
    <row r="1867" spans="54:62" ht="13.8" x14ac:dyDescent="0.25">
      <c r="BB1867" s="187"/>
      <c r="BC1867" s="180"/>
      <c r="BD1867" s="191">
        <v>44727</v>
      </c>
      <c r="BE1867" s="192">
        <v>1.333</v>
      </c>
      <c r="BH1867" s="94">
        <v>44804</v>
      </c>
      <c r="BI1867" s="95">
        <v>1.4039999999999999</v>
      </c>
      <c r="BJ1867" s="96">
        <v>13.98</v>
      </c>
    </row>
    <row r="1868" spans="54:62" ht="13.8" x14ac:dyDescent="0.25">
      <c r="BB1868" s="187"/>
      <c r="BC1868" s="180"/>
      <c r="BD1868" s="191"/>
      <c r="BE1868" s="193">
        <f>+BE1867</f>
        <v>1.333</v>
      </c>
      <c r="BH1868" s="94">
        <v>44805</v>
      </c>
      <c r="BI1868" s="95">
        <v>1.4430000000000001</v>
      </c>
      <c r="BJ1868" s="96">
        <v>13.98</v>
      </c>
    </row>
    <row r="1869" spans="54:62" ht="13.8" x14ac:dyDescent="0.25">
      <c r="BB1869" s="187"/>
      <c r="BC1869" s="180"/>
      <c r="BD1869" s="191">
        <v>44729</v>
      </c>
      <c r="BE1869" s="192">
        <v>1.371</v>
      </c>
      <c r="BH1869" s="94">
        <v>44806</v>
      </c>
      <c r="BI1869" s="95">
        <v>1.4810000000000001</v>
      </c>
      <c r="BJ1869" s="96">
        <v>13.98</v>
      </c>
    </row>
    <row r="1870" spans="54:62" ht="13.8" x14ac:dyDescent="0.25">
      <c r="BB1870" s="187"/>
      <c r="BC1870" s="180"/>
      <c r="BD1870" s="191">
        <v>44732</v>
      </c>
      <c r="BE1870" s="192">
        <v>1.405</v>
      </c>
      <c r="BH1870" s="94">
        <v>44809</v>
      </c>
      <c r="BI1870" s="95">
        <v>1.5189999999999999</v>
      </c>
      <c r="BJ1870" s="96">
        <v>13.97</v>
      </c>
    </row>
    <row r="1871" spans="54:62" ht="13.8" x14ac:dyDescent="0.25">
      <c r="BB1871" s="187"/>
      <c r="BC1871" s="180"/>
      <c r="BD1871" s="191">
        <v>44733</v>
      </c>
      <c r="BE1871" s="192">
        <v>1.448</v>
      </c>
      <c r="BH1871" s="94">
        <v>44810</v>
      </c>
      <c r="BI1871" s="95">
        <v>1.5529999999999999</v>
      </c>
      <c r="BJ1871" s="96">
        <v>13.96</v>
      </c>
    </row>
    <row r="1872" spans="54:62" ht="13.8" x14ac:dyDescent="0.25">
      <c r="BB1872" s="187"/>
      <c r="BC1872" s="180"/>
      <c r="BD1872" s="191">
        <v>44734</v>
      </c>
      <c r="BE1872" s="192">
        <v>1.4850000000000001</v>
      </c>
      <c r="BH1872" s="94">
        <v>44811</v>
      </c>
      <c r="BI1872" s="95">
        <v>1.585</v>
      </c>
      <c r="BJ1872" s="96">
        <v>13.96</v>
      </c>
    </row>
    <row r="1873" spans="54:62" ht="13.8" x14ac:dyDescent="0.25">
      <c r="BB1873" s="187"/>
      <c r="BC1873" s="180"/>
      <c r="BD1873" s="191">
        <v>44735</v>
      </c>
      <c r="BE1873" s="192">
        <v>1.5089999999999999</v>
      </c>
      <c r="BH1873" s="94">
        <v>44812</v>
      </c>
      <c r="BI1873" s="95">
        <v>1.6240000000000001</v>
      </c>
      <c r="BJ1873" s="96">
        <v>13.91</v>
      </c>
    </row>
    <row r="1874" spans="54:62" ht="13.8" x14ac:dyDescent="0.25">
      <c r="BB1874" s="187"/>
      <c r="BC1874" s="180"/>
      <c r="BD1874" s="191">
        <v>44736</v>
      </c>
      <c r="BE1874" s="192">
        <v>1.532</v>
      </c>
      <c r="BH1874" s="94">
        <v>44813</v>
      </c>
      <c r="BI1874" s="95">
        <v>1.663</v>
      </c>
      <c r="BJ1874" s="96">
        <v>13.9</v>
      </c>
    </row>
    <row r="1875" spans="54:62" ht="13.8" x14ac:dyDescent="0.25">
      <c r="BB1875" s="187"/>
      <c r="BC1875" s="180"/>
      <c r="BD1875" s="191">
        <v>44739</v>
      </c>
      <c r="BE1875" s="192">
        <v>1.5609999999999999</v>
      </c>
      <c r="BH1875" s="94">
        <v>44816</v>
      </c>
      <c r="BI1875" s="95">
        <v>1.7</v>
      </c>
      <c r="BJ1875" s="96">
        <v>13.9</v>
      </c>
    </row>
    <row r="1876" spans="54:62" ht="13.8" x14ac:dyDescent="0.25">
      <c r="BB1876" s="187"/>
      <c r="BC1876" s="180"/>
      <c r="BD1876" s="191">
        <v>44740</v>
      </c>
      <c r="BE1876" s="192">
        <v>1.593</v>
      </c>
      <c r="BH1876" s="94">
        <v>44817</v>
      </c>
      <c r="BI1876" s="95">
        <v>1.738</v>
      </c>
      <c r="BJ1876" s="96">
        <v>13.89</v>
      </c>
    </row>
    <row r="1877" spans="54:62" ht="13.8" x14ac:dyDescent="0.25">
      <c r="BB1877" s="187"/>
      <c r="BC1877" s="180"/>
      <c r="BD1877" s="191">
        <v>44741</v>
      </c>
      <c r="BE1877" s="192">
        <v>1.6180000000000001</v>
      </c>
      <c r="BH1877" s="94">
        <v>44818</v>
      </c>
      <c r="BI1877" s="95">
        <v>1.7729999999999999</v>
      </c>
      <c r="BJ1877" s="96">
        <v>13.89</v>
      </c>
    </row>
    <row r="1878" spans="54:62" ht="13.8" x14ac:dyDescent="0.25">
      <c r="BB1878" s="187"/>
      <c r="BC1878" s="180"/>
      <c r="BD1878" s="191">
        <v>44742</v>
      </c>
      <c r="BE1878" s="192">
        <v>1.633</v>
      </c>
      <c r="BH1878" s="94">
        <v>44819</v>
      </c>
      <c r="BI1878" s="95">
        <v>1.8069999999999999</v>
      </c>
      <c r="BJ1878" s="96">
        <v>13.89</v>
      </c>
    </row>
    <row r="1879" spans="54:62" ht="13.8" x14ac:dyDescent="0.25">
      <c r="BB1879" s="187"/>
      <c r="BC1879" s="180"/>
      <c r="BD1879" s="191">
        <v>44743</v>
      </c>
      <c r="BE1879" s="192">
        <v>1.641</v>
      </c>
      <c r="BH1879" s="94">
        <v>44820</v>
      </c>
      <c r="BI1879" s="95">
        <v>1.8380000000000001</v>
      </c>
      <c r="BJ1879" s="96">
        <v>13.89</v>
      </c>
    </row>
    <row r="1880" spans="54:62" ht="13.8" x14ac:dyDescent="0.25">
      <c r="BB1880" s="187"/>
      <c r="BC1880" s="180"/>
      <c r="BD1880" s="191">
        <v>44746</v>
      </c>
      <c r="BE1880" s="192">
        <v>1.645</v>
      </c>
      <c r="BH1880" s="94">
        <v>44823</v>
      </c>
      <c r="BI1880" s="95">
        <v>1.869</v>
      </c>
      <c r="BJ1880" s="96">
        <v>13.88</v>
      </c>
    </row>
    <row r="1881" spans="54:62" ht="13.8" x14ac:dyDescent="0.25">
      <c r="BB1881" s="187"/>
      <c r="BC1881" s="180"/>
      <c r="BD1881" s="191">
        <v>44747</v>
      </c>
      <c r="BE1881" s="192">
        <v>1.6459999999999999</v>
      </c>
      <c r="BH1881" s="94">
        <v>44824</v>
      </c>
      <c r="BI1881" s="95">
        <v>1.9019999999999999</v>
      </c>
      <c r="BJ1881" s="96">
        <v>13.87</v>
      </c>
    </row>
    <row r="1882" spans="54:62" ht="13.8" x14ac:dyDescent="0.25">
      <c r="BB1882" s="187"/>
      <c r="BC1882" s="180"/>
      <c r="BD1882" s="191">
        <v>44748</v>
      </c>
      <c r="BE1882" s="192">
        <v>1.641</v>
      </c>
      <c r="BH1882" s="94">
        <v>44825</v>
      </c>
      <c r="BI1882" s="95">
        <v>1.9330000000000001</v>
      </c>
      <c r="BJ1882" s="96">
        <v>13.87</v>
      </c>
    </row>
    <row r="1883" spans="54:62" ht="13.8" x14ac:dyDescent="0.25">
      <c r="BB1883" s="187"/>
      <c r="BC1883" s="180"/>
      <c r="BD1883" s="191">
        <v>44749</v>
      </c>
      <c r="BE1883" s="192">
        <v>1.641</v>
      </c>
      <c r="BH1883" s="94">
        <v>44826</v>
      </c>
      <c r="BI1883" s="95">
        <v>1.9670000000000001</v>
      </c>
      <c r="BJ1883" s="96">
        <v>13.87</v>
      </c>
    </row>
    <row r="1884" spans="54:62" ht="13.8" x14ac:dyDescent="0.25">
      <c r="BB1884" s="187"/>
      <c r="BC1884" s="180"/>
      <c r="BD1884" s="191">
        <v>44750</v>
      </c>
      <c r="BE1884" s="192">
        <v>1.637</v>
      </c>
      <c r="BH1884" s="94">
        <v>44827</v>
      </c>
      <c r="BI1884" s="95">
        <v>2.0009999999999999</v>
      </c>
      <c r="BJ1884" s="96">
        <v>13.87</v>
      </c>
    </row>
    <row r="1885" spans="54:62" ht="13.8" x14ac:dyDescent="0.25">
      <c r="BB1885" s="187"/>
      <c r="BC1885" s="180"/>
      <c r="BD1885" s="191">
        <v>44753</v>
      </c>
      <c r="BE1885" s="192">
        <v>1.6259999999999999</v>
      </c>
      <c r="BH1885" s="94">
        <v>44830</v>
      </c>
      <c r="BI1885" s="95">
        <v>2.0329999999999999</v>
      </c>
      <c r="BJ1885" s="96">
        <v>13.83</v>
      </c>
    </row>
    <row r="1886" spans="54:62" ht="13.8" x14ac:dyDescent="0.25">
      <c r="BB1886" s="187"/>
      <c r="BC1886" s="180"/>
      <c r="BD1886" s="191">
        <v>44754</v>
      </c>
      <c r="BE1886" s="192">
        <v>1.6020000000000001</v>
      </c>
      <c r="BH1886" s="94">
        <v>44831</v>
      </c>
      <c r="BI1886" s="95">
        <v>2.0659999999999998</v>
      </c>
      <c r="BJ1886" s="96">
        <v>13.82</v>
      </c>
    </row>
    <row r="1887" spans="54:62" ht="13.8" x14ac:dyDescent="0.25">
      <c r="BB1887" s="187"/>
      <c r="BC1887" s="180"/>
      <c r="BD1887" s="191">
        <v>44755</v>
      </c>
      <c r="BE1887" s="192">
        <v>1.573</v>
      </c>
      <c r="BH1887" s="94">
        <v>44832</v>
      </c>
      <c r="BI1887" s="95">
        <v>2.1030000000000002</v>
      </c>
      <c r="BJ1887" s="96">
        <v>13.68</v>
      </c>
    </row>
    <row r="1888" spans="54:62" ht="13.8" x14ac:dyDescent="0.25">
      <c r="BB1888" s="187"/>
      <c r="BC1888" s="180"/>
      <c r="BD1888" s="191">
        <v>44756</v>
      </c>
      <c r="BE1888" s="192">
        <v>1.55</v>
      </c>
      <c r="BH1888" s="94">
        <v>44833</v>
      </c>
      <c r="BI1888" s="95">
        <v>2.1349999999999998</v>
      </c>
      <c r="BJ1888" s="96">
        <v>13.68</v>
      </c>
    </row>
    <row r="1889" spans="54:62" ht="13.8" x14ac:dyDescent="0.25">
      <c r="BB1889" s="187"/>
      <c r="BC1889" s="180"/>
      <c r="BD1889" s="191">
        <v>44757</v>
      </c>
      <c r="BE1889" s="192">
        <v>1.5629999999999999</v>
      </c>
      <c r="BH1889" s="94">
        <v>44834</v>
      </c>
      <c r="BI1889" s="95">
        <v>2.1629999999999998</v>
      </c>
      <c r="BJ1889" s="96">
        <v>13.68</v>
      </c>
    </row>
    <row r="1890" spans="54:62" ht="13.8" x14ac:dyDescent="0.25">
      <c r="BB1890" s="187"/>
      <c r="BC1890" s="180"/>
      <c r="BD1890" s="191">
        <v>44760</v>
      </c>
      <c r="BE1890" s="192">
        <v>1.54</v>
      </c>
      <c r="BH1890" s="94">
        <v>44837</v>
      </c>
      <c r="BI1890" s="95">
        <v>2.1869999999999998</v>
      </c>
      <c r="BJ1890" s="96">
        <v>13.67</v>
      </c>
    </row>
    <row r="1891" spans="54:62" ht="13.8" x14ac:dyDescent="0.25">
      <c r="BB1891" s="187"/>
      <c r="BC1891" s="180"/>
      <c r="BD1891" s="191">
        <v>44761</v>
      </c>
      <c r="BE1891" s="192">
        <v>1.514</v>
      </c>
      <c r="BH1891" s="94">
        <v>44838</v>
      </c>
      <c r="BI1891" s="95">
        <v>2.2040000000000002</v>
      </c>
      <c r="BJ1891" s="96">
        <v>13.67</v>
      </c>
    </row>
    <row r="1892" spans="54:62" ht="13.8" x14ac:dyDescent="0.25">
      <c r="BB1892" s="187"/>
      <c r="BC1892" s="180"/>
      <c r="BD1892" s="191">
        <v>44762</v>
      </c>
      <c r="BE1892" s="192">
        <v>1.4930000000000001</v>
      </c>
      <c r="BH1892" s="94">
        <v>44839</v>
      </c>
      <c r="BI1892" s="95">
        <v>2.2269999999999999</v>
      </c>
      <c r="BJ1892" s="96">
        <v>13.66</v>
      </c>
    </row>
    <row r="1893" spans="54:62" ht="13.8" x14ac:dyDescent="0.25">
      <c r="BB1893" s="187"/>
      <c r="BC1893" s="180"/>
      <c r="BD1893" s="191">
        <v>44763</v>
      </c>
      <c r="BE1893" s="192">
        <v>1.4830000000000001</v>
      </c>
      <c r="BH1893" s="94">
        <v>44840</v>
      </c>
      <c r="BI1893" s="95">
        <v>2.2519999999999998</v>
      </c>
      <c r="BJ1893" s="96">
        <v>13.7</v>
      </c>
    </row>
    <row r="1894" spans="54:62" ht="13.8" x14ac:dyDescent="0.25">
      <c r="BB1894" s="187"/>
      <c r="BC1894" s="180"/>
      <c r="BD1894" s="191">
        <v>44764</v>
      </c>
      <c r="BE1894" s="192">
        <v>1.4650000000000001</v>
      </c>
      <c r="BH1894" s="94">
        <v>44841</v>
      </c>
      <c r="BI1894" s="95">
        <v>2.2770000000000001</v>
      </c>
      <c r="BJ1894" s="96">
        <v>13.7</v>
      </c>
    </row>
    <row r="1895" spans="54:62" ht="13.8" x14ac:dyDescent="0.25">
      <c r="BB1895" s="187"/>
      <c r="BC1895" s="180"/>
      <c r="BD1895" s="191">
        <v>44767</v>
      </c>
      <c r="BE1895" s="192">
        <v>1.4419999999999999</v>
      </c>
      <c r="BH1895" s="94">
        <v>44844</v>
      </c>
      <c r="BI1895" s="95">
        <v>2.3050000000000002</v>
      </c>
      <c r="BJ1895" s="96">
        <v>13.69</v>
      </c>
    </row>
    <row r="1896" spans="54:62" ht="13.8" x14ac:dyDescent="0.25">
      <c r="BB1896" s="187"/>
      <c r="BC1896" s="180"/>
      <c r="BD1896" s="191">
        <v>44768</v>
      </c>
      <c r="BE1896" s="192">
        <v>1.411</v>
      </c>
      <c r="BH1896" s="94">
        <v>44845</v>
      </c>
      <c r="BI1896" s="95">
        <v>2.3359999999999999</v>
      </c>
      <c r="BJ1896" s="96">
        <v>13.69</v>
      </c>
    </row>
    <row r="1897" spans="54:62" ht="13.8" x14ac:dyDescent="0.25">
      <c r="BB1897" s="187"/>
      <c r="BC1897" s="180"/>
      <c r="BD1897" s="191">
        <v>44769</v>
      </c>
      <c r="BE1897" s="192">
        <v>1.383</v>
      </c>
      <c r="BH1897" s="94">
        <v>44846</v>
      </c>
      <c r="BI1897" s="95">
        <v>2.367</v>
      </c>
      <c r="BJ1897" s="96">
        <v>13.69</v>
      </c>
    </row>
    <row r="1898" spans="54:62" ht="13.8" x14ac:dyDescent="0.25">
      <c r="BB1898" s="187"/>
      <c r="BC1898" s="180"/>
      <c r="BD1898" s="191">
        <v>44770</v>
      </c>
      <c r="BE1898" s="192">
        <v>1.36</v>
      </c>
      <c r="BH1898" s="94">
        <v>44847</v>
      </c>
      <c r="BI1898" s="95">
        <v>2.3959999999999999</v>
      </c>
      <c r="BJ1898" s="96">
        <v>13.68</v>
      </c>
    </row>
    <row r="1899" spans="54:62" ht="13.8" x14ac:dyDescent="0.25">
      <c r="BB1899" s="187"/>
      <c r="BC1899" s="180"/>
      <c r="BD1899" s="191">
        <v>44771</v>
      </c>
      <c r="BE1899" s="192">
        <v>1.341</v>
      </c>
      <c r="BH1899" s="94">
        <v>44848</v>
      </c>
      <c r="BI1899" s="95">
        <v>2.42</v>
      </c>
      <c r="BJ1899" s="96">
        <v>13.68</v>
      </c>
    </row>
    <row r="1900" spans="54:62" ht="13.8" x14ac:dyDescent="0.25">
      <c r="BB1900" s="187"/>
      <c r="BC1900" s="180"/>
      <c r="BD1900" s="191">
        <v>44774</v>
      </c>
      <c r="BE1900" s="192">
        <v>1.319</v>
      </c>
      <c r="BH1900" s="94">
        <v>44851</v>
      </c>
      <c r="BI1900" s="95">
        <v>2.444</v>
      </c>
      <c r="BJ1900" s="96">
        <v>13.67</v>
      </c>
    </row>
    <row r="1901" spans="54:62" ht="13.8" x14ac:dyDescent="0.25">
      <c r="BB1901" s="187"/>
      <c r="BC1901" s="180"/>
      <c r="BD1901" s="191">
        <v>44775</v>
      </c>
      <c r="BE1901" s="192">
        <v>1.296</v>
      </c>
      <c r="BH1901" s="94">
        <v>44852</v>
      </c>
      <c r="BI1901" s="95">
        <v>2.4649999999999999</v>
      </c>
      <c r="BJ1901" s="96">
        <v>13.67</v>
      </c>
    </row>
    <row r="1902" spans="54:62" ht="13.8" x14ac:dyDescent="0.25">
      <c r="BB1902" s="187"/>
      <c r="BC1902" s="180"/>
      <c r="BD1902" s="191">
        <v>44776</v>
      </c>
      <c r="BE1902" s="192">
        <v>1.284</v>
      </c>
      <c r="BH1902" s="94">
        <v>44853</v>
      </c>
      <c r="BI1902" s="95">
        <v>2.488</v>
      </c>
      <c r="BJ1902" s="96">
        <v>13.67</v>
      </c>
    </row>
    <row r="1903" spans="54:62" ht="13.8" x14ac:dyDescent="0.25">
      <c r="BB1903" s="187"/>
      <c r="BC1903" s="180"/>
      <c r="BD1903" s="191">
        <v>44777</v>
      </c>
      <c r="BE1903" s="192">
        <v>1.266</v>
      </c>
      <c r="BH1903" s="94">
        <v>44854</v>
      </c>
      <c r="BI1903" s="95">
        <v>2.552</v>
      </c>
      <c r="BJ1903" s="96">
        <v>14.29</v>
      </c>
    </row>
    <row r="1904" spans="54:62" ht="13.8" x14ac:dyDescent="0.25">
      <c r="BB1904" s="187"/>
      <c r="BC1904" s="180"/>
      <c r="BD1904" s="191">
        <v>44778</v>
      </c>
      <c r="BE1904" s="192">
        <v>1.248</v>
      </c>
      <c r="BH1904" s="94">
        <v>44855</v>
      </c>
      <c r="BI1904" s="95">
        <v>2.5750000000000002</v>
      </c>
      <c r="BJ1904" s="96">
        <v>14.29</v>
      </c>
    </row>
    <row r="1905" spans="54:62" ht="13.8" x14ac:dyDescent="0.25">
      <c r="BB1905" s="187"/>
      <c r="BC1905" s="180"/>
      <c r="BD1905" s="191">
        <v>44781</v>
      </c>
      <c r="BE1905" s="192">
        <v>1.234</v>
      </c>
      <c r="BH1905" s="94">
        <v>44858</v>
      </c>
      <c r="BI1905" s="95">
        <v>2.5859999999999999</v>
      </c>
      <c r="BJ1905" s="96">
        <v>14.23</v>
      </c>
    </row>
    <row r="1906" spans="54:62" ht="13.8" x14ac:dyDescent="0.25">
      <c r="BB1906" s="187"/>
      <c r="BC1906" s="180"/>
      <c r="BD1906" s="191">
        <v>44782</v>
      </c>
      <c r="BE1906" s="192">
        <v>1.2290000000000001</v>
      </c>
      <c r="BH1906" s="94">
        <v>44859</v>
      </c>
      <c r="BI1906" s="95">
        <v>2.593</v>
      </c>
      <c r="BJ1906" s="96">
        <v>14.22</v>
      </c>
    </row>
    <row r="1907" spans="54:62" ht="13.8" x14ac:dyDescent="0.25">
      <c r="BB1907" s="187"/>
      <c r="BC1907" s="180"/>
      <c r="BD1907" s="191">
        <v>44783</v>
      </c>
      <c r="BE1907" s="192">
        <v>1.2190000000000001</v>
      </c>
      <c r="BH1907" s="94">
        <v>44861</v>
      </c>
      <c r="BI1907" s="95">
        <v>2.593</v>
      </c>
      <c r="BJ1907" s="96">
        <v>14.22</v>
      </c>
    </row>
    <row r="1908" spans="54:62" ht="13.8" x14ac:dyDescent="0.25">
      <c r="BB1908" s="187"/>
      <c r="BC1908" s="180"/>
      <c r="BD1908" s="191">
        <v>44784</v>
      </c>
      <c r="BE1908" s="192">
        <v>1.21</v>
      </c>
      <c r="BH1908" s="94">
        <v>44862</v>
      </c>
      <c r="BI1908" s="95">
        <v>2.5880000000000001</v>
      </c>
      <c r="BJ1908" s="96">
        <v>14.22</v>
      </c>
    </row>
    <row r="1909" spans="54:62" ht="13.8" x14ac:dyDescent="0.25">
      <c r="BB1909" s="187"/>
      <c r="BC1909" s="180"/>
      <c r="BD1909" s="191">
        <v>44785</v>
      </c>
      <c r="BE1909" s="192">
        <v>1.206</v>
      </c>
      <c r="BH1909" s="94">
        <v>44865</v>
      </c>
      <c r="BI1909" s="95">
        <v>2.5910000000000002</v>
      </c>
      <c r="BJ1909" s="96">
        <v>14.21</v>
      </c>
    </row>
    <row r="1910" spans="54:62" ht="13.8" x14ac:dyDescent="0.25">
      <c r="BB1910" s="187"/>
      <c r="BC1910" s="180"/>
      <c r="BD1910" s="191"/>
      <c r="BE1910" s="193">
        <f>+BE1909</f>
        <v>1.206</v>
      </c>
      <c r="BH1910" s="94">
        <v>44867</v>
      </c>
      <c r="BI1910" s="95">
        <v>2.5990000000000002</v>
      </c>
      <c r="BJ1910" s="96">
        <v>14.2</v>
      </c>
    </row>
    <row r="1911" spans="54:62" ht="13.8" x14ac:dyDescent="0.25">
      <c r="BB1911" s="187"/>
      <c r="BC1911" s="180"/>
      <c r="BD1911" s="191">
        <v>44789</v>
      </c>
      <c r="BE1911" s="192">
        <v>1.198</v>
      </c>
      <c r="BH1911" s="94">
        <v>44868</v>
      </c>
      <c r="BI1911" s="95">
        <v>2.6190000000000002</v>
      </c>
      <c r="BJ1911" s="96">
        <v>14.2</v>
      </c>
    </row>
    <row r="1912" spans="54:62" ht="13.8" x14ac:dyDescent="0.25">
      <c r="BB1912" s="187"/>
      <c r="BC1912" s="180"/>
      <c r="BD1912" s="191">
        <v>44790</v>
      </c>
      <c r="BE1912" s="192">
        <v>1.1919999999999999</v>
      </c>
      <c r="BH1912" s="94">
        <v>44869</v>
      </c>
      <c r="BI1912" s="95">
        <v>2.6339999999999999</v>
      </c>
      <c r="BJ1912" s="96">
        <v>14.2</v>
      </c>
    </row>
    <row r="1913" spans="54:62" ht="13.8" x14ac:dyDescent="0.25">
      <c r="BB1913" s="187"/>
      <c r="BC1913" s="180"/>
      <c r="BD1913" s="191">
        <v>44791</v>
      </c>
      <c r="BE1913" s="192">
        <v>1.1870000000000001</v>
      </c>
      <c r="BH1913" s="94">
        <v>44872</v>
      </c>
      <c r="BI1913" s="95">
        <v>2.6469999999999998</v>
      </c>
      <c r="BJ1913" s="96">
        <v>14.19</v>
      </c>
    </row>
    <row r="1914" spans="54:62" ht="13.8" x14ac:dyDescent="0.25">
      <c r="BB1914" s="187"/>
      <c r="BC1914" s="180"/>
      <c r="BD1914" s="191">
        <v>44792</v>
      </c>
      <c r="BE1914" s="192">
        <v>1.1879999999999999</v>
      </c>
      <c r="BH1914" s="94">
        <v>44873</v>
      </c>
      <c r="BI1914" s="95">
        <v>2.6549999999999998</v>
      </c>
      <c r="BJ1914" s="96">
        <v>14.19</v>
      </c>
    </row>
    <row r="1915" spans="54:62" ht="13.8" x14ac:dyDescent="0.25">
      <c r="BB1915" s="187"/>
      <c r="BC1915" s="180"/>
      <c r="BD1915" s="191">
        <v>44795</v>
      </c>
      <c r="BE1915" s="192">
        <v>1.2</v>
      </c>
      <c r="BH1915" s="94">
        <v>44874</v>
      </c>
      <c r="BI1915" s="95">
        <v>2.6579999999999999</v>
      </c>
      <c r="BJ1915" s="96">
        <v>14.18</v>
      </c>
    </row>
    <row r="1916" spans="54:62" ht="13.8" x14ac:dyDescent="0.25">
      <c r="BB1916" s="187"/>
      <c r="BC1916" s="180"/>
      <c r="BD1916" s="191">
        <v>44796</v>
      </c>
      <c r="BE1916" s="192">
        <v>1.216</v>
      </c>
      <c r="BH1916" s="94">
        <v>44875</v>
      </c>
      <c r="BI1916" s="95">
        <v>2.6509999999999998</v>
      </c>
      <c r="BJ1916" s="96">
        <v>14.14</v>
      </c>
    </row>
    <row r="1917" spans="54:62" ht="13.8" x14ac:dyDescent="0.25">
      <c r="BB1917" s="187"/>
      <c r="BC1917" s="180"/>
      <c r="BD1917" s="191">
        <v>44797</v>
      </c>
      <c r="BE1917" s="192">
        <v>1.238</v>
      </c>
      <c r="BH1917" s="94">
        <v>44876</v>
      </c>
      <c r="BI1917" s="95">
        <v>2.6419999999999999</v>
      </c>
      <c r="BJ1917" s="96">
        <v>14.13</v>
      </c>
    </row>
    <row r="1918" spans="54:62" ht="13.8" x14ac:dyDescent="0.25">
      <c r="BB1918" s="187"/>
      <c r="BC1918" s="180"/>
      <c r="BD1918" s="191">
        <v>44798</v>
      </c>
      <c r="BE1918" s="192">
        <v>1.2589999999999999</v>
      </c>
      <c r="BH1918" s="94">
        <v>44879</v>
      </c>
      <c r="BI1918" s="95">
        <v>2.6349999999999998</v>
      </c>
      <c r="BJ1918" s="96">
        <v>14.13</v>
      </c>
    </row>
    <row r="1919" spans="54:62" ht="13.8" x14ac:dyDescent="0.25">
      <c r="BB1919" s="187"/>
      <c r="BC1919" s="180"/>
      <c r="BD1919" s="191">
        <v>44799</v>
      </c>
      <c r="BE1919" s="192">
        <v>1.286</v>
      </c>
      <c r="BH1919" s="94">
        <v>44880</v>
      </c>
      <c r="BI1919" s="95">
        <v>2.63</v>
      </c>
      <c r="BJ1919" s="96">
        <v>14.12</v>
      </c>
    </row>
    <row r="1920" spans="54:62" ht="13.8" x14ac:dyDescent="0.25">
      <c r="BB1920" s="187"/>
      <c r="BC1920" s="180"/>
      <c r="BD1920" s="191">
        <v>44802</v>
      </c>
      <c r="BE1920" s="192">
        <v>1.3220000000000001</v>
      </c>
      <c r="BH1920" s="94">
        <v>44881</v>
      </c>
      <c r="BI1920" s="95">
        <v>2.62</v>
      </c>
      <c r="BJ1920" s="96">
        <v>14.12</v>
      </c>
    </row>
    <row r="1921" spans="54:64" ht="13.8" x14ac:dyDescent="0.25">
      <c r="BB1921" s="187"/>
      <c r="BC1921" s="180"/>
      <c r="BD1921" s="191">
        <v>44803</v>
      </c>
      <c r="BE1921" s="192">
        <v>1.361</v>
      </c>
      <c r="BH1921" s="94">
        <v>44882</v>
      </c>
      <c r="BI1921" s="95">
        <v>2.6070000000000002</v>
      </c>
      <c r="BJ1921" s="96">
        <v>14.12</v>
      </c>
    </row>
    <row r="1922" spans="54:64" ht="13.8" x14ac:dyDescent="0.25">
      <c r="BB1922" s="187"/>
      <c r="BC1922" s="180"/>
      <c r="BD1922" s="191">
        <v>44804</v>
      </c>
      <c r="BE1922" s="192">
        <v>1.4039999999999999</v>
      </c>
      <c r="BH1922" s="94">
        <v>44883</v>
      </c>
      <c r="BI1922" s="95">
        <v>2.5920000000000001</v>
      </c>
      <c r="BJ1922" s="96">
        <v>14.12</v>
      </c>
    </row>
    <row r="1923" spans="54:64" ht="13.8" x14ac:dyDescent="0.25">
      <c r="BB1923" s="187"/>
      <c r="BC1923" s="180"/>
      <c r="BD1923" s="191">
        <v>44805</v>
      </c>
      <c r="BE1923" s="192">
        <v>1.4430000000000001</v>
      </c>
      <c r="BH1923" s="94">
        <v>44886</v>
      </c>
      <c r="BI1923" s="95">
        <v>2.5720000000000001</v>
      </c>
      <c r="BJ1923" s="96">
        <v>14.11</v>
      </c>
    </row>
    <row r="1924" spans="54:64" ht="13.8" x14ac:dyDescent="0.25">
      <c r="BB1924" s="187"/>
      <c r="BC1924" s="180"/>
      <c r="BD1924" s="191">
        <v>44806</v>
      </c>
      <c r="BE1924" s="192">
        <v>1.4810000000000001</v>
      </c>
      <c r="BH1924" s="94">
        <v>44887</v>
      </c>
      <c r="BI1924" s="95">
        <v>2.5499999999999998</v>
      </c>
      <c r="BJ1924" s="96">
        <v>14.1</v>
      </c>
    </row>
    <row r="1925" spans="54:64" ht="13.8" x14ac:dyDescent="0.25">
      <c r="BB1925" s="187"/>
      <c r="BC1925" s="180"/>
      <c r="BD1925" s="191">
        <v>44809</v>
      </c>
      <c r="BE1925" s="192">
        <v>1.5189999999999999</v>
      </c>
      <c r="BH1925" s="94">
        <v>44888</v>
      </c>
      <c r="BI1925" s="95">
        <v>2.5329999999999999</v>
      </c>
      <c r="BJ1925" s="96">
        <v>14.11</v>
      </c>
    </row>
    <row r="1926" spans="54:64" ht="13.8" x14ac:dyDescent="0.25">
      <c r="BB1926" s="187"/>
      <c r="BC1926" s="180"/>
      <c r="BD1926" s="191">
        <v>44810</v>
      </c>
      <c r="BE1926" s="192">
        <v>1.5529999999999999</v>
      </c>
      <c r="BH1926" s="94">
        <v>44889</v>
      </c>
      <c r="BI1926" s="95">
        <v>2.5139999999999998</v>
      </c>
      <c r="BJ1926" s="96">
        <v>14.11</v>
      </c>
    </row>
    <row r="1927" spans="54:64" ht="13.8" x14ac:dyDescent="0.25">
      <c r="BB1927" s="187"/>
      <c r="BC1927" s="180"/>
      <c r="BD1927" s="191">
        <v>44811</v>
      </c>
      <c r="BE1927" s="192">
        <v>1.585</v>
      </c>
      <c r="BH1927" s="94">
        <v>44890</v>
      </c>
      <c r="BI1927" s="95">
        <v>2.504</v>
      </c>
      <c r="BJ1927" s="96">
        <v>14.1</v>
      </c>
    </row>
    <row r="1928" spans="54:64" ht="13.8" x14ac:dyDescent="0.25">
      <c r="BB1928" s="187"/>
      <c r="BC1928" s="180"/>
      <c r="BD1928" s="191">
        <v>44812</v>
      </c>
      <c r="BE1928" s="192">
        <v>1.6240000000000001</v>
      </c>
      <c r="BH1928" s="94">
        <v>44893</v>
      </c>
      <c r="BI1928" s="95">
        <v>2.4990000000000001</v>
      </c>
      <c r="BJ1928" s="96">
        <v>14.13</v>
      </c>
    </row>
    <row r="1929" spans="54:64" ht="13.8" x14ac:dyDescent="0.25">
      <c r="BB1929" s="187"/>
      <c r="BC1929" s="180"/>
      <c r="BD1929" s="191">
        <v>44813</v>
      </c>
      <c r="BE1929" s="192">
        <v>1.663</v>
      </c>
      <c r="BH1929" s="94">
        <v>44894</v>
      </c>
      <c r="BI1929" s="95">
        <v>2.4870000000000001</v>
      </c>
      <c r="BJ1929" s="96">
        <v>14.13</v>
      </c>
    </row>
    <row r="1930" spans="54:64" ht="13.8" x14ac:dyDescent="0.25">
      <c r="BB1930" s="187"/>
      <c r="BC1930" s="180"/>
      <c r="BD1930" s="191">
        <v>44816</v>
      </c>
      <c r="BE1930" s="192">
        <v>1.7</v>
      </c>
      <c r="BH1930" s="94">
        <v>44895</v>
      </c>
      <c r="BI1930" s="95">
        <v>2.476</v>
      </c>
      <c r="BJ1930" s="96">
        <v>14.13</v>
      </c>
    </row>
    <row r="1931" spans="54:64" ht="13.8" x14ac:dyDescent="0.25">
      <c r="BB1931" s="187"/>
      <c r="BC1931" s="180"/>
      <c r="BD1931" s="191">
        <v>44817</v>
      </c>
      <c r="BE1931" s="192">
        <v>1.738</v>
      </c>
      <c r="BH1931" s="94">
        <v>44896</v>
      </c>
      <c r="BI1931" s="95">
        <v>2.456</v>
      </c>
      <c r="BJ1931" s="96">
        <v>14.13</v>
      </c>
    </row>
    <row r="1932" spans="54:64" ht="13.8" x14ac:dyDescent="0.25">
      <c r="BB1932" s="187"/>
      <c r="BC1932" s="180"/>
      <c r="BD1932" s="191">
        <v>44818</v>
      </c>
      <c r="BE1932" s="192">
        <v>1.7729999999999999</v>
      </c>
      <c r="BH1932" s="94">
        <v>44897</v>
      </c>
      <c r="BI1932" s="95">
        <v>2.4329999999999998</v>
      </c>
      <c r="BJ1932" s="96">
        <v>14.12</v>
      </c>
    </row>
    <row r="1933" spans="54:64" ht="13.8" x14ac:dyDescent="0.25">
      <c r="BB1933" s="187"/>
      <c r="BC1933" s="180"/>
      <c r="BD1933" s="191">
        <v>44819</v>
      </c>
      <c r="BE1933" s="192">
        <v>1.8069999999999999</v>
      </c>
      <c r="BH1933" s="388"/>
      <c r="BI1933" s="388"/>
      <c r="BJ1933" s="388"/>
    </row>
    <row r="1934" spans="54:64" ht="12.75" customHeight="1" x14ac:dyDescent="0.25">
      <c r="BB1934" s="187"/>
      <c r="BC1934" s="180"/>
      <c r="BD1934" s="191">
        <v>44820</v>
      </c>
      <c r="BE1934" s="192">
        <v>1.8380000000000001</v>
      </c>
      <c r="BH1934" s="386" t="s">
        <v>395</v>
      </c>
      <c r="BI1934" s="386"/>
      <c r="BJ1934" s="386"/>
    </row>
    <row r="1935" spans="54:64" ht="14.4" thickBot="1" x14ac:dyDescent="0.3">
      <c r="BB1935" s="187"/>
      <c r="BC1935" s="180"/>
      <c r="BD1935" s="191">
        <v>44823</v>
      </c>
      <c r="BE1935" s="192">
        <v>1.869</v>
      </c>
    </row>
    <row r="1936" spans="54:64" ht="16.8" thickTop="1" thickBot="1" x14ac:dyDescent="0.3">
      <c r="BB1936" s="187"/>
      <c r="BC1936" s="180"/>
      <c r="BD1936" s="191">
        <v>44824</v>
      </c>
      <c r="BE1936" s="192">
        <v>1.9019999999999999</v>
      </c>
      <c r="BH1936" s="98" t="s">
        <v>396</v>
      </c>
      <c r="BI1936" s="99" t="s">
        <v>397</v>
      </c>
      <c r="BJ1936" s="99" t="s">
        <v>398</v>
      </c>
      <c r="BK1936" s="100" t="s">
        <v>399</v>
      </c>
      <c r="BL1936" s="101" t="s">
        <v>400</v>
      </c>
    </row>
    <row r="1937" spans="54:57" ht="14.4" thickTop="1" x14ac:dyDescent="0.25">
      <c r="BB1937" s="187"/>
      <c r="BC1937" s="180"/>
      <c r="BD1937" s="191">
        <v>44825</v>
      </c>
      <c r="BE1937" s="192">
        <v>1.9330000000000001</v>
      </c>
    </row>
    <row r="1938" spans="54:57" ht="13.8" x14ac:dyDescent="0.25">
      <c r="BB1938" s="187"/>
      <c r="BC1938" s="180"/>
      <c r="BD1938" s="191">
        <v>44826</v>
      </c>
      <c r="BE1938" s="192">
        <v>1.9670000000000001</v>
      </c>
    </row>
    <row r="1939" spans="54:57" ht="13.8" x14ac:dyDescent="0.25">
      <c r="BB1939" s="187"/>
      <c r="BC1939" s="180"/>
      <c r="BD1939" s="191">
        <v>44827</v>
      </c>
      <c r="BE1939" s="192">
        <v>2.0009999999999999</v>
      </c>
    </row>
    <row r="1940" spans="54:57" ht="13.8" x14ac:dyDescent="0.25">
      <c r="BB1940" s="187"/>
      <c r="BC1940" s="180"/>
      <c r="BD1940" s="191">
        <v>44830</v>
      </c>
      <c r="BE1940" s="192">
        <v>2.0329999999999999</v>
      </c>
    </row>
    <row r="1941" spans="54:57" ht="13.8" x14ac:dyDescent="0.25">
      <c r="BB1941" s="187"/>
      <c r="BC1941" s="180"/>
      <c r="BD1941" s="191">
        <v>44831</v>
      </c>
      <c r="BE1941" s="192">
        <v>2.0659999999999998</v>
      </c>
    </row>
    <row r="1942" spans="54:57" ht="13.8" x14ac:dyDescent="0.25">
      <c r="BB1942" s="187"/>
      <c r="BC1942" s="180"/>
      <c r="BD1942" s="191">
        <v>44832</v>
      </c>
      <c r="BE1942" s="192">
        <v>2.1030000000000002</v>
      </c>
    </row>
    <row r="1943" spans="54:57" ht="13.8" x14ac:dyDescent="0.25">
      <c r="BB1943" s="187"/>
      <c r="BC1943" s="180"/>
      <c r="BD1943" s="191">
        <v>44833</v>
      </c>
      <c r="BE1943" s="192">
        <v>2.1349999999999998</v>
      </c>
    </row>
    <row r="1944" spans="54:57" ht="13.8" x14ac:dyDescent="0.25">
      <c r="BB1944" s="187"/>
      <c r="BC1944" s="180"/>
      <c r="BD1944" s="191">
        <v>44834</v>
      </c>
      <c r="BE1944" s="192">
        <v>2.1629999999999998</v>
      </c>
    </row>
    <row r="1945" spans="54:57" ht="13.8" x14ac:dyDescent="0.25">
      <c r="BB1945" s="187"/>
      <c r="BC1945" s="180"/>
      <c r="BD1945" s="191">
        <v>44837</v>
      </c>
      <c r="BE1945" s="192">
        <v>2.1869999999999998</v>
      </c>
    </row>
    <row r="1946" spans="54:57" ht="13.8" x14ac:dyDescent="0.25">
      <c r="BB1946" s="187"/>
      <c r="BC1946" s="180"/>
      <c r="BD1946" s="191">
        <v>44838</v>
      </c>
      <c r="BE1946" s="192">
        <v>2.2040000000000002</v>
      </c>
    </row>
    <row r="1947" spans="54:57" ht="13.8" x14ac:dyDescent="0.25">
      <c r="BB1947" s="187"/>
      <c r="BC1947" s="180"/>
      <c r="BD1947" s="191">
        <v>44839</v>
      </c>
      <c r="BE1947" s="192">
        <v>2.2269999999999999</v>
      </c>
    </row>
    <row r="1948" spans="54:57" ht="13.8" x14ac:dyDescent="0.25">
      <c r="BB1948" s="187"/>
      <c r="BC1948" s="180"/>
      <c r="BD1948" s="191">
        <v>44840</v>
      </c>
      <c r="BE1948" s="192">
        <v>2.2519999999999998</v>
      </c>
    </row>
    <row r="1949" spans="54:57" ht="13.8" x14ac:dyDescent="0.25">
      <c r="BB1949" s="187"/>
      <c r="BC1949" s="180"/>
      <c r="BD1949" s="191">
        <v>44841</v>
      </c>
      <c r="BE1949" s="192">
        <v>2.2770000000000001</v>
      </c>
    </row>
    <row r="1950" spans="54:57" ht="13.8" x14ac:dyDescent="0.25">
      <c r="BB1950" s="187"/>
      <c r="BC1950" s="180"/>
      <c r="BD1950" s="191">
        <v>44844</v>
      </c>
      <c r="BE1950" s="192">
        <v>2.3050000000000002</v>
      </c>
    </row>
    <row r="1951" spans="54:57" ht="13.8" x14ac:dyDescent="0.25">
      <c r="BB1951" s="187"/>
      <c r="BC1951" s="180"/>
      <c r="BD1951" s="191">
        <v>44845</v>
      </c>
      <c r="BE1951" s="192">
        <v>2.3359999999999999</v>
      </c>
    </row>
    <row r="1952" spans="54:57" ht="13.8" x14ac:dyDescent="0.25">
      <c r="BB1952" s="187"/>
      <c r="BC1952" s="180"/>
      <c r="BD1952" s="191">
        <v>44846</v>
      </c>
      <c r="BE1952" s="192">
        <v>2.367</v>
      </c>
    </row>
    <row r="1953" spans="54:58" ht="13.8" x14ac:dyDescent="0.25">
      <c r="BB1953" s="187"/>
      <c r="BC1953" s="180"/>
      <c r="BD1953" s="191">
        <v>44847</v>
      </c>
      <c r="BE1953" s="192">
        <v>2.3959999999999999</v>
      </c>
    </row>
    <row r="1954" spans="54:58" ht="13.8" x14ac:dyDescent="0.25">
      <c r="BB1954" s="187"/>
      <c r="BC1954" s="180"/>
      <c r="BD1954" s="191">
        <v>44848</v>
      </c>
      <c r="BE1954" s="192">
        <v>2.42</v>
      </c>
    </row>
    <row r="1955" spans="54:58" ht="13.8" x14ac:dyDescent="0.25">
      <c r="BB1955" s="187"/>
      <c r="BC1955" s="180"/>
      <c r="BD1955" s="191">
        <v>44851</v>
      </c>
      <c r="BE1955" s="192">
        <v>2.444</v>
      </c>
    </row>
    <row r="1956" spans="54:58" ht="13.8" x14ac:dyDescent="0.25">
      <c r="BB1956" s="187"/>
      <c r="BC1956" s="180"/>
      <c r="BD1956" s="191">
        <v>44852</v>
      </c>
      <c r="BE1956" s="192">
        <v>2.4649999999999999</v>
      </c>
    </row>
    <row r="1957" spans="54:58" ht="13.8" x14ac:dyDescent="0.25">
      <c r="BB1957" s="187"/>
      <c r="BC1957" s="180"/>
      <c r="BD1957" s="191">
        <v>44853</v>
      </c>
      <c r="BE1957" s="192">
        <v>2.488</v>
      </c>
    </row>
    <row r="1958" spans="54:58" ht="13.8" x14ac:dyDescent="0.25">
      <c r="BB1958" s="187"/>
      <c r="BC1958" s="180"/>
      <c r="BD1958" s="191">
        <v>44854</v>
      </c>
      <c r="BE1958" s="192">
        <v>2.552</v>
      </c>
    </row>
    <row r="1959" spans="54:58" ht="13.8" x14ac:dyDescent="0.25">
      <c r="BB1959" s="187"/>
      <c r="BC1959" s="180"/>
      <c r="BD1959" s="191">
        <v>44855</v>
      </c>
      <c r="BE1959" s="192">
        <v>2.5750000000000002</v>
      </c>
    </row>
    <row r="1960" spans="54:58" ht="13.8" x14ac:dyDescent="0.25">
      <c r="BB1960" s="187"/>
      <c r="BC1960" s="180"/>
      <c r="BD1960" s="191">
        <v>44858</v>
      </c>
      <c r="BE1960" s="192">
        <v>2.5859999999999999</v>
      </c>
    </row>
    <row r="1961" spans="54:58" ht="13.8" x14ac:dyDescent="0.25">
      <c r="BB1961" s="187"/>
      <c r="BC1961" s="180"/>
      <c r="BD1961" s="191">
        <v>44859</v>
      </c>
      <c r="BE1961" s="192">
        <v>2.593</v>
      </c>
    </row>
    <row r="1962" spans="54:58" ht="13.8" x14ac:dyDescent="0.25">
      <c r="BB1962" s="187"/>
      <c r="BC1962" s="180"/>
      <c r="BD1962" s="191"/>
      <c r="BE1962" s="193">
        <f>+BE1961</f>
        <v>2.593</v>
      </c>
    </row>
    <row r="1963" spans="54:58" ht="13.8" x14ac:dyDescent="0.25">
      <c r="BB1963" s="187"/>
      <c r="BC1963" s="180"/>
      <c r="BD1963" s="191">
        <v>44861</v>
      </c>
      <c r="BE1963" s="192">
        <v>2.593</v>
      </c>
    </row>
    <row r="1964" spans="54:58" ht="13.8" x14ac:dyDescent="0.25">
      <c r="BB1964" s="187"/>
      <c r="BC1964" s="180"/>
      <c r="BD1964" s="191">
        <v>44862</v>
      </c>
      <c r="BE1964" s="192">
        <v>2.5880000000000001</v>
      </c>
    </row>
    <row r="1965" spans="54:58" ht="13.8" x14ac:dyDescent="0.25">
      <c r="BB1965" s="187"/>
      <c r="BC1965" s="180"/>
      <c r="BD1965" s="191">
        <v>44865</v>
      </c>
      <c r="BE1965" s="192">
        <v>2.5910000000000002</v>
      </c>
    </row>
    <row r="1966" spans="54:58" ht="13.8" x14ac:dyDescent="0.25">
      <c r="BB1966" s="187"/>
      <c r="BC1966" s="180"/>
      <c r="BD1966" s="191"/>
      <c r="BE1966" s="193">
        <f>+BE1965</f>
        <v>2.5910000000000002</v>
      </c>
      <c r="BF1966" s="111">
        <f>+(BC1966+BE1966)/2+0.37</f>
        <v>1.6655000000000002</v>
      </c>
    </row>
    <row r="1967" spans="54:58" ht="13.8" x14ac:dyDescent="0.25">
      <c r="BB1967" s="187"/>
      <c r="BC1967" s="180"/>
      <c r="BD1967" s="191">
        <v>44867</v>
      </c>
      <c r="BE1967" s="192">
        <v>2.5990000000000002</v>
      </c>
    </row>
    <row r="1968" spans="54:58" ht="13.8" x14ac:dyDescent="0.25">
      <c r="BB1968" s="187"/>
      <c r="BC1968" s="180"/>
      <c r="BD1968" s="191">
        <v>44868</v>
      </c>
      <c r="BE1968" s="192">
        <v>2.6190000000000002</v>
      </c>
    </row>
    <row r="1969" spans="54:57" ht="13.8" x14ac:dyDescent="0.25">
      <c r="BB1969" s="187"/>
      <c r="BC1969" s="180"/>
      <c r="BD1969" s="191">
        <v>44869</v>
      </c>
      <c r="BE1969" s="192">
        <v>2.6339999999999999</v>
      </c>
    </row>
    <row r="1970" spans="54:57" ht="13.8" x14ac:dyDescent="0.25">
      <c r="BB1970" s="187"/>
      <c r="BC1970" s="180"/>
      <c r="BD1970" s="191">
        <v>44872</v>
      </c>
      <c r="BE1970" s="192">
        <v>2.6469999999999998</v>
      </c>
    </row>
    <row r="1971" spans="54:57" ht="13.8" x14ac:dyDescent="0.25">
      <c r="BB1971" s="187"/>
      <c r="BC1971" s="180"/>
      <c r="BD1971" s="191">
        <v>44873</v>
      </c>
      <c r="BE1971" s="192">
        <v>2.6549999999999998</v>
      </c>
    </row>
    <row r="1972" spans="54:57" ht="13.8" x14ac:dyDescent="0.25">
      <c r="BB1972" s="187"/>
      <c r="BC1972" s="180"/>
      <c r="BD1972" s="191">
        <v>44874</v>
      </c>
      <c r="BE1972" s="192">
        <v>2.6579999999999999</v>
      </c>
    </row>
    <row r="1973" spans="54:57" ht="13.8" x14ac:dyDescent="0.25">
      <c r="BB1973" s="187"/>
      <c r="BC1973" s="180"/>
      <c r="BD1973" s="191">
        <v>44875</v>
      </c>
      <c r="BE1973" s="192">
        <v>2.6509999999999998</v>
      </c>
    </row>
    <row r="1974" spans="54:57" ht="13.8" x14ac:dyDescent="0.25">
      <c r="BB1974" s="187"/>
      <c r="BC1974" s="180"/>
      <c r="BD1974" s="191">
        <v>44876</v>
      </c>
      <c r="BE1974" s="192">
        <v>2.6419999999999999</v>
      </c>
    </row>
    <row r="1975" spans="54:57" ht="13.8" x14ac:dyDescent="0.25">
      <c r="BB1975" s="187"/>
      <c r="BC1975" s="180"/>
      <c r="BD1975" s="191">
        <v>44879</v>
      </c>
      <c r="BE1975" s="192">
        <v>2.6349999999999998</v>
      </c>
    </row>
    <row r="1976" spans="54:57" ht="13.8" x14ac:dyDescent="0.25">
      <c r="BB1976" s="187"/>
      <c r="BC1976" s="180"/>
      <c r="BD1976" s="191">
        <v>44880</v>
      </c>
      <c r="BE1976" s="192">
        <v>2.63</v>
      </c>
    </row>
    <row r="1977" spans="54:57" ht="13.8" x14ac:dyDescent="0.25">
      <c r="BB1977" s="187"/>
      <c r="BC1977" s="180"/>
      <c r="BD1977" s="191">
        <v>44881</v>
      </c>
      <c r="BE1977" s="192">
        <v>2.62</v>
      </c>
    </row>
    <row r="1978" spans="54:57" ht="13.8" x14ac:dyDescent="0.25">
      <c r="BB1978" s="187"/>
      <c r="BC1978" s="180"/>
      <c r="BD1978" s="191">
        <v>44882</v>
      </c>
      <c r="BE1978" s="192">
        <v>2.6070000000000002</v>
      </c>
    </row>
    <row r="1979" spans="54:57" ht="13.8" x14ac:dyDescent="0.25">
      <c r="BB1979" s="187"/>
      <c r="BC1979" s="180"/>
      <c r="BD1979" s="191">
        <v>44883</v>
      </c>
      <c r="BE1979" s="192">
        <v>2.5920000000000001</v>
      </c>
    </row>
    <row r="1980" spans="54:57" ht="13.8" x14ac:dyDescent="0.25">
      <c r="BB1980" s="187"/>
      <c r="BC1980" s="180"/>
      <c r="BD1980" s="191">
        <v>44886</v>
      </c>
      <c r="BE1980" s="192">
        <v>2.5720000000000001</v>
      </c>
    </row>
    <row r="1981" spans="54:57" ht="13.8" x14ac:dyDescent="0.25">
      <c r="BB1981" s="187"/>
      <c r="BC1981" s="180"/>
      <c r="BD1981" s="191">
        <v>44887</v>
      </c>
      <c r="BE1981" s="192">
        <v>2.5499999999999998</v>
      </c>
    </row>
    <row r="1982" spans="54:57" ht="13.8" x14ac:dyDescent="0.25">
      <c r="BB1982" s="187"/>
      <c r="BC1982" s="180"/>
      <c r="BD1982" s="191">
        <v>44888</v>
      </c>
      <c r="BE1982" s="192">
        <v>2.5329999999999999</v>
      </c>
    </row>
    <row r="1983" spans="54:57" ht="13.8" x14ac:dyDescent="0.25">
      <c r="BB1983" s="187"/>
      <c r="BC1983" s="180"/>
      <c r="BD1983" s="191">
        <v>44889</v>
      </c>
      <c r="BE1983" s="192">
        <v>2.5139999999999998</v>
      </c>
    </row>
    <row r="1984" spans="54:57" ht="13.8" x14ac:dyDescent="0.25">
      <c r="BB1984" s="187"/>
      <c r="BC1984" s="180"/>
      <c r="BD1984" s="191">
        <v>44890</v>
      </c>
      <c r="BE1984" s="192">
        <v>2.504</v>
      </c>
    </row>
    <row r="1985" spans="54:57" ht="13.8" x14ac:dyDescent="0.25">
      <c r="BB1985" s="187"/>
      <c r="BC1985" s="180"/>
      <c r="BD1985" s="191">
        <v>44893</v>
      </c>
      <c r="BE1985" s="192">
        <v>2.4990000000000001</v>
      </c>
    </row>
    <row r="1986" spans="54:57" ht="13.8" x14ac:dyDescent="0.25">
      <c r="BB1986" s="187"/>
      <c r="BC1986" s="180"/>
      <c r="BD1986" s="191">
        <v>44894</v>
      </c>
      <c r="BE1986" s="192">
        <v>2.4870000000000001</v>
      </c>
    </row>
    <row r="1987" spans="54:57" ht="13.8" x14ac:dyDescent="0.25">
      <c r="BB1987" s="187"/>
      <c r="BC1987" s="180"/>
      <c r="BD1987" s="191">
        <v>44895</v>
      </c>
      <c r="BE1987" s="192">
        <v>2.476</v>
      </c>
    </row>
    <row r="1988" spans="54:57" ht="13.8" x14ac:dyDescent="0.25">
      <c r="BB1988" s="187"/>
      <c r="BC1988" s="180"/>
      <c r="BD1988" s="191">
        <v>44896</v>
      </c>
      <c r="BE1988" s="192">
        <v>2.456</v>
      </c>
    </row>
    <row r="1989" spans="54:57" ht="13.8" x14ac:dyDescent="0.25">
      <c r="BB1989" s="187"/>
      <c r="BC1989" s="180"/>
      <c r="BD1989" s="191">
        <v>44897</v>
      </c>
      <c r="BE1989" s="192">
        <v>2.4329999999999998</v>
      </c>
    </row>
    <row r="1990" spans="54:57" x14ac:dyDescent="0.25">
      <c r="BB1990" s="187"/>
      <c r="BC1990" s="180"/>
    </row>
    <row r="1991" spans="54:57" x14ac:dyDescent="0.25">
      <c r="BB1991" s="187"/>
      <c r="BC1991" s="180"/>
    </row>
    <row r="1992" spans="54:57" x14ac:dyDescent="0.25">
      <c r="BB1992" s="187"/>
      <c r="BC1992" s="180"/>
    </row>
    <row r="1993" spans="54:57" x14ac:dyDescent="0.25">
      <c r="BB1993" s="187"/>
      <c r="BC1993" s="180"/>
    </row>
    <row r="1994" spans="54:57" x14ac:dyDescent="0.25">
      <c r="BB1994" s="187"/>
      <c r="BC1994" s="180"/>
    </row>
    <row r="1995" spans="54:57" x14ac:dyDescent="0.25">
      <c r="BB1995" s="187"/>
      <c r="BC1995" s="180"/>
    </row>
    <row r="1996" spans="54:57" x14ac:dyDescent="0.25">
      <c r="BB1996" s="187"/>
      <c r="BC1996" s="180"/>
    </row>
    <row r="1997" spans="54:57" x14ac:dyDescent="0.25">
      <c r="BB1997" s="187"/>
      <c r="BC1997" s="180"/>
    </row>
    <row r="1998" spans="54:57" x14ac:dyDescent="0.25">
      <c r="BB1998" s="102"/>
    </row>
    <row r="1999" spans="54:57" x14ac:dyDescent="0.25">
      <c r="BB1999" s="102"/>
    </row>
    <row r="2000" spans="54:57" x14ac:dyDescent="0.25">
      <c r="BB2000" s="102"/>
    </row>
    <row r="2001" spans="54:54" x14ac:dyDescent="0.25">
      <c r="BB2001" s="102"/>
    </row>
    <row r="2002" spans="54:54" x14ac:dyDescent="0.25">
      <c r="BB2002" s="102"/>
    </row>
    <row r="2003" spans="54:54" x14ac:dyDescent="0.25">
      <c r="BB2003" s="102"/>
    </row>
    <row r="2004" spans="54:54" x14ac:dyDescent="0.25">
      <c r="BB2004" s="102"/>
    </row>
    <row r="2005" spans="54:54" x14ac:dyDescent="0.25">
      <c r="BB2005" s="102"/>
    </row>
    <row r="2006" spans="54:54" x14ac:dyDescent="0.25">
      <c r="BB2006" s="102"/>
    </row>
    <row r="2007" spans="54:54" x14ac:dyDescent="0.25">
      <c r="BB2007" s="102"/>
    </row>
    <row r="2008" spans="54:54" x14ac:dyDescent="0.25">
      <c r="BB2008" s="102"/>
    </row>
    <row r="2009" spans="54:54" x14ac:dyDescent="0.25">
      <c r="BB2009" s="102"/>
    </row>
    <row r="2010" spans="54:54" x14ac:dyDescent="0.25">
      <c r="BB2010" s="102"/>
    </row>
    <row r="2011" spans="54:54" x14ac:dyDescent="0.25">
      <c r="BB2011" s="102"/>
    </row>
    <row r="2012" spans="54:54" x14ac:dyDescent="0.25">
      <c r="BB2012" s="102"/>
    </row>
    <row r="2013" spans="54:54" x14ac:dyDescent="0.25">
      <c r="BB2013" s="102"/>
    </row>
    <row r="2014" spans="54:54" x14ac:dyDescent="0.25">
      <c r="BB2014" s="102"/>
    </row>
    <row r="2015" spans="54:54" x14ac:dyDescent="0.25">
      <c r="BB2015" s="102"/>
    </row>
    <row r="2016" spans="54:54" x14ac:dyDescent="0.25">
      <c r="BB2016" s="102"/>
    </row>
    <row r="2017" spans="54:54" x14ac:dyDescent="0.25">
      <c r="BB2017" s="102"/>
    </row>
    <row r="2018" spans="54:54" x14ac:dyDescent="0.25">
      <c r="BB2018" s="102"/>
    </row>
    <row r="2019" spans="54:54" x14ac:dyDescent="0.25">
      <c r="BB2019" s="102"/>
    </row>
    <row r="2020" spans="54:54" x14ac:dyDescent="0.25">
      <c r="BB2020" s="102"/>
    </row>
    <row r="2021" spans="54:54" x14ac:dyDescent="0.25">
      <c r="BB2021" s="102"/>
    </row>
    <row r="2022" spans="54:54" x14ac:dyDescent="0.25">
      <c r="BB2022" s="102"/>
    </row>
    <row r="2023" spans="54:54" x14ac:dyDescent="0.25">
      <c r="BB2023" s="102"/>
    </row>
    <row r="2024" spans="54:54" x14ac:dyDescent="0.25">
      <c r="BB2024" s="102"/>
    </row>
    <row r="2025" spans="54:54" x14ac:dyDescent="0.25">
      <c r="BB2025" s="102"/>
    </row>
    <row r="2026" spans="54:54" x14ac:dyDescent="0.25">
      <c r="BB2026" s="102"/>
    </row>
    <row r="2027" spans="54:54" x14ac:dyDescent="0.25">
      <c r="BB2027" s="102"/>
    </row>
    <row r="2028" spans="54:54" x14ac:dyDescent="0.25">
      <c r="BB2028" s="102"/>
    </row>
    <row r="2029" spans="54:54" x14ac:dyDescent="0.25">
      <c r="BB2029" s="102"/>
    </row>
    <row r="2030" spans="54:54" x14ac:dyDescent="0.25">
      <c r="BB2030" s="102"/>
    </row>
    <row r="2031" spans="54:54" x14ac:dyDescent="0.25">
      <c r="BB2031" s="102"/>
    </row>
  </sheetData>
  <autoFilter ref="BB8:BF1997" xr:uid="{00000000-0001-0000-0000-000000000000}"/>
  <mergeCells count="6">
    <mergeCell ref="BH1934:BJ1934"/>
    <mergeCell ref="U2:X2"/>
    <mergeCell ref="Y2:AB2"/>
    <mergeCell ref="AC2:AF2"/>
    <mergeCell ref="BH14:BJ14"/>
    <mergeCell ref="BH1933:BJ1933"/>
  </mergeCells>
  <hyperlinks>
    <hyperlink ref="BH4" r:id="rId1" display="https://www.oenb.at/isaweb/report.do?report=2.11.1" xr:uid="{6E251284-0E63-4C18-A64E-FD20354F6D5A}"/>
    <hyperlink ref="BH8" r:id="rId2" display="https://www.oenb.at/isaweb/meta.jsp;jsessionid=21D02462B6829581EA2DC8549133B43A?lang=DE&amp;pos=VDBZIUDRB" xr:uid="{BA6A9098-A5CD-4235-848E-F25CC38EA3B0}"/>
    <hyperlink ref="BH9" r:id="rId3" display="https://www.oenb.at/isaweb/meta.jsp;jsessionid=21D02462B6829581EA2DC8549133B43A?lang=DE&amp;pos=VDBZIUDRB" xr:uid="{9ED2853B-10BD-430E-ACC7-0B842E4F162B}"/>
    <hyperlink ref="BI12" r:id="rId4" display="https://www.oenb.at/isaweb/meta.jsp;jsessionid=21D02462B6829581EA2DC8549133B43A?lang=DE&amp;pos=VDBZIUDRB" xr:uid="{13614344-8543-4A9D-AD59-A7AAC6291485}"/>
    <hyperlink ref="BI13" r:id="rId5" display="https://www.oenb.at/isaweb/meta.jsp;jsessionid=21D02462B6829581EA2DC8549133B43A?lang=DE&amp;pos=VDBZIUDRB" xr:uid="{721AA4A7-8599-497B-92EC-B057A1BB8D38}"/>
    <hyperlink ref="BJ11" r:id="rId6" display="https://www.oenb.at/isaweb/meta.jsp;jsessionid=21D02462B6829581EA2DC8549133B43A?lang=DE&amp;pos=VDBZIUDRBRLZ" xr:uid="{EF7220AB-F21A-41B3-9C1B-11705E4F38AE}"/>
    <hyperlink ref="BJ12" r:id="rId7" display="https://www.oenb.at/isaweb/meta.jsp;jsessionid=21D02462B6829581EA2DC8549133B43A?lang=DE&amp;pos=VDBZIUDRBRLZ" xr:uid="{7B86CA40-2277-49A0-8558-EA5D5FB0F335}"/>
    <hyperlink ref="BH1934" r:id="rId8" display="https://www.oenb.at/" xr:uid="{89A3921C-0890-43D6-860F-FF9C6510828F}"/>
    <hyperlink ref="BH2" r:id="rId9" display="https://www.oenb.at/Statistik/Standardisierte-Tabellen/zinssaetze-und-wechselkurse/renditen-oesterreichischer-bundesanleihen.html" xr:uid="{1F05AD0F-BF28-4585-AD96-131AB612030F}"/>
  </hyperlinks>
  <pageMargins left="0.7" right="0.7" top="0.78740157499999996" bottom="0.78740157499999996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3075" r:id="rId13" name="Control 3">
          <controlPr defaultSize="0" r:id="rId14">
            <anchor moveWithCells="1">
              <from>
                <xdr:col>63</xdr:col>
                <xdr:colOff>76200</xdr:colOff>
                <xdr:row>2115</xdr:row>
                <xdr:rowOff>106680</xdr:rowOff>
              </from>
              <to>
                <xdr:col>63</xdr:col>
                <xdr:colOff>274320</xdr:colOff>
                <xdr:row>2116</xdr:row>
                <xdr:rowOff>137160</xdr:rowOff>
              </to>
            </anchor>
          </controlPr>
        </control>
      </mc:Choice>
      <mc:Fallback>
        <control shapeId="3075" r:id="rId13" name="Control 3"/>
      </mc:Fallback>
    </mc:AlternateContent>
    <mc:AlternateContent xmlns:mc="http://schemas.openxmlformats.org/markup-compatibility/2006">
      <mc:Choice Requires="x14">
        <control shapeId="3074" r:id="rId15" name="Control 2">
          <controlPr defaultSize="0" r:id="rId16">
            <anchor moveWithCells="1">
              <from>
                <xdr:col>61</xdr:col>
                <xdr:colOff>60960</xdr:colOff>
                <xdr:row>2115</xdr:row>
                <xdr:rowOff>106680</xdr:rowOff>
              </from>
              <to>
                <xdr:col>61</xdr:col>
                <xdr:colOff>259080</xdr:colOff>
                <xdr:row>2116</xdr:row>
                <xdr:rowOff>137160</xdr:rowOff>
              </to>
            </anchor>
          </controlPr>
        </control>
      </mc:Choice>
      <mc:Fallback>
        <control shapeId="3074" r:id="rId15" name="Control 2"/>
      </mc:Fallback>
    </mc:AlternateContent>
    <mc:AlternateContent xmlns:mc="http://schemas.openxmlformats.org/markup-compatibility/2006">
      <mc:Choice Requires="x14">
        <control shapeId="3073" r:id="rId17" name="Control 1">
          <controlPr defaultSize="0" r:id="rId18">
            <anchor moveWithCells="1">
              <from>
                <xdr:col>60</xdr:col>
                <xdr:colOff>53340</xdr:colOff>
                <xdr:row>2115</xdr:row>
                <xdr:rowOff>106680</xdr:rowOff>
              </from>
              <to>
                <xdr:col>60</xdr:col>
                <xdr:colOff>251460</xdr:colOff>
                <xdr:row>2116</xdr:row>
                <xdr:rowOff>137160</xdr:rowOff>
              </to>
            </anchor>
          </controlPr>
        </control>
      </mc:Choice>
      <mc:Fallback>
        <control shapeId="3073" r:id="rId17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L2031"/>
  <sheetViews>
    <sheetView workbookViewId="0">
      <pane ySplit="10" topLeftCell="A29" activePane="bottomLeft" state="frozen"/>
      <selection pane="bottomLeft" activeCell="G67" sqref="G67"/>
    </sheetView>
  </sheetViews>
  <sheetFormatPr baseColWidth="10" defaultRowHeight="13.2" x14ac:dyDescent="0.25"/>
  <cols>
    <col min="1" max="1" width="20.44140625" style="225" customWidth="1"/>
    <col min="2" max="2" width="17.6640625" customWidth="1"/>
    <col min="3" max="3" width="26.33203125" style="1" customWidth="1"/>
    <col min="4" max="4" width="11.33203125" bestFit="1" customWidth="1"/>
    <col min="5" max="5" width="15.109375" customWidth="1"/>
    <col min="6" max="6" width="12.88671875" bestFit="1" customWidth="1"/>
    <col min="7" max="7" width="13.88671875" bestFit="1" customWidth="1"/>
    <col min="8" max="8" width="14.88671875" customWidth="1"/>
    <col min="9" max="9" width="20.109375" bestFit="1" customWidth="1"/>
    <col min="10" max="10" width="15.6640625" customWidth="1"/>
    <col min="11" max="11" width="16" customWidth="1"/>
    <col min="14" max="14" width="15" customWidth="1"/>
    <col min="17" max="17" width="13.109375" bestFit="1" customWidth="1"/>
    <col min="18" max="18" width="19.6640625" customWidth="1"/>
    <col min="19" max="19" width="17" customWidth="1"/>
    <col min="20" max="20" width="17.5546875" bestFit="1" customWidth="1"/>
    <col min="21" max="23" width="12" bestFit="1" customWidth="1"/>
    <col min="24" max="24" width="21.109375" customWidth="1"/>
    <col min="27" max="27" width="13.44140625" customWidth="1"/>
    <col min="28" max="28" width="13.109375" customWidth="1"/>
    <col min="32" max="32" width="12.88671875" customWidth="1"/>
    <col min="33" max="33" width="12.6640625" customWidth="1"/>
    <col min="34" max="34" width="10.6640625" customWidth="1"/>
    <col min="35" max="35" width="7.109375" bestFit="1" customWidth="1"/>
    <col min="36" max="36" width="5.109375" customWidth="1"/>
    <col min="37" max="37" width="8" customWidth="1"/>
    <col min="38" max="38" width="9.44140625" customWidth="1"/>
    <col min="39" max="48" width="5.109375" customWidth="1"/>
    <col min="49" max="49" width="22.44140625" bestFit="1" customWidth="1"/>
    <col min="50" max="50" width="19.6640625" bestFit="1" customWidth="1"/>
    <col min="56" max="57" width="11.44140625" style="104"/>
    <col min="58" max="58" width="20.109375" customWidth="1"/>
  </cols>
  <sheetData>
    <row r="1" spans="1:62" x14ac:dyDescent="0.25">
      <c r="B1" s="1"/>
      <c r="C1" s="2"/>
      <c r="E1" s="7">
        <f>+E2+D2</f>
        <v>20104.919999999998</v>
      </c>
      <c r="F1" s="7">
        <f t="shared" ref="F1:K1" si="0">+F2+E2</f>
        <v>27546.36</v>
      </c>
      <c r="G1" s="7">
        <f t="shared" si="0"/>
        <v>28212</v>
      </c>
      <c r="H1" s="7">
        <f t="shared" si="0"/>
        <v>28407.72</v>
      </c>
      <c r="I1" s="7">
        <f t="shared" si="0"/>
        <v>28604.160000000003</v>
      </c>
      <c r="J1" s="7">
        <f t="shared" si="0"/>
        <v>27788.28</v>
      </c>
      <c r="K1" s="7">
        <f t="shared" si="0"/>
        <v>26394.239999999998</v>
      </c>
      <c r="T1" s="81" t="s">
        <v>37</v>
      </c>
      <c r="U1" s="82"/>
      <c r="V1" s="82" t="s">
        <v>41</v>
      </c>
      <c r="W1" s="82"/>
      <c r="X1" s="82"/>
      <c r="Y1" s="82"/>
      <c r="Z1" s="82"/>
      <c r="AA1" s="82"/>
      <c r="AB1" s="82"/>
      <c r="AC1" s="82"/>
      <c r="AD1" s="82"/>
      <c r="AE1" s="82"/>
      <c r="AF1" s="82"/>
    </row>
    <row r="2" spans="1:62" x14ac:dyDescent="0.25">
      <c r="D2" s="7">
        <f>SUM(D5:D7)*6</f>
        <v>6664.92</v>
      </c>
      <c r="E2" s="7">
        <f>SUM(E5:E7)*12</f>
        <v>13440</v>
      </c>
      <c r="F2" s="7">
        <f t="shared" ref="F2:K2" si="1">SUM(F5:F7)*12</f>
        <v>14106.36</v>
      </c>
      <c r="G2" s="7">
        <f t="shared" si="1"/>
        <v>14105.64</v>
      </c>
      <c r="H2" s="7">
        <f t="shared" si="1"/>
        <v>14302.080000000002</v>
      </c>
      <c r="I2" s="7">
        <f t="shared" si="1"/>
        <v>14302.080000000002</v>
      </c>
      <c r="J2" s="7">
        <f t="shared" si="1"/>
        <v>13486.199999999999</v>
      </c>
      <c r="K2" s="7">
        <f t="shared" si="1"/>
        <v>12908.04</v>
      </c>
      <c r="T2" s="80"/>
      <c r="U2" s="389">
        <v>53196321573</v>
      </c>
      <c r="V2" s="390"/>
      <c r="W2" s="390"/>
      <c r="X2" s="391"/>
      <c r="Y2" s="395">
        <v>53713048642</v>
      </c>
      <c r="Z2" s="396"/>
      <c r="AA2" s="396"/>
      <c r="AB2" s="397"/>
      <c r="AC2" s="392">
        <v>53851926633</v>
      </c>
      <c r="AD2" s="393"/>
      <c r="AE2" s="393"/>
      <c r="AF2" s="394"/>
    </row>
    <row r="3" spans="1:62" s="5" customFormat="1" ht="26.4" x14ac:dyDescent="0.25">
      <c r="A3" s="226"/>
      <c r="B3" s="44">
        <f>+B10*10*12</f>
        <v>109615.71428571429</v>
      </c>
      <c r="D3" s="15">
        <v>2015</v>
      </c>
      <c r="E3" s="74">
        <v>2016</v>
      </c>
      <c r="F3" s="15">
        <v>2017</v>
      </c>
      <c r="G3" s="74">
        <v>2018</v>
      </c>
      <c r="H3" s="15">
        <v>2019</v>
      </c>
      <c r="I3" s="74">
        <v>2020</v>
      </c>
      <c r="J3" s="15">
        <v>2021</v>
      </c>
      <c r="K3" s="74">
        <v>2022</v>
      </c>
      <c r="L3" s="15">
        <v>2023</v>
      </c>
      <c r="M3" s="75">
        <v>2024</v>
      </c>
      <c r="S3" s="5">
        <f>47/2</f>
        <v>23.5</v>
      </c>
      <c r="T3" s="76"/>
      <c r="U3" s="141" t="s">
        <v>39</v>
      </c>
      <c r="V3" s="142" t="s">
        <v>42</v>
      </c>
      <c r="W3" s="143" t="s">
        <v>40</v>
      </c>
      <c r="X3" s="144" t="s">
        <v>38</v>
      </c>
      <c r="Y3" s="143" t="s">
        <v>39</v>
      </c>
      <c r="Z3" s="142" t="s">
        <v>42</v>
      </c>
      <c r="AA3" s="143" t="s">
        <v>40</v>
      </c>
      <c r="AB3" s="144" t="s">
        <v>38</v>
      </c>
      <c r="AC3" s="143" t="s">
        <v>39</v>
      </c>
      <c r="AD3" s="142" t="s">
        <v>42</v>
      </c>
      <c r="AE3" s="143" t="s">
        <v>40</v>
      </c>
      <c r="AF3" s="144" t="s">
        <v>38</v>
      </c>
      <c r="BB3" s="180" t="s">
        <v>48</v>
      </c>
      <c r="BC3" s="181">
        <v>42125</v>
      </c>
      <c r="BD3" s="188"/>
      <c r="BE3" s="188"/>
    </row>
    <row r="4" spans="1:62" x14ac:dyDescent="0.25">
      <c r="T4" s="137">
        <v>42125</v>
      </c>
      <c r="U4" s="138"/>
      <c r="V4" s="139"/>
      <c r="W4" s="139"/>
      <c r="X4" s="140"/>
      <c r="Y4" s="138"/>
      <c r="Z4" s="139"/>
      <c r="AA4" s="139"/>
      <c r="AB4" s="140"/>
      <c r="AC4" s="138"/>
      <c r="AD4" s="139"/>
      <c r="AE4" s="139"/>
      <c r="AF4" s="140"/>
      <c r="BB4" s="180" t="s">
        <v>49</v>
      </c>
      <c r="BC4" s="182">
        <v>44909</v>
      </c>
      <c r="BH4" s="89" t="s">
        <v>52</v>
      </c>
    </row>
    <row r="5" spans="1:62" x14ac:dyDescent="0.25">
      <c r="B5" s="86">
        <f>+AC2</f>
        <v>53851926633</v>
      </c>
      <c r="C5" s="57" t="s">
        <v>0</v>
      </c>
      <c r="D5" s="58">
        <v>390.14</v>
      </c>
      <c r="E5" s="58">
        <v>390</v>
      </c>
      <c r="F5" s="58">
        <v>390.14</v>
      </c>
      <c r="G5" s="58">
        <v>390.14</v>
      </c>
      <c r="H5" s="58">
        <v>390.14</v>
      </c>
      <c r="I5" s="58">
        <v>390.14</v>
      </c>
      <c r="J5" s="58">
        <v>390.14</v>
      </c>
      <c r="K5" s="58">
        <v>390.14</v>
      </c>
      <c r="L5" s="58">
        <v>390.14</v>
      </c>
      <c r="M5" s="46">
        <f t="shared" ref="M5:M9" si="2">+L5/J5-1</f>
        <v>0</v>
      </c>
      <c r="S5" s="26"/>
      <c r="T5" s="79">
        <f>+EDATE(T4,6)</f>
        <v>42309</v>
      </c>
      <c r="U5" s="71"/>
      <c r="V5" s="72"/>
      <c r="W5" s="72"/>
      <c r="X5" s="73"/>
      <c r="Y5" s="71"/>
      <c r="Z5" s="72"/>
      <c r="AA5" s="72"/>
      <c r="AB5" s="73"/>
      <c r="AC5" s="71"/>
      <c r="AD5" s="72"/>
      <c r="AE5" s="72"/>
      <c r="AF5" s="73"/>
      <c r="BB5" s="180"/>
      <c r="BC5" s="180"/>
    </row>
    <row r="6" spans="1:62" x14ac:dyDescent="0.25">
      <c r="B6" s="87">
        <f>+Y2</f>
        <v>53713048642</v>
      </c>
      <c r="C6" s="50" t="s">
        <v>1</v>
      </c>
      <c r="D6" s="47">
        <v>720.68</v>
      </c>
      <c r="E6" s="47">
        <v>730</v>
      </c>
      <c r="F6" s="47">
        <v>785.39</v>
      </c>
      <c r="G6" s="48">
        <v>785.33</v>
      </c>
      <c r="H6" s="47">
        <v>801.7</v>
      </c>
      <c r="I6" s="47">
        <v>801.7</v>
      </c>
      <c r="J6" s="47">
        <v>546.87</v>
      </c>
      <c r="K6" s="47">
        <v>529.09</v>
      </c>
      <c r="L6" s="47">
        <v>791.22</v>
      </c>
      <c r="M6" s="49">
        <f>+L6/K6-1</f>
        <v>0.49543555916762738</v>
      </c>
      <c r="S6" s="26"/>
      <c r="T6" s="145">
        <f t="shared" ref="T6:T26" si="3">+EDATE(T5,6)</f>
        <v>42491</v>
      </c>
      <c r="U6" s="146"/>
      <c r="V6" s="147"/>
      <c r="W6" s="147"/>
      <c r="X6" s="148"/>
      <c r="Y6" s="146"/>
      <c r="Z6" s="147"/>
      <c r="AA6" s="147"/>
      <c r="AB6" s="148"/>
      <c r="AC6" s="146"/>
      <c r="AD6" s="147"/>
      <c r="AE6" s="147"/>
      <c r="AF6" s="148"/>
      <c r="BB6" s="180"/>
      <c r="BC6" s="180"/>
    </row>
    <row r="7" spans="1:62" x14ac:dyDescent="0.25">
      <c r="B7" s="88">
        <f>+U2</f>
        <v>53196321573</v>
      </c>
      <c r="C7" s="50" t="s">
        <v>34</v>
      </c>
      <c r="D7" s="47"/>
      <c r="E7" s="47"/>
      <c r="F7" s="47"/>
      <c r="G7" s="48"/>
      <c r="H7" s="47"/>
      <c r="I7" s="47"/>
      <c r="J7" s="47">
        <v>186.84</v>
      </c>
      <c r="K7" s="47">
        <v>156.44</v>
      </c>
      <c r="L7" s="47">
        <v>233.96</v>
      </c>
      <c r="M7" s="49">
        <f>+L7/K7-1</f>
        <v>0.49552544106366669</v>
      </c>
      <c r="S7" s="26"/>
      <c r="T7" s="126">
        <f t="shared" si="3"/>
        <v>42675</v>
      </c>
      <c r="U7" s="127"/>
      <c r="V7" s="128"/>
      <c r="W7" s="128"/>
      <c r="X7" s="129"/>
      <c r="Y7" s="127"/>
      <c r="Z7" s="128"/>
      <c r="AA7" s="128"/>
      <c r="AB7" s="129"/>
      <c r="AC7" s="127"/>
      <c r="AD7" s="128"/>
      <c r="AE7" s="128"/>
      <c r="AF7" s="129"/>
      <c r="BB7" s="180"/>
      <c r="BC7" s="183" t="s">
        <v>50</v>
      </c>
    </row>
    <row r="8" spans="1:62" x14ac:dyDescent="0.25">
      <c r="C8" s="83" t="s">
        <v>2</v>
      </c>
      <c r="D8" s="84">
        <v>-390.14</v>
      </c>
      <c r="E8" s="84">
        <v>-390.14</v>
      </c>
      <c r="F8" s="84">
        <v>-390.14</v>
      </c>
      <c r="G8" s="84">
        <v>-390.14</v>
      </c>
      <c r="H8" s="84">
        <v>-390.14</v>
      </c>
      <c r="I8" s="84">
        <v>-390.14</v>
      </c>
      <c r="J8" s="84">
        <v>-390.14</v>
      </c>
      <c r="K8" s="84">
        <v>-390.14</v>
      </c>
      <c r="L8" s="84">
        <v>-390.14</v>
      </c>
      <c r="M8" s="85">
        <f t="shared" si="2"/>
        <v>0</v>
      </c>
      <c r="S8" s="26"/>
      <c r="T8" s="137">
        <f t="shared" si="3"/>
        <v>42856</v>
      </c>
      <c r="U8" s="138">
        <v>807.45</v>
      </c>
      <c r="V8" s="139"/>
      <c r="W8" s="149">
        <f>+U8/6</f>
        <v>134.57500000000002</v>
      </c>
      <c r="X8" s="140"/>
      <c r="Y8" s="138">
        <v>3203.96</v>
      </c>
      <c r="Z8" s="139"/>
      <c r="AA8" s="149">
        <f>+Y8/6</f>
        <v>533.99333333333334</v>
      </c>
      <c r="AB8" s="140"/>
      <c r="AC8" s="138">
        <v>1117.19</v>
      </c>
      <c r="AD8" s="139"/>
      <c r="AE8" s="139">
        <f>+AC8/5</f>
        <v>223.43800000000002</v>
      </c>
      <c r="AF8" s="140"/>
      <c r="BB8" s="184" t="s">
        <v>51</v>
      </c>
      <c r="BC8" s="184" t="s">
        <v>401</v>
      </c>
      <c r="BD8" s="103" t="s">
        <v>404</v>
      </c>
      <c r="BE8" s="103" t="s">
        <v>402</v>
      </c>
      <c r="BF8" s="106" t="s">
        <v>405</v>
      </c>
      <c r="BH8" s="89" t="s">
        <v>53</v>
      </c>
    </row>
    <row r="9" spans="1:62" x14ac:dyDescent="0.25">
      <c r="C9" s="1" t="s">
        <v>3</v>
      </c>
      <c r="D9">
        <v>133.76</v>
      </c>
      <c r="E9">
        <v>133</v>
      </c>
      <c r="F9">
        <v>133.76</v>
      </c>
      <c r="G9">
        <v>133.76</v>
      </c>
      <c r="H9">
        <v>167.2</v>
      </c>
      <c r="I9">
        <v>167.2</v>
      </c>
      <c r="J9">
        <v>167.2</v>
      </c>
      <c r="K9">
        <v>167.2</v>
      </c>
      <c r="L9">
        <v>183.92</v>
      </c>
      <c r="M9" s="45">
        <f t="shared" si="2"/>
        <v>0.10000000000000009</v>
      </c>
      <c r="S9" s="26"/>
      <c r="T9" s="77">
        <v>42857</v>
      </c>
      <c r="U9" s="63"/>
      <c r="V9" s="64"/>
      <c r="W9" s="69"/>
      <c r="X9" s="65"/>
      <c r="Y9" s="63"/>
      <c r="Z9" s="64"/>
      <c r="AA9" s="69"/>
      <c r="AB9" s="65"/>
      <c r="AC9" s="63">
        <v>402.81</v>
      </c>
      <c r="AD9" s="64"/>
      <c r="AE9" s="64">
        <f>+AC9</f>
        <v>402.81</v>
      </c>
      <c r="AF9" s="65"/>
      <c r="BB9" s="185">
        <f>_xll.BDH(BC$7,BC$8,$BC3,$BC4,"Dir=V","CDR=5D","Days=A","Dts=S","cols=2;rows=1989")</f>
        <v>42125</v>
      </c>
      <c r="BC9" s="186">
        <v>6.4000000000000001E-2</v>
      </c>
      <c r="BE9" s="105">
        <v>0.12</v>
      </c>
      <c r="BF9" s="111">
        <f>+(BC9+BE9)/2+0.37</f>
        <v>0.46199999999999997</v>
      </c>
      <c r="BH9" s="89" t="s">
        <v>54</v>
      </c>
    </row>
    <row r="10" spans="1:62" ht="13.8" x14ac:dyDescent="0.25">
      <c r="B10">
        <f>+AVERAGE(D10:J10)</f>
        <v>913.46428571428567</v>
      </c>
      <c r="C10" s="3" t="s">
        <v>4</v>
      </c>
      <c r="D10" s="4">
        <f t="shared" ref="D10:L10" si="4">SUM(D5:D9)</f>
        <v>854.43999999999994</v>
      </c>
      <c r="E10" s="4">
        <f t="shared" si="4"/>
        <v>862.86</v>
      </c>
      <c r="F10" s="4">
        <f t="shared" si="4"/>
        <v>919.15</v>
      </c>
      <c r="G10" s="4">
        <f t="shared" si="4"/>
        <v>919.09</v>
      </c>
      <c r="H10" s="4">
        <f t="shared" si="4"/>
        <v>968.90000000000009</v>
      </c>
      <c r="I10" s="4">
        <f t="shared" si="4"/>
        <v>968.90000000000009</v>
      </c>
      <c r="J10" s="4">
        <f t="shared" si="4"/>
        <v>900.90999999999985</v>
      </c>
      <c r="K10" s="4">
        <f t="shared" si="4"/>
        <v>852.73</v>
      </c>
      <c r="L10" s="4">
        <f t="shared" si="4"/>
        <v>1209.1000000000004</v>
      </c>
      <c r="M10" s="45">
        <f>+L10/J10-1</f>
        <v>0.34208744491680698</v>
      </c>
      <c r="S10" s="26"/>
      <c r="T10" s="77">
        <v>43040</v>
      </c>
      <c r="U10" s="63">
        <v>827.57</v>
      </c>
      <c r="V10" s="64"/>
      <c r="W10" s="69">
        <f>+U10/6</f>
        <v>137.92833333333334</v>
      </c>
      <c r="X10" s="70">
        <f>+SUMPRODUCT(U8:U10,W8:W10)/SUM(U8:U10)</f>
        <v>136.27229915638139</v>
      </c>
      <c r="Y10" s="63">
        <v>3283.81</v>
      </c>
      <c r="Z10" s="64"/>
      <c r="AA10" s="69">
        <f>+Y10/6</f>
        <v>547.30166666666662</v>
      </c>
      <c r="AB10" s="70">
        <f>+SUMPRODUCT(Y8:Y10,AA8:AA10)/SUM(Y8:Y10)</f>
        <v>540.72939797239007</v>
      </c>
      <c r="AC10" s="63">
        <v>1137.83</v>
      </c>
      <c r="AD10" s="64"/>
      <c r="AE10" s="64">
        <f>+AC10/5</f>
        <v>227.56599999999997</v>
      </c>
      <c r="AF10" s="65"/>
      <c r="BB10" s="185">
        <v>42128</v>
      </c>
      <c r="BC10" s="186">
        <v>6.4000000000000001E-2</v>
      </c>
      <c r="BD10" s="189">
        <v>42128</v>
      </c>
      <c r="BE10" s="190">
        <v>0.127</v>
      </c>
    </row>
    <row r="11" spans="1:62" ht="39.6" x14ac:dyDescent="0.25">
      <c r="M11" s="45"/>
      <c r="O11" t="s">
        <v>47</v>
      </c>
      <c r="S11" s="26"/>
      <c r="T11" s="79">
        <v>43041</v>
      </c>
      <c r="U11" s="71"/>
      <c r="V11" s="150">
        <f>SUM(U8:U11)</f>
        <v>1635.02</v>
      </c>
      <c r="W11" s="72"/>
      <c r="X11" s="151"/>
      <c r="Y11" s="71"/>
      <c r="Z11" s="150">
        <f>SUM(Y8:Y11)</f>
        <v>6487.77</v>
      </c>
      <c r="AA11" s="72"/>
      <c r="AB11" s="151"/>
      <c r="AC11" s="71">
        <v>382.17</v>
      </c>
      <c r="AD11" s="150">
        <f>SUM(AC8:AC11)</f>
        <v>3040</v>
      </c>
      <c r="AE11" s="72">
        <f>+AC11</f>
        <v>382.17</v>
      </c>
      <c r="AF11" s="152">
        <f>+SUMPRODUCT(AC8:AC11,AE8:AE11)/SUM(AC8:AC11)</f>
        <v>268.70523881578953</v>
      </c>
      <c r="AG11" s="62">
        <f>+X10+AB10</f>
        <v>677.00169712877141</v>
      </c>
      <c r="AH11" s="61">
        <f>+F6</f>
        <v>785.39</v>
      </c>
      <c r="AI11" s="62">
        <f>+AH11-AG11</f>
        <v>108.38830287122857</v>
      </c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BB11" s="185">
        <v>42129</v>
      </c>
      <c r="BC11" s="186">
        <v>6.0999999999999999E-2</v>
      </c>
      <c r="BD11" s="189">
        <v>42129</v>
      </c>
      <c r="BE11" s="190">
        <v>0.13500000000000001</v>
      </c>
      <c r="BI11" s="92"/>
      <c r="BJ11" s="91" t="s">
        <v>55</v>
      </c>
    </row>
    <row r="12" spans="1:62" ht="26.4" x14ac:dyDescent="0.25">
      <c r="C12" s="1" t="s">
        <v>5</v>
      </c>
      <c r="D12">
        <v>177.38</v>
      </c>
      <c r="E12">
        <v>177.38</v>
      </c>
      <c r="F12">
        <v>177.38</v>
      </c>
      <c r="G12">
        <v>91.85</v>
      </c>
      <c r="H12">
        <v>94.17</v>
      </c>
      <c r="I12">
        <v>95.65</v>
      </c>
      <c r="J12">
        <v>95.65</v>
      </c>
      <c r="K12">
        <v>104.29</v>
      </c>
      <c r="L12">
        <v>96.48</v>
      </c>
      <c r="M12" s="45"/>
      <c r="S12" s="26"/>
      <c r="T12" s="145">
        <f t="shared" si="3"/>
        <v>43222</v>
      </c>
      <c r="U12" s="146"/>
      <c r="V12" s="147"/>
      <c r="W12" s="153"/>
      <c r="X12" s="154"/>
      <c r="Y12" s="146"/>
      <c r="Z12" s="147"/>
      <c r="AA12" s="147"/>
      <c r="AB12" s="148"/>
      <c r="AC12" s="146"/>
      <c r="AD12" s="147"/>
      <c r="AE12" s="147"/>
      <c r="AF12" s="148"/>
      <c r="AH12" s="61"/>
      <c r="BB12" s="185">
        <v>42130</v>
      </c>
      <c r="BC12" s="186">
        <v>6.2E-2</v>
      </c>
      <c r="BD12" s="189">
        <v>42130</v>
      </c>
      <c r="BE12" s="190">
        <v>0.14699999999999999</v>
      </c>
      <c r="BI12" s="93" t="s">
        <v>53</v>
      </c>
      <c r="BJ12" s="91" t="s">
        <v>56</v>
      </c>
    </row>
    <row r="13" spans="1:62" ht="13.8" x14ac:dyDescent="0.25">
      <c r="C13" s="1" t="s">
        <v>6</v>
      </c>
      <c r="D13">
        <v>20.239999999999998</v>
      </c>
      <c r="E13">
        <v>20.239999999999998</v>
      </c>
      <c r="F13">
        <v>20.46</v>
      </c>
      <c r="G13">
        <v>20.65</v>
      </c>
      <c r="H13">
        <v>21.08</v>
      </c>
      <c r="I13">
        <v>21.51</v>
      </c>
      <c r="J13">
        <v>21.84</v>
      </c>
      <c r="K13">
        <v>22.14</v>
      </c>
      <c r="L13">
        <v>22.75</v>
      </c>
      <c r="M13" s="45"/>
      <c r="T13" s="126">
        <f t="shared" si="3"/>
        <v>43406</v>
      </c>
      <c r="U13" s="127"/>
      <c r="V13" s="128"/>
      <c r="W13" s="155"/>
      <c r="X13" s="156"/>
      <c r="Y13" s="127"/>
      <c r="Z13" s="128"/>
      <c r="AA13" s="128"/>
      <c r="AB13" s="129"/>
      <c r="AC13" s="127"/>
      <c r="AD13" s="128"/>
      <c r="AE13" s="128"/>
      <c r="AF13" s="129"/>
      <c r="AH13" s="61"/>
      <c r="BB13" s="185">
        <v>42131</v>
      </c>
      <c r="BC13" s="186">
        <v>6.0999999999999999E-2</v>
      </c>
      <c r="BD13" s="189">
        <v>42131</v>
      </c>
      <c r="BE13" s="190">
        <v>0.16200000000000001</v>
      </c>
      <c r="BI13" s="93" t="s">
        <v>54</v>
      </c>
      <c r="BJ13" s="90"/>
    </row>
    <row r="14" spans="1:62" ht="13.8" x14ac:dyDescent="0.25">
      <c r="C14" s="1" t="s">
        <v>7</v>
      </c>
      <c r="D14">
        <v>60.56</v>
      </c>
      <c r="E14">
        <v>60.56</v>
      </c>
      <c r="F14">
        <v>70.459999999999994</v>
      </c>
      <c r="G14">
        <v>70.41</v>
      </c>
      <c r="H14">
        <v>71.819999999999993</v>
      </c>
      <c r="I14">
        <v>71.819999999999993</v>
      </c>
      <c r="J14">
        <v>84.5</v>
      </c>
      <c r="K14">
        <v>92.95</v>
      </c>
      <c r="L14">
        <v>107.03</v>
      </c>
      <c r="M14" s="45"/>
      <c r="T14" s="137">
        <f t="shared" si="3"/>
        <v>43587</v>
      </c>
      <c r="U14" s="138"/>
      <c r="V14" s="139"/>
      <c r="W14" s="139"/>
      <c r="X14" s="140"/>
      <c r="Y14" s="138"/>
      <c r="Z14" s="139"/>
      <c r="AA14" s="139"/>
      <c r="AB14" s="140"/>
      <c r="AC14" s="138"/>
      <c r="AD14" s="139"/>
      <c r="AE14" s="139"/>
      <c r="AF14" s="140"/>
      <c r="AH14" s="61"/>
      <c r="BB14" s="185">
        <v>42132</v>
      </c>
      <c r="BC14" s="186">
        <v>6.0999999999999999E-2</v>
      </c>
      <c r="BD14" s="189">
        <v>42132</v>
      </c>
      <c r="BE14" s="190">
        <v>0.17399999999999999</v>
      </c>
      <c r="BH14" s="388"/>
      <c r="BI14" s="388"/>
      <c r="BJ14" s="388"/>
    </row>
    <row r="15" spans="1:62" ht="13.8" x14ac:dyDescent="0.25">
      <c r="C15" s="1" t="s">
        <v>8</v>
      </c>
      <c r="D15">
        <v>18.3</v>
      </c>
      <c r="E15">
        <v>18.489999999999998</v>
      </c>
      <c r="F15">
        <v>19.79</v>
      </c>
      <c r="G15">
        <v>19.79</v>
      </c>
      <c r="H15">
        <v>20.81</v>
      </c>
      <c r="I15">
        <v>20.81</v>
      </c>
      <c r="J15">
        <v>19.71</v>
      </c>
      <c r="K15">
        <v>18.91</v>
      </c>
      <c r="L15">
        <v>26.32</v>
      </c>
      <c r="M15" s="45"/>
      <c r="T15" s="79">
        <f t="shared" si="3"/>
        <v>43771</v>
      </c>
      <c r="U15" s="71"/>
      <c r="V15" s="72"/>
      <c r="W15" s="72"/>
      <c r="X15" s="73"/>
      <c r="Y15" s="71"/>
      <c r="Z15" s="72"/>
      <c r="AA15" s="72"/>
      <c r="AB15" s="73"/>
      <c r="AC15" s="71"/>
      <c r="AD15" s="72"/>
      <c r="AE15" s="72"/>
      <c r="AF15" s="73"/>
      <c r="AH15" s="61"/>
      <c r="BB15" s="187">
        <v>42135</v>
      </c>
      <c r="BC15" s="180">
        <v>6.0999999999999999E-2</v>
      </c>
      <c r="BD15" s="191">
        <v>42135</v>
      </c>
      <c r="BE15" s="192">
        <v>0.187</v>
      </c>
      <c r="BH15" s="94">
        <v>42095</v>
      </c>
      <c r="BI15" s="95">
        <v>0.16400000000000001</v>
      </c>
      <c r="BJ15" s="96">
        <v>8.65</v>
      </c>
    </row>
    <row r="16" spans="1:62" ht="14.4" thickBot="1" x14ac:dyDescent="0.3">
      <c r="C16" s="1" t="s">
        <v>9</v>
      </c>
      <c r="D16">
        <v>4.42</v>
      </c>
      <c r="E16">
        <v>4.42</v>
      </c>
      <c r="F16">
        <v>4.46</v>
      </c>
      <c r="G16">
        <v>4.5</v>
      </c>
      <c r="H16">
        <v>4.5999999999999996</v>
      </c>
      <c r="I16">
        <v>4.6900000000000004</v>
      </c>
      <c r="J16">
        <v>4.76</v>
      </c>
      <c r="K16">
        <v>4.84</v>
      </c>
      <c r="L16">
        <v>4.97</v>
      </c>
      <c r="M16" s="45"/>
      <c r="T16" s="78">
        <f t="shared" si="3"/>
        <v>43953</v>
      </c>
      <c r="U16" s="66"/>
      <c r="V16" s="67"/>
      <c r="W16" s="67"/>
      <c r="X16" s="68"/>
      <c r="Y16" s="66"/>
      <c r="Z16" s="67"/>
      <c r="AA16" s="67"/>
      <c r="AB16" s="68"/>
      <c r="AC16" s="66"/>
      <c r="AD16" s="67"/>
      <c r="AE16" s="67"/>
      <c r="AF16" s="68"/>
      <c r="AH16" s="61"/>
      <c r="BB16" s="187">
        <v>42136</v>
      </c>
      <c r="BC16" s="180">
        <v>6.0999999999999999E-2</v>
      </c>
      <c r="BD16" s="191">
        <v>42136</v>
      </c>
      <c r="BE16" s="192">
        <v>0.20399999999999999</v>
      </c>
      <c r="BH16" s="94">
        <v>42096</v>
      </c>
      <c r="BI16" s="95">
        <v>0.159</v>
      </c>
      <c r="BJ16" s="96">
        <v>8.65</v>
      </c>
    </row>
    <row r="17" spans="3:62" ht="14.4" thickBot="1" x14ac:dyDescent="0.3">
      <c r="C17" s="1" t="s">
        <v>10</v>
      </c>
      <c r="D17">
        <v>12.1</v>
      </c>
      <c r="E17">
        <v>12.24</v>
      </c>
      <c r="F17">
        <v>12.31</v>
      </c>
      <c r="G17">
        <v>12.56</v>
      </c>
      <c r="H17">
        <v>12.83</v>
      </c>
      <c r="I17">
        <v>13.02</v>
      </c>
      <c r="J17">
        <v>13.24</v>
      </c>
      <c r="K17">
        <v>13.63</v>
      </c>
      <c r="L17">
        <v>14.9</v>
      </c>
      <c r="M17" s="45"/>
      <c r="R17" s="135"/>
      <c r="S17" s="136" t="s">
        <v>421</v>
      </c>
      <c r="T17" s="134">
        <f t="shared" si="3"/>
        <v>44137</v>
      </c>
      <c r="U17" s="127"/>
      <c r="V17" s="128"/>
      <c r="W17" s="128"/>
      <c r="X17" s="129"/>
      <c r="Y17" s="127"/>
      <c r="Z17" s="128"/>
      <c r="AA17" s="128"/>
      <c r="AB17" s="129"/>
      <c r="AC17" s="127"/>
      <c r="AD17" s="128"/>
      <c r="AE17" s="128"/>
      <c r="AF17" s="129"/>
      <c r="AG17" s="72"/>
      <c r="AH17" s="130"/>
      <c r="AI17" s="72"/>
      <c r="AJ17" s="72"/>
      <c r="AK17" s="72"/>
      <c r="BB17" s="187">
        <v>42137</v>
      </c>
      <c r="BC17" s="180">
        <v>0.06</v>
      </c>
      <c r="BD17" s="191">
        <v>42137</v>
      </c>
      <c r="BE17" s="192">
        <v>0.221</v>
      </c>
      <c r="BH17" s="94">
        <v>42097</v>
      </c>
      <c r="BI17" s="95">
        <v>0.156</v>
      </c>
      <c r="BJ17" s="96">
        <v>8.65</v>
      </c>
    </row>
    <row r="18" spans="3:62" ht="13.8" x14ac:dyDescent="0.25">
      <c r="C18" s="1" t="s">
        <v>11</v>
      </c>
      <c r="D18">
        <v>6.88</v>
      </c>
      <c r="E18">
        <v>6.88</v>
      </c>
      <c r="F18">
        <v>6.88</v>
      </c>
      <c r="G18">
        <v>6.88</v>
      </c>
      <c r="H18">
        <v>6.88</v>
      </c>
      <c r="I18">
        <v>6.88</v>
      </c>
      <c r="J18">
        <v>6.88</v>
      </c>
      <c r="K18">
        <v>6.88</v>
      </c>
      <c r="L18">
        <v>6.88</v>
      </c>
      <c r="M18" s="45"/>
      <c r="T18" s="137">
        <f t="shared" si="3"/>
        <v>44318</v>
      </c>
      <c r="U18" s="138"/>
      <c r="V18" s="139"/>
      <c r="W18" s="139"/>
      <c r="X18" s="140"/>
      <c r="Y18" s="138"/>
      <c r="Z18" s="139"/>
      <c r="AA18" s="139"/>
      <c r="AB18" s="140"/>
      <c r="AC18" s="138"/>
      <c r="AD18" s="139"/>
      <c r="AE18" s="139"/>
      <c r="AF18" s="140"/>
      <c r="AH18" s="61"/>
      <c r="BB18" s="187">
        <v>42138</v>
      </c>
      <c r="BC18" s="180">
        <v>5.8999999999999997E-2</v>
      </c>
      <c r="BD18" s="191"/>
      <c r="BE18" s="193">
        <f>+BE17</f>
        <v>0.221</v>
      </c>
      <c r="BH18" s="94">
        <v>42101</v>
      </c>
      <c r="BI18" s="95">
        <v>0.153</v>
      </c>
      <c r="BJ18" s="96">
        <v>8.64</v>
      </c>
    </row>
    <row r="19" spans="3:62" ht="13.8" x14ac:dyDescent="0.25">
      <c r="C19" s="1" t="s">
        <v>12</v>
      </c>
      <c r="D19" s="29">
        <f>SUM(D12:D18)</f>
        <v>299.88000000000005</v>
      </c>
      <c r="E19" s="29">
        <f>SUM(E12:E18)</f>
        <v>300.21000000000004</v>
      </c>
      <c r="F19" s="29">
        <f>SUM(F12:F18)</f>
        <v>311.74</v>
      </c>
      <c r="G19" s="29">
        <f>SUM(G12:G18)</f>
        <v>226.64</v>
      </c>
      <c r="H19" s="29">
        <f>SUM(H12:H18)</f>
        <v>232.19</v>
      </c>
      <c r="I19" s="29">
        <f t="shared" ref="I19:L19" si="5">SUM(I12:I18)</f>
        <v>234.38000000000002</v>
      </c>
      <c r="J19" s="29">
        <f t="shared" si="5"/>
        <v>246.58</v>
      </c>
      <c r="K19" s="29">
        <f t="shared" si="5"/>
        <v>263.64</v>
      </c>
      <c r="L19" s="29">
        <f t="shared" si="5"/>
        <v>279.33</v>
      </c>
      <c r="M19" s="45">
        <f t="shared" ref="M19" si="6">+L19/J19-1</f>
        <v>0.13281693568010366</v>
      </c>
      <c r="T19" s="79">
        <f t="shared" si="3"/>
        <v>44502</v>
      </c>
      <c r="U19" s="71"/>
      <c r="V19" s="72"/>
      <c r="W19" s="72"/>
      <c r="X19" s="73"/>
      <c r="Y19" s="71"/>
      <c r="Z19" s="72"/>
      <c r="AA19" s="72"/>
      <c r="AB19" s="73"/>
      <c r="AC19" s="71"/>
      <c r="AD19" s="72"/>
      <c r="AE19" s="72"/>
      <c r="AF19" s="73"/>
      <c r="AH19" s="61"/>
      <c r="BB19" s="187">
        <v>42139</v>
      </c>
      <c r="BC19" s="180">
        <v>5.8000000000000003E-2</v>
      </c>
      <c r="BD19" s="191">
        <v>42139</v>
      </c>
      <c r="BE19" s="192">
        <v>0.23799999999999999</v>
      </c>
      <c r="BH19" s="94">
        <v>42102</v>
      </c>
      <c r="BI19" s="95">
        <v>0.152</v>
      </c>
      <c r="BJ19" s="96">
        <v>8.6300000000000008</v>
      </c>
    </row>
    <row r="20" spans="3:62" ht="13.8" x14ac:dyDescent="0.25">
      <c r="M20" s="45"/>
      <c r="T20" s="145">
        <f t="shared" si="3"/>
        <v>44683</v>
      </c>
      <c r="U20" s="157">
        <v>853.33</v>
      </c>
      <c r="V20" s="158"/>
      <c r="W20" s="153">
        <f>+U20/6</f>
        <v>142.22166666666666</v>
      </c>
      <c r="X20" s="154"/>
      <c r="Y20" s="157">
        <v>2885.96</v>
      </c>
      <c r="Z20" s="158"/>
      <c r="AA20" s="153">
        <f>+Y20/6</f>
        <v>480.99333333333334</v>
      </c>
      <c r="AB20" s="154"/>
      <c r="AC20" s="157">
        <v>1520</v>
      </c>
      <c r="AD20" s="158"/>
      <c r="AE20" s="153">
        <f>+AC20/6</f>
        <v>253.33333333333334</v>
      </c>
      <c r="AF20" s="154"/>
      <c r="AH20" s="61"/>
      <c r="BB20" s="187">
        <v>42142</v>
      </c>
      <c r="BC20" s="180">
        <v>5.6000000000000001E-2</v>
      </c>
      <c r="BD20" s="191">
        <v>42142</v>
      </c>
      <c r="BE20" s="192">
        <v>0.25600000000000001</v>
      </c>
      <c r="BH20" s="94">
        <v>42103</v>
      </c>
      <c r="BI20" s="95">
        <v>0.153</v>
      </c>
      <c r="BJ20" s="96">
        <v>8.6300000000000008</v>
      </c>
    </row>
    <row r="21" spans="3:62" ht="13.8" x14ac:dyDescent="0.25">
      <c r="C21" s="10" t="s">
        <v>13</v>
      </c>
      <c r="D21" s="11">
        <f t="shared" ref="D21:L21" si="7">+D19+D10</f>
        <v>1154.32</v>
      </c>
      <c r="E21" s="11">
        <f t="shared" si="7"/>
        <v>1163.0700000000002</v>
      </c>
      <c r="F21" s="11">
        <f t="shared" si="7"/>
        <v>1230.8899999999999</v>
      </c>
      <c r="G21" s="11">
        <f t="shared" si="7"/>
        <v>1145.73</v>
      </c>
      <c r="H21" s="11">
        <f t="shared" si="7"/>
        <v>1201.0900000000001</v>
      </c>
      <c r="I21" s="11">
        <f t="shared" si="7"/>
        <v>1203.2800000000002</v>
      </c>
      <c r="J21" s="11">
        <f t="shared" si="7"/>
        <v>1147.4899999999998</v>
      </c>
      <c r="K21" s="11">
        <f t="shared" si="7"/>
        <v>1116.3699999999999</v>
      </c>
      <c r="L21" s="11">
        <f t="shared" si="7"/>
        <v>1488.4300000000003</v>
      </c>
      <c r="M21" s="53">
        <f>+L21/K21-1</f>
        <v>0.33327660184347518</v>
      </c>
      <c r="T21" s="126">
        <f t="shared" si="3"/>
        <v>44867</v>
      </c>
      <c r="U21" s="159">
        <v>979.31</v>
      </c>
      <c r="V21" s="160">
        <f>SUM(U20:U21)</f>
        <v>1832.6399999999999</v>
      </c>
      <c r="W21" s="155">
        <f>+U21/6</f>
        <v>163.21833333333333</v>
      </c>
      <c r="X21" s="156">
        <f>+SUMPRODUCT(U20:U21,W20:W21)/SUM(U20:U21)</f>
        <v>153.44168021724582</v>
      </c>
      <c r="Y21" s="159">
        <v>3311.98</v>
      </c>
      <c r="Z21" s="160">
        <f>SUM(Y20:Y21)</f>
        <v>6197.9400000000005</v>
      </c>
      <c r="AA21" s="155">
        <f>+Y21/6</f>
        <v>551.99666666666667</v>
      </c>
      <c r="AB21" s="156">
        <f>+SUMPRODUCT(Y20:Y21,AA20:AA21)/SUM(Y20:Y21)</f>
        <v>518.93523337323904</v>
      </c>
      <c r="AC21" s="159">
        <v>1520</v>
      </c>
      <c r="AD21" s="160">
        <f>SUM(AC20:AC21)</f>
        <v>3040</v>
      </c>
      <c r="AE21" s="155">
        <f>+AC21/6</f>
        <v>253.33333333333334</v>
      </c>
      <c r="AF21" s="156">
        <f>+SUMPRODUCT(AC20:AC21,AE20:AE21)/SUM(AC20:AC21)</f>
        <v>253.33333333333334</v>
      </c>
      <c r="AG21" s="62">
        <f>+X21+AB21</f>
        <v>672.37691359048483</v>
      </c>
      <c r="AH21" s="61">
        <f>+K6+K7</f>
        <v>685.53</v>
      </c>
      <c r="AI21" s="62">
        <f>+AH21-AG21</f>
        <v>13.15308640951514</v>
      </c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BB21" s="187">
        <v>42143</v>
      </c>
      <c r="BC21" s="180">
        <v>5.7000000000000002E-2</v>
      </c>
      <c r="BD21" s="191">
        <v>42143</v>
      </c>
      <c r="BE21" s="192">
        <v>0.27200000000000002</v>
      </c>
      <c r="BH21" s="94">
        <v>42104</v>
      </c>
      <c r="BI21" s="95">
        <v>0.152</v>
      </c>
      <c r="BJ21" s="96">
        <v>8.6300000000000008</v>
      </c>
    </row>
    <row r="22" spans="3:62" ht="13.8" x14ac:dyDescent="0.25">
      <c r="C22" s="8">
        <f>SUM(D22:E22)</f>
        <v>23191.4</v>
      </c>
      <c r="D22" s="7">
        <f>+D21*8</f>
        <v>9234.56</v>
      </c>
      <c r="E22" s="7">
        <f t="shared" ref="E22:J22" si="8">+E21*12</f>
        <v>13956.840000000002</v>
      </c>
      <c r="F22" s="7">
        <f t="shared" si="8"/>
        <v>14770.679999999998</v>
      </c>
      <c r="G22" s="7">
        <f t="shared" si="8"/>
        <v>13748.76</v>
      </c>
      <c r="H22" s="7">
        <f t="shared" si="8"/>
        <v>14413.080000000002</v>
      </c>
      <c r="I22" s="7">
        <f t="shared" si="8"/>
        <v>14439.360000000002</v>
      </c>
      <c r="J22" s="7">
        <f t="shared" si="8"/>
        <v>13769.879999999997</v>
      </c>
      <c r="M22" s="54">
        <f>+L21-K21</f>
        <v>372.0600000000004</v>
      </c>
      <c r="T22" s="77">
        <f t="shared" si="3"/>
        <v>45048</v>
      </c>
      <c r="U22" s="63"/>
      <c r="V22" s="64"/>
      <c r="W22" s="64"/>
      <c r="X22" s="65"/>
      <c r="Y22" s="63"/>
      <c r="Z22" s="64"/>
      <c r="AA22" s="64"/>
      <c r="AB22" s="65"/>
      <c r="AC22" s="63"/>
      <c r="AD22" s="64"/>
      <c r="AE22" s="64"/>
      <c r="AF22" s="65"/>
      <c r="BB22" s="187">
        <v>42144</v>
      </c>
      <c r="BC22" s="180">
        <v>5.5E-2</v>
      </c>
      <c r="BD22" s="191">
        <v>42144</v>
      </c>
      <c r="BE22" s="192">
        <v>0.28699999999999998</v>
      </c>
      <c r="BH22" s="94">
        <v>42107</v>
      </c>
      <c r="BI22" s="95">
        <v>0.15</v>
      </c>
      <c r="BJ22" s="96">
        <v>8.6199999999999992</v>
      </c>
    </row>
    <row r="23" spans="3:62" ht="13.8" x14ac:dyDescent="0.25">
      <c r="C23" s="9">
        <f>+C22/2</f>
        <v>11595.7</v>
      </c>
      <c r="T23" s="77">
        <f t="shared" si="3"/>
        <v>45232</v>
      </c>
      <c r="U23" s="63"/>
      <c r="V23" s="64"/>
      <c r="W23" s="64"/>
      <c r="X23" s="65"/>
      <c r="Y23" s="63"/>
      <c r="Z23" s="64"/>
      <c r="AA23" s="64"/>
      <c r="AB23" s="65"/>
      <c r="AC23" s="63"/>
      <c r="AD23" s="64"/>
      <c r="AE23" s="64"/>
      <c r="AF23" s="65"/>
      <c r="BB23" s="187">
        <v>42145</v>
      </c>
      <c r="BC23" s="180">
        <v>5.3999999999999999E-2</v>
      </c>
      <c r="BD23" s="191">
        <v>42145</v>
      </c>
      <c r="BE23" s="192">
        <v>0.30499999999999999</v>
      </c>
      <c r="BH23" s="94">
        <v>42108</v>
      </c>
      <c r="BI23" s="95">
        <v>0.14699999999999999</v>
      </c>
      <c r="BJ23" s="96">
        <v>8.6199999999999992</v>
      </c>
    </row>
    <row r="24" spans="3:62" ht="13.8" x14ac:dyDescent="0.25">
      <c r="E24" s="16">
        <f>+E21-G21</f>
        <v>17.340000000000146</v>
      </c>
      <c r="F24" s="16">
        <f>+G21-F21</f>
        <v>-85.159999999999854</v>
      </c>
      <c r="G24" s="16">
        <f t="shared" ref="G24:H24" si="9">+H21-G21</f>
        <v>55.360000000000127</v>
      </c>
      <c r="H24" s="16">
        <f t="shared" si="9"/>
        <v>2.1900000000000546</v>
      </c>
      <c r="I24" s="16">
        <f t="shared" ref="I24" si="10">+J21-I21</f>
        <v>-55.790000000000418</v>
      </c>
      <c r="J24" s="7">
        <f t="shared" ref="J24" si="11">+K21-J21</f>
        <v>-31.119999999999891</v>
      </c>
      <c r="T24" s="78">
        <f t="shared" si="3"/>
        <v>45414</v>
      </c>
      <c r="U24" s="66"/>
      <c r="V24" s="67"/>
      <c r="W24" s="67"/>
      <c r="X24" s="68"/>
      <c r="Y24" s="66"/>
      <c r="Z24" s="67"/>
      <c r="AA24" s="67"/>
      <c r="AB24" s="68"/>
      <c r="AC24" s="66"/>
      <c r="AD24" s="67"/>
      <c r="AE24" s="67"/>
      <c r="AF24" s="68"/>
      <c r="BB24" s="187">
        <v>42146</v>
      </c>
      <c r="BC24" s="180">
        <v>5.3999999999999999E-2</v>
      </c>
      <c r="BD24" s="191">
        <v>42146</v>
      </c>
      <c r="BE24" s="192">
        <v>0.31900000000000001</v>
      </c>
      <c r="BH24" s="94">
        <v>42109</v>
      </c>
      <c r="BI24" s="95">
        <v>0.14299999999999999</v>
      </c>
      <c r="BJ24" s="96">
        <v>8.61</v>
      </c>
    </row>
    <row r="25" spans="3:62" ht="13.8" x14ac:dyDescent="0.25">
      <c r="C25" s="1" t="s">
        <v>33</v>
      </c>
      <c r="E25" s="16">
        <f>+E24*F24</f>
        <v>-1476.6744000000099</v>
      </c>
      <c r="F25">
        <f>+F24*12</f>
        <v>-1021.9199999999983</v>
      </c>
      <c r="G25">
        <f t="shared" ref="G25:H25" si="12">+G24*12</f>
        <v>664.32000000000153</v>
      </c>
      <c r="H25">
        <f t="shared" si="12"/>
        <v>26.280000000000655</v>
      </c>
      <c r="I25">
        <f t="shared" ref="I25:J25" si="13">+I24*12</f>
        <v>-669.48000000000502</v>
      </c>
      <c r="J25" s="7">
        <f t="shared" si="13"/>
        <v>-373.43999999999869</v>
      </c>
      <c r="T25" s="78">
        <f t="shared" si="3"/>
        <v>45598</v>
      </c>
      <c r="U25" s="66"/>
      <c r="V25" s="67"/>
      <c r="W25" s="67"/>
      <c r="X25" s="68"/>
      <c r="Y25" s="66"/>
      <c r="Z25" s="67"/>
      <c r="AA25" s="67"/>
      <c r="AB25" s="68"/>
      <c r="AC25" s="66"/>
      <c r="AD25" s="67"/>
      <c r="AE25" s="67"/>
      <c r="AF25" s="68"/>
      <c r="BB25" s="187">
        <v>42149</v>
      </c>
      <c r="BC25" s="180">
        <v>5.3999999999999999E-2</v>
      </c>
      <c r="BD25" s="191"/>
      <c r="BE25" s="193">
        <f>+BE24</f>
        <v>0.31900000000000001</v>
      </c>
      <c r="BH25" s="94">
        <v>42110</v>
      </c>
      <c r="BI25" s="95">
        <v>0.13900000000000001</v>
      </c>
      <c r="BJ25" s="96">
        <v>8.61</v>
      </c>
    </row>
    <row r="26" spans="3:62" ht="13.8" x14ac:dyDescent="0.25">
      <c r="T26" s="79">
        <f t="shared" si="3"/>
        <v>45779</v>
      </c>
      <c r="U26" s="71"/>
      <c r="V26" s="72"/>
      <c r="W26" s="72"/>
      <c r="X26" s="73"/>
      <c r="Y26" s="71"/>
      <c r="Z26" s="72"/>
      <c r="AA26" s="72"/>
      <c r="AB26" s="73"/>
      <c r="AC26" s="71"/>
      <c r="AD26" s="72"/>
      <c r="AE26" s="72"/>
      <c r="AF26" s="73"/>
      <c r="BB26" s="187">
        <v>42150</v>
      </c>
      <c r="BC26" s="180">
        <v>5.1999999999999998E-2</v>
      </c>
      <c r="BD26" s="191">
        <v>42150</v>
      </c>
      <c r="BE26" s="192">
        <v>0.33200000000000002</v>
      </c>
      <c r="BH26" s="94">
        <v>42111</v>
      </c>
      <c r="BI26" s="95">
        <v>0.13600000000000001</v>
      </c>
      <c r="BJ26" s="96">
        <v>8.61</v>
      </c>
    </row>
    <row r="27" spans="3:62" ht="13.8" x14ac:dyDescent="0.25">
      <c r="AW27" s="113" t="s">
        <v>51</v>
      </c>
      <c r="AX27" t="s">
        <v>419</v>
      </c>
      <c r="BB27" s="187">
        <v>42151</v>
      </c>
      <c r="BC27" s="180">
        <v>0.05</v>
      </c>
      <c r="BD27" s="191">
        <v>42151</v>
      </c>
      <c r="BE27" s="192">
        <v>0.34399999999999997</v>
      </c>
      <c r="BH27" s="94">
        <v>42114</v>
      </c>
      <c r="BI27" s="95">
        <v>0.13300000000000001</v>
      </c>
      <c r="BJ27" s="96">
        <v>8.6</v>
      </c>
    </row>
    <row r="28" spans="3:62" ht="13.8" x14ac:dyDescent="0.25">
      <c r="D28" s="6">
        <f>+G10*6</f>
        <v>5514.54</v>
      </c>
      <c r="E28" s="6">
        <f>+F10*6</f>
        <v>5514.9</v>
      </c>
      <c r="F28" s="6">
        <f>+E10*6</f>
        <v>5177.16</v>
      </c>
      <c r="G28" s="6">
        <f>+D10*6</f>
        <v>5126.6399999999994</v>
      </c>
      <c r="H28" s="6">
        <f t="shared" ref="H28:K28" si="14">+E10*6</f>
        <v>5177.16</v>
      </c>
      <c r="I28" s="6">
        <f t="shared" si="14"/>
        <v>5514.9</v>
      </c>
      <c r="J28" s="6">
        <f t="shared" si="14"/>
        <v>5514.54</v>
      </c>
      <c r="K28" s="6">
        <f t="shared" si="14"/>
        <v>5813.4000000000005</v>
      </c>
      <c r="BB28" s="187">
        <v>42152</v>
      </c>
      <c r="BC28" s="180">
        <v>4.9000000000000002E-2</v>
      </c>
      <c r="BD28" s="191">
        <v>42152</v>
      </c>
      <c r="BE28" s="192">
        <v>0.35599999999999998</v>
      </c>
      <c r="BH28" s="94">
        <v>42115</v>
      </c>
      <c r="BI28" s="95">
        <v>0.129</v>
      </c>
      <c r="BJ28" s="96">
        <v>8.6</v>
      </c>
    </row>
    <row r="29" spans="3:62" ht="14.4" thickBot="1" x14ac:dyDescent="0.3">
      <c r="N29" s="37">
        <v>82579</v>
      </c>
      <c r="Y29" s="7">
        <f>+Y30/6</f>
        <v>1725.1933333333334</v>
      </c>
      <c r="AB29" s="107">
        <v>1.2500000000000001E-2</v>
      </c>
      <c r="AC29" s="108"/>
      <c r="AD29" s="108"/>
      <c r="AH29" s="52" t="s">
        <v>424</v>
      </c>
      <c r="AI29" s="52" t="s">
        <v>424</v>
      </c>
      <c r="AW29" s="113" t="s">
        <v>406</v>
      </c>
      <c r="AX29" t="s">
        <v>418</v>
      </c>
      <c r="BB29" s="187">
        <v>42153</v>
      </c>
      <c r="BC29" s="180">
        <v>4.9000000000000002E-2</v>
      </c>
      <c r="BD29" s="191">
        <v>42153</v>
      </c>
      <c r="BE29" s="192">
        <v>0.36699999999999999</v>
      </c>
      <c r="BH29" s="94">
        <v>42116</v>
      </c>
      <c r="BI29" s="95">
        <v>0.125</v>
      </c>
      <c r="BJ29" s="96">
        <v>8.59</v>
      </c>
    </row>
    <row r="30" spans="3:62" ht="13.8" x14ac:dyDescent="0.25">
      <c r="C30" s="13" t="s">
        <v>16</v>
      </c>
      <c r="D30" s="14">
        <v>454816</v>
      </c>
      <c r="M30" s="36"/>
      <c r="N30" s="38">
        <v>348</v>
      </c>
      <c r="O30" s="36"/>
      <c r="P30" s="36"/>
      <c r="Q30" s="36"/>
      <c r="X30" s="56">
        <v>53851926633</v>
      </c>
      <c r="Y30" s="55">
        <v>10351.16</v>
      </c>
      <c r="Z30" s="51" t="s">
        <v>36</v>
      </c>
      <c r="AA30" s="176">
        <v>1.805E-3</v>
      </c>
      <c r="AB30" s="109" t="s">
        <v>403</v>
      </c>
      <c r="AC30" s="110"/>
      <c r="AD30" s="110"/>
      <c r="AH30" s="52" t="s">
        <v>422</v>
      </c>
      <c r="AI30" s="52" t="s">
        <v>423</v>
      </c>
      <c r="AW30" s="114" t="s">
        <v>408</v>
      </c>
      <c r="AX30" s="59">
        <v>1.0269999999999999</v>
      </c>
      <c r="BB30" s="187">
        <v>42156</v>
      </c>
      <c r="BC30" s="180">
        <v>4.9000000000000002E-2</v>
      </c>
      <c r="BD30" s="191">
        <v>42156</v>
      </c>
      <c r="BE30" s="192">
        <v>0.374</v>
      </c>
      <c r="BH30" s="94">
        <v>42117</v>
      </c>
      <c r="BI30" s="95">
        <v>0.122</v>
      </c>
      <c r="BJ30" s="96">
        <v>8.59</v>
      </c>
    </row>
    <row r="31" spans="3:62" ht="13.8" x14ac:dyDescent="0.25">
      <c r="C31" s="20" t="s">
        <v>14</v>
      </c>
      <c r="D31" s="21">
        <v>79130</v>
      </c>
      <c r="M31" s="36"/>
      <c r="N31" s="37">
        <f>+N30*12*10</f>
        <v>41760</v>
      </c>
      <c r="O31" s="36"/>
      <c r="P31" s="36"/>
      <c r="Q31" s="36"/>
      <c r="AE31">
        <f>+GETPIVOTDATA("Zinssatz",$AW$29,"Quartale",2,"Jahre",2017)</f>
        <v>0.30149999999999999</v>
      </c>
      <c r="AF31" t="s">
        <v>422</v>
      </c>
      <c r="AG31" s="174" t="s">
        <v>408</v>
      </c>
      <c r="AH31" s="5"/>
      <c r="AW31" s="115" t="s">
        <v>409</v>
      </c>
      <c r="AX31" s="59">
        <v>0.46199999999999997</v>
      </c>
      <c r="BB31" s="187">
        <v>42157</v>
      </c>
      <c r="BC31" s="180">
        <v>4.8000000000000001E-2</v>
      </c>
      <c r="BD31" s="191">
        <v>42157</v>
      </c>
      <c r="BE31" s="192">
        <v>0.38200000000000001</v>
      </c>
      <c r="BH31" s="94">
        <v>42118</v>
      </c>
      <c r="BI31" s="95">
        <v>0.11899999999999999</v>
      </c>
      <c r="BJ31" s="96">
        <v>8.59</v>
      </c>
    </row>
    <row r="32" spans="3:62" ht="13.8" x14ac:dyDescent="0.25">
      <c r="C32" s="20"/>
      <c r="D32" s="21">
        <v>3449</v>
      </c>
      <c r="I32" s="7">
        <v>463912</v>
      </c>
      <c r="K32" s="16">
        <f>+D30</f>
        <v>454816</v>
      </c>
      <c r="M32" s="36"/>
      <c r="N32" s="38">
        <f>+N29-N31</f>
        <v>40819</v>
      </c>
      <c r="O32" s="36"/>
      <c r="P32" s="36"/>
      <c r="Q32" s="36"/>
      <c r="X32" s="52" t="s">
        <v>30</v>
      </c>
      <c r="Y32" s="15" t="s">
        <v>31</v>
      </c>
      <c r="Z32" s="52" t="s">
        <v>27</v>
      </c>
      <c r="AA32" s="52" t="s">
        <v>26</v>
      </c>
      <c r="AB32" s="52" t="s">
        <v>32</v>
      </c>
      <c r="AC32" s="52" t="s">
        <v>35</v>
      </c>
      <c r="AE32">
        <f>+AE31/2</f>
        <v>0.15075</v>
      </c>
      <c r="AG32" t="s">
        <v>409</v>
      </c>
      <c r="AH32" s="5">
        <v>0.46199999999999997</v>
      </c>
      <c r="AI32" s="175">
        <f>+AH32/2</f>
        <v>0.23099999999999998</v>
      </c>
      <c r="AW32" s="115" t="s">
        <v>410</v>
      </c>
      <c r="AX32" s="59">
        <v>0.56499999999999995</v>
      </c>
      <c r="BB32" s="187">
        <v>42158</v>
      </c>
      <c r="BC32" s="180">
        <v>4.8000000000000001E-2</v>
      </c>
      <c r="BD32" s="191">
        <v>42158</v>
      </c>
      <c r="BE32" s="192">
        <v>0.39300000000000002</v>
      </c>
      <c r="BH32" s="94">
        <v>42121</v>
      </c>
      <c r="BI32" s="95">
        <v>0.11600000000000001</v>
      </c>
      <c r="BJ32" s="96">
        <v>8.58</v>
      </c>
    </row>
    <row r="33" spans="1:62" ht="13.8" x14ac:dyDescent="0.25">
      <c r="C33" s="30" t="s">
        <v>15</v>
      </c>
      <c r="D33" s="31">
        <f>+D32+D31</f>
        <v>82579</v>
      </c>
      <c r="E33" t="s">
        <v>19</v>
      </c>
      <c r="G33" s="32" t="s">
        <v>28</v>
      </c>
      <c r="I33" s="7">
        <v>33812</v>
      </c>
      <c r="K33" s="16">
        <f>+I33</f>
        <v>33812</v>
      </c>
      <c r="M33" s="39">
        <v>45778</v>
      </c>
      <c r="O33" s="36" t="s">
        <v>29</v>
      </c>
      <c r="P33" s="36"/>
      <c r="Q33" s="36"/>
      <c r="X33" s="26">
        <v>42856</v>
      </c>
      <c r="Y33">
        <v>0</v>
      </c>
      <c r="Z33">
        <v>9919.2099999999991</v>
      </c>
      <c r="AB33" s="112">
        <v>466052.01</v>
      </c>
      <c r="AE33">
        <f>+AE31*(X34-X33)/360</f>
        <v>0.15409999999999999</v>
      </c>
      <c r="AG33" t="s">
        <v>410</v>
      </c>
      <c r="AH33" s="5">
        <v>0.56499999999999995</v>
      </c>
      <c r="AI33" s="175">
        <f t="shared" ref="AI33:AI54" si="15">+AH33/2</f>
        <v>0.28249999999999997</v>
      </c>
      <c r="AK33" s="60">
        <f>+AVERAGE(AI32:AI33)</f>
        <v>0.25674999999999998</v>
      </c>
      <c r="AW33" s="114" t="s">
        <v>411</v>
      </c>
      <c r="AX33" s="59">
        <v>0.56950000000000001</v>
      </c>
      <c r="BB33" s="187">
        <v>42159</v>
      </c>
      <c r="BC33" s="180">
        <v>4.9000000000000002E-2</v>
      </c>
      <c r="BD33" s="191"/>
      <c r="BE33" s="193">
        <f>+BE32</f>
        <v>0.39300000000000002</v>
      </c>
      <c r="BH33" s="94">
        <v>42122</v>
      </c>
      <c r="BI33" s="95">
        <v>0.113</v>
      </c>
      <c r="BJ33" s="96">
        <v>8.58</v>
      </c>
    </row>
    <row r="34" spans="1:62" ht="13.8" x14ac:dyDescent="0.25">
      <c r="G34" s="33">
        <v>43187</v>
      </c>
      <c r="I34" s="7">
        <v>20454</v>
      </c>
      <c r="K34" s="16">
        <f>+I34</f>
        <v>20454</v>
      </c>
      <c r="X34" s="26">
        <v>43040</v>
      </c>
      <c r="Y34" s="7">
        <f t="shared" ref="Y34:Y79" si="16">+$Y$30</f>
        <v>10351.16</v>
      </c>
      <c r="Z34" s="7">
        <f>+Y34-AA34</f>
        <v>9921.2011289966667</v>
      </c>
      <c r="AA34" s="7">
        <f t="shared" ref="AA34:AA79" si="17">+AB33*$AA$30*(X34-X33)/360</f>
        <v>429.9588710033334</v>
      </c>
      <c r="AB34" s="7">
        <f>+AB33-Z34</f>
        <v>456130.80887100333</v>
      </c>
      <c r="AG34" s="174" t="s">
        <v>411</v>
      </c>
      <c r="AH34" s="5"/>
      <c r="AI34" s="60"/>
      <c r="AW34" s="115" t="s">
        <v>409</v>
      </c>
      <c r="AX34" s="59">
        <v>0.35499999999999998</v>
      </c>
      <c r="BB34" s="187">
        <v>42160</v>
      </c>
      <c r="BC34" s="180">
        <v>0.05</v>
      </c>
      <c r="BD34" s="191">
        <v>42160</v>
      </c>
      <c r="BE34" s="192">
        <v>0.40600000000000003</v>
      </c>
      <c r="BH34" s="94">
        <v>42123</v>
      </c>
      <c r="BI34" s="95">
        <v>0.114</v>
      </c>
      <c r="BJ34" s="96">
        <v>8.57</v>
      </c>
    </row>
    <row r="35" spans="1:62" ht="13.8" x14ac:dyDescent="0.25">
      <c r="C35" s="17" t="s">
        <v>17</v>
      </c>
      <c r="D35" s="18">
        <f>+D30-D33</f>
        <v>372237</v>
      </c>
      <c r="G35" s="34">
        <v>373810.47</v>
      </c>
      <c r="I35" s="7">
        <v>1519</v>
      </c>
      <c r="K35" s="16">
        <f>+I35</f>
        <v>1519</v>
      </c>
      <c r="N35">
        <v>427.22</v>
      </c>
      <c r="X35" s="26">
        <v>43221</v>
      </c>
      <c r="Y35" s="7">
        <f t="shared" si="16"/>
        <v>10351.16</v>
      </c>
      <c r="Z35" s="7">
        <f>+Y35-AA35</f>
        <v>9937.2149557994417</v>
      </c>
      <c r="AA35" s="7">
        <f t="shared" si="17"/>
        <v>413.9450442005587</v>
      </c>
      <c r="AB35" s="7">
        <f>+AB34-Z35</f>
        <v>446193.59391520388</v>
      </c>
      <c r="AG35" t="s">
        <v>409</v>
      </c>
      <c r="AH35" s="5">
        <v>0.35499999999999998</v>
      </c>
      <c r="AI35" s="175">
        <f t="shared" si="15"/>
        <v>0.17749999999999999</v>
      </c>
      <c r="AW35" s="115" t="s">
        <v>410</v>
      </c>
      <c r="AX35" s="59">
        <v>0.2145</v>
      </c>
      <c r="BB35" s="187">
        <v>42163</v>
      </c>
      <c r="BC35" s="180">
        <v>4.9000000000000002E-2</v>
      </c>
      <c r="BD35" s="191">
        <v>42163</v>
      </c>
      <c r="BE35" s="192">
        <v>0.41499999999999998</v>
      </c>
      <c r="BH35" s="94">
        <v>42124</v>
      </c>
      <c r="BI35" s="95">
        <v>0.12</v>
      </c>
      <c r="BJ35" s="96">
        <v>8.57</v>
      </c>
    </row>
    <row r="36" spans="1:62" ht="13.8" x14ac:dyDescent="0.25">
      <c r="G36" s="32"/>
      <c r="I36" s="7">
        <v>-297715</v>
      </c>
      <c r="J36" t="s">
        <v>24</v>
      </c>
      <c r="K36" s="16">
        <f>+I36</f>
        <v>-297715</v>
      </c>
      <c r="X36" s="26">
        <v>43405</v>
      </c>
      <c r="Y36" s="7">
        <f t="shared" si="16"/>
        <v>10351.16</v>
      </c>
      <c r="Z36" s="7">
        <f t="shared" ref="Z36:Z79" si="18">+Y36-AA36</f>
        <v>9939.5216210802282</v>
      </c>
      <c r="AA36" s="7">
        <f t="shared" si="17"/>
        <v>411.6383789197709</v>
      </c>
      <c r="AB36" s="7">
        <f t="shared" ref="AB36:AB51" si="19">+AB35-Z36</f>
        <v>436254.07229412365</v>
      </c>
      <c r="AG36" t="s">
        <v>410</v>
      </c>
      <c r="AH36" s="5">
        <v>0.2145</v>
      </c>
      <c r="AI36" s="175">
        <f t="shared" si="15"/>
        <v>0.10725</v>
      </c>
      <c r="AK36" s="60">
        <f>+AVERAGE(AI35:AI36)</f>
        <v>0.142375</v>
      </c>
      <c r="AW36" s="114" t="s">
        <v>412</v>
      </c>
      <c r="AX36" s="59">
        <v>0.64949999999999997</v>
      </c>
      <c r="BB36" s="187">
        <v>42164</v>
      </c>
      <c r="BC36" s="180">
        <v>4.9000000000000002E-2</v>
      </c>
      <c r="BD36" s="191">
        <v>42164</v>
      </c>
      <c r="BE36" s="192">
        <v>0.42399999999999999</v>
      </c>
      <c r="BH36" s="94">
        <v>42128</v>
      </c>
      <c r="BI36" s="95">
        <v>0.127</v>
      </c>
      <c r="BJ36" s="96">
        <v>8.56</v>
      </c>
    </row>
    <row r="37" spans="1:62" ht="13.8" x14ac:dyDescent="0.25">
      <c r="C37" s="1" t="s">
        <v>23</v>
      </c>
      <c r="G37" s="32"/>
      <c r="I37" s="7">
        <v>-74321</v>
      </c>
      <c r="J37" t="s">
        <v>24</v>
      </c>
      <c r="K37" s="16">
        <f>-D33</f>
        <v>-82579</v>
      </c>
      <c r="N37" s="40">
        <f>+N35+N30</f>
        <v>775.22</v>
      </c>
      <c r="X37" s="26">
        <v>43586</v>
      </c>
      <c r="Y37" s="7">
        <f t="shared" si="16"/>
        <v>10351.16</v>
      </c>
      <c r="Z37" s="7">
        <f t="shared" si="18"/>
        <v>9955.2533703087447</v>
      </c>
      <c r="AA37" s="7">
        <f t="shared" si="17"/>
        <v>395.90662969125464</v>
      </c>
      <c r="AB37" s="7">
        <f t="shared" si="19"/>
        <v>426298.81892381492</v>
      </c>
      <c r="AG37" s="174" t="s">
        <v>412</v>
      </c>
      <c r="AH37" s="5"/>
      <c r="AI37" s="60"/>
      <c r="AW37" s="115" t="s">
        <v>409</v>
      </c>
      <c r="AX37" s="59">
        <v>0.30149999999999999</v>
      </c>
      <c r="BB37" s="187">
        <v>42165</v>
      </c>
      <c r="BC37" s="180">
        <v>4.9000000000000002E-2</v>
      </c>
      <c r="BD37" s="191">
        <v>42165</v>
      </c>
      <c r="BE37" s="192">
        <v>0.437</v>
      </c>
      <c r="BH37" s="94">
        <v>42129</v>
      </c>
      <c r="BI37" s="95">
        <v>0.13500000000000001</v>
      </c>
      <c r="BJ37" s="96">
        <v>8.56</v>
      </c>
    </row>
    <row r="38" spans="1:62" ht="13.8" x14ac:dyDescent="0.25">
      <c r="C38" s="28" t="s">
        <v>18</v>
      </c>
      <c r="D38" s="19">
        <f>+B10*10*12</f>
        <v>109615.71428571429</v>
      </c>
      <c r="E38" t="s">
        <v>20</v>
      </c>
      <c r="G38" s="35">
        <f>+D38</f>
        <v>109615.71428571429</v>
      </c>
      <c r="I38" s="12">
        <f>SUM(I32:I37)</f>
        <v>147661</v>
      </c>
      <c r="K38" s="12">
        <f>SUM(K32:K37)</f>
        <v>130307</v>
      </c>
      <c r="X38" s="26">
        <v>43770</v>
      </c>
      <c r="Y38" s="7">
        <f t="shared" si="16"/>
        <v>10351.16</v>
      </c>
      <c r="Z38" s="7">
        <f t="shared" si="18"/>
        <v>9957.8756562750623</v>
      </c>
      <c r="AA38" s="7">
        <f t="shared" si="17"/>
        <v>393.28434372493723</v>
      </c>
      <c r="AB38" s="7">
        <f t="shared" si="19"/>
        <v>416340.94326753984</v>
      </c>
      <c r="AG38" t="s">
        <v>409</v>
      </c>
      <c r="AH38" s="5">
        <v>0.30149999999999999</v>
      </c>
      <c r="AI38" s="175">
        <f t="shared" si="15"/>
        <v>0.15075</v>
      </c>
      <c r="AW38" s="115" t="s">
        <v>410</v>
      </c>
      <c r="AX38" s="59">
        <v>0.34799999999999998</v>
      </c>
      <c r="BB38" s="187">
        <v>42166</v>
      </c>
      <c r="BC38" s="180">
        <v>4.9000000000000002E-2</v>
      </c>
      <c r="BD38" s="191">
        <v>42166</v>
      </c>
      <c r="BE38" s="192">
        <v>0.44900000000000001</v>
      </c>
      <c r="BH38" s="94">
        <v>42130</v>
      </c>
      <c r="BI38" s="95">
        <v>0.14699999999999999</v>
      </c>
      <c r="BJ38" s="96">
        <v>8.56</v>
      </c>
    </row>
    <row r="39" spans="1:62" ht="14.4" thickBot="1" x14ac:dyDescent="0.3">
      <c r="G39" s="32"/>
      <c r="I39" s="7"/>
      <c r="X39" s="26">
        <v>43952</v>
      </c>
      <c r="Y39" s="7">
        <f t="shared" si="16"/>
        <v>10351.16</v>
      </c>
      <c r="Z39" s="7">
        <f t="shared" si="18"/>
        <v>9971.2373242421672</v>
      </c>
      <c r="AA39" s="7">
        <f t="shared" si="17"/>
        <v>379.922675757832</v>
      </c>
      <c r="AB39" s="7">
        <f t="shared" si="19"/>
        <v>406369.70594329765</v>
      </c>
      <c r="AG39" t="s">
        <v>410</v>
      </c>
      <c r="AH39" s="5">
        <v>0.34799999999999998</v>
      </c>
      <c r="AI39" s="177">
        <f t="shared" si="15"/>
        <v>0.17399999999999999</v>
      </c>
      <c r="AK39" s="60">
        <f>+AVERAGE(AI38:AI39)</f>
        <v>0.16237499999999999</v>
      </c>
      <c r="AW39" s="114" t="s">
        <v>413</v>
      </c>
      <c r="AX39" s="59">
        <v>0.84549999999999992</v>
      </c>
      <c r="BB39" s="187">
        <v>42167</v>
      </c>
      <c r="BC39" s="180">
        <v>0.05</v>
      </c>
      <c r="BD39" s="191">
        <v>42167</v>
      </c>
      <c r="BE39" s="192">
        <v>0.45600000000000002</v>
      </c>
      <c r="BH39" s="94">
        <v>42131</v>
      </c>
      <c r="BI39" s="95">
        <v>0.16200000000000001</v>
      </c>
      <c r="BJ39" s="96">
        <v>8.5399999999999991</v>
      </c>
    </row>
    <row r="40" spans="1:62" ht="14.4" thickBot="1" x14ac:dyDescent="0.3">
      <c r="B40" s="27">
        <v>45778</v>
      </c>
      <c r="C40" s="22" t="s">
        <v>21</v>
      </c>
      <c r="D40" s="23">
        <f>+D35-D38</f>
        <v>262621.28571428568</v>
      </c>
      <c r="E40" s="24" t="s">
        <v>22</v>
      </c>
      <c r="F40" s="25"/>
      <c r="G40" s="35">
        <f>+G35-G38</f>
        <v>264194.75571428565</v>
      </c>
      <c r="X40" s="172">
        <v>44136</v>
      </c>
      <c r="Y40" s="173">
        <f t="shared" si="16"/>
        <v>10351.16</v>
      </c>
      <c r="Z40" s="173">
        <f t="shared" si="18"/>
        <v>9976.2613701725331</v>
      </c>
      <c r="AA40" s="173">
        <f t="shared" si="17"/>
        <v>374.89862982746666</v>
      </c>
      <c r="AB40" s="173">
        <f t="shared" si="19"/>
        <v>396393.4445731251</v>
      </c>
      <c r="AC40" s="72"/>
      <c r="AG40" s="174" t="s">
        <v>413</v>
      </c>
      <c r="AH40" s="5"/>
      <c r="AI40" s="60"/>
      <c r="AW40" s="115" t="s">
        <v>409</v>
      </c>
      <c r="AX40" s="59">
        <v>0.41699999999999998</v>
      </c>
      <c r="BB40" s="187">
        <v>42170</v>
      </c>
      <c r="BC40" s="180">
        <v>4.9000000000000002E-2</v>
      </c>
      <c r="BD40" s="191">
        <v>42170</v>
      </c>
      <c r="BE40" s="192">
        <v>0.46300000000000002</v>
      </c>
      <c r="BH40" s="94">
        <v>42132</v>
      </c>
      <c r="BI40" s="95">
        <v>0.17399999999999999</v>
      </c>
      <c r="BJ40" s="96">
        <v>8.5399999999999991</v>
      </c>
    </row>
    <row r="41" spans="1:62" ht="13.8" x14ac:dyDescent="0.25">
      <c r="D41" s="12">
        <f>+D40/2</f>
        <v>131310.64285714284</v>
      </c>
      <c r="E41" s="2" t="s">
        <v>25</v>
      </c>
      <c r="X41" s="26">
        <v>44317</v>
      </c>
      <c r="Y41" s="7">
        <f t="shared" si="16"/>
        <v>10351.16</v>
      </c>
      <c r="Z41" s="7">
        <f t="shared" si="18"/>
        <v>9991.4274435853804</v>
      </c>
      <c r="AA41" s="7">
        <f t="shared" si="17"/>
        <v>359.73255641461895</v>
      </c>
      <c r="AB41" s="7">
        <f t="shared" si="19"/>
        <v>386402.01712953974</v>
      </c>
      <c r="AG41" t="s">
        <v>409</v>
      </c>
      <c r="AH41" s="5">
        <v>0.41699999999999998</v>
      </c>
      <c r="AI41" s="175">
        <f t="shared" si="15"/>
        <v>0.20849999999999999</v>
      </c>
      <c r="AW41" s="115" t="s">
        <v>410</v>
      </c>
      <c r="AX41" s="59">
        <v>0.42849999999999999</v>
      </c>
      <c r="BB41" s="187">
        <v>42171</v>
      </c>
      <c r="BC41" s="180">
        <v>5.0999999999999997E-2</v>
      </c>
      <c r="BD41" s="191">
        <v>42171</v>
      </c>
      <c r="BE41" s="192">
        <v>0.47</v>
      </c>
      <c r="BH41" s="94">
        <v>42135</v>
      </c>
      <c r="BI41" s="95">
        <v>0.187</v>
      </c>
      <c r="BJ41" s="96">
        <v>8.5299999999999994</v>
      </c>
    </row>
    <row r="42" spans="1:62" ht="13.8" x14ac:dyDescent="0.25">
      <c r="D42" s="16">
        <f>+D40-D41</f>
        <v>131310.64285714284</v>
      </c>
      <c r="E42" s="2">
        <f>+D10/2</f>
        <v>427.21999999999997</v>
      </c>
      <c r="X42" s="26">
        <v>44501</v>
      </c>
      <c r="Y42" s="7">
        <f t="shared" si="16"/>
        <v>10351.16</v>
      </c>
      <c r="Z42" s="7">
        <f t="shared" si="18"/>
        <v>9994.6826724192706</v>
      </c>
      <c r="AA42" s="7">
        <f t="shared" si="17"/>
        <v>356.47732758072982</v>
      </c>
      <c r="AB42" s="7">
        <f t="shared" si="19"/>
        <v>376407.33445712045</v>
      </c>
      <c r="AG42" t="s">
        <v>410</v>
      </c>
      <c r="AH42" s="5">
        <v>0.42849999999999999</v>
      </c>
      <c r="AI42" s="175">
        <f t="shared" si="15"/>
        <v>0.21425</v>
      </c>
      <c r="AK42" s="60">
        <f>+AVERAGE(AI41:AI42)</f>
        <v>0.21137499999999998</v>
      </c>
      <c r="AW42" s="114" t="s">
        <v>414</v>
      </c>
      <c r="AX42" s="59">
        <v>0.34749999999999998</v>
      </c>
      <c r="BB42" s="187">
        <v>42172</v>
      </c>
      <c r="BC42" s="180">
        <v>4.9000000000000002E-2</v>
      </c>
      <c r="BD42" s="191">
        <v>42172</v>
      </c>
      <c r="BE42" s="192">
        <v>0.47799999999999998</v>
      </c>
      <c r="BH42" s="94">
        <v>42136</v>
      </c>
      <c r="BI42" s="95">
        <v>0.20399999999999999</v>
      </c>
      <c r="BJ42" s="96">
        <v>8.5299999999999994</v>
      </c>
    </row>
    <row r="43" spans="1:62" ht="13.8" x14ac:dyDescent="0.25">
      <c r="B43" s="225"/>
      <c r="C43" s="228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6">
        <v>44682</v>
      </c>
      <c r="Y43" s="7">
        <f t="shared" si="16"/>
        <v>10351.16</v>
      </c>
      <c r="Z43" s="7">
        <f t="shared" si="18"/>
        <v>10009.565116100517</v>
      </c>
      <c r="AA43" s="7">
        <f t="shared" si="17"/>
        <v>341.59488389948206</v>
      </c>
      <c r="AB43" s="7">
        <f t="shared" si="19"/>
        <v>366397.76934101991</v>
      </c>
      <c r="AC43" s="43">
        <v>319549.96999999997</v>
      </c>
      <c r="AG43" s="174" t="s">
        <v>414</v>
      </c>
      <c r="AH43" s="5"/>
      <c r="AI43" s="60"/>
      <c r="AW43" s="115" t="s">
        <v>409</v>
      </c>
      <c r="AX43" s="59">
        <v>0.28699999999999998</v>
      </c>
      <c r="BB43" s="187">
        <v>42173</v>
      </c>
      <c r="BC43" s="180">
        <v>4.9000000000000002E-2</v>
      </c>
      <c r="BD43" s="191">
        <v>42173</v>
      </c>
      <c r="BE43" s="192">
        <v>0.48599999999999999</v>
      </c>
      <c r="BH43" s="94">
        <v>42137</v>
      </c>
      <c r="BI43" s="95">
        <v>0.221</v>
      </c>
      <c r="BJ43" s="96">
        <v>8.5299999999999994</v>
      </c>
    </row>
    <row r="44" spans="1:62" ht="14.4" thickBot="1" x14ac:dyDescent="0.3">
      <c r="B44" s="225"/>
      <c r="C44" s="228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5"/>
      <c r="W44" s="225"/>
      <c r="X44" s="26">
        <v>44866</v>
      </c>
      <c r="Y44" s="7">
        <f t="shared" si="16"/>
        <v>10351.16</v>
      </c>
      <c r="Z44" s="7">
        <f t="shared" si="18"/>
        <v>10013.13770235128</v>
      </c>
      <c r="AA44" s="7">
        <f t="shared" si="17"/>
        <v>338.02229764872089</v>
      </c>
      <c r="AB44" s="7">
        <f t="shared" si="19"/>
        <v>356384.63163866865</v>
      </c>
      <c r="AG44" t="s">
        <v>409</v>
      </c>
      <c r="AH44" s="5">
        <v>0.28699999999999998</v>
      </c>
      <c r="AI44" s="175">
        <f t="shared" si="15"/>
        <v>0.14349999999999999</v>
      </c>
      <c r="AW44" s="115" t="s">
        <v>410</v>
      </c>
      <c r="AX44" s="59">
        <v>6.0499999999999998E-2</v>
      </c>
      <c r="BB44" s="187">
        <v>42174</v>
      </c>
      <c r="BC44" s="180">
        <v>0.05</v>
      </c>
      <c r="BD44" s="191">
        <v>42174</v>
      </c>
      <c r="BE44" s="192">
        <v>0.49399999999999999</v>
      </c>
      <c r="BH44" s="94">
        <v>42139</v>
      </c>
      <c r="BI44" s="95">
        <v>0.23799999999999999</v>
      </c>
      <c r="BJ44" s="96">
        <v>8.52</v>
      </c>
    </row>
    <row r="45" spans="1:62" ht="14.4" thickBot="1" x14ac:dyDescent="0.3">
      <c r="A45" s="207"/>
      <c r="B45" s="208" t="s">
        <v>429</v>
      </c>
      <c r="C45" s="209" t="s">
        <v>435</v>
      </c>
      <c r="D45" s="210"/>
      <c r="E45" s="225"/>
      <c r="F45" s="225"/>
      <c r="G45" s="225"/>
      <c r="H45" s="225"/>
      <c r="I45" s="225"/>
      <c r="J45" s="225"/>
      <c r="K45" s="225"/>
      <c r="L45" s="116"/>
      <c r="M45" s="179">
        <v>44225</v>
      </c>
      <c r="N45" s="117"/>
      <c r="O45" s="118"/>
      <c r="P45" s="297" t="s">
        <v>457</v>
      </c>
      <c r="Q45" s="225"/>
      <c r="R45" s="225"/>
      <c r="S45" s="225"/>
      <c r="T45" s="225"/>
      <c r="U45" s="225"/>
      <c r="V45" s="225"/>
      <c r="W45" s="225"/>
      <c r="X45" s="26">
        <v>45047</v>
      </c>
      <c r="Y45" s="7">
        <f t="shared" si="16"/>
        <v>10351.16</v>
      </c>
      <c r="Z45" s="7">
        <f t="shared" si="18"/>
        <v>10027.735997001357</v>
      </c>
      <c r="AA45" s="7">
        <f t="shared" si="17"/>
        <v>323.42400299864232</v>
      </c>
      <c r="AB45" s="7">
        <f t="shared" si="19"/>
        <v>346356.8956416673</v>
      </c>
      <c r="AG45" t="s">
        <v>410</v>
      </c>
      <c r="AH45" s="5">
        <v>6.0499999999999998E-2</v>
      </c>
      <c r="AI45" s="175">
        <f t="shared" si="15"/>
        <v>3.0249999999999999E-2</v>
      </c>
      <c r="AK45" s="60">
        <f>+AVERAGE(AI44:AI45)</f>
        <v>8.6874999999999994E-2</v>
      </c>
      <c r="AW45" s="114" t="s">
        <v>415</v>
      </c>
      <c r="AX45" s="59">
        <v>0.10749999999999998</v>
      </c>
      <c r="BB45" s="187">
        <v>42177</v>
      </c>
      <c r="BC45" s="180">
        <v>4.8000000000000001E-2</v>
      </c>
      <c r="BD45" s="191">
        <v>42177</v>
      </c>
      <c r="BE45" s="192">
        <v>0.502</v>
      </c>
      <c r="BH45" s="94">
        <v>42142</v>
      </c>
      <c r="BI45" s="95">
        <v>0.25600000000000001</v>
      </c>
      <c r="BJ45" s="96">
        <v>8.51</v>
      </c>
    </row>
    <row r="46" spans="1:62" ht="14.4" thickBot="1" x14ac:dyDescent="0.3">
      <c r="A46" s="211"/>
      <c r="B46" s="212" t="s">
        <v>427</v>
      </c>
      <c r="C46" s="212">
        <v>11415</v>
      </c>
      <c r="D46" s="213" t="s">
        <v>428</v>
      </c>
      <c r="E46" s="225"/>
      <c r="F46" s="225"/>
      <c r="G46" s="225"/>
      <c r="H46" s="272" t="s">
        <v>443</v>
      </c>
      <c r="I46" s="273" t="s">
        <v>451</v>
      </c>
      <c r="J46" s="248"/>
      <c r="K46" s="225"/>
      <c r="L46" s="131"/>
      <c r="M46" s="132" t="s">
        <v>43</v>
      </c>
      <c r="N46" s="132"/>
      <c r="O46" s="133"/>
      <c r="P46" s="297" t="s">
        <v>458</v>
      </c>
      <c r="Q46" s="225"/>
      <c r="R46" s="225"/>
      <c r="S46" s="225"/>
      <c r="T46" s="225"/>
      <c r="U46" s="225"/>
      <c r="V46" s="225"/>
      <c r="W46" s="225"/>
      <c r="X46" s="26">
        <v>45231</v>
      </c>
      <c r="Y46" s="7">
        <f t="shared" si="16"/>
        <v>10351.16</v>
      </c>
      <c r="Z46" s="7">
        <f t="shared" si="18"/>
        <v>10031.626521720804</v>
      </c>
      <c r="AA46" s="7">
        <f t="shared" si="17"/>
        <v>319.53347827919595</v>
      </c>
      <c r="AB46" s="7">
        <f t="shared" si="19"/>
        <v>336325.26911994652</v>
      </c>
      <c r="AG46" s="174" t="s">
        <v>415</v>
      </c>
      <c r="AH46" s="5"/>
      <c r="AI46" s="60"/>
      <c r="AW46" s="115" t="s">
        <v>409</v>
      </c>
      <c r="AX46" s="59">
        <v>0.22149999999999997</v>
      </c>
      <c r="BB46" s="187">
        <v>42178</v>
      </c>
      <c r="BC46" s="180">
        <v>4.8000000000000001E-2</v>
      </c>
      <c r="BD46" s="191">
        <v>42178</v>
      </c>
      <c r="BE46" s="192">
        <v>0.51200000000000001</v>
      </c>
      <c r="BH46" s="94">
        <v>42143</v>
      </c>
      <c r="BI46" s="95">
        <v>0.27200000000000002</v>
      </c>
      <c r="BJ46" s="96">
        <v>8.51</v>
      </c>
    </row>
    <row r="47" spans="1:62" ht="13.8" x14ac:dyDescent="0.25">
      <c r="A47" s="211"/>
      <c r="B47" s="214" t="s">
        <v>432</v>
      </c>
      <c r="C47" s="214"/>
      <c r="D47" s="215"/>
      <c r="E47" s="225"/>
      <c r="F47" s="225"/>
      <c r="G47" s="225"/>
      <c r="H47" s="203">
        <v>592.36</v>
      </c>
      <c r="I47" s="249">
        <v>98.63</v>
      </c>
      <c r="J47" s="271" t="s">
        <v>438</v>
      </c>
      <c r="K47" s="225"/>
      <c r="L47" s="119"/>
      <c r="M47" s="122" t="s">
        <v>44</v>
      </c>
      <c r="N47" s="123">
        <v>344868.47</v>
      </c>
      <c r="O47" s="121"/>
      <c r="P47" s="297" t="s">
        <v>459</v>
      </c>
      <c r="Q47" s="225"/>
      <c r="R47" s="225"/>
      <c r="S47" s="225"/>
      <c r="T47" s="225"/>
      <c r="U47" s="225"/>
      <c r="V47" s="225"/>
      <c r="W47" s="225"/>
      <c r="X47" s="26">
        <v>45413</v>
      </c>
      <c r="Y47" s="7">
        <f t="shared" si="16"/>
        <v>10351.16</v>
      </c>
      <c r="Z47" s="7">
        <f t="shared" si="18"/>
        <v>10044.253849559462</v>
      </c>
      <c r="AA47" s="7">
        <f t="shared" si="17"/>
        <v>306.90615044053789</v>
      </c>
      <c r="AB47" s="7">
        <f t="shared" si="19"/>
        <v>326281.01527038706</v>
      </c>
      <c r="AG47" t="s">
        <v>409</v>
      </c>
      <c r="AH47" s="5">
        <v>0.22149999999999997</v>
      </c>
      <c r="AI47" s="175">
        <f t="shared" si="15"/>
        <v>0.11074999999999999</v>
      </c>
      <c r="AW47" s="115" t="s">
        <v>410</v>
      </c>
      <c r="AX47" s="59">
        <v>-0.11399999999999999</v>
      </c>
      <c r="BB47" s="187">
        <v>42179</v>
      </c>
      <c r="BC47" s="180">
        <v>4.9000000000000002E-2</v>
      </c>
      <c r="BD47" s="191">
        <v>42179</v>
      </c>
      <c r="BE47" s="192">
        <v>0.53700000000000003</v>
      </c>
      <c r="BH47" s="94">
        <v>42144</v>
      </c>
      <c r="BI47" s="95">
        <v>0.28699999999999998</v>
      </c>
      <c r="BJ47" s="96">
        <v>8.51</v>
      </c>
    </row>
    <row r="48" spans="1:62" ht="13.8" x14ac:dyDescent="0.25">
      <c r="A48" s="216" t="s">
        <v>431</v>
      </c>
      <c r="B48" s="217">
        <v>3750</v>
      </c>
      <c r="C48" s="218">
        <f>+B48/C46</f>
        <v>0.32851511169513797</v>
      </c>
      <c r="D48" s="215" t="s">
        <v>433</v>
      </c>
      <c r="E48" s="225"/>
      <c r="F48" s="225"/>
      <c r="G48" s="225"/>
      <c r="H48" s="203">
        <v>766</v>
      </c>
      <c r="I48" s="64">
        <v>129</v>
      </c>
      <c r="J48" s="271" t="s">
        <v>439</v>
      </c>
      <c r="K48" s="225"/>
      <c r="L48" s="119"/>
      <c r="M48" s="122" t="s">
        <v>45</v>
      </c>
      <c r="N48" s="123">
        <v>36480</v>
      </c>
      <c r="O48" s="121"/>
      <c r="P48" s="297" t="s">
        <v>460</v>
      </c>
      <c r="Q48" s="225"/>
      <c r="R48" s="225"/>
      <c r="S48" s="225"/>
      <c r="T48" s="225"/>
      <c r="U48" s="225"/>
      <c r="V48" s="225"/>
      <c r="W48" s="225"/>
      <c r="X48" s="26">
        <v>45597</v>
      </c>
      <c r="Y48" s="7">
        <f t="shared" si="16"/>
        <v>10351.16</v>
      </c>
      <c r="Z48" s="7">
        <f t="shared" si="18"/>
        <v>10050.147636689997</v>
      </c>
      <c r="AA48" s="7">
        <f t="shared" si="17"/>
        <v>301.01236331000263</v>
      </c>
      <c r="AB48" s="7">
        <f t="shared" si="19"/>
        <v>316230.86763369705</v>
      </c>
      <c r="AG48" t="s">
        <v>410</v>
      </c>
      <c r="AH48" s="194">
        <v>-0.11399999999999999</v>
      </c>
      <c r="AI48" s="178">
        <f t="shared" si="15"/>
        <v>-5.6999999999999995E-2</v>
      </c>
      <c r="AK48" s="60">
        <f>+AVERAGE(AI47:AI48)</f>
        <v>2.6874999999999996E-2</v>
      </c>
      <c r="AW48" s="114" t="s">
        <v>416</v>
      </c>
      <c r="AX48" s="59">
        <v>4.0999999999999981E-2</v>
      </c>
      <c r="BB48" s="187">
        <v>42180</v>
      </c>
      <c r="BC48" s="180">
        <v>4.9000000000000002E-2</v>
      </c>
      <c r="BD48" s="191">
        <v>42180</v>
      </c>
      <c r="BE48" s="192">
        <v>0.54800000000000004</v>
      </c>
      <c r="BH48" s="94">
        <v>42145</v>
      </c>
      <c r="BI48" s="95">
        <v>0.30499999999999999</v>
      </c>
      <c r="BJ48" s="96">
        <v>8.51</v>
      </c>
    </row>
    <row r="49" spans="1:62" ht="14.4" thickBot="1" x14ac:dyDescent="0.3">
      <c r="A49" s="216" t="s">
        <v>430</v>
      </c>
      <c r="B49" s="217">
        <v>29140</v>
      </c>
      <c r="C49" s="218">
        <f>+B49/C46</f>
        <v>2.5527814279456855</v>
      </c>
      <c r="D49" s="215" t="s">
        <v>433</v>
      </c>
      <c r="E49" s="225"/>
      <c r="F49" s="225"/>
      <c r="G49" s="225"/>
      <c r="H49" s="203">
        <v>470.19</v>
      </c>
      <c r="I49" s="64">
        <v>73.69</v>
      </c>
      <c r="J49" s="271" t="s">
        <v>440</v>
      </c>
      <c r="K49" s="225"/>
      <c r="L49" s="169"/>
      <c r="M49" s="170" t="s">
        <v>46</v>
      </c>
      <c r="N49" s="171">
        <v>82579</v>
      </c>
      <c r="O49" s="121"/>
      <c r="P49" s="297" t="s">
        <v>461</v>
      </c>
      <c r="Q49" s="225"/>
      <c r="R49" s="225"/>
      <c r="S49" s="225"/>
      <c r="T49" s="225"/>
      <c r="U49" s="225"/>
      <c r="V49" s="225"/>
      <c r="W49" s="225"/>
      <c r="X49" s="41">
        <v>45778</v>
      </c>
      <c r="Y49" s="42">
        <f t="shared" si="16"/>
        <v>10351.16</v>
      </c>
      <c r="Z49" s="42">
        <f t="shared" si="18"/>
        <v>10064.176095527037</v>
      </c>
      <c r="AA49" s="42">
        <f t="shared" si="17"/>
        <v>286.98390447296384</v>
      </c>
      <c r="AB49" s="42">
        <f t="shared" si="19"/>
        <v>306166.69153817004</v>
      </c>
      <c r="AG49" s="174" t="s">
        <v>416</v>
      </c>
      <c r="AH49" s="5"/>
      <c r="AI49" s="60"/>
      <c r="AW49" s="115" t="s">
        <v>409</v>
      </c>
      <c r="AX49" s="59">
        <v>2.5000000000000022E-3</v>
      </c>
      <c r="BB49" s="187">
        <v>42181</v>
      </c>
      <c r="BC49" s="180">
        <v>0.05</v>
      </c>
      <c r="BD49" s="191">
        <v>42181</v>
      </c>
      <c r="BE49" s="192">
        <v>0.56000000000000005</v>
      </c>
      <c r="BH49" s="94">
        <v>42146</v>
      </c>
      <c r="BI49" s="95">
        <v>0.31900000000000001</v>
      </c>
      <c r="BJ49" s="96">
        <v>8.5</v>
      </c>
    </row>
    <row r="50" spans="1:62" ht="14.4" thickBot="1" x14ac:dyDescent="0.3">
      <c r="A50" s="216" t="s">
        <v>426</v>
      </c>
      <c r="B50" s="214"/>
      <c r="C50" s="219">
        <f>+-(C49-D50)</f>
        <v>-1.2777814279456856</v>
      </c>
      <c r="D50" s="220">
        <v>1.2749999999999999</v>
      </c>
      <c r="E50" s="225"/>
      <c r="F50" s="225"/>
      <c r="G50" s="225"/>
      <c r="H50" s="203">
        <v>37.44</v>
      </c>
      <c r="I50" s="249">
        <v>6.24</v>
      </c>
      <c r="J50" s="271" t="s">
        <v>441</v>
      </c>
      <c r="K50" s="274">
        <f>+L53</f>
        <v>0.94713656387665224</v>
      </c>
      <c r="L50" s="119"/>
      <c r="M50" s="163">
        <f>+N50-AB33</f>
        <v>-2124.5400000000373</v>
      </c>
      <c r="N50" s="168">
        <f>SUM(N47:N49)</f>
        <v>463927.47</v>
      </c>
      <c r="O50" s="121"/>
      <c r="P50" s="298" t="s">
        <v>462</v>
      </c>
      <c r="Q50" s="225"/>
      <c r="R50" s="225"/>
      <c r="S50" s="225"/>
      <c r="T50" s="225"/>
      <c r="U50" s="225"/>
      <c r="V50" s="225"/>
      <c r="W50" s="225"/>
      <c r="X50" s="26">
        <v>45962</v>
      </c>
      <c r="Y50" s="7">
        <f t="shared" si="16"/>
        <v>10351.16</v>
      </c>
      <c r="Z50" s="7">
        <f t="shared" si="18"/>
        <v>10068.704217795397</v>
      </c>
      <c r="AA50" s="7">
        <f t="shared" si="17"/>
        <v>282.45578220460288</v>
      </c>
      <c r="AB50" s="7">
        <f t="shared" si="19"/>
        <v>296097.98732037464</v>
      </c>
      <c r="AG50" t="s">
        <v>409</v>
      </c>
      <c r="AH50" s="5">
        <v>2.5000000000000022E-3</v>
      </c>
      <c r="AI50" s="175">
        <f t="shared" si="15"/>
        <v>1.2500000000000011E-3</v>
      </c>
      <c r="AW50" s="115" t="s">
        <v>410</v>
      </c>
      <c r="AX50" s="59">
        <v>3.8499999999999979E-2</v>
      </c>
      <c r="BB50" s="187">
        <v>42184</v>
      </c>
      <c r="BC50" s="180">
        <v>0.05</v>
      </c>
      <c r="BD50" s="191">
        <v>42184</v>
      </c>
      <c r="BE50" s="192">
        <v>0.57199999999999995</v>
      </c>
      <c r="BH50" s="94">
        <v>42150</v>
      </c>
      <c r="BI50" s="95">
        <v>0.33200000000000002</v>
      </c>
      <c r="BJ50" s="96">
        <v>8.49</v>
      </c>
    </row>
    <row r="51" spans="1:62" ht="16.2" thickBot="1" x14ac:dyDescent="0.35">
      <c r="A51" s="221"/>
      <c r="B51" s="222" t="s">
        <v>425</v>
      </c>
      <c r="C51" s="223">
        <f>SUM(C48:C50)</f>
        <v>1.6035151116951378</v>
      </c>
      <c r="D51" s="224" t="s">
        <v>433</v>
      </c>
      <c r="E51" s="225"/>
      <c r="F51" s="288" t="s">
        <v>445</v>
      </c>
      <c r="G51" s="252"/>
      <c r="H51" s="247">
        <v>138.38</v>
      </c>
      <c r="I51" s="250">
        <v>23.27</v>
      </c>
      <c r="J51" s="271" t="s">
        <v>442</v>
      </c>
      <c r="K51" s="274">
        <f>+L53</f>
        <v>0.94713656387665224</v>
      </c>
      <c r="L51" s="119"/>
      <c r="M51" s="120"/>
      <c r="N51" s="120"/>
      <c r="O51" s="121"/>
      <c r="P51" s="297" t="s">
        <v>463</v>
      </c>
      <c r="Q51" s="225"/>
      <c r="R51" s="225"/>
      <c r="S51" s="225"/>
      <c r="T51" s="225"/>
      <c r="U51" s="225"/>
      <c r="V51" s="225"/>
      <c r="W51" s="225"/>
      <c r="X51" s="26">
        <v>46143</v>
      </c>
      <c r="Y51" s="7">
        <f t="shared" si="16"/>
        <v>10351.16</v>
      </c>
      <c r="Z51" s="7">
        <f t="shared" si="18"/>
        <v>10082.446964034714</v>
      </c>
      <c r="AA51" s="7">
        <f t="shared" si="17"/>
        <v>268.71303596528611</v>
      </c>
      <c r="AB51" s="7">
        <f t="shared" si="19"/>
        <v>286015.54035633994</v>
      </c>
      <c r="AG51" t="s">
        <v>410</v>
      </c>
      <c r="AH51" s="5">
        <v>3.8499999999999979E-2</v>
      </c>
      <c r="AI51" s="175">
        <f t="shared" si="15"/>
        <v>1.9249999999999989E-2</v>
      </c>
      <c r="AK51" s="60">
        <f>+AVERAGE(AI50:AI51)</f>
        <v>1.0249999999999995E-2</v>
      </c>
      <c r="AW51" s="114" t="s">
        <v>417</v>
      </c>
      <c r="AX51" s="59">
        <v>3.4560000000000004</v>
      </c>
      <c r="BB51" s="187">
        <v>42185</v>
      </c>
      <c r="BC51" s="180">
        <v>0.05</v>
      </c>
      <c r="BD51" s="191">
        <v>42185</v>
      </c>
      <c r="BE51" s="192">
        <v>0.58299999999999996</v>
      </c>
      <c r="BH51" s="94">
        <v>42151</v>
      </c>
      <c r="BI51" s="95">
        <v>0.34399999999999997</v>
      </c>
      <c r="BJ51" s="96">
        <v>8.49</v>
      </c>
    </row>
    <row r="52" spans="1:62" ht="21.6" thickBot="1" x14ac:dyDescent="0.45">
      <c r="A52" s="229" t="s">
        <v>28</v>
      </c>
      <c r="B52" s="225"/>
      <c r="C52" s="225"/>
      <c r="D52" s="225"/>
      <c r="E52" s="225"/>
      <c r="F52" s="280">
        <v>766</v>
      </c>
      <c r="G52" s="281" t="s">
        <v>452</v>
      </c>
      <c r="H52" s="203">
        <f>SUM(H47:H51)</f>
        <v>2004.3700000000003</v>
      </c>
      <c r="I52" s="64">
        <f>SUM(I47:I51)</f>
        <v>330.83</v>
      </c>
      <c r="J52" s="204"/>
      <c r="K52" s="225"/>
      <c r="L52" s="124"/>
      <c r="M52" s="161" t="s">
        <v>420</v>
      </c>
      <c r="N52" s="162">
        <v>5776.89</v>
      </c>
      <c r="O52" s="125"/>
      <c r="P52" s="297" t="s">
        <v>464</v>
      </c>
      <c r="Q52" s="225"/>
      <c r="R52" s="225"/>
      <c r="S52" s="225"/>
      <c r="T52" s="225"/>
      <c r="U52" s="225"/>
      <c r="V52" s="225"/>
      <c r="W52" s="225"/>
      <c r="X52" s="26">
        <v>46327</v>
      </c>
      <c r="Y52" s="7">
        <f t="shared" si="16"/>
        <v>10351.16</v>
      </c>
      <c r="Z52" s="7">
        <f t="shared" si="18"/>
        <v>10087.294774269034</v>
      </c>
      <c r="AA52" s="7">
        <f t="shared" si="17"/>
        <v>263.86522573096568</v>
      </c>
      <c r="AB52" s="7">
        <f t="shared" ref="AB52:AB67" si="20">+AB51-Z52</f>
        <v>275928.2455820709</v>
      </c>
      <c r="AG52" s="174" t="s">
        <v>417</v>
      </c>
      <c r="AH52" s="5"/>
      <c r="AI52" s="60"/>
      <c r="AW52" s="115" t="s">
        <v>409</v>
      </c>
      <c r="AX52" s="59">
        <v>0.70650000000000002</v>
      </c>
      <c r="BB52" s="187">
        <v>42186</v>
      </c>
      <c r="BC52" s="180">
        <v>4.9000000000000002E-2</v>
      </c>
      <c r="BD52" s="191">
        <v>42186</v>
      </c>
      <c r="BE52" s="192">
        <v>0.59</v>
      </c>
      <c r="BH52" s="94">
        <v>42152</v>
      </c>
      <c r="BI52" s="95">
        <v>0.35599999999999998</v>
      </c>
      <c r="BJ52" s="96">
        <v>8.49</v>
      </c>
    </row>
    <row r="53" spans="1:62" ht="21.6" thickBot="1" x14ac:dyDescent="0.45">
      <c r="B53" s="225"/>
      <c r="C53" s="225"/>
      <c r="D53" s="225"/>
      <c r="E53" s="225"/>
      <c r="F53" s="282">
        <v>126.58</v>
      </c>
      <c r="G53" s="283" t="s">
        <v>444</v>
      </c>
      <c r="H53" s="244"/>
      <c r="I53" s="64"/>
      <c r="J53" s="204"/>
      <c r="K53" s="225">
        <f>+(I50+I51)*L53</f>
        <v>27.950000000000006</v>
      </c>
      <c r="L53" s="275">
        <v>0.94713656387665224</v>
      </c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6">
        <v>46508</v>
      </c>
      <c r="Y53" s="7">
        <f t="shared" si="16"/>
        <v>10351.16</v>
      </c>
      <c r="Z53" s="7">
        <f t="shared" si="18"/>
        <v>10100.751284797527</v>
      </c>
      <c r="AA53" s="7">
        <f t="shared" si="17"/>
        <v>250.40871520247356</v>
      </c>
      <c r="AB53" s="7">
        <f t="shared" si="20"/>
        <v>265827.4942972734</v>
      </c>
      <c r="AG53" t="s">
        <v>409</v>
      </c>
      <c r="AH53" s="5">
        <v>0.70650000000000002</v>
      </c>
      <c r="AI53" s="175">
        <f t="shared" si="15"/>
        <v>0.35325000000000001</v>
      </c>
      <c r="AW53" s="115" t="s">
        <v>410</v>
      </c>
      <c r="AX53" s="59">
        <v>2.7495000000000003</v>
      </c>
      <c r="BB53" s="187">
        <v>42187</v>
      </c>
      <c r="BC53" s="180">
        <v>4.8000000000000001E-2</v>
      </c>
      <c r="BD53" s="191">
        <v>42187</v>
      </c>
      <c r="BE53" s="192">
        <v>0.59599999999999997</v>
      </c>
      <c r="BH53" s="94">
        <v>42153</v>
      </c>
      <c r="BI53" s="95">
        <v>0.36699999999999999</v>
      </c>
      <c r="BJ53" s="96">
        <v>8.48</v>
      </c>
    </row>
    <row r="54" spans="1:62" ht="21.6" thickBot="1" x14ac:dyDescent="0.45">
      <c r="B54" s="225"/>
      <c r="C54" s="225"/>
      <c r="D54" s="225"/>
      <c r="E54" s="225"/>
      <c r="F54" s="278">
        <f>+F53/F52</f>
        <v>0.16524804177545691</v>
      </c>
      <c r="G54" s="279" t="s">
        <v>454</v>
      </c>
      <c r="H54" s="245"/>
      <c r="I54" s="251">
        <f>+I47+I50*K50+I51*K51</f>
        <v>126.58000000000001</v>
      </c>
      <c r="J54" s="206"/>
      <c r="K54" s="225">
        <f>+K53+I47</f>
        <v>126.58</v>
      </c>
      <c r="L54" s="225">
        <f>+K54-F53</f>
        <v>0</v>
      </c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6">
        <v>46692</v>
      </c>
      <c r="Y54" s="7">
        <f t="shared" si="16"/>
        <v>10351.16</v>
      </c>
      <c r="Z54" s="7">
        <f t="shared" si="18"/>
        <v>10105.919368316638</v>
      </c>
      <c r="AA54" s="7">
        <f t="shared" si="17"/>
        <v>245.24063168336232</v>
      </c>
      <c r="AB54" s="7">
        <f t="shared" si="20"/>
        <v>255721.57492895675</v>
      </c>
      <c r="AG54" t="s">
        <v>410</v>
      </c>
      <c r="AH54" s="5">
        <v>2.7495000000000003</v>
      </c>
      <c r="AI54" s="175">
        <f t="shared" si="15"/>
        <v>1.3747500000000001</v>
      </c>
      <c r="AK54" s="60">
        <f>+AVERAGE(AI53:AI54)</f>
        <v>0.8640000000000001</v>
      </c>
      <c r="AL54" s="7">
        <f>+AH54/AH33-1</f>
        <v>3.8663716814159299</v>
      </c>
      <c r="AW54" s="114" t="s">
        <v>407</v>
      </c>
      <c r="AX54" s="59">
        <v>7.043499999999999</v>
      </c>
      <c r="BB54" s="187">
        <v>42188</v>
      </c>
      <c r="BC54" s="180">
        <v>4.9000000000000002E-2</v>
      </c>
      <c r="BD54" s="191">
        <v>42188</v>
      </c>
      <c r="BE54" s="192">
        <v>0.59799999999999998</v>
      </c>
      <c r="BH54" s="94">
        <v>42156</v>
      </c>
      <c r="BI54" s="95">
        <v>0.374</v>
      </c>
      <c r="BJ54" s="96">
        <v>8.48</v>
      </c>
    </row>
    <row r="55" spans="1:62" ht="13.8" x14ac:dyDescent="0.25">
      <c r="A55" s="277">
        <v>2701941</v>
      </c>
      <c r="B55" s="266"/>
      <c r="C55" s="225"/>
      <c r="D55" s="225"/>
      <c r="E55" s="225"/>
      <c r="F55" s="225">
        <v>1</v>
      </c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/>
      <c r="S55" s="225"/>
      <c r="T55" s="225"/>
      <c r="U55" s="225"/>
      <c r="V55" s="225"/>
      <c r="W55" s="225"/>
      <c r="X55" s="26">
        <v>46874</v>
      </c>
      <c r="Y55" s="7">
        <f t="shared" si="16"/>
        <v>10351.16</v>
      </c>
      <c r="Z55" s="7">
        <f t="shared" si="18"/>
        <v>10117.806959500245</v>
      </c>
      <c r="AA55" s="7">
        <f t="shared" si="17"/>
        <v>233.35304049975437</v>
      </c>
      <c r="AB55" s="7">
        <f t="shared" si="20"/>
        <v>245603.7679694565</v>
      </c>
      <c r="AI55" s="60"/>
      <c r="BB55" s="187">
        <v>42191</v>
      </c>
      <c r="BC55" s="180">
        <v>4.9000000000000002E-2</v>
      </c>
      <c r="BD55" s="191">
        <v>42191</v>
      </c>
      <c r="BE55" s="192">
        <v>0.59799999999999998</v>
      </c>
      <c r="BH55" s="94">
        <v>42157</v>
      </c>
      <c r="BI55" s="95">
        <v>0.38200000000000001</v>
      </c>
      <c r="BJ55" s="96">
        <v>8.4700000000000006</v>
      </c>
    </row>
    <row r="56" spans="1:62" ht="14.4" thickBot="1" x14ac:dyDescent="0.3">
      <c r="A56" s="267">
        <f>+E57+N57+T57</f>
        <v>2217879</v>
      </c>
      <c r="B56" s="266">
        <f>+A55-A56</f>
        <v>484062</v>
      </c>
      <c r="C56" s="276" t="s">
        <v>453</v>
      </c>
      <c r="D56" s="225"/>
      <c r="E56" s="225"/>
      <c r="F56" s="277">
        <v>1427336.39</v>
      </c>
      <c r="G56" s="277">
        <f>+F56*F54</f>
        <v>235864.54340234984</v>
      </c>
      <c r="H56" s="225"/>
      <c r="I56" s="225"/>
      <c r="J56" s="225"/>
      <c r="K56" s="227"/>
      <c r="L56" s="225"/>
      <c r="M56" s="225"/>
      <c r="N56" s="225"/>
      <c r="O56" s="225"/>
      <c r="P56" s="225"/>
      <c r="Q56" s="225"/>
      <c r="R56" s="225"/>
      <c r="S56" s="225"/>
      <c r="T56" s="225"/>
      <c r="U56" s="225"/>
      <c r="V56" s="225"/>
      <c r="W56" s="225"/>
      <c r="X56" s="26">
        <v>47058</v>
      </c>
      <c r="Y56" s="7">
        <f t="shared" si="16"/>
        <v>10351.16</v>
      </c>
      <c r="Z56" s="7">
        <f t="shared" si="18"/>
        <v>10124.576879394401</v>
      </c>
      <c r="AA56" s="7">
        <f t="shared" si="17"/>
        <v>226.5831206055997</v>
      </c>
      <c r="AB56" s="7">
        <f t="shared" si="20"/>
        <v>235479.19109006209</v>
      </c>
      <c r="BB56" s="187">
        <v>42192</v>
      </c>
      <c r="BC56" s="180">
        <v>4.9000000000000002E-2</v>
      </c>
      <c r="BD56" s="191">
        <v>42192</v>
      </c>
      <c r="BE56" s="192">
        <v>0.59499999999999997</v>
      </c>
      <c r="BH56" s="94">
        <v>42158</v>
      </c>
      <c r="BI56" s="95">
        <v>0.39300000000000002</v>
      </c>
      <c r="BJ56" s="96">
        <v>8.4700000000000006</v>
      </c>
    </row>
    <row r="57" spans="1:62" ht="18" thickBot="1" x14ac:dyDescent="0.35">
      <c r="A57" s="286">
        <f>+N60+E60+T60</f>
        <v>366500.16164490854</v>
      </c>
      <c r="B57" s="287">
        <f>+B56*F54</f>
        <v>79990.297597911223</v>
      </c>
      <c r="C57" s="284" t="s">
        <v>455</v>
      </c>
      <c r="D57" s="225"/>
      <c r="E57" s="267">
        <v>1488279</v>
      </c>
      <c r="F57" s="225"/>
      <c r="G57" s="296">
        <v>44910</v>
      </c>
      <c r="H57" s="225"/>
      <c r="I57" s="225"/>
      <c r="J57" s="225"/>
      <c r="K57" s="225"/>
      <c r="L57" s="227"/>
      <c r="M57" s="225"/>
      <c r="N57" s="267">
        <v>510720</v>
      </c>
      <c r="O57" s="225"/>
      <c r="P57" s="225"/>
      <c r="Q57" s="225"/>
      <c r="R57" s="225"/>
      <c r="S57" s="225"/>
      <c r="T57" s="267">
        <v>218880</v>
      </c>
      <c r="U57" s="225"/>
      <c r="V57" s="225"/>
      <c r="W57" s="225"/>
      <c r="X57" s="26">
        <v>47239</v>
      </c>
      <c r="Y57" s="7">
        <f t="shared" si="16"/>
        <v>10351.16</v>
      </c>
      <c r="Z57" s="7">
        <f t="shared" si="18"/>
        <v>10137.459363541448</v>
      </c>
      <c r="AA57" s="7">
        <f t="shared" si="17"/>
        <v>213.700636458552</v>
      </c>
      <c r="AB57" s="7">
        <f t="shared" si="20"/>
        <v>225341.73172652064</v>
      </c>
      <c r="BB57" s="187">
        <v>42193</v>
      </c>
      <c r="BC57" s="180">
        <v>4.9000000000000002E-2</v>
      </c>
      <c r="BD57" s="191">
        <v>42193</v>
      </c>
      <c r="BE57" s="192">
        <v>0.58699999999999997</v>
      </c>
      <c r="BH57" s="94">
        <v>42160</v>
      </c>
      <c r="BI57" s="95">
        <v>0.40600000000000003</v>
      </c>
      <c r="BJ57" s="96">
        <v>8.4700000000000006</v>
      </c>
    </row>
    <row r="58" spans="1:62" ht="18" thickBot="1" x14ac:dyDescent="0.35">
      <c r="A58" s="238">
        <f>+EDATE(A60,12*35)</f>
        <v>54909</v>
      </c>
      <c r="B58" s="285" t="s">
        <v>437</v>
      </c>
      <c r="C58" s="225"/>
      <c r="D58" s="225"/>
      <c r="E58" s="225"/>
      <c r="F58" s="225"/>
      <c r="G58" s="292" t="s">
        <v>456</v>
      </c>
      <c r="H58" s="225"/>
      <c r="I58" s="225"/>
      <c r="J58" s="225"/>
      <c r="K58" s="253">
        <f>+EDATE(A60,12*25)</f>
        <v>51257</v>
      </c>
      <c r="L58" s="285" t="s">
        <v>450</v>
      </c>
      <c r="M58" s="225"/>
      <c r="N58" s="225"/>
      <c r="O58" s="225"/>
      <c r="P58" s="225"/>
      <c r="Q58" s="253">
        <f>+EDATE(G60,12*34)</f>
        <v>12419</v>
      </c>
      <c r="R58" s="285" t="s">
        <v>449</v>
      </c>
      <c r="S58" s="225"/>
      <c r="T58" s="225"/>
      <c r="X58" s="26">
        <v>47423</v>
      </c>
      <c r="Y58" s="7">
        <f t="shared" si="16"/>
        <v>10351.16</v>
      </c>
      <c r="Z58" s="7">
        <f t="shared" si="18"/>
        <v>10143.269733497189</v>
      </c>
      <c r="AA58" s="7">
        <f t="shared" si="17"/>
        <v>207.89026650281122</v>
      </c>
      <c r="AB58" s="7">
        <f t="shared" si="20"/>
        <v>215198.46199302346</v>
      </c>
      <c r="BB58" s="187">
        <v>42194</v>
      </c>
      <c r="BC58" s="180">
        <v>4.9000000000000002E-2</v>
      </c>
      <c r="BD58" s="191">
        <v>42194</v>
      </c>
      <c r="BE58" s="192">
        <v>0.58399999999999996</v>
      </c>
      <c r="BH58" s="94">
        <v>42163</v>
      </c>
      <c r="BI58" s="95">
        <v>0.41499999999999998</v>
      </c>
      <c r="BJ58" s="96">
        <v>8.4600000000000009</v>
      </c>
    </row>
    <row r="59" spans="1:62" ht="14.4" thickBot="1" x14ac:dyDescent="0.3">
      <c r="A59" s="52" t="s">
        <v>30</v>
      </c>
      <c r="B59" s="256" t="s">
        <v>31</v>
      </c>
      <c r="C59" s="52" t="s">
        <v>27</v>
      </c>
      <c r="D59" s="52" t="s">
        <v>26</v>
      </c>
      <c r="E59" s="231" t="s">
        <v>32</v>
      </c>
      <c r="F59" s="232" t="s">
        <v>436</v>
      </c>
      <c r="G59" s="270" t="s">
        <v>448</v>
      </c>
      <c r="H59" s="268" t="s">
        <v>402</v>
      </c>
      <c r="I59" s="225"/>
      <c r="J59" s="225"/>
      <c r="K59" s="256" t="s">
        <v>31</v>
      </c>
      <c r="L59" s="52" t="s">
        <v>27</v>
      </c>
      <c r="M59" s="52" t="s">
        <v>26</v>
      </c>
      <c r="N59" s="231" t="s">
        <v>32</v>
      </c>
      <c r="O59" s="233" t="s">
        <v>436</v>
      </c>
      <c r="P59" s="254" t="s">
        <v>444</v>
      </c>
      <c r="Q59" s="256" t="s">
        <v>31</v>
      </c>
      <c r="R59" s="52" t="s">
        <v>27</v>
      </c>
      <c r="S59" s="52" t="s">
        <v>26</v>
      </c>
      <c r="T59" s="231" t="s">
        <v>32</v>
      </c>
      <c r="X59" s="26">
        <v>47604</v>
      </c>
      <c r="Y59" s="7">
        <f t="shared" si="16"/>
        <v>10351.16</v>
      </c>
      <c r="Z59" s="7">
        <f t="shared" si="18"/>
        <v>10155.864406873803</v>
      </c>
      <c r="AA59" s="7">
        <f t="shared" si="17"/>
        <v>195.29559312619648</v>
      </c>
      <c r="AB59" s="7">
        <f t="shared" si="20"/>
        <v>205042.59758614967</v>
      </c>
      <c r="BB59" s="187">
        <v>42195</v>
      </c>
      <c r="BC59" s="180">
        <v>4.9000000000000002E-2</v>
      </c>
      <c r="BD59" s="191">
        <v>42195</v>
      </c>
      <c r="BE59" s="192">
        <v>0.58299999999999996</v>
      </c>
      <c r="BH59" s="94">
        <v>42164</v>
      </c>
      <c r="BI59" s="95">
        <v>0.42399999999999999</v>
      </c>
      <c r="BJ59" s="96">
        <v>8.4499999999999993</v>
      </c>
    </row>
    <row r="60" spans="1:62" ht="14.4" thickBot="1" x14ac:dyDescent="0.3">
      <c r="A60" s="234">
        <v>42125</v>
      </c>
      <c r="E60" s="257">
        <f>+E57*$F$54</f>
        <v>245935.19036553524</v>
      </c>
      <c r="F60" s="255">
        <f>+VLOOKUP(A60,$BB$8:$BF$1048576,5,FALSE)/100</f>
        <v>4.62E-3</v>
      </c>
      <c r="I60" s="259" t="s">
        <v>447</v>
      </c>
      <c r="J60" s="260" t="s">
        <v>446</v>
      </c>
      <c r="K60" s="63"/>
      <c r="N60" s="257">
        <f>+N57*$F$54</f>
        <v>84395.479895561351</v>
      </c>
      <c r="P60" s="63"/>
      <c r="T60" s="257">
        <f>+T57*$F$54</f>
        <v>36169.491383812005</v>
      </c>
      <c r="X60" s="26">
        <v>47788</v>
      </c>
      <c r="Y60" s="7">
        <f t="shared" si="16"/>
        <v>10351.16</v>
      </c>
      <c r="Z60" s="7">
        <f t="shared" si="18"/>
        <v>10161.996812471356</v>
      </c>
      <c r="AA60" s="7">
        <f t="shared" si="17"/>
        <v>189.16318752864456</v>
      </c>
      <c r="AB60" s="7">
        <f t="shared" si="20"/>
        <v>194880.60077367831</v>
      </c>
      <c r="BB60" s="187">
        <v>42198</v>
      </c>
      <c r="BC60" s="180">
        <v>4.9000000000000002E-2</v>
      </c>
      <c r="BD60" s="191">
        <v>42198</v>
      </c>
      <c r="BE60" s="192">
        <v>0.58499999999999996</v>
      </c>
      <c r="BH60" s="94">
        <v>42165</v>
      </c>
      <c r="BI60" s="95">
        <v>0.437</v>
      </c>
      <c r="BJ60" s="96">
        <v>8.4499999999999993</v>
      </c>
    </row>
    <row r="61" spans="1:62" ht="14.4" thickBot="1" x14ac:dyDescent="0.3">
      <c r="A61" s="241">
        <f>+EDATE(A60,6)+1</f>
        <v>42310</v>
      </c>
      <c r="B61" s="242">
        <f>+I61*6</f>
        <v>4324.08</v>
      </c>
      <c r="C61" s="7">
        <f>+B61-D61</f>
        <v>3740.188868873825</v>
      </c>
      <c r="D61" s="7">
        <f>+E60*F60*(A61-A60)/360</f>
        <v>583.89113112617486</v>
      </c>
      <c r="E61" s="7">
        <f>+E60-C61</f>
        <v>242195.00149666143</v>
      </c>
      <c r="F61" s="255">
        <f t="shared" ref="F61:F75" si="21">+VLOOKUP(A61,$BB$8:$BF$1048576,5,FALSE)/100</f>
        <v>5.6499999999999996E-3</v>
      </c>
      <c r="G61" s="196"/>
      <c r="I61" s="263">
        <f>+D6</f>
        <v>720.68</v>
      </c>
      <c r="J61" s="265">
        <f>+I61*6</f>
        <v>4324.08</v>
      </c>
      <c r="K61" s="242">
        <v>10351.16</v>
      </c>
      <c r="L61" s="7">
        <f t="shared" ref="L61:L108" si="22">+K61-M61</f>
        <v>10150.791064814621</v>
      </c>
      <c r="M61" s="7">
        <f t="shared" ref="M61:M108" si="23">+N60*$F$60*(A61-A60)/360</f>
        <v>200.36893518537858</v>
      </c>
      <c r="N61" s="7">
        <f t="shared" ref="N61:N108" si="24">+N60-L61</f>
        <v>74244.688830746731</v>
      </c>
      <c r="P61" s="63"/>
      <c r="X61" s="26">
        <v>47969</v>
      </c>
      <c r="Y61" s="7">
        <f t="shared" si="16"/>
        <v>10351.16</v>
      </c>
      <c r="Z61" s="7">
        <f t="shared" si="18"/>
        <v>10174.303148122875</v>
      </c>
      <c r="AA61" s="7">
        <f t="shared" si="17"/>
        <v>176.8568518771238</v>
      </c>
      <c r="AB61" s="7">
        <f t="shared" si="20"/>
        <v>184706.29762555542</v>
      </c>
      <c r="BB61" s="187">
        <v>42199</v>
      </c>
      <c r="BC61" s="180">
        <v>4.9000000000000002E-2</v>
      </c>
      <c r="BD61" s="191">
        <v>42199</v>
      </c>
      <c r="BE61" s="192">
        <v>0.58499999999999996</v>
      </c>
      <c r="BH61" s="94">
        <v>42166</v>
      </c>
      <c r="BI61" s="95">
        <v>0.44900000000000001</v>
      </c>
      <c r="BJ61" s="96">
        <v>8.44</v>
      </c>
    </row>
    <row r="62" spans="1:62" ht="13.8" x14ac:dyDescent="0.25">
      <c r="A62" s="236">
        <f t="shared" ref="A62" si="25">+EDATE(A61,6)</f>
        <v>42492</v>
      </c>
      <c r="B62" s="7">
        <f>+J62/2</f>
        <v>4380</v>
      </c>
      <c r="C62" s="7">
        <f>+B62-D62</f>
        <v>3688.1968887805087</v>
      </c>
      <c r="D62" s="7">
        <f t="shared" ref="D62:D125" si="26">+E61*F61*(A62-A61)/360</f>
        <v>691.80311121949148</v>
      </c>
      <c r="E62" s="7">
        <f>+E61-C62</f>
        <v>238506.80460788091</v>
      </c>
      <c r="F62" s="255">
        <f t="shared" si="21"/>
        <v>3.5499999999999998E-3</v>
      </c>
      <c r="I62" s="264">
        <f>+E6</f>
        <v>730</v>
      </c>
      <c r="J62" s="265">
        <f>+I62*12</f>
        <v>8760</v>
      </c>
      <c r="K62" s="243">
        <f t="shared" ref="K62:K108" si="27">+$K$61</f>
        <v>10351.16</v>
      </c>
      <c r="L62" s="7">
        <f t="shared" si="22"/>
        <v>10177.749155120986</v>
      </c>
      <c r="M62" s="7">
        <f t="shared" si="23"/>
        <v>173.41084487901409</v>
      </c>
      <c r="N62" s="7">
        <f t="shared" si="24"/>
        <v>64066.939675625748</v>
      </c>
      <c r="P62" s="63"/>
      <c r="X62" s="26">
        <v>48153</v>
      </c>
      <c r="Y62" s="7">
        <f t="shared" si="16"/>
        <v>10351.16</v>
      </c>
      <c r="Z62" s="7">
        <f t="shared" si="18"/>
        <v>10180.758178979446</v>
      </c>
      <c r="AA62" s="7">
        <f t="shared" si="17"/>
        <v>170.40182102055408</v>
      </c>
      <c r="AB62" s="7">
        <f t="shared" si="20"/>
        <v>174525.53944657597</v>
      </c>
      <c r="BB62" s="187">
        <v>42200</v>
      </c>
      <c r="BC62" s="180">
        <v>4.9000000000000002E-2</v>
      </c>
      <c r="BD62" s="191">
        <v>42200</v>
      </c>
      <c r="BE62" s="192">
        <v>0.58199999999999996</v>
      </c>
      <c r="BH62" s="94">
        <v>42167</v>
      </c>
      <c r="BI62" s="95">
        <v>0.45600000000000002</v>
      </c>
      <c r="BJ62" s="96">
        <v>8.43</v>
      </c>
    </row>
    <row r="63" spans="1:62" ht="13.8" x14ac:dyDescent="0.25">
      <c r="A63" s="237">
        <f>+EDATE(A62,6)</f>
        <v>42676</v>
      </c>
      <c r="B63" s="7">
        <f>+B62</f>
        <v>4380</v>
      </c>
      <c r="C63" s="7">
        <f t="shared" ref="C63:C126" si="28">+B63-D63</f>
        <v>3947.242653417034</v>
      </c>
      <c r="D63" s="7">
        <f t="shared" si="26"/>
        <v>432.75734658296608</v>
      </c>
      <c r="E63" s="7">
        <f t="shared" ref="E63:E110" si="29">+E62-C63</f>
        <v>234559.56195446389</v>
      </c>
      <c r="F63" s="255">
        <f t="shared" si="21"/>
        <v>0</v>
      </c>
      <c r="I63" s="264"/>
      <c r="J63" s="265"/>
      <c r="K63" s="243">
        <f t="shared" si="27"/>
        <v>10351.16</v>
      </c>
      <c r="L63" s="7">
        <f t="shared" si="22"/>
        <v>10199.876599779289</v>
      </c>
      <c r="M63" s="7">
        <f t="shared" si="23"/>
        <v>151.28340022071094</v>
      </c>
      <c r="N63" s="7">
        <f t="shared" si="24"/>
        <v>53867.063075846461</v>
      </c>
      <c r="P63" s="63"/>
      <c r="X63" s="26">
        <v>48335</v>
      </c>
      <c r="Y63" s="7">
        <f t="shared" si="16"/>
        <v>10351.16</v>
      </c>
      <c r="Z63" s="7">
        <f t="shared" si="18"/>
        <v>10191.900597323349</v>
      </c>
      <c r="AA63" s="7">
        <f t="shared" si="17"/>
        <v>159.25940267665186</v>
      </c>
      <c r="AB63" s="7">
        <f t="shared" si="20"/>
        <v>164333.63884925263</v>
      </c>
      <c r="BB63" s="187">
        <v>42201</v>
      </c>
      <c r="BC63" s="180">
        <v>4.9000000000000002E-2</v>
      </c>
      <c r="BD63" s="191">
        <v>42201</v>
      </c>
      <c r="BE63" s="192">
        <v>0.57999999999999996</v>
      </c>
      <c r="BH63" s="94">
        <v>42170</v>
      </c>
      <c r="BI63" s="95">
        <v>0.46300000000000002</v>
      </c>
      <c r="BJ63" s="96">
        <v>8.43</v>
      </c>
    </row>
    <row r="64" spans="1:62" ht="13.8" x14ac:dyDescent="0.25">
      <c r="A64" s="234">
        <v>42856</v>
      </c>
      <c r="B64" s="7">
        <f>+J64/2</f>
        <v>4712.34</v>
      </c>
      <c r="C64" s="7">
        <f t="shared" si="28"/>
        <v>4712.34</v>
      </c>
      <c r="D64" s="7">
        <f t="shared" si="26"/>
        <v>0</v>
      </c>
      <c r="E64" s="7">
        <f t="shared" si="29"/>
        <v>229847.22195446389</v>
      </c>
      <c r="F64" s="255">
        <f t="shared" si="21"/>
        <v>3.0149999999999999E-3</v>
      </c>
      <c r="I64" s="264">
        <f>+F6</f>
        <v>785.39</v>
      </c>
      <c r="J64" s="265">
        <f>+I64*12</f>
        <v>9424.68</v>
      </c>
      <c r="K64" s="243">
        <f t="shared" si="27"/>
        <v>10351.16</v>
      </c>
      <c r="L64" s="7">
        <f t="shared" si="22"/>
        <v>10226.727084294795</v>
      </c>
      <c r="M64" s="7">
        <f t="shared" si="23"/>
        <v>124.43291570520533</v>
      </c>
      <c r="N64" s="7">
        <f t="shared" si="24"/>
        <v>43640.335991551663</v>
      </c>
      <c r="P64" s="63"/>
      <c r="X64" s="26">
        <v>48519</v>
      </c>
      <c r="Y64" s="7">
        <f t="shared" si="16"/>
        <v>10351.16</v>
      </c>
      <c r="Z64" s="7">
        <f t="shared" si="18"/>
        <v>10199.553088514962</v>
      </c>
      <c r="AA64" s="7">
        <f t="shared" si="17"/>
        <v>151.6069114850383</v>
      </c>
      <c r="AB64" s="7">
        <f t="shared" si="20"/>
        <v>154134.08576073768</v>
      </c>
      <c r="BB64" s="187">
        <v>42202</v>
      </c>
      <c r="BC64" s="180">
        <v>4.9000000000000002E-2</v>
      </c>
      <c r="BD64" s="191">
        <v>42202</v>
      </c>
      <c r="BE64" s="192">
        <v>0.57799999999999996</v>
      </c>
      <c r="BH64" s="94">
        <v>42171</v>
      </c>
      <c r="BI64" s="95">
        <v>0.47</v>
      </c>
      <c r="BJ64" s="96">
        <v>8.42</v>
      </c>
    </row>
    <row r="65" spans="1:62" ht="13.8" x14ac:dyDescent="0.25">
      <c r="A65" s="235">
        <v>43040</v>
      </c>
      <c r="B65" s="7">
        <f>+B64</f>
        <v>4712.34</v>
      </c>
      <c r="C65" s="7">
        <f t="shared" si="28"/>
        <v>4358.1454309681712</v>
      </c>
      <c r="D65" s="7">
        <f t="shared" si="26"/>
        <v>354.19456903182885</v>
      </c>
      <c r="E65" s="7">
        <f t="shared" si="29"/>
        <v>225489.07652349572</v>
      </c>
      <c r="F65" s="255">
        <f t="shared" si="21"/>
        <v>3.4799999999999996E-3</v>
      </c>
      <c r="I65" s="264"/>
      <c r="J65" s="265"/>
      <c r="K65" s="243">
        <f t="shared" si="27"/>
        <v>10351.16</v>
      </c>
      <c r="L65" s="7">
        <f t="shared" si="22"/>
        <v>10248.110619945282</v>
      </c>
      <c r="M65" s="7">
        <f t="shared" si="23"/>
        <v>103.04938005471732</v>
      </c>
      <c r="N65" s="7">
        <f t="shared" si="24"/>
        <v>33392.225371606379</v>
      </c>
      <c r="P65" s="63"/>
      <c r="X65" s="26">
        <v>48700</v>
      </c>
      <c r="Y65" s="7">
        <f t="shared" si="16"/>
        <v>10351.16</v>
      </c>
      <c r="Z65" s="7">
        <f t="shared" si="18"/>
        <v>10211.28117642094</v>
      </c>
      <c r="AA65" s="7">
        <f t="shared" si="17"/>
        <v>139.87882357906057</v>
      </c>
      <c r="AB65" s="7">
        <f t="shared" si="20"/>
        <v>143922.80458431673</v>
      </c>
      <c r="BB65" s="187">
        <v>42205</v>
      </c>
      <c r="BC65" s="180">
        <v>4.9000000000000002E-2</v>
      </c>
      <c r="BD65" s="191">
        <v>42205</v>
      </c>
      <c r="BE65" s="192">
        <v>0.57099999999999995</v>
      </c>
      <c r="BH65" s="94">
        <v>42172</v>
      </c>
      <c r="BI65" s="95">
        <v>0.47799999999999998</v>
      </c>
      <c r="BJ65" s="96">
        <v>8.42</v>
      </c>
    </row>
    <row r="66" spans="1:62" ht="13.8" x14ac:dyDescent="0.25">
      <c r="A66" s="236">
        <v>43221</v>
      </c>
      <c r="B66" s="7">
        <f>+J66/2</f>
        <v>4711.9800000000005</v>
      </c>
      <c r="C66" s="7">
        <f t="shared" si="28"/>
        <v>4317.4492791093908</v>
      </c>
      <c r="D66" s="7">
        <f t="shared" si="26"/>
        <v>394.5307208906097</v>
      </c>
      <c r="E66" s="7">
        <f t="shared" si="29"/>
        <v>221171.62724438633</v>
      </c>
      <c r="F66" s="255">
        <f t="shared" si="21"/>
        <v>4.1700000000000001E-3</v>
      </c>
      <c r="I66" s="264">
        <f>+G6</f>
        <v>785.33</v>
      </c>
      <c r="J66" s="265">
        <f>+I66*12</f>
        <v>9423.9600000000009</v>
      </c>
      <c r="K66" s="243">
        <f t="shared" si="27"/>
        <v>10351.16</v>
      </c>
      <c r="L66" s="7">
        <f t="shared" si="22"/>
        <v>10273.595425832653</v>
      </c>
      <c r="M66" s="7">
        <f t="shared" si="23"/>
        <v>77.56457416734635</v>
      </c>
      <c r="N66" s="7">
        <f t="shared" si="24"/>
        <v>23118.629945773726</v>
      </c>
      <c r="P66" s="63"/>
      <c r="X66" s="26">
        <v>48884</v>
      </c>
      <c r="Y66" s="7">
        <f t="shared" si="16"/>
        <v>10351.16</v>
      </c>
      <c r="Z66" s="7">
        <f t="shared" si="18"/>
        <v>10218.383217059602</v>
      </c>
      <c r="AA66" s="7">
        <f t="shared" si="17"/>
        <v>132.77678294039796</v>
      </c>
      <c r="AB66" s="7">
        <f t="shared" si="20"/>
        <v>133704.42136725713</v>
      </c>
      <c r="BB66" s="187">
        <v>42206</v>
      </c>
      <c r="BC66" s="180">
        <v>4.9000000000000002E-2</v>
      </c>
      <c r="BD66" s="191">
        <v>42206</v>
      </c>
      <c r="BE66" s="192">
        <v>0.56399999999999995</v>
      </c>
      <c r="BH66" s="94">
        <v>42173</v>
      </c>
      <c r="BI66" s="95">
        <v>0.48599999999999999</v>
      </c>
      <c r="BJ66" s="96">
        <v>8.42</v>
      </c>
    </row>
    <row r="67" spans="1:62" ht="13.8" x14ac:dyDescent="0.25">
      <c r="A67" s="237">
        <v>43405</v>
      </c>
      <c r="B67" s="7">
        <f>+B66</f>
        <v>4711.9800000000005</v>
      </c>
      <c r="C67" s="7">
        <f t="shared" si="28"/>
        <v>4240.5895384664655</v>
      </c>
      <c r="D67" s="7">
        <f t="shared" si="26"/>
        <v>471.39046153353542</v>
      </c>
      <c r="E67" s="7">
        <f t="shared" si="29"/>
        <v>216931.03770591985</v>
      </c>
      <c r="F67" s="255">
        <f t="shared" si="21"/>
        <v>4.2849999999999997E-3</v>
      </c>
      <c r="I67" s="264"/>
      <c r="J67" s="265"/>
      <c r="K67" s="243">
        <f t="shared" si="27"/>
        <v>10351.16</v>
      </c>
      <c r="L67" s="7">
        <f t="shared" si="22"/>
        <v>10296.569208488047</v>
      </c>
      <c r="M67" s="7">
        <f t="shared" si="23"/>
        <v>54.590791511953697</v>
      </c>
      <c r="N67" s="7">
        <f t="shared" si="24"/>
        <v>12822.060737285679</v>
      </c>
      <c r="P67" s="63"/>
      <c r="X67" s="26">
        <v>49065</v>
      </c>
      <c r="Y67" s="7">
        <f t="shared" si="16"/>
        <v>10351.16</v>
      </c>
      <c r="Z67" s="7">
        <f t="shared" si="18"/>
        <v>10229.821380603362</v>
      </c>
      <c r="AA67" s="7">
        <f t="shared" si="17"/>
        <v>121.33861939663817</v>
      </c>
      <c r="AB67" s="7">
        <f t="shared" si="20"/>
        <v>123474.59998665377</v>
      </c>
      <c r="BB67" s="187">
        <v>42207</v>
      </c>
      <c r="BC67" s="180">
        <v>4.9000000000000002E-2</v>
      </c>
      <c r="BD67" s="191">
        <v>42207</v>
      </c>
      <c r="BE67" s="192">
        <v>0.55800000000000005</v>
      </c>
      <c r="BH67" s="94">
        <v>42174</v>
      </c>
      <c r="BI67" s="95">
        <v>0.49399999999999999</v>
      </c>
      <c r="BJ67" s="96">
        <v>8.41</v>
      </c>
    </row>
    <row r="68" spans="1:62" ht="13.8" x14ac:dyDescent="0.25">
      <c r="A68" s="234">
        <v>43586</v>
      </c>
      <c r="B68" s="7">
        <f>+J68/2</f>
        <v>4810.2000000000007</v>
      </c>
      <c r="C68" s="7">
        <f t="shared" si="28"/>
        <v>4342.8431697801516</v>
      </c>
      <c r="D68" s="7">
        <f t="shared" si="26"/>
        <v>467.3568302198496</v>
      </c>
      <c r="E68" s="7">
        <f t="shared" si="29"/>
        <v>212588.19453613969</v>
      </c>
      <c r="F68" s="255">
        <f t="shared" si="21"/>
        <v>2.8699999999999997E-3</v>
      </c>
      <c r="I68" s="264">
        <f>+H6</f>
        <v>801.7</v>
      </c>
      <c r="J68" s="265">
        <f>+I68*12</f>
        <v>9620.4000000000015</v>
      </c>
      <c r="K68" s="243">
        <f t="shared" si="27"/>
        <v>10351.16</v>
      </c>
      <c r="L68" s="7">
        <f t="shared" si="22"/>
        <v>10321.376489917408</v>
      </c>
      <c r="M68" s="7">
        <f t="shared" si="23"/>
        <v>29.783510082591754</v>
      </c>
      <c r="N68" s="7">
        <f t="shared" si="24"/>
        <v>2500.6842473682718</v>
      </c>
      <c r="P68" s="63"/>
      <c r="X68" s="26">
        <v>49249</v>
      </c>
      <c r="Y68" s="7">
        <f t="shared" si="16"/>
        <v>10351.16</v>
      </c>
      <c r="Z68" s="7">
        <f>+Y68-AA68</f>
        <v>10237.247821812312</v>
      </c>
      <c r="AA68" s="7">
        <f t="shared" si="17"/>
        <v>113.91217818768736</v>
      </c>
      <c r="AB68" s="7">
        <f>+AB67-Z68</f>
        <v>113237.35216484146</v>
      </c>
      <c r="BB68" s="187">
        <v>42208</v>
      </c>
      <c r="BC68" s="180">
        <v>4.9000000000000002E-2</v>
      </c>
      <c r="BD68" s="191">
        <v>42208</v>
      </c>
      <c r="BE68" s="192">
        <v>0.55100000000000005</v>
      </c>
      <c r="BH68" s="94">
        <v>42177</v>
      </c>
      <c r="BI68" s="95">
        <v>0.502</v>
      </c>
      <c r="BJ68" s="96">
        <v>8.41</v>
      </c>
    </row>
    <row r="69" spans="1:62" ht="13.8" x14ac:dyDescent="0.25">
      <c r="A69" s="235">
        <v>43770</v>
      </c>
      <c r="B69" s="7">
        <f>+B68</f>
        <v>4810.2000000000007</v>
      </c>
      <c r="C69" s="7">
        <f t="shared" si="28"/>
        <v>4498.3567395259879</v>
      </c>
      <c r="D69" s="7">
        <f t="shared" si="26"/>
        <v>311.84326047401294</v>
      </c>
      <c r="E69" s="7">
        <f t="shared" si="29"/>
        <v>208089.83779661372</v>
      </c>
      <c r="F69" s="255">
        <f t="shared" si="21"/>
        <v>6.0499999999999996E-4</v>
      </c>
      <c r="I69" s="264"/>
      <c r="J69" s="265"/>
      <c r="K69" s="243">
        <f t="shared" si="27"/>
        <v>10351.16</v>
      </c>
      <c r="L69" s="7">
        <f t="shared" si="22"/>
        <v>10345.255050930547</v>
      </c>
      <c r="M69" s="7">
        <f t="shared" si="23"/>
        <v>5.9049490694522788</v>
      </c>
      <c r="N69" s="7">
        <f t="shared" si="24"/>
        <v>-7844.5708035622756</v>
      </c>
      <c r="P69" s="63"/>
      <c r="X69" s="26">
        <v>49430</v>
      </c>
      <c r="Y69" s="7">
        <f t="shared" si="16"/>
        <v>10351.16</v>
      </c>
      <c r="Z69" s="7">
        <f t="shared" si="18"/>
        <v>10248.395530169404</v>
      </c>
      <c r="AA69" s="7">
        <f t="shared" si="17"/>
        <v>102.76446983059591</v>
      </c>
      <c r="AB69" s="7">
        <f t="shared" ref="AB69:AB79" si="30">+AB68-Z69</f>
        <v>102988.95663467205</v>
      </c>
      <c r="BB69" s="187">
        <v>42209</v>
      </c>
      <c r="BC69" s="180">
        <v>4.8000000000000001E-2</v>
      </c>
      <c r="BD69" s="191">
        <v>42209</v>
      </c>
      <c r="BE69" s="192">
        <v>0.54300000000000004</v>
      </c>
      <c r="BH69" s="94">
        <v>42178</v>
      </c>
      <c r="BI69" s="95">
        <v>0.51200000000000001</v>
      </c>
      <c r="BJ69" s="96">
        <v>8.4</v>
      </c>
    </row>
    <row r="70" spans="1:62" ht="13.8" x14ac:dyDescent="0.25">
      <c r="A70" s="236">
        <v>43952</v>
      </c>
      <c r="B70" s="7">
        <f>+J70/2</f>
        <v>4810.2000000000007</v>
      </c>
      <c r="C70" s="7">
        <f t="shared" si="28"/>
        <v>4746.5534110005974</v>
      </c>
      <c r="D70" s="7">
        <f t="shared" si="26"/>
        <v>63.646588999403157</v>
      </c>
      <c r="E70" s="7">
        <f t="shared" si="29"/>
        <v>203343.28438561311</v>
      </c>
      <c r="F70" s="255">
        <f t="shared" si="21"/>
        <v>2.215E-3</v>
      </c>
      <c r="I70" s="264">
        <f>+I6</f>
        <v>801.7</v>
      </c>
      <c r="J70" s="265">
        <f>+I70*12</f>
        <v>9620.4000000000015</v>
      </c>
      <c r="K70" s="243">
        <f t="shared" si="27"/>
        <v>10351.16</v>
      </c>
      <c r="L70" s="7">
        <f t="shared" si="22"/>
        <v>10369.482302540187</v>
      </c>
      <c r="M70" s="7">
        <f t="shared" si="23"/>
        <v>-18.322302540186957</v>
      </c>
      <c r="N70" s="7">
        <f t="shared" si="24"/>
        <v>-18214.053106102463</v>
      </c>
      <c r="P70" s="63"/>
      <c r="X70" s="26">
        <v>49614</v>
      </c>
      <c r="Y70" s="7">
        <f t="shared" si="16"/>
        <v>10351.16</v>
      </c>
      <c r="Z70" s="7">
        <f t="shared" si="18"/>
        <v>10256.146965895812</v>
      </c>
      <c r="AA70" s="7">
        <f t="shared" si="17"/>
        <v>95.0130341041869</v>
      </c>
      <c r="AB70" s="7">
        <f t="shared" si="30"/>
        <v>92732.809668776245</v>
      </c>
      <c r="BB70" s="187">
        <v>42212</v>
      </c>
      <c r="BC70" s="180">
        <v>4.9000000000000002E-2</v>
      </c>
      <c r="BD70" s="191">
        <v>42212</v>
      </c>
      <c r="BE70" s="192">
        <v>0.53500000000000003</v>
      </c>
      <c r="BH70" s="94">
        <v>42179</v>
      </c>
      <c r="BI70" s="95">
        <v>0.53700000000000003</v>
      </c>
      <c r="BJ70" s="96">
        <v>8.44</v>
      </c>
    </row>
    <row r="71" spans="1:62" ht="13.8" x14ac:dyDescent="0.25">
      <c r="A71" s="299">
        <v>44137</v>
      </c>
      <c r="B71" s="7">
        <f>+B70</f>
        <v>4810.2000000000007</v>
      </c>
      <c r="C71" s="7">
        <f t="shared" si="28"/>
        <v>4578.7416823357935</v>
      </c>
      <c r="D71" s="7">
        <f t="shared" si="26"/>
        <v>231.45831766420721</v>
      </c>
      <c r="E71" s="7">
        <f t="shared" si="29"/>
        <v>198764.54270327732</v>
      </c>
      <c r="F71" s="255">
        <f t="shared" si="21"/>
        <v>-1.14E-3</v>
      </c>
      <c r="I71" s="264"/>
      <c r="J71" s="265"/>
      <c r="K71" s="243">
        <f t="shared" si="27"/>
        <v>10351.16</v>
      </c>
      <c r="L71" s="7">
        <f t="shared" si="22"/>
        <v>10394.403197749405</v>
      </c>
      <c r="M71" s="7">
        <f t="shared" si="23"/>
        <v>-43.243197749404935</v>
      </c>
      <c r="N71" s="7">
        <f t="shared" si="24"/>
        <v>-28608.456303851868</v>
      </c>
      <c r="P71" s="63"/>
      <c r="X71" s="26">
        <v>49796</v>
      </c>
      <c r="Y71" s="7">
        <f t="shared" si="16"/>
        <v>10351.16</v>
      </c>
      <c r="Z71" s="7">
        <f t="shared" si="18"/>
        <v>10266.538735265862</v>
      </c>
      <c r="AA71" s="7">
        <f t="shared" si="17"/>
        <v>84.621264734138009</v>
      </c>
      <c r="AB71" s="7">
        <f t="shared" si="30"/>
        <v>82466.270933510386</v>
      </c>
      <c r="BB71" s="187">
        <v>42213</v>
      </c>
      <c r="BC71" s="180">
        <v>4.8000000000000001E-2</v>
      </c>
      <c r="BD71" s="191">
        <v>42213</v>
      </c>
      <c r="BE71" s="192">
        <v>0.52900000000000003</v>
      </c>
      <c r="BH71" s="94">
        <v>42180</v>
      </c>
      <c r="BI71" s="95">
        <v>0.54800000000000004</v>
      </c>
      <c r="BJ71" s="96">
        <v>8.44</v>
      </c>
    </row>
    <row r="72" spans="1:62" ht="13.8" x14ac:dyDescent="0.25">
      <c r="A72" s="234">
        <v>44319</v>
      </c>
      <c r="B72" s="300">
        <f>+J72/2</f>
        <v>4402.26</v>
      </c>
      <c r="C72" s="300">
        <f t="shared" si="28"/>
        <v>4516.8146314446558</v>
      </c>
      <c r="D72" s="301">
        <f t="shared" si="26"/>
        <v>-114.55463144465548</v>
      </c>
      <c r="E72" s="300">
        <f t="shared" si="29"/>
        <v>194247.72807183265</v>
      </c>
      <c r="F72" s="302">
        <f t="shared" si="21"/>
        <v>2.5000000000000022E-5</v>
      </c>
      <c r="I72" s="264">
        <f>+J6+J7</f>
        <v>733.71</v>
      </c>
      <c r="J72" s="265">
        <f>+I72*12</f>
        <v>8804.52</v>
      </c>
      <c r="K72" s="243">
        <f t="shared" si="27"/>
        <v>10351.16</v>
      </c>
      <c r="L72" s="7">
        <f t="shared" si="22"/>
        <v>10417.979817773696</v>
      </c>
      <c r="M72" s="7">
        <f t="shared" si="23"/>
        <v>-66.819817773696684</v>
      </c>
      <c r="N72" s="7">
        <f t="shared" si="24"/>
        <v>-39026.436121625564</v>
      </c>
      <c r="P72" s="63"/>
      <c r="X72" s="26">
        <v>49980</v>
      </c>
      <c r="Y72" s="7">
        <f t="shared" si="16"/>
        <v>10351.16</v>
      </c>
      <c r="Z72" s="7">
        <f t="shared" si="18"/>
        <v>10275.08028360434</v>
      </c>
      <c r="AA72" s="7">
        <f t="shared" si="17"/>
        <v>76.079716395659631</v>
      </c>
      <c r="AB72" s="7">
        <f t="shared" si="30"/>
        <v>72191.190649906042</v>
      </c>
      <c r="BB72" s="187">
        <v>42214</v>
      </c>
      <c r="BC72" s="180">
        <v>4.8000000000000001E-2</v>
      </c>
      <c r="BD72" s="191">
        <v>42214</v>
      </c>
      <c r="BE72" s="192">
        <v>0.52200000000000002</v>
      </c>
      <c r="BH72" s="94">
        <v>42181</v>
      </c>
      <c r="BI72" s="95">
        <v>0.56000000000000005</v>
      </c>
      <c r="BJ72" s="96">
        <v>8.44</v>
      </c>
    </row>
    <row r="73" spans="1:62" ht="13.8" x14ac:dyDescent="0.25">
      <c r="A73" s="235">
        <v>44501</v>
      </c>
      <c r="B73" s="7">
        <f>+B72</f>
        <v>4402.26</v>
      </c>
      <c r="C73" s="7">
        <f t="shared" si="28"/>
        <v>4399.8049245479815</v>
      </c>
      <c r="D73" s="7">
        <f t="shared" si="26"/>
        <v>2.4550754520189981</v>
      </c>
      <c r="E73" s="7">
        <f t="shared" si="29"/>
        <v>189847.92314728466</v>
      </c>
      <c r="F73" s="255">
        <f t="shared" si="21"/>
        <v>3.8499999999999976E-4</v>
      </c>
      <c r="I73" s="264"/>
      <c r="J73" s="265"/>
      <c r="K73" s="243">
        <f t="shared" si="27"/>
        <v>10351.16</v>
      </c>
      <c r="L73" s="7">
        <f t="shared" si="22"/>
        <v>10442.312745968076</v>
      </c>
      <c r="M73" s="7">
        <f t="shared" si="23"/>
        <v>-91.152745968076772</v>
      </c>
      <c r="N73" s="7">
        <f t="shared" si="24"/>
        <v>-49468.74886759364</v>
      </c>
      <c r="P73" s="63"/>
      <c r="X73" s="26">
        <v>50161</v>
      </c>
      <c r="Y73" s="7">
        <f t="shared" si="16"/>
        <v>10351.16</v>
      </c>
      <c r="Z73" s="7">
        <f t="shared" si="18"/>
        <v>10285.645491829784</v>
      </c>
      <c r="AA73" s="7">
        <f t="shared" si="17"/>
        <v>65.514508170215422</v>
      </c>
      <c r="AB73" s="7">
        <f t="shared" si="30"/>
        <v>61905.54515807626</v>
      </c>
      <c r="BB73" s="187">
        <v>42215</v>
      </c>
      <c r="BC73" s="180">
        <v>4.8000000000000001E-2</v>
      </c>
      <c r="BD73" s="191">
        <v>42215</v>
      </c>
      <c r="BE73" s="192">
        <v>0.51100000000000001</v>
      </c>
      <c r="BH73" s="94">
        <v>42184</v>
      </c>
      <c r="BI73" s="95">
        <v>0.57199999999999995</v>
      </c>
      <c r="BJ73" s="96">
        <v>8.43</v>
      </c>
    </row>
    <row r="74" spans="1:62" ht="13.8" x14ac:dyDescent="0.25">
      <c r="A74" s="236">
        <v>44683</v>
      </c>
      <c r="B74" s="7">
        <f>+J74/2</f>
        <v>4113.18</v>
      </c>
      <c r="C74" s="7">
        <f t="shared" si="28"/>
        <v>4076.2282111807494</v>
      </c>
      <c r="D74" s="7">
        <f t="shared" si="26"/>
        <v>36.951788819250631</v>
      </c>
      <c r="E74" s="7">
        <f t="shared" si="29"/>
        <v>185771.69493610392</v>
      </c>
      <c r="F74" s="255">
        <f t="shared" si="21"/>
        <v>7.0650000000000001E-3</v>
      </c>
      <c r="I74" s="264">
        <f>+K6+K7</f>
        <v>685.53</v>
      </c>
      <c r="J74" s="265">
        <f>+I74*12</f>
        <v>8226.36</v>
      </c>
      <c r="K74" s="243">
        <f t="shared" si="27"/>
        <v>10351.16</v>
      </c>
      <c r="L74" s="7">
        <f t="shared" si="22"/>
        <v>10466.702507771743</v>
      </c>
      <c r="M74" s="7">
        <f t="shared" si="23"/>
        <v>-115.54250777174289</v>
      </c>
      <c r="N74" s="7">
        <f t="shared" si="24"/>
        <v>-59935.451375365381</v>
      </c>
      <c r="P74" s="63"/>
      <c r="X74" s="26">
        <v>50345</v>
      </c>
      <c r="Y74" s="7">
        <f t="shared" si="16"/>
        <v>10351.16</v>
      </c>
      <c r="Z74" s="7">
        <f t="shared" si="18"/>
        <v>10294.048695394722</v>
      </c>
      <c r="AA74" s="7">
        <f t="shared" si="17"/>
        <v>57.111304605278576</v>
      </c>
      <c r="AB74" s="7">
        <f t="shared" si="30"/>
        <v>51611.496462681534</v>
      </c>
      <c r="BB74" s="187">
        <v>42216</v>
      </c>
      <c r="BC74" s="180">
        <v>4.8000000000000001E-2</v>
      </c>
      <c r="BD74" s="191">
        <v>42216</v>
      </c>
      <c r="BE74" s="192">
        <v>0.501</v>
      </c>
      <c r="BH74" s="94">
        <v>42185</v>
      </c>
      <c r="BI74" s="95">
        <v>0.58299999999999996</v>
      </c>
      <c r="BJ74" s="96">
        <v>8.43</v>
      </c>
    </row>
    <row r="75" spans="1:62" ht="14.4" thickBot="1" x14ac:dyDescent="0.3">
      <c r="A75" s="237">
        <v>44866</v>
      </c>
      <c r="B75" s="7">
        <f>+B74</f>
        <v>4113.18</v>
      </c>
      <c r="C75" s="7">
        <f t="shared" si="28"/>
        <v>3446.0041790988498</v>
      </c>
      <c r="D75" s="7">
        <f t="shared" si="26"/>
        <v>667.17582090115025</v>
      </c>
      <c r="E75" s="7">
        <f t="shared" si="29"/>
        <v>182325.69075700507</v>
      </c>
      <c r="F75" s="255">
        <f t="shared" si="21"/>
        <v>2.7495000000000002E-2</v>
      </c>
      <c r="I75" s="264"/>
      <c r="J75" s="265"/>
      <c r="K75" s="243">
        <f t="shared" si="27"/>
        <v>10351.16</v>
      </c>
      <c r="L75" s="7">
        <f t="shared" si="22"/>
        <v>10491.918407555046</v>
      </c>
      <c r="M75" s="7">
        <f t="shared" si="23"/>
        <v>-140.75840755504561</v>
      </c>
      <c r="N75" s="7">
        <f t="shared" si="24"/>
        <v>-70427.369782920432</v>
      </c>
      <c r="P75" s="63"/>
      <c r="X75" s="26">
        <v>50526</v>
      </c>
      <c r="Y75" s="7">
        <f t="shared" si="16"/>
        <v>10351.16</v>
      </c>
      <c r="Z75" s="7">
        <f t="shared" si="18"/>
        <v>10304.321850133776</v>
      </c>
      <c r="AA75" s="7">
        <f t="shared" si="17"/>
        <v>46.838149866223247</v>
      </c>
      <c r="AB75" s="7">
        <f t="shared" si="30"/>
        <v>41307.174612547758</v>
      </c>
      <c r="BB75" s="187">
        <v>42219</v>
      </c>
      <c r="BC75" s="180">
        <v>4.9000000000000002E-2</v>
      </c>
      <c r="BD75" s="191">
        <v>42219</v>
      </c>
      <c r="BE75" s="192">
        <v>0.49199999999999999</v>
      </c>
      <c r="BH75" s="94">
        <v>42186</v>
      </c>
      <c r="BI75" s="95">
        <v>0.59</v>
      </c>
      <c r="BJ75" s="96">
        <v>8.42</v>
      </c>
    </row>
    <row r="76" spans="1:62" ht="14.4" thickBot="1" x14ac:dyDescent="0.3">
      <c r="A76" s="294">
        <v>45049</v>
      </c>
      <c r="B76" s="295">
        <v>4775.6788399534489</v>
      </c>
      <c r="C76" s="7">
        <f t="shared" si="28"/>
        <v>2227.3810323768225</v>
      </c>
      <c r="D76" s="7">
        <f>+E75*F75*(A76-A75)/360</f>
        <v>2548.2978075766264</v>
      </c>
      <c r="E76" s="7">
        <f>+E75-C76</f>
        <v>180098.30972462826</v>
      </c>
      <c r="F76" s="269">
        <f>+(G76+H76)/2/100+0.37%</f>
        <v>3.1164050000000006E-2</v>
      </c>
      <c r="G76" s="289">
        <v>3.0598100000000001</v>
      </c>
      <c r="H76">
        <f>+BE1989</f>
        <v>2.4329999999999998</v>
      </c>
      <c r="I76" s="293">
        <f>+L6+L7</f>
        <v>1025.18</v>
      </c>
      <c r="J76" s="265">
        <f>+I76*12</f>
        <v>12302.16</v>
      </c>
      <c r="K76" s="243">
        <f t="shared" si="27"/>
        <v>10351.16</v>
      </c>
      <c r="L76" s="7">
        <f t="shared" si="22"/>
        <v>10516.558677935189</v>
      </c>
      <c r="M76" s="7">
        <f t="shared" si="23"/>
        <v>-165.39867793518866</v>
      </c>
      <c r="N76" s="7">
        <f t="shared" si="24"/>
        <v>-80943.928460855619</v>
      </c>
      <c r="P76" s="63"/>
      <c r="X76" s="26">
        <v>50710</v>
      </c>
      <c r="Y76" s="7">
        <f t="shared" si="16"/>
        <v>10351.16</v>
      </c>
      <c r="Z76" s="7">
        <f t="shared" si="18"/>
        <v>10313.051836576891</v>
      </c>
      <c r="AA76" s="7">
        <f t="shared" si="17"/>
        <v>38.108163423109339</v>
      </c>
      <c r="AB76" s="7">
        <f t="shared" si="30"/>
        <v>30994.122775970867</v>
      </c>
      <c r="BB76" s="187">
        <v>42220</v>
      </c>
      <c r="BC76" s="180">
        <v>4.8000000000000001E-2</v>
      </c>
      <c r="BD76" s="191">
        <v>42220</v>
      </c>
      <c r="BE76" s="192">
        <v>0.48399999999999999</v>
      </c>
      <c r="BH76" s="94">
        <v>42187</v>
      </c>
      <c r="BI76" s="95">
        <v>0.59599999999999997</v>
      </c>
      <c r="BJ76" s="96">
        <v>8.42</v>
      </c>
    </row>
    <row r="77" spans="1:62" ht="13.8" x14ac:dyDescent="0.25">
      <c r="A77" s="235">
        <v>45232</v>
      </c>
      <c r="B77" s="7">
        <f>+$B$76</f>
        <v>4775.6788399534489</v>
      </c>
      <c r="C77" s="7">
        <f t="shared" si="28"/>
        <v>1922.6108692900993</v>
      </c>
      <c r="D77" s="7">
        <f>+E76*F76*(A77-A76)/360</f>
        <v>2853.0679706633496</v>
      </c>
      <c r="E77" s="7">
        <f t="shared" si="29"/>
        <v>178175.69885533815</v>
      </c>
      <c r="F77" s="269">
        <f t="shared" ref="F77:F129" si="31">+(G77+H77)/2/100+0.37%</f>
        <v>3.0865499999999997E-2</v>
      </c>
      <c r="G77" s="289">
        <v>3.0001000000000002</v>
      </c>
      <c r="H77">
        <f>+$H$76</f>
        <v>2.4329999999999998</v>
      </c>
      <c r="I77" s="47"/>
      <c r="J77" s="258"/>
      <c r="K77" s="243">
        <f t="shared" si="27"/>
        <v>10351.16</v>
      </c>
      <c r="L77" s="7">
        <f t="shared" si="22"/>
        <v>10541.256815990319</v>
      </c>
      <c r="M77" s="7">
        <f t="shared" si="23"/>
        <v>-190.09681599031941</v>
      </c>
      <c r="N77" s="7">
        <f t="shared" si="24"/>
        <v>-91485.185276845936</v>
      </c>
      <c r="P77" s="63"/>
      <c r="X77" s="164">
        <v>50891</v>
      </c>
      <c r="Y77" s="165">
        <f t="shared" si="16"/>
        <v>10351.16</v>
      </c>
      <c r="Z77" s="165">
        <f t="shared" si="18"/>
        <v>10323.032403106879</v>
      </c>
      <c r="AA77" s="165">
        <f t="shared" si="17"/>
        <v>28.127596893121009</v>
      </c>
      <c r="AB77" s="165">
        <f t="shared" si="30"/>
        <v>20671.09037286399</v>
      </c>
      <c r="BB77" s="187">
        <v>42221</v>
      </c>
      <c r="BC77" s="180">
        <v>4.8000000000000001E-2</v>
      </c>
      <c r="BD77" s="191">
        <v>42221</v>
      </c>
      <c r="BE77" s="192">
        <v>0.48</v>
      </c>
      <c r="BH77" s="94">
        <v>42188</v>
      </c>
      <c r="BI77" s="95">
        <v>0.59799999999999998</v>
      </c>
      <c r="BJ77" s="96">
        <v>8.42</v>
      </c>
    </row>
    <row r="78" spans="1:62" ht="13.8" x14ac:dyDescent="0.25">
      <c r="A78" s="236">
        <v>45413</v>
      </c>
      <c r="B78" s="7">
        <f>+$B$77</f>
        <v>4775.6788399534489</v>
      </c>
      <c r="C78" s="7">
        <f t="shared" si="28"/>
        <v>2010.6614844631199</v>
      </c>
      <c r="D78" s="7">
        <f t="shared" si="26"/>
        <v>2765.017355490329</v>
      </c>
      <c r="E78" s="7">
        <f t="shared" si="29"/>
        <v>176165.03737087504</v>
      </c>
      <c r="F78" s="269">
        <f t="shared" si="31"/>
        <v>2.9881749999999999E-2</v>
      </c>
      <c r="G78" s="289">
        <v>2.80335</v>
      </c>
      <c r="H78">
        <f t="shared" ref="H78:H129" si="32">+$H$76</f>
        <v>2.4329999999999998</v>
      </c>
      <c r="I78" s="47"/>
      <c r="J78" s="258"/>
      <c r="K78" s="243">
        <f t="shared" si="27"/>
        <v>10351.16</v>
      </c>
      <c r="L78" s="7">
        <f t="shared" si="22"/>
        <v>10563.664837867234</v>
      </c>
      <c r="M78" s="7">
        <f t="shared" si="23"/>
        <v>-212.50483786723365</v>
      </c>
      <c r="N78" s="7">
        <f t="shared" si="24"/>
        <v>-102048.85011471318</v>
      </c>
      <c r="P78" s="63"/>
      <c r="X78" s="164">
        <v>51075</v>
      </c>
      <c r="Y78" s="165">
        <f t="shared" si="16"/>
        <v>10351.16</v>
      </c>
      <c r="Z78" s="165">
        <f t="shared" si="18"/>
        <v>10332.089770737124</v>
      </c>
      <c r="AA78" s="165">
        <f t="shared" si="17"/>
        <v>19.070229262876634</v>
      </c>
      <c r="AB78" s="165">
        <f t="shared" si="30"/>
        <v>10339.000602126865</v>
      </c>
      <c r="BB78" s="187">
        <v>42222</v>
      </c>
      <c r="BC78" s="180">
        <v>4.7E-2</v>
      </c>
      <c r="BD78" s="191">
        <v>42222</v>
      </c>
      <c r="BE78" s="192">
        <v>0.48099999999999998</v>
      </c>
      <c r="BH78" s="94">
        <v>42191</v>
      </c>
      <c r="BI78" s="95">
        <v>0.59799999999999998</v>
      </c>
      <c r="BJ78" s="96">
        <v>8.41</v>
      </c>
    </row>
    <row r="79" spans="1:62" ht="13.8" x14ac:dyDescent="0.25">
      <c r="A79" s="237">
        <v>45597</v>
      </c>
      <c r="B79" s="7">
        <f t="shared" ref="B79:B130" si="33">+$B$77</f>
        <v>4775.6788399534489</v>
      </c>
      <c r="C79" s="7">
        <f t="shared" si="28"/>
        <v>2085.1288193864639</v>
      </c>
      <c r="D79" s="7">
        <f t="shared" si="26"/>
        <v>2690.550020566985</v>
      </c>
      <c r="E79" s="7">
        <f t="shared" si="29"/>
        <v>174079.90855148857</v>
      </c>
      <c r="F79" s="269">
        <f t="shared" si="31"/>
        <v>2.8797999999999997E-2</v>
      </c>
      <c r="G79" s="289">
        <v>2.5865999999999998</v>
      </c>
      <c r="H79">
        <f t="shared" si="32"/>
        <v>2.4329999999999998</v>
      </c>
      <c r="I79" s="47"/>
      <c r="J79" s="258"/>
      <c r="K79" s="243">
        <f t="shared" si="27"/>
        <v>10351.16</v>
      </c>
      <c r="L79" s="7">
        <f t="shared" si="22"/>
        <v>10592.131351404209</v>
      </c>
      <c r="M79" s="7">
        <f t="shared" si="23"/>
        <v>-240.97135140420937</v>
      </c>
      <c r="N79" s="7">
        <f t="shared" si="24"/>
        <v>-112640.98146611739</v>
      </c>
      <c r="P79" s="63"/>
      <c r="X79" s="166">
        <v>51257</v>
      </c>
      <c r="Y79" s="167">
        <f t="shared" si="16"/>
        <v>10351.16</v>
      </c>
      <c r="Z79" s="167">
        <f t="shared" si="18"/>
        <v>10341.725374756097</v>
      </c>
      <c r="AA79" s="167">
        <f t="shared" si="17"/>
        <v>9.4346252439019356</v>
      </c>
      <c r="AB79" s="167">
        <f t="shared" si="30"/>
        <v>-2.7247726292316656</v>
      </c>
      <c r="BB79" s="187">
        <v>42223</v>
      </c>
      <c r="BC79" s="180">
        <v>4.5999999999999999E-2</v>
      </c>
      <c r="BD79" s="191">
        <v>42223</v>
      </c>
      <c r="BE79" s="192">
        <v>0.47299999999999998</v>
      </c>
      <c r="BH79" s="94">
        <v>42192</v>
      </c>
      <c r="BI79" s="95">
        <v>0.59499999999999997</v>
      </c>
      <c r="BJ79" s="96">
        <v>8.41</v>
      </c>
    </row>
    <row r="80" spans="1:62" ht="13.8" x14ac:dyDescent="0.25">
      <c r="A80" s="234">
        <v>45778</v>
      </c>
      <c r="B80" s="7">
        <f t="shared" si="33"/>
        <v>4775.6788399534489</v>
      </c>
      <c r="C80" s="7">
        <f t="shared" si="28"/>
        <v>2255.1768111470492</v>
      </c>
      <c r="D80" s="7">
        <f t="shared" si="26"/>
        <v>2520.5020288063997</v>
      </c>
      <c r="E80" s="7">
        <f t="shared" si="29"/>
        <v>171824.73174034152</v>
      </c>
      <c r="F80" s="269">
        <f t="shared" si="31"/>
        <v>2.8538750000000002E-2</v>
      </c>
      <c r="G80" s="289">
        <v>2.5347499999999998</v>
      </c>
      <c r="H80">
        <f t="shared" si="32"/>
        <v>2.4329999999999998</v>
      </c>
      <c r="I80" s="47"/>
      <c r="J80" s="258"/>
      <c r="K80" s="243">
        <f t="shared" si="27"/>
        <v>10351.16</v>
      </c>
      <c r="L80" s="7">
        <f t="shared" si="22"/>
        <v>10612.80622644888</v>
      </c>
      <c r="M80" s="7">
        <f t="shared" si="23"/>
        <v>-261.64622644887964</v>
      </c>
      <c r="N80" s="7">
        <f t="shared" si="24"/>
        <v>-123253.78769256627</v>
      </c>
      <c r="P80" s="63"/>
      <c r="U80" s="7"/>
      <c r="V80" s="7"/>
      <c r="X80" s="7"/>
      <c r="BB80" s="187">
        <v>42226</v>
      </c>
      <c r="BC80" s="180">
        <v>4.8000000000000001E-2</v>
      </c>
      <c r="BD80" s="191">
        <v>42226</v>
      </c>
      <c r="BE80" s="192">
        <v>0.46300000000000002</v>
      </c>
      <c r="BH80" s="94">
        <v>42193</v>
      </c>
      <c r="BI80" s="95">
        <v>0.58699999999999997</v>
      </c>
      <c r="BJ80" s="96">
        <v>8.4</v>
      </c>
    </row>
    <row r="81" spans="1:62" ht="13.8" x14ac:dyDescent="0.25">
      <c r="A81" s="235">
        <v>45962</v>
      </c>
      <c r="B81" s="7">
        <f t="shared" si="33"/>
        <v>4775.6788399534489</v>
      </c>
      <c r="C81" s="7">
        <f t="shared" si="28"/>
        <v>2269.3621633321723</v>
      </c>
      <c r="D81" s="7">
        <f t="shared" si="26"/>
        <v>2506.3166766212767</v>
      </c>
      <c r="E81" s="7">
        <f t="shared" si="29"/>
        <v>169555.36957700935</v>
      </c>
      <c r="F81" s="269">
        <f t="shared" si="31"/>
        <v>2.8149250000000001E-2</v>
      </c>
      <c r="G81" s="289">
        <v>2.4568500000000002</v>
      </c>
      <c r="H81">
        <f t="shared" si="32"/>
        <v>2.4329999999999998</v>
      </c>
      <c r="I81" s="47"/>
      <c r="J81" s="258"/>
      <c r="K81" s="243">
        <f t="shared" si="27"/>
        <v>10351.16</v>
      </c>
      <c r="L81" s="7">
        <f t="shared" si="22"/>
        <v>10642.203277338047</v>
      </c>
      <c r="M81" s="7">
        <f t="shared" si="23"/>
        <v>-291.04327733804649</v>
      </c>
      <c r="N81" s="7">
        <f t="shared" si="24"/>
        <v>-133895.99096990432</v>
      </c>
      <c r="P81" s="63"/>
      <c r="U81" s="7"/>
      <c r="V81" s="7"/>
      <c r="W81" s="7"/>
      <c r="BB81" s="187">
        <v>42227</v>
      </c>
      <c r="BC81" s="180">
        <v>4.5999999999999999E-2</v>
      </c>
      <c r="BD81" s="191">
        <v>42227</v>
      </c>
      <c r="BE81" s="192">
        <v>0.45300000000000001</v>
      </c>
      <c r="BH81" s="94">
        <v>42194</v>
      </c>
      <c r="BI81" s="95">
        <v>0.58399999999999996</v>
      </c>
      <c r="BJ81" s="96">
        <v>8.4</v>
      </c>
    </row>
    <row r="82" spans="1:62" ht="13.8" x14ac:dyDescent="0.25">
      <c r="A82" s="236">
        <v>46143</v>
      </c>
      <c r="B82" s="7">
        <f t="shared" si="33"/>
        <v>4775.6788399534489</v>
      </c>
      <c r="C82" s="7">
        <f t="shared" si="28"/>
        <v>2375.9926617343403</v>
      </c>
      <c r="D82" s="7">
        <f t="shared" si="26"/>
        <v>2399.6861782191086</v>
      </c>
      <c r="E82" s="7">
        <f t="shared" si="29"/>
        <v>167179.376915275</v>
      </c>
      <c r="F82" s="269">
        <f t="shared" si="31"/>
        <v>2.8018799999999996E-2</v>
      </c>
      <c r="G82" s="289">
        <v>2.4307599999999998</v>
      </c>
      <c r="H82">
        <f t="shared" si="32"/>
        <v>2.4329999999999998</v>
      </c>
      <c r="I82" s="47"/>
      <c r="J82" s="258"/>
      <c r="K82" s="243">
        <f t="shared" si="27"/>
        <v>10351.16</v>
      </c>
      <c r="L82" s="7">
        <f t="shared" si="22"/>
        <v>10662.178071024593</v>
      </c>
      <c r="M82" s="7">
        <f t="shared" si="23"/>
        <v>-311.01807102459281</v>
      </c>
      <c r="N82" s="7">
        <f t="shared" si="24"/>
        <v>-144558.16904092891</v>
      </c>
      <c r="P82" s="63"/>
      <c r="U82" s="7"/>
      <c r="V82" s="7"/>
      <c r="W82" s="7"/>
      <c r="BB82" s="187">
        <v>42228</v>
      </c>
      <c r="BC82" s="180">
        <v>4.5999999999999999E-2</v>
      </c>
      <c r="BD82" s="191">
        <v>42228</v>
      </c>
      <c r="BE82" s="192">
        <v>0.44500000000000001</v>
      </c>
      <c r="BH82" s="94">
        <v>42195</v>
      </c>
      <c r="BI82" s="95">
        <v>0.58299999999999996</v>
      </c>
      <c r="BJ82" s="96">
        <v>8.39</v>
      </c>
    </row>
    <row r="83" spans="1:62" ht="13.8" x14ac:dyDescent="0.25">
      <c r="A83" s="237">
        <v>46327</v>
      </c>
      <c r="B83" s="7">
        <f t="shared" si="33"/>
        <v>4775.6788399534489</v>
      </c>
      <c r="C83" s="7">
        <f t="shared" si="28"/>
        <v>2381.5497933753322</v>
      </c>
      <c r="D83" s="7">
        <f t="shared" si="26"/>
        <v>2394.1290465781167</v>
      </c>
      <c r="E83" s="7">
        <f t="shared" si="29"/>
        <v>164797.82712189967</v>
      </c>
      <c r="F83" s="269">
        <f t="shared" si="31"/>
        <v>2.7998450000000001E-2</v>
      </c>
      <c r="G83" s="289">
        <v>2.4266899999999998</v>
      </c>
      <c r="H83">
        <f t="shared" si="32"/>
        <v>2.4329999999999998</v>
      </c>
      <c r="I83" s="47"/>
      <c r="J83" s="258"/>
      <c r="K83" s="243">
        <f t="shared" si="27"/>
        <v>10351.16</v>
      </c>
      <c r="L83" s="7">
        <f t="shared" si="22"/>
        <v>10692.51002316198</v>
      </c>
      <c r="M83" s="7">
        <f t="shared" si="23"/>
        <v>-341.35002316198018</v>
      </c>
      <c r="N83" s="7">
        <f t="shared" si="24"/>
        <v>-155250.67906409089</v>
      </c>
      <c r="P83" s="63"/>
      <c r="U83" s="7"/>
      <c r="V83" s="7"/>
      <c r="W83" s="7"/>
      <c r="BB83" s="187">
        <v>42229</v>
      </c>
      <c r="BC83" s="180">
        <v>4.5999999999999999E-2</v>
      </c>
      <c r="BD83" s="191">
        <v>42229</v>
      </c>
      <c r="BE83" s="192">
        <v>0.438</v>
      </c>
      <c r="BH83" s="94">
        <v>42198</v>
      </c>
      <c r="BI83" s="95">
        <v>0.58499999999999996</v>
      </c>
      <c r="BJ83" s="96">
        <v>8.39</v>
      </c>
    </row>
    <row r="84" spans="1:62" ht="13.8" x14ac:dyDescent="0.25">
      <c r="A84" s="234">
        <v>46508</v>
      </c>
      <c r="B84" s="7">
        <f t="shared" si="33"/>
        <v>4775.6788399534489</v>
      </c>
      <c r="C84" s="7">
        <f t="shared" si="28"/>
        <v>2455.8200793329252</v>
      </c>
      <c r="D84" s="7">
        <f t="shared" si="26"/>
        <v>2319.8587606205238</v>
      </c>
      <c r="E84" s="7">
        <f t="shared" si="29"/>
        <v>162342.00704256675</v>
      </c>
      <c r="F84" s="269">
        <f t="shared" si="31"/>
        <v>2.7992099999999999E-2</v>
      </c>
      <c r="G84" s="289">
        <v>2.4254199999999999</v>
      </c>
      <c r="H84">
        <f t="shared" si="32"/>
        <v>2.4329999999999998</v>
      </c>
      <c r="I84" s="47"/>
      <c r="J84" s="258"/>
      <c r="K84" s="243">
        <f t="shared" si="27"/>
        <v>10351.16</v>
      </c>
      <c r="L84" s="7">
        <f t="shared" si="22"/>
        <v>10711.781452352705</v>
      </c>
      <c r="M84" s="7">
        <f t="shared" si="23"/>
        <v>-360.62145235270577</v>
      </c>
      <c r="N84" s="7">
        <f t="shared" si="24"/>
        <v>-165962.46051644359</v>
      </c>
      <c r="P84" s="63"/>
      <c r="U84" s="7"/>
      <c r="V84" s="7"/>
      <c r="W84" s="7"/>
      <c r="BB84" s="187">
        <v>42230</v>
      </c>
      <c r="BC84" s="180">
        <v>4.5999999999999999E-2</v>
      </c>
      <c r="BD84" s="191">
        <v>42230</v>
      </c>
      <c r="BE84" s="192">
        <v>0.433</v>
      </c>
      <c r="BH84" s="94">
        <v>42199</v>
      </c>
      <c r="BI84" s="95">
        <v>0.58499999999999996</v>
      </c>
      <c r="BJ84" s="96">
        <v>8.3800000000000008</v>
      </c>
    </row>
    <row r="85" spans="1:62" ht="13.8" x14ac:dyDescent="0.25">
      <c r="A85" s="235">
        <v>46692</v>
      </c>
      <c r="B85" s="7">
        <f t="shared" si="33"/>
        <v>4775.6788399534489</v>
      </c>
      <c r="C85" s="7">
        <f t="shared" si="28"/>
        <v>2453.03984011493</v>
      </c>
      <c r="D85" s="7">
        <f t="shared" si="26"/>
        <v>2322.6389998385189</v>
      </c>
      <c r="E85" s="7">
        <f t="shared" si="29"/>
        <v>159888.96720245181</v>
      </c>
      <c r="F85" s="269">
        <f t="shared" si="31"/>
        <v>2.799455E-2</v>
      </c>
      <c r="G85" s="289">
        <v>2.42591</v>
      </c>
      <c r="H85">
        <f t="shared" si="32"/>
        <v>2.4329999999999998</v>
      </c>
      <c r="I85" s="47"/>
      <c r="J85" s="258"/>
      <c r="K85" s="243">
        <f t="shared" si="27"/>
        <v>10351.16</v>
      </c>
      <c r="L85" s="7">
        <f t="shared" si="22"/>
        <v>10743.052690099496</v>
      </c>
      <c r="M85" s="7">
        <f t="shared" si="23"/>
        <v>-391.89269009949544</v>
      </c>
      <c r="N85" s="7">
        <f t="shared" si="24"/>
        <v>-176705.51320654308</v>
      </c>
      <c r="P85" s="63"/>
      <c r="U85" s="7"/>
      <c r="V85" s="7"/>
      <c r="W85" s="7"/>
      <c r="BB85" s="187">
        <v>42233</v>
      </c>
      <c r="BC85" s="180">
        <v>4.3999999999999997E-2</v>
      </c>
      <c r="BD85" s="191">
        <v>42233</v>
      </c>
      <c r="BE85" s="192">
        <v>0.42899999999999999</v>
      </c>
      <c r="BH85" s="94">
        <v>42200</v>
      </c>
      <c r="BI85" s="95">
        <v>0.58199999999999996</v>
      </c>
      <c r="BJ85" s="96">
        <v>8.3800000000000008</v>
      </c>
    </row>
    <row r="86" spans="1:62" ht="13.8" x14ac:dyDescent="0.25">
      <c r="A86" s="236">
        <v>46874</v>
      </c>
      <c r="B86" s="7">
        <f t="shared" si="33"/>
        <v>4775.6788399534489</v>
      </c>
      <c r="C86" s="7">
        <f t="shared" si="28"/>
        <v>2512.8022205169868</v>
      </c>
      <c r="D86" s="7">
        <f t="shared" si="26"/>
        <v>2262.8766194364621</v>
      </c>
      <c r="E86" s="7">
        <f t="shared" si="29"/>
        <v>157376.16498193482</v>
      </c>
      <c r="F86" s="269">
        <f t="shared" si="31"/>
        <v>2.7996550000000002E-2</v>
      </c>
      <c r="G86" s="289">
        <v>2.42631</v>
      </c>
      <c r="H86">
        <f t="shared" si="32"/>
        <v>2.4329999999999998</v>
      </c>
      <c r="I86" s="47"/>
      <c r="J86" s="258"/>
      <c r="K86" s="243">
        <f t="shared" si="27"/>
        <v>10351.16</v>
      </c>
      <c r="L86" s="7">
        <f t="shared" si="22"/>
        <v>10763.885177012749</v>
      </c>
      <c r="M86" s="7">
        <f t="shared" si="23"/>
        <v>-412.7251770127491</v>
      </c>
      <c r="N86" s="7">
        <f t="shared" si="24"/>
        <v>-187469.39838355582</v>
      </c>
      <c r="P86" s="63"/>
      <c r="U86" s="7"/>
      <c r="V86" s="7"/>
      <c r="W86" s="7"/>
      <c r="BB86" s="187">
        <v>42234</v>
      </c>
      <c r="BC86" s="180">
        <v>4.2999999999999997E-2</v>
      </c>
      <c r="BD86" s="191">
        <v>42234</v>
      </c>
      <c r="BE86" s="192">
        <v>0.42499999999999999</v>
      </c>
      <c r="BH86" s="94">
        <v>42201</v>
      </c>
      <c r="BI86" s="95">
        <v>0.57999999999999996</v>
      </c>
      <c r="BJ86" s="96">
        <v>8.3800000000000008</v>
      </c>
    </row>
    <row r="87" spans="1:62" ht="13.8" x14ac:dyDescent="0.25">
      <c r="A87" s="237">
        <v>47058</v>
      </c>
      <c r="B87" s="7">
        <f t="shared" si="33"/>
        <v>4775.6788399534489</v>
      </c>
      <c r="C87" s="7">
        <f t="shared" si="28"/>
        <v>2523.7285632940107</v>
      </c>
      <c r="D87" s="7">
        <f t="shared" si="26"/>
        <v>2251.9502766594383</v>
      </c>
      <c r="E87" s="7">
        <f t="shared" si="29"/>
        <v>154852.43641864081</v>
      </c>
      <c r="F87" s="269">
        <f t="shared" si="31"/>
        <v>2.7975800000000002E-2</v>
      </c>
      <c r="G87" s="289">
        <v>2.4221599999999999</v>
      </c>
      <c r="H87">
        <f t="shared" si="32"/>
        <v>2.4329999999999998</v>
      </c>
      <c r="I87" s="47"/>
      <c r="J87" s="258"/>
      <c r="K87" s="243">
        <f t="shared" si="27"/>
        <v>10351.16</v>
      </c>
      <c r="L87" s="7">
        <f t="shared" si="22"/>
        <v>10793.837739383036</v>
      </c>
      <c r="M87" s="7">
        <f t="shared" si="23"/>
        <v>-442.67773938303645</v>
      </c>
      <c r="N87" s="7">
        <f t="shared" si="24"/>
        <v>-198263.23612293886</v>
      </c>
      <c r="P87" s="63"/>
      <c r="U87" s="7"/>
      <c r="V87" s="7"/>
      <c r="W87" s="7"/>
      <c r="BB87" s="187">
        <v>42235</v>
      </c>
      <c r="BC87" s="180">
        <v>4.2000000000000003E-2</v>
      </c>
      <c r="BD87" s="191">
        <v>42235</v>
      </c>
      <c r="BE87" s="192">
        <v>0.42199999999999999</v>
      </c>
      <c r="BH87" s="94">
        <v>42202</v>
      </c>
      <c r="BI87" s="95">
        <v>0.57799999999999996</v>
      </c>
      <c r="BJ87" s="96">
        <v>8.3800000000000008</v>
      </c>
    </row>
    <row r="88" spans="1:62" ht="13.8" x14ac:dyDescent="0.25">
      <c r="A88" s="234">
        <v>47239</v>
      </c>
      <c r="B88" s="7">
        <f t="shared" si="33"/>
        <v>4775.6788399534489</v>
      </c>
      <c r="C88" s="7">
        <f t="shared" si="28"/>
        <v>2597.5847757099186</v>
      </c>
      <c r="D88" s="7">
        <f t="shared" si="26"/>
        <v>2178.0940642435303</v>
      </c>
      <c r="E88" s="7">
        <f t="shared" si="29"/>
        <v>152254.85164293088</v>
      </c>
      <c r="F88" s="269">
        <f t="shared" si="31"/>
        <v>2.7970200000000001E-2</v>
      </c>
      <c r="G88" s="289">
        <v>2.4210400000000001</v>
      </c>
      <c r="H88">
        <f t="shared" si="32"/>
        <v>2.4329999999999998</v>
      </c>
      <c r="I88" s="47"/>
      <c r="J88" s="258"/>
      <c r="K88" s="243">
        <f t="shared" si="27"/>
        <v>10351.16</v>
      </c>
      <c r="L88" s="7">
        <f t="shared" si="22"/>
        <v>10811.692453640899</v>
      </c>
      <c r="M88" s="7">
        <f t="shared" si="23"/>
        <v>-460.5324536408998</v>
      </c>
      <c r="N88" s="7">
        <f t="shared" si="24"/>
        <v>-209074.92857657975</v>
      </c>
      <c r="P88" s="63"/>
      <c r="U88" s="7"/>
      <c r="V88" s="7"/>
      <c r="W88" s="7"/>
      <c r="BB88" s="187">
        <v>42236</v>
      </c>
      <c r="BC88" s="180">
        <v>4.2000000000000003E-2</v>
      </c>
      <c r="BD88" s="191">
        <v>42236</v>
      </c>
      <c r="BE88" s="192">
        <v>0.41699999999999998</v>
      </c>
      <c r="BH88" s="94">
        <v>42205</v>
      </c>
      <c r="BI88" s="95">
        <v>0.57099999999999995</v>
      </c>
      <c r="BJ88" s="96">
        <v>8.3699999999999992</v>
      </c>
    </row>
    <row r="89" spans="1:62" ht="13.8" x14ac:dyDescent="0.25">
      <c r="A89" s="235">
        <v>47423</v>
      </c>
      <c r="B89" s="7">
        <f t="shared" si="33"/>
        <v>4775.6788399534489</v>
      </c>
      <c r="C89" s="7">
        <f t="shared" si="28"/>
        <v>2599.0617514483065</v>
      </c>
      <c r="D89" s="7">
        <f t="shared" si="26"/>
        <v>2176.6170885051424</v>
      </c>
      <c r="E89" s="7">
        <f t="shared" si="29"/>
        <v>149655.78989148256</v>
      </c>
      <c r="F89" s="269">
        <f t="shared" si="31"/>
        <v>2.8218899999999998E-2</v>
      </c>
      <c r="G89" s="289">
        <v>2.47078</v>
      </c>
      <c r="H89">
        <f t="shared" si="32"/>
        <v>2.4329999999999998</v>
      </c>
      <c r="I89" s="47"/>
      <c r="J89" s="47"/>
      <c r="K89" s="243">
        <f t="shared" si="27"/>
        <v>10351.16</v>
      </c>
      <c r="L89" s="7">
        <f t="shared" si="22"/>
        <v>10844.855598012164</v>
      </c>
      <c r="M89" s="7">
        <f t="shared" si="23"/>
        <v>-493.69559801216366</v>
      </c>
      <c r="N89" s="7">
        <f t="shared" si="24"/>
        <v>-219919.78417459191</v>
      </c>
      <c r="P89" s="63"/>
      <c r="U89" s="7"/>
      <c r="V89" s="7"/>
      <c r="W89" s="7"/>
      <c r="BB89" s="187">
        <v>42237</v>
      </c>
      <c r="BC89" s="180">
        <v>4.2000000000000003E-2</v>
      </c>
      <c r="BD89" s="191">
        <v>42237</v>
      </c>
      <c r="BE89" s="192">
        <v>0.41499999999999998</v>
      </c>
      <c r="BH89" s="94">
        <v>42206</v>
      </c>
      <c r="BI89" s="95">
        <v>0.56399999999999995</v>
      </c>
      <c r="BJ89" s="96">
        <v>8.36</v>
      </c>
    </row>
    <row r="90" spans="1:62" ht="13.8" x14ac:dyDescent="0.25">
      <c r="A90" s="236">
        <v>47604</v>
      </c>
      <c r="B90" s="7">
        <f t="shared" si="33"/>
        <v>4775.6788399534489</v>
      </c>
      <c r="C90" s="7">
        <f t="shared" si="28"/>
        <v>2652.3870614652687</v>
      </c>
      <c r="D90" s="7">
        <f t="shared" si="26"/>
        <v>2123.2917784881802</v>
      </c>
      <c r="E90" s="7">
        <f t="shared" si="29"/>
        <v>147003.40283001729</v>
      </c>
      <c r="F90" s="269">
        <f t="shared" si="31"/>
        <v>2.8308699999999999E-2</v>
      </c>
      <c r="G90" s="289">
        <v>2.48874</v>
      </c>
      <c r="H90">
        <f t="shared" si="32"/>
        <v>2.4329999999999998</v>
      </c>
      <c r="I90" s="47"/>
      <c r="J90" s="47"/>
      <c r="K90" s="243">
        <f t="shared" si="27"/>
        <v>10351.16</v>
      </c>
      <c r="L90" s="7">
        <f t="shared" si="22"/>
        <v>10861.997005340214</v>
      </c>
      <c r="M90" s="7">
        <f t="shared" si="23"/>
        <v>-510.8370053402146</v>
      </c>
      <c r="N90" s="7">
        <f t="shared" si="24"/>
        <v>-230781.78117993212</v>
      </c>
      <c r="P90" s="63"/>
      <c r="U90" s="7"/>
      <c r="V90" s="7"/>
      <c r="W90" s="7"/>
      <c r="BB90" s="187">
        <v>42240</v>
      </c>
      <c r="BC90" s="180">
        <v>4.1000000000000002E-2</v>
      </c>
      <c r="BD90" s="191">
        <v>42240</v>
      </c>
      <c r="BE90" s="192">
        <v>0.41299999999999998</v>
      </c>
      <c r="BH90" s="94">
        <v>42207</v>
      </c>
      <c r="BI90" s="95">
        <v>0.55800000000000005</v>
      </c>
      <c r="BJ90" s="96">
        <v>8.36</v>
      </c>
    </row>
    <row r="91" spans="1:62" ht="13.8" x14ac:dyDescent="0.25">
      <c r="A91" s="237">
        <v>47788</v>
      </c>
      <c r="B91" s="7">
        <f t="shared" si="33"/>
        <v>4775.6788399534489</v>
      </c>
      <c r="C91" s="7">
        <f t="shared" si="28"/>
        <v>2648.7026114431255</v>
      </c>
      <c r="D91" s="7">
        <f t="shared" si="26"/>
        <v>2126.9762285103234</v>
      </c>
      <c r="E91" s="7">
        <f t="shared" si="29"/>
        <v>144354.70021857417</v>
      </c>
      <c r="F91" s="269">
        <f t="shared" si="31"/>
        <v>2.8530649999999998E-2</v>
      </c>
      <c r="G91" s="289">
        <v>2.5331299999999999</v>
      </c>
      <c r="H91">
        <f t="shared" si="32"/>
        <v>2.4329999999999998</v>
      </c>
      <c r="I91" s="47"/>
      <c r="J91" s="47"/>
      <c r="K91" s="243">
        <f t="shared" si="27"/>
        <v>10351.16</v>
      </c>
      <c r="L91" s="7">
        <f t="shared" si="22"/>
        <v>10896.112712626213</v>
      </c>
      <c r="M91" s="7">
        <f t="shared" si="23"/>
        <v>-544.95271262621304</v>
      </c>
      <c r="N91" s="7">
        <f t="shared" si="24"/>
        <v>-241677.89389255832</v>
      </c>
      <c r="P91" s="63"/>
      <c r="U91" s="7"/>
      <c r="V91" s="7"/>
      <c r="W91" s="7"/>
      <c r="BB91" s="187">
        <v>42241</v>
      </c>
      <c r="BC91" s="180">
        <v>4.1000000000000002E-2</v>
      </c>
      <c r="BD91" s="191">
        <v>42241</v>
      </c>
      <c r="BE91" s="192">
        <v>0.41299999999999998</v>
      </c>
      <c r="BH91" s="94">
        <v>42208</v>
      </c>
      <c r="BI91" s="95">
        <v>0.55100000000000005</v>
      </c>
      <c r="BJ91" s="96">
        <v>8.36</v>
      </c>
    </row>
    <row r="92" spans="1:62" ht="13.8" x14ac:dyDescent="0.25">
      <c r="A92" s="234">
        <v>47969</v>
      </c>
      <c r="B92" s="7">
        <f t="shared" si="33"/>
        <v>4775.6788399534489</v>
      </c>
      <c r="C92" s="7">
        <f t="shared" si="28"/>
        <v>2704.9717554251642</v>
      </c>
      <c r="D92" s="7">
        <f t="shared" si="26"/>
        <v>2070.7070845282847</v>
      </c>
      <c r="E92" s="7">
        <f t="shared" si="29"/>
        <v>141649.72846314902</v>
      </c>
      <c r="F92" s="269">
        <f t="shared" si="31"/>
        <v>2.8605449999999998E-2</v>
      </c>
      <c r="G92" s="289">
        <v>2.5480900000000002</v>
      </c>
      <c r="H92">
        <f t="shared" si="32"/>
        <v>2.4329999999999998</v>
      </c>
      <c r="I92" s="47"/>
      <c r="J92" s="47"/>
      <c r="K92" s="243">
        <f t="shared" si="27"/>
        <v>10351.16</v>
      </c>
      <c r="L92" s="7">
        <f t="shared" si="22"/>
        <v>10912.537467863431</v>
      </c>
      <c r="M92" s="7">
        <f t="shared" si="23"/>
        <v>-561.37746786343087</v>
      </c>
      <c r="N92" s="7">
        <f t="shared" si="24"/>
        <v>-252590.43136042176</v>
      </c>
      <c r="P92" s="63"/>
      <c r="U92" s="7"/>
      <c r="V92" s="7"/>
      <c r="W92" s="7"/>
      <c r="BB92" s="187">
        <v>42242</v>
      </c>
      <c r="BC92" s="180">
        <v>3.9E-2</v>
      </c>
      <c r="BD92" s="191">
        <v>42242</v>
      </c>
      <c r="BE92" s="192">
        <v>0.41499999999999998</v>
      </c>
      <c r="BH92" s="94">
        <v>42209</v>
      </c>
      <c r="BI92" s="95">
        <v>0.54300000000000004</v>
      </c>
      <c r="BJ92" s="96">
        <v>8.36</v>
      </c>
    </row>
    <row r="93" spans="1:62" ht="13.8" x14ac:dyDescent="0.25">
      <c r="A93" s="235">
        <v>48153</v>
      </c>
      <c r="B93" s="7">
        <f t="shared" si="33"/>
        <v>4775.6788399534489</v>
      </c>
      <c r="C93" s="7">
        <f t="shared" si="28"/>
        <v>2704.6800138085096</v>
      </c>
      <c r="D93" s="7">
        <f t="shared" si="26"/>
        <v>2070.9988261449394</v>
      </c>
      <c r="E93" s="7">
        <f t="shared" si="29"/>
        <v>138945.04844934051</v>
      </c>
      <c r="F93" s="269">
        <f t="shared" si="31"/>
        <v>2.8801649999999998E-2</v>
      </c>
      <c r="G93" s="289">
        <v>2.5873300000000001</v>
      </c>
      <c r="H93">
        <f t="shared" si="32"/>
        <v>2.4329999999999998</v>
      </c>
      <c r="I93" s="47"/>
      <c r="J93" s="47"/>
      <c r="K93" s="243">
        <f t="shared" si="27"/>
        <v>10351.16</v>
      </c>
      <c r="L93" s="7">
        <f t="shared" si="22"/>
        <v>10947.610205252409</v>
      </c>
      <c r="M93" s="7">
        <f t="shared" si="23"/>
        <v>-596.45020525240932</v>
      </c>
      <c r="N93" s="7">
        <f t="shared" si="24"/>
        <v>-263538.04156567418</v>
      </c>
      <c r="P93" s="63"/>
      <c r="U93" s="7"/>
      <c r="V93" s="7"/>
      <c r="W93" s="7"/>
      <c r="BB93" s="187">
        <v>42243</v>
      </c>
      <c r="BC93" s="180">
        <v>3.9E-2</v>
      </c>
      <c r="BD93" s="191">
        <v>42243</v>
      </c>
      <c r="BE93" s="192">
        <v>0.41799999999999998</v>
      </c>
      <c r="BH93" s="94">
        <v>42212</v>
      </c>
      <c r="BI93" s="95">
        <v>0.53500000000000003</v>
      </c>
      <c r="BJ93" s="96">
        <v>8.35</v>
      </c>
    </row>
    <row r="94" spans="1:62" ht="13.8" x14ac:dyDescent="0.25">
      <c r="A94" s="236">
        <v>48335</v>
      </c>
      <c r="B94" s="7">
        <f t="shared" si="33"/>
        <v>4775.6788399534489</v>
      </c>
      <c r="C94" s="7">
        <f t="shared" si="28"/>
        <v>2752.5230312031363</v>
      </c>
      <c r="D94" s="7">
        <f t="shared" si="26"/>
        <v>2023.1558087503124</v>
      </c>
      <c r="E94" s="7">
        <f t="shared" si="29"/>
        <v>136192.52541813737</v>
      </c>
      <c r="F94" s="269">
        <f t="shared" si="31"/>
        <v>2.8869399999999996E-2</v>
      </c>
      <c r="G94" s="289">
        <v>2.6008800000000001</v>
      </c>
      <c r="H94">
        <f t="shared" si="32"/>
        <v>2.4329999999999998</v>
      </c>
      <c r="I94" s="47"/>
      <c r="J94" s="47"/>
      <c r="K94" s="243">
        <f t="shared" si="27"/>
        <v>10351.16</v>
      </c>
      <c r="L94" s="7">
        <f t="shared" si="22"/>
        <v>10966.69701908356</v>
      </c>
      <c r="M94" s="7">
        <f t="shared" si="23"/>
        <v>-615.5370190835597</v>
      </c>
      <c r="N94" s="7">
        <f t="shared" si="24"/>
        <v>-274504.73858475772</v>
      </c>
      <c r="P94" s="63"/>
      <c r="U94" s="7"/>
      <c r="V94" s="7"/>
      <c r="W94" s="7"/>
      <c r="BB94" s="187">
        <v>42244</v>
      </c>
      <c r="BC94" s="180">
        <v>0.04</v>
      </c>
      <c r="BD94" s="191">
        <v>42244</v>
      </c>
      <c r="BE94" s="192">
        <v>0.42099999999999999</v>
      </c>
      <c r="BH94" s="94">
        <v>42213</v>
      </c>
      <c r="BI94" s="95">
        <v>0.52900000000000003</v>
      </c>
      <c r="BJ94" s="96">
        <v>8.35</v>
      </c>
    </row>
    <row r="95" spans="1:62" ht="13.8" x14ac:dyDescent="0.25">
      <c r="A95" s="237">
        <v>48519</v>
      </c>
      <c r="B95" s="7">
        <f t="shared" si="33"/>
        <v>4775.6788399534489</v>
      </c>
      <c r="C95" s="7">
        <f t="shared" si="28"/>
        <v>2766.0939655968577</v>
      </c>
      <c r="D95" s="7">
        <f t="shared" si="26"/>
        <v>2009.5848743565914</v>
      </c>
      <c r="E95" s="7">
        <f t="shared" si="29"/>
        <v>133426.43145254051</v>
      </c>
      <c r="F95" s="269">
        <f t="shared" si="31"/>
        <v>2.8935700000000002E-2</v>
      </c>
      <c r="G95" s="289">
        <v>2.6141399999999999</v>
      </c>
      <c r="H95">
        <f t="shared" si="32"/>
        <v>2.4329999999999998</v>
      </c>
      <c r="I95" s="47"/>
      <c r="J95" s="47"/>
      <c r="K95" s="243">
        <f t="shared" si="27"/>
        <v>10351.16</v>
      </c>
      <c r="L95" s="7">
        <f t="shared" si="22"/>
        <v>10999.357189378141</v>
      </c>
      <c r="M95" s="7">
        <f t="shared" si="23"/>
        <v>-648.19718937814127</v>
      </c>
      <c r="N95" s="7">
        <f t="shared" si="24"/>
        <v>-285504.09577413584</v>
      </c>
      <c r="P95" s="63"/>
      <c r="BB95" s="187">
        <v>42247</v>
      </c>
      <c r="BC95" s="180">
        <v>3.9E-2</v>
      </c>
      <c r="BD95" s="191">
        <v>42247</v>
      </c>
      <c r="BE95" s="192">
        <v>0.42599999999999999</v>
      </c>
      <c r="BH95" s="94">
        <v>42214</v>
      </c>
      <c r="BI95" s="95">
        <v>0.52200000000000002</v>
      </c>
      <c r="BJ95" s="96">
        <v>8.34</v>
      </c>
    </row>
    <row r="96" spans="1:62" ht="13.8" x14ac:dyDescent="0.25">
      <c r="A96" s="234">
        <v>48700</v>
      </c>
      <c r="B96" s="7">
        <f t="shared" si="33"/>
        <v>4775.6788399534489</v>
      </c>
      <c r="C96" s="7">
        <f t="shared" si="28"/>
        <v>2834.560834794529</v>
      </c>
      <c r="D96" s="7">
        <f t="shared" si="26"/>
        <v>1941.1180051589197</v>
      </c>
      <c r="E96" s="7">
        <f t="shared" si="29"/>
        <v>130591.87061774598</v>
      </c>
      <c r="F96" s="269">
        <f t="shared" si="31"/>
        <v>2.8962250000000002E-2</v>
      </c>
      <c r="G96" s="289">
        <v>2.6194500000000001</v>
      </c>
      <c r="H96">
        <f t="shared" si="32"/>
        <v>2.4329999999999998</v>
      </c>
      <c r="I96" s="47"/>
      <c r="J96" s="47"/>
      <c r="K96" s="243">
        <f t="shared" si="27"/>
        <v>10351.16</v>
      </c>
      <c r="L96" s="7">
        <f t="shared" si="22"/>
        <v>11014.338430467355</v>
      </c>
      <c r="M96" s="7">
        <f t="shared" si="23"/>
        <v>-663.17843046735527</v>
      </c>
      <c r="N96" s="7">
        <f t="shared" si="24"/>
        <v>-296518.4342046032</v>
      </c>
      <c r="P96" s="63"/>
      <c r="BB96" s="187">
        <v>42248</v>
      </c>
      <c r="BC96" s="180">
        <v>3.9E-2</v>
      </c>
      <c r="BD96" s="191">
        <v>42248</v>
      </c>
      <c r="BE96" s="192">
        <v>0.433</v>
      </c>
      <c r="BH96" s="94">
        <v>42215</v>
      </c>
      <c r="BI96" s="95">
        <v>0.51100000000000001</v>
      </c>
      <c r="BJ96" s="96">
        <v>8.34</v>
      </c>
    </row>
    <row r="97" spans="1:62" ht="13.8" x14ac:dyDescent="0.25">
      <c r="A97" s="235">
        <v>48884</v>
      </c>
      <c r="B97" s="7">
        <f t="shared" si="33"/>
        <v>4775.6788399534489</v>
      </c>
      <c r="C97" s="7">
        <f t="shared" si="28"/>
        <v>2842.5368108340554</v>
      </c>
      <c r="D97" s="7">
        <f t="shared" si="26"/>
        <v>1933.1420291193938</v>
      </c>
      <c r="E97" s="7">
        <f t="shared" si="29"/>
        <v>127749.33380691192</v>
      </c>
      <c r="F97" s="269">
        <f t="shared" si="31"/>
        <v>2.8746899999999999E-2</v>
      </c>
      <c r="G97" s="289">
        <v>2.5763799999999999</v>
      </c>
      <c r="H97">
        <f t="shared" si="32"/>
        <v>2.4329999999999998</v>
      </c>
      <c r="I97" s="47"/>
      <c r="J97" s="47"/>
      <c r="K97" s="243">
        <f t="shared" si="27"/>
        <v>10351.16</v>
      </c>
      <c r="L97" s="7">
        <f t="shared" si="22"/>
        <v>11051.338862635137</v>
      </c>
      <c r="M97" s="7">
        <f t="shared" si="23"/>
        <v>-700.17886263513628</v>
      </c>
      <c r="N97" s="7">
        <f t="shared" si="24"/>
        <v>-307569.77306723833</v>
      </c>
      <c r="P97" s="63"/>
      <c r="BB97" s="187">
        <v>42249</v>
      </c>
      <c r="BC97" s="180">
        <v>3.9E-2</v>
      </c>
      <c r="BD97" s="191">
        <v>42249</v>
      </c>
      <c r="BE97" s="192">
        <v>0.437</v>
      </c>
      <c r="BH97" s="94">
        <v>42216</v>
      </c>
      <c r="BI97" s="95">
        <v>0.501</v>
      </c>
      <c r="BJ97" s="96">
        <v>8.34</v>
      </c>
    </row>
    <row r="98" spans="1:62" ht="13.8" x14ac:dyDescent="0.25">
      <c r="A98" s="236">
        <v>49065</v>
      </c>
      <c r="B98" s="7">
        <f t="shared" si="33"/>
        <v>4775.6788399534489</v>
      </c>
      <c r="C98" s="7">
        <f t="shared" si="28"/>
        <v>2929.2790742686743</v>
      </c>
      <c r="D98" s="7">
        <f t="shared" si="26"/>
        <v>1846.3997656847746</v>
      </c>
      <c r="E98" s="7">
        <f t="shared" si="29"/>
        <v>124820.05473264324</v>
      </c>
      <c r="F98" s="269">
        <f t="shared" si="31"/>
        <v>2.8671100000000005E-2</v>
      </c>
      <c r="G98" s="289">
        <v>2.5612200000000001</v>
      </c>
      <c r="H98">
        <f t="shared" si="32"/>
        <v>2.4329999999999998</v>
      </c>
      <c r="I98" s="47"/>
      <c r="J98" s="47"/>
      <c r="K98" s="243">
        <f t="shared" si="27"/>
        <v>10351.16</v>
      </c>
      <c r="L98" s="7">
        <f t="shared" si="22"/>
        <v>11065.59332120635</v>
      </c>
      <c r="M98" s="7">
        <f t="shared" si="23"/>
        <v>-714.43332120635012</v>
      </c>
      <c r="N98" s="7">
        <f t="shared" si="24"/>
        <v>-318635.36638844467</v>
      </c>
      <c r="P98" s="63"/>
      <c r="BB98" s="187">
        <v>42250</v>
      </c>
      <c r="BC98" s="180">
        <v>3.7999999999999999E-2</v>
      </c>
      <c r="BD98" s="191">
        <v>42250</v>
      </c>
      <c r="BE98" s="192">
        <v>0.439</v>
      </c>
      <c r="BH98" s="94">
        <v>42219</v>
      </c>
      <c r="BI98" s="95">
        <v>0.49199999999999999</v>
      </c>
      <c r="BJ98" s="96">
        <v>8.33</v>
      </c>
    </row>
    <row r="99" spans="1:62" ht="13.8" x14ac:dyDescent="0.25">
      <c r="A99" s="237">
        <v>49249</v>
      </c>
      <c r="B99" s="7">
        <f t="shared" si="33"/>
        <v>4775.6788399534489</v>
      </c>
      <c r="C99" s="7">
        <f t="shared" si="28"/>
        <v>2946.5510568726258</v>
      </c>
      <c r="D99" s="7">
        <f t="shared" si="26"/>
        <v>1829.1277830808228</v>
      </c>
      <c r="E99" s="7">
        <f t="shared" si="29"/>
        <v>121873.50367577061</v>
      </c>
      <c r="F99" s="269">
        <f t="shared" si="31"/>
        <v>2.8353499999999997E-2</v>
      </c>
      <c r="G99" s="289">
        <v>2.4977</v>
      </c>
      <c r="H99">
        <f t="shared" si="32"/>
        <v>2.4329999999999998</v>
      </c>
      <c r="I99" s="47"/>
      <c r="J99" s="47"/>
      <c r="K99" s="243">
        <f t="shared" si="27"/>
        <v>10351.16</v>
      </c>
      <c r="L99" s="7">
        <f t="shared" si="22"/>
        <v>11103.564311831913</v>
      </c>
      <c r="M99" s="7">
        <f t="shared" si="23"/>
        <v>-752.40431183191413</v>
      </c>
      <c r="N99" s="7">
        <f t="shared" si="24"/>
        <v>-329738.93070027657</v>
      </c>
      <c r="P99" s="63"/>
      <c r="BB99" s="187">
        <v>42251</v>
      </c>
      <c r="BC99" s="180">
        <v>3.7999999999999999E-2</v>
      </c>
      <c r="BD99" s="191">
        <v>42251</v>
      </c>
      <c r="BE99" s="192">
        <v>0.44</v>
      </c>
      <c r="BH99" s="94">
        <v>42220</v>
      </c>
      <c r="BI99" s="95">
        <v>0.48399999999999999</v>
      </c>
      <c r="BJ99" s="96">
        <v>8.33</v>
      </c>
    </row>
    <row r="100" spans="1:62" ht="13.8" x14ac:dyDescent="0.25">
      <c r="A100" s="234">
        <v>49430</v>
      </c>
      <c r="B100" s="7">
        <f t="shared" si="33"/>
        <v>4775.6788399534489</v>
      </c>
      <c r="C100" s="7">
        <f t="shared" si="28"/>
        <v>3038.3099234222154</v>
      </c>
      <c r="D100" s="7">
        <f t="shared" si="26"/>
        <v>1737.3689165312335</v>
      </c>
      <c r="E100" s="7">
        <f t="shared" si="29"/>
        <v>118835.19375234839</v>
      </c>
      <c r="F100" s="269">
        <f t="shared" si="31"/>
        <v>2.8243900000000002E-2</v>
      </c>
      <c r="G100" s="289">
        <v>2.4757799999999999</v>
      </c>
      <c r="H100">
        <f t="shared" si="32"/>
        <v>2.4329999999999998</v>
      </c>
      <c r="I100" s="47"/>
      <c r="J100" s="47"/>
      <c r="K100" s="243">
        <f t="shared" si="27"/>
        <v>10351.16</v>
      </c>
      <c r="L100" s="7">
        <f t="shared" si="22"/>
        <v>11117.088579528292</v>
      </c>
      <c r="M100" s="7">
        <f t="shared" si="23"/>
        <v>-765.92857952829229</v>
      </c>
      <c r="N100" s="7">
        <f t="shared" si="24"/>
        <v>-340856.01927980484</v>
      </c>
      <c r="P100" s="63"/>
      <c r="BB100" s="187">
        <v>42254</v>
      </c>
      <c r="BC100" s="180">
        <v>3.7999999999999999E-2</v>
      </c>
      <c r="BD100" s="191">
        <v>42254</v>
      </c>
      <c r="BE100" s="192">
        <v>0.441</v>
      </c>
      <c r="BH100" s="94">
        <v>42221</v>
      </c>
      <c r="BI100" s="95">
        <v>0.48</v>
      </c>
      <c r="BJ100" s="96">
        <v>8.32</v>
      </c>
    </row>
    <row r="101" spans="1:62" ht="13.8" x14ac:dyDescent="0.25">
      <c r="A101" s="235">
        <v>49614</v>
      </c>
      <c r="B101" s="7">
        <f t="shared" si="33"/>
        <v>4775.6788399534489</v>
      </c>
      <c r="C101" s="7">
        <f t="shared" si="28"/>
        <v>3060.2011830000065</v>
      </c>
      <c r="D101" s="7">
        <f t="shared" si="26"/>
        <v>1715.4776569534426</v>
      </c>
      <c r="E101" s="7">
        <f t="shared" si="29"/>
        <v>115774.99256934838</v>
      </c>
      <c r="F101" s="269">
        <f t="shared" si="31"/>
        <v>2.7749799999999998E-2</v>
      </c>
      <c r="G101" s="289">
        <v>2.37696</v>
      </c>
      <c r="H101">
        <f t="shared" si="32"/>
        <v>2.4329999999999998</v>
      </c>
      <c r="I101" s="47"/>
      <c r="J101" s="47"/>
      <c r="K101" s="243">
        <f t="shared" si="27"/>
        <v>10351.16</v>
      </c>
      <c r="L101" s="7">
        <f t="shared" si="22"/>
        <v>11156.034680192712</v>
      </c>
      <c r="M101" s="7">
        <f t="shared" si="23"/>
        <v>-804.8746801927125</v>
      </c>
      <c r="N101" s="7">
        <f t="shared" si="24"/>
        <v>-352012.05395999755</v>
      </c>
      <c r="P101" s="63"/>
      <c r="BB101" s="187">
        <v>42255</v>
      </c>
      <c r="BC101" s="180">
        <v>3.7999999999999999E-2</v>
      </c>
      <c r="BD101" s="191">
        <v>42255</v>
      </c>
      <c r="BE101" s="192">
        <v>0.443</v>
      </c>
      <c r="BH101" s="94">
        <v>42222</v>
      </c>
      <c r="BI101" s="95">
        <v>0.48099999999999998</v>
      </c>
      <c r="BJ101" s="96">
        <v>8.3800000000000008</v>
      </c>
    </row>
    <row r="102" spans="1:62" ht="13.8" x14ac:dyDescent="0.25">
      <c r="A102" s="236">
        <v>49796</v>
      </c>
      <c r="B102" s="7">
        <f t="shared" si="33"/>
        <v>4775.6788399534489</v>
      </c>
      <c r="C102" s="7">
        <f t="shared" si="28"/>
        <v>3151.4638795041037</v>
      </c>
      <c r="D102" s="7">
        <f t="shared" si="26"/>
        <v>1624.2149604493454</v>
      </c>
      <c r="E102" s="7">
        <f t="shared" si="29"/>
        <v>112623.52868984427</v>
      </c>
      <c r="F102" s="269">
        <f t="shared" si="31"/>
        <v>2.757925E-2</v>
      </c>
      <c r="G102" s="289">
        <v>2.3428499999999999</v>
      </c>
      <c r="H102">
        <f t="shared" si="32"/>
        <v>2.4329999999999998</v>
      </c>
      <c r="I102" s="47"/>
      <c r="J102" s="47"/>
      <c r="K102" s="243">
        <f t="shared" si="27"/>
        <v>10351.16</v>
      </c>
      <c r="L102" s="7">
        <f t="shared" si="22"/>
        <v>11173.342820699234</v>
      </c>
      <c r="M102" s="7">
        <f t="shared" si="23"/>
        <v>-822.1828206992343</v>
      </c>
      <c r="N102" s="7">
        <f t="shared" si="24"/>
        <v>-363185.39678069676</v>
      </c>
      <c r="P102" s="63"/>
      <c r="BB102" s="187">
        <v>42256</v>
      </c>
      <c r="BC102" s="180">
        <v>3.7999999999999999E-2</v>
      </c>
      <c r="BD102" s="191">
        <v>42256</v>
      </c>
      <c r="BE102" s="192">
        <v>0.44700000000000001</v>
      </c>
      <c r="BH102" s="94">
        <v>42223</v>
      </c>
      <c r="BI102" s="95">
        <v>0.47299999999999998</v>
      </c>
      <c r="BJ102" s="96">
        <v>8.3800000000000008</v>
      </c>
    </row>
    <row r="103" spans="1:62" ht="13.8" x14ac:dyDescent="0.25">
      <c r="A103" s="237">
        <v>49980</v>
      </c>
      <c r="B103" s="7">
        <f t="shared" si="33"/>
        <v>4775.6788399534489</v>
      </c>
      <c r="C103" s="7">
        <f t="shared" si="28"/>
        <v>3188.1306969924285</v>
      </c>
      <c r="D103" s="7">
        <f t="shared" si="26"/>
        <v>1587.5481429610204</v>
      </c>
      <c r="E103" s="7">
        <f t="shared" si="29"/>
        <v>109435.39799285184</v>
      </c>
      <c r="F103" s="269">
        <f t="shared" si="31"/>
        <v>2.6983649999999998E-2</v>
      </c>
      <c r="G103" s="289">
        <v>2.2237300000000002</v>
      </c>
      <c r="H103">
        <f t="shared" si="32"/>
        <v>2.4329999999999998</v>
      </c>
      <c r="I103" s="47"/>
      <c r="J103" s="47"/>
      <c r="K103" s="243">
        <f t="shared" si="27"/>
        <v>10351.16</v>
      </c>
      <c r="L103" s="7">
        <f t="shared" si="22"/>
        <v>11208.761783598151</v>
      </c>
      <c r="M103" s="7">
        <f t="shared" si="23"/>
        <v>-857.601783598152</v>
      </c>
      <c r="N103" s="7">
        <f t="shared" si="24"/>
        <v>-374394.15856429492</v>
      </c>
      <c r="P103" s="63"/>
      <c r="BB103" s="187">
        <v>42257</v>
      </c>
      <c r="BC103" s="180">
        <v>3.7999999999999999E-2</v>
      </c>
      <c r="BD103" s="191">
        <v>42257</v>
      </c>
      <c r="BE103" s="192">
        <v>0.44900000000000001</v>
      </c>
      <c r="BH103" s="94">
        <v>42226</v>
      </c>
      <c r="BI103" s="95">
        <v>0.46300000000000002</v>
      </c>
      <c r="BJ103" s="96">
        <v>8.3699999999999992</v>
      </c>
    </row>
    <row r="104" spans="1:62" ht="13.8" x14ac:dyDescent="0.25">
      <c r="A104" s="234">
        <v>50161</v>
      </c>
      <c r="B104" s="7">
        <f t="shared" si="33"/>
        <v>4775.6788399534489</v>
      </c>
      <c r="C104" s="7">
        <f t="shared" si="28"/>
        <v>3290.9929167700693</v>
      </c>
      <c r="D104" s="7">
        <f t="shared" si="26"/>
        <v>1484.6859231833798</v>
      </c>
      <c r="E104" s="7">
        <f t="shared" si="29"/>
        <v>106144.40507608176</v>
      </c>
      <c r="F104" s="269">
        <f t="shared" si="31"/>
        <v>2.6783349999999997E-2</v>
      </c>
      <c r="G104" s="289">
        <v>2.1836700000000002</v>
      </c>
      <c r="H104">
        <f t="shared" si="32"/>
        <v>2.4329999999999998</v>
      </c>
      <c r="I104" s="47"/>
      <c r="J104" s="47"/>
      <c r="K104" s="243">
        <f t="shared" si="27"/>
        <v>10351.16</v>
      </c>
      <c r="L104" s="7">
        <f t="shared" si="22"/>
        <v>11220.815231318429</v>
      </c>
      <c r="M104" s="7">
        <f t="shared" si="23"/>
        <v>-869.65523131842963</v>
      </c>
      <c r="N104" s="7">
        <f t="shared" si="24"/>
        <v>-385614.97379561333</v>
      </c>
      <c r="P104" s="63"/>
      <c r="BB104" s="187">
        <v>42258</v>
      </c>
      <c r="BC104" s="180">
        <v>3.6999999999999998E-2</v>
      </c>
      <c r="BD104" s="191">
        <v>42258</v>
      </c>
      <c r="BE104" s="192">
        <v>0.45</v>
      </c>
      <c r="BH104" s="94">
        <v>42227</v>
      </c>
      <c r="BI104" s="95">
        <v>0.45300000000000001</v>
      </c>
      <c r="BJ104" s="96">
        <v>8.3699999999999992</v>
      </c>
    </row>
    <row r="105" spans="1:62" ht="13.8" x14ac:dyDescent="0.25">
      <c r="A105" s="235">
        <v>50345</v>
      </c>
      <c r="B105" s="7">
        <f t="shared" si="33"/>
        <v>4775.6788399534489</v>
      </c>
      <c r="C105" s="7">
        <f t="shared" si="28"/>
        <v>3322.6396557540511</v>
      </c>
      <c r="D105" s="7">
        <f t="shared" si="26"/>
        <v>1453.0391841993978</v>
      </c>
      <c r="E105" s="7">
        <f t="shared" si="29"/>
        <v>102821.76542032771</v>
      </c>
      <c r="F105" s="269">
        <f t="shared" si="31"/>
        <v>2.6107199999999997E-2</v>
      </c>
      <c r="G105" s="289">
        <v>2.0484399999999998</v>
      </c>
      <c r="H105">
        <f t="shared" si="32"/>
        <v>2.4329999999999998</v>
      </c>
      <c r="I105" s="47"/>
      <c r="J105" s="47"/>
      <c r="K105" s="243">
        <f t="shared" si="27"/>
        <v>10351.16</v>
      </c>
      <c r="L105" s="7">
        <f t="shared" si="22"/>
        <v>11261.725491456042</v>
      </c>
      <c r="M105" s="7">
        <f t="shared" si="23"/>
        <v>-910.56549145604163</v>
      </c>
      <c r="N105" s="7">
        <f t="shared" si="24"/>
        <v>-396876.69928706938</v>
      </c>
      <c r="P105" s="63"/>
      <c r="BB105" s="187">
        <v>42261</v>
      </c>
      <c r="BC105" s="180">
        <v>3.6999999999999998E-2</v>
      </c>
      <c r="BD105" s="191">
        <v>42261</v>
      </c>
      <c r="BE105" s="192">
        <v>0.45100000000000001</v>
      </c>
      <c r="BH105" s="94">
        <v>42228</v>
      </c>
      <c r="BI105" s="95">
        <v>0.44500000000000001</v>
      </c>
      <c r="BJ105" s="96">
        <v>8.3699999999999992</v>
      </c>
    </row>
    <row r="106" spans="1:62" ht="13.8" x14ac:dyDescent="0.25">
      <c r="A106" s="236">
        <v>50526</v>
      </c>
      <c r="B106" s="7">
        <f t="shared" si="33"/>
        <v>4775.6788399534489</v>
      </c>
      <c r="C106" s="7">
        <f t="shared" si="28"/>
        <v>3426.0280084343772</v>
      </c>
      <c r="D106" s="7">
        <f t="shared" si="26"/>
        <v>1349.6508315190717</v>
      </c>
      <c r="E106" s="7">
        <f t="shared" si="29"/>
        <v>99395.737411893322</v>
      </c>
      <c r="F106" s="269">
        <f t="shared" si="31"/>
        <v>2.5859050000000001E-2</v>
      </c>
      <c r="G106" s="289">
        <v>1.99881</v>
      </c>
      <c r="H106">
        <f t="shared" si="32"/>
        <v>2.4329999999999998</v>
      </c>
      <c r="I106" s="47"/>
      <c r="J106" s="47"/>
      <c r="K106" s="243">
        <f t="shared" si="27"/>
        <v>10351.16</v>
      </c>
      <c r="L106" s="7">
        <f t="shared" si="22"/>
        <v>11273.038426327314</v>
      </c>
      <c r="M106" s="7">
        <f t="shared" si="23"/>
        <v>-921.87842632731429</v>
      </c>
      <c r="N106" s="7">
        <f t="shared" si="24"/>
        <v>-408149.73771339667</v>
      </c>
      <c r="P106" s="63"/>
      <c r="BB106" s="187">
        <v>42262</v>
      </c>
      <c r="BC106" s="180">
        <v>3.5999999999999997E-2</v>
      </c>
      <c r="BD106" s="191">
        <v>42262</v>
      </c>
      <c r="BE106" s="192">
        <v>0.49399999999999999</v>
      </c>
      <c r="BH106" s="94">
        <v>42229</v>
      </c>
      <c r="BI106" s="95">
        <v>0.438</v>
      </c>
      <c r="BJ106" s="96">
        <v>8.36</v>
      </c>
    </row>
    <row r="107" spans="1:62" ht="13.8" x14ac:dyDescent="0.25">
      <c r="A107" s="237">
        <v>50710</v>
      </c>
      <c r="B107" s="7">
        <f t="shared" si="33"/>
        <v>4775.6788399534489</v>
      </c>
      <c r="C107" s="7">
        <f t="shared" si="28"/>
        <v>3461.980508820483</v>
      </c>
      <c r="D107" s="7">
        <f t="shared" si="26"/>
        <v>1313.6983311329657</v>
      </c>
      <c r="E107" s="7">
        <f t="shared" si="29"/>
        <v>95933.756903072834</v>
      </c>
      <c r="F107" s="269">
        <f t="shared" si="31"/>
        <v>2.5142649999999996E-2</v>
      </c>
      <c r="G107" s="289">
        <v>1.8555299999999999</v>
      </c>
      <c r="H107">
        <f t="shared" si="32"/>
        <v>2.4329999999999998</v>
      </c>
      <c r="I107" s="47"/>
      <c r="J107" s="47"/>
      <c r="K107" s="243">
        <f t="shared" si="27"/>
        <v>10351.16</v>
      </c>
      <c r="L107" s="7">
        <f t="shared" si="22"/>
        <v>11314.937580653901</v>
      </c>
      <c r="M107" s="7">
        <f t="shared" si="23"/>
        <v>-963.7775806539006</v>
      </c>
      <c r="N107" s="7">
        <f t="shared" si="24"/>
        <v>-419464.67529405054</v>
      </c>
      <c r="P107" s="63"/>
      <c r="BB107" s="187">
        <v>42263</v>
      </c>
      <c r="BC107" s="180">
        <v>3.5999999999999997E-2</v>
      </c>
      <c r="BD107" s="191">
        <v>42263</v>
      </c>
      <c r="BE107" s="192">
        <v>0.497</v>
      </c>
      <c r="BH107" s="94">
        <v>42230</v>
      </c>
      <c r="BI107" s="95">
        <v>0.433</v>
      </c>
      <c r="BJ107" s="96">
        <v>8.36</v>
      </c>
    </row>
    <row r="108" spans="1:62" ht="13.8" x14ac:dyDescent="0.25">
      <c r="A108" s="234">
        <v>50891</v>
      </c>
      <c r="B108" s="7">
        <f t="shared" si="33"/>
        <v>4775.6788399534489</v>
      </c>
      <c r="C108" s="7">
        <f t="shared" si="28"/>
        <v>3562.9643232511517</v>
      </c>
      <c r="D108" s="7">
        <f t="shared" si="26"/>
        <v>1212.714516702297</v>
      </c>
      <c r="E108" s="7">
        <f t="shared" si="29"/>
        <v>92370.792579821689</v>
      </c>
      <c r="F108" s="269">
        <f t="shared" si="31"/>
        <v>2.4877799999999999E-2</v>
      </c>
      <c r="G108" s="289">
        <v>1.8025599999999999</v>
      </c>
      <c r="H108">
        <f t="shared" si="32"/>
        <v>2.4329999999999998</v>
      </c>
      <c r="I108" s="47"/>
      <c r="J108" s="47"/>
      <c r="K108" s="243">
        <f t="shared" si="27"/>
        <v>10351.16</v>
      </c>
      <c r="L108" s="7">
        <f t="shared" si="22"/>
        <v>11325.506529928864</v>
      </c>
      <c r="M108" s="7">
        <f t="shared" si="23"/>
        <v>-974.34652992886367</v>
      </c>
      <c r="N108" s="7">
        <f t="shared" si="24"/>
        <v>-430790.18182397942</v>
      </c>
      <c r="P108" s="63"/>
      <c r="BB108" s="187">
        <v>42264</v>
      </c>
      <c r="BC108" s="180">
        <v>3.5999999999999997E-2</v>
      </c>
      <c r="BD108" s="191">
        <v>42264</v>
      </c>
      <c r="BE108" s="192">
        <v>0.503</v>
      </c>
      <c r="BH108" s="94">
        <v>42233</v>
      </c>
      <c r="BI108" s="95">
        <v>0.42899999999999999</v>
      </c>
      <c r="BJ108" s="96">
        <v>8.35</v>
      </c>
    </row>
    <row r="109" spans="1:62" ht="13.8" x14ac:dyDescent="0.25">
      <c r="A109" s="235">
        <v>51075</v>
      </c>
      <c r="B109" s="7">
        <f t="shared" si="33"/>
        <v>4775.6788399534489</v>
      </c>
      <c r="C109" s="7">
        <f t="shared" si="28"/>
        <v>3601.1546536473907</v>
      </c>
      <c r="D109" s="7">
        <f t="shared" si="26"/>
        <v>1174.524186306058</v>
      </c>
      <c r="E109" s="7">
        <f t="shared" si="29"/>
        <v>88769.637926174299</v>
      </c>
      <c r="F109" s="269">
        <f t="shared" si="31"/>
        <v>2.4200850000000003E-2</v>
      </c>
      <c r="G109" s="290">
        <v>1.66717</v>
      </c>
      <c r="H109">
        <f t="shared" si="32"/>
        <v>2.4329999999999998</v>
      </c>
      <c r="I109" s="47"/>
      <c r="J109" s="47"/>
      <c r="K109" s="7">
        <f>+G109-L109</f>
        <v>1018.9063860136899</v>
      </c>
      <c r="L109" s="7">
        <f>+N108*$F$60*(A109-A108)/360</f>
        <v>-1017.2392160136899</v>
      </c>
      <c r="M109" s="7">
        <f>+N108-K109</f>
        <v>-431809.08820999309</v>
      </c>
      <c r="O109" s="63"/>
      <c r="BB109" s="187">
        <v>42265</v>
      </c>
      <c r="BC109" s="180">
        <v>3.5999999999999997E-2</v>
      </c>
      <c r="BD109" s="191">
        <v>42265</v>
      </c>
      <c r="BE109" s="192">
        <v>0.504</v>
      </c>
      <c r="BH109" s="94">
        <v>42234</v>
      </c>
      <c r="BI109" s="95">
        <v>0.42499999999999999</v>
      </c>
      <c r="BJ109" s="96">
        <v>8.35</v>
      </c>
    </row>
    <row r="110" spans="1:62" ht="13.8" x14ac:dyDescent="0.25">
      <c r="A110" s="236">
        <v>51257</v>
      </c>
      <c r="B110" s="7">
        <f t="shared" si="33"/>
        <v>4775.6788399534489</v>
      </c>
      <c r="C110" s="7">
        <f t="shared" si="28"/>
        <v>3689.5934901061455</v>
      </c>
      <c r="D110" s="7">
        <f t="shared" si="26"/>
        <v>1086.0853498473036</v>
      </c>
      <c r="E110" s="7">
        <f t="shared" si="29"/>
        <v>85080.044436068158</v>
      </c>
      <c r="F110" s="269">
        <f t="shared" si="31"/>
        <v>2.3959000000000001E-2</v>
      </c>
      <c r="G110" s="290">
        <v>1.6188</v>
      </c>
      <c r="H110">
        <f t="shared" si="32"/>
        <v>2.4329999999999998</v>
      </c>
      <c r="I110" s="47"/>
      <c r="J110" s="47"/>
      <c r="K110" s="7"/>
      <c r="L110" s="7"/>
      <c r="M110" s="7"/>
      <c r="O110" s="63"/>
      <c r="BB110" s="187">
        <v>42268</v>
      </c>
      <c r="BC110" s="180">
        <v>3.5999999999999997E-2</v>
      </c>
      <c r="BD110" s="191">
        <v>42268</v>
      </c>
      <c r="BE110" s="192">
        <v>0.50600000000000001</v>
      </c>
      <c r="BH110" s="94">
        <v>42235</v>
      </c>
      <c r="BI110" s="95">
        <v>0.42199999999999999</v>
      </c>
      <c r="BJ110" s="96">
        <v>8.35</v>
      </c>
    </row>
    <row r="111" spans="1:62" ht="13.8" x14ac:dyDescent="0.25">
      <c r="A111" s="237">
        <v>51441</v>
      </c>
      <c r="B111" s="7">
        <f t="shared" si="33"/>
        <v>4775.6788399534489</v>
      </c>
      <c r="C111" s="7">
        <f t="shared" si="28"/>
        <v>3733.8131944688621</v>
      </c>
      <c r="D111" s="7">
        <f t="shared" si="26"/>
        <v>1041.865645484587</v>
      </c>
      <c r="E111" s="7">
        <f t="shared" ref="E111:E130" si="34">+E110-C111</f>
        <v>81346.231241599293</v>
      </c>
      <c r="F111" s="269">
        <f t="shared" si="31"/>
        <v>2.3445050000000002E-2</v>
      </c>
      <c r="G111" s="291">
        <v>1.5160100000000001</v>
      </c>
      <c r="H111">
        <f t="shared" si="32"/>
        <v>2.4329999999999998</v>
      </c>
      <c r="I111" s="47"/>
      <c r="J111" s="47"/>
      <c r="O111" s="63"/>
      <c r="BB111" s="187">
        <v>42269</v>
      </c>
      <c r="BC111" s="180">
        <v>3.4000000000000002E-2</v>
      </c>
      <c r="BD111" s="191">
        <v>42269</v>
      </c>
      <c r="BE111" s="192">
        <v>0.503</v>
      </c>
      <c r="BH111" s="94">
        <v>42236</v>
      </c>
      <c r="BI111" s="95">
        <v>0.41699999999999998</v>
      </c>
      <c r="BJ111" s="96">
        <v>8.34</v>
      </c>
    </row>
    <row r="112" spans="1:62" ht="13.8" x14ac:dyDescent="0.25">
      <c r="A112" s="234">
        <v>51622</v>
      </c>
      <c r="B112" s="7">
        <f t="shared" si="33"/>
        <v>4775.6788399534489</v>
      </c>
      <c r="C112" s="7">
        <f t="shared" si="28"/>
        <v>3816.7979259603235</v>
      </c>
      <c r="D112" s="7">
        <f t="shared" si="26"/>
        <v>958.88091399312555</v>
      </c>
      <c r="E112" s="7">
        <f t="shared" si="34"/>
        <v>77529.433315638977</v>
      </c>
      <c r="F112" s="269">
        <f t="shared" si="31"/>
        <v>2.3265799999999996E-2</v>
      </c>
      <c r="G112" s="291">
        <v>1.4801599999999999</v>
      </c>
      <c r="H112">
        <f t="shared" si="32"/>
        <v>2.4329999999999998</v>
      </c>
      <c r="I112" s="47"/>
      <c r="J112" s="47"/>
      <c r="O112" s="63"/>
      <c r="BB112" s="187">
        <v>42270</v>
      </c>
      <c r="BC112" s="180">
        <v>3.3000000000000002E-2</v>
      </c>
      <c r="BD112" s="191">
        <v>42270</v>
      </c>
      <c r="BE112" s="192">
        <v>0.498</v>
      </c>
      <c r="BH112" s="94">
        <v>42237</v>
      </c>
      <c r="BI112" s="95">
        <v>0.41499999999999998</v>
      </c>
      <c r="BJ112" s="96">
        <v>8.34</v>
      </c>
    </row>
    <row r="113" spans="1:62" ht="13.8" x14ac:dyDescent="0.25">
      <c r="A113" s="261">
        <v>51806</v>
      </c>
      <c r="B113" s="262">
        <f t="shared" si="33"/>
        <v>4775.6788399534489</v>
      </c>
      <c r="C113" s="262">
        <f t="shared" si="28"/>
        <v>3853.7446474733415</v>
      </c>
      <c r="D113" s="262">
        <f t="shared" si="26"/>
        <v>921.93419248010764</v>
      </c>
      <c r="E113" s="262">
        <f t="shared" si="34"/>
        <v>73675.688668165632</v>
      </c>
      <c r="F113" s="269">
        <f t="shared" si="31"/>
        <v>2.271165E-2</v>
      </c>
      <c r="G113" s="291">
        <v>1.3693299999999999</v>
      </c>
      <c r="H113">
        <f t="shared" si="32"/>
        <v>2.4329999999999998</v>
      </c>
      <c r="I113" s="47"/>
      <c r="J113" s="47"/>
      <c r="O113" s="63"/>
      <c r="BB113" s="187">
        <v>42271</v>
      </c>
      <c r="BC113" s="180">
        <v>3.2000000000000001E-2</v>
      </c>
      <c r="BD113" s="191">
        <v>42271</v>
      </c>
      <c r="BE113" s="192">
        <v>0.49199999999999999</v>
      </c>
      <c r="BH113" s="94">
        <v>42240</v>
      </c>
      <c r="BI113" s="95">
        <v>0.41299999999999998</v>
      </c>
      <c r="BJ113" s="96">
        <v>8.33</v>
      </c>
    </row>
    <row r="114" spans="1:62" ht="13.8" x14ac:dyDescent="0.25">
      <c r="A114" s="236">
        <v>51987</v>
      </c>
      <c r="B114" s="7">
        <f t="shared" si="33"/>
        <v>4775.6788399534489</v>
      </c>
      <c r="C114" s="7">
        <f t="shared" si="28"/>
        <v>3934.3825669762205</v>
      </c>
      <c r="D114" s="7">
        <f t="shared" si="26"/>
        <v>841.29627297722857</v>
      </c>
      <c r="E114" s="7">
        <f t="shared" si="34"/>
        <v>69741.306101189417</v>
      </c>
      <c r="F114" s="269">
        <f t="shared" si="31"/>
        <v>2.2530250000000002E-2</v>
      </c>
      <c r="G114" s="291">
        <v>1.3330500000000001</v>
      </c>
      <c r="H114">
        <f t="shared" si="32"/>
        <v>2.4329999999999998</v>
      </c>
      <c r="I114" s="47"/>
      <c r="J114" s="47"/>
      <c r="O114" s="63"/>
      <c r="BB114" s="187">
        <v>42272</v>
      </c>
      <c r="BC114" s="180">
        <v>0.03</v>
      </c>
      <c r="BD114" s="191">
        <v>42272</v>
      </c>
      <c r="BE114" s="192">
        <v>0.48799999999999999</v>
      </c>
      <c r="BH114" s="94">
        <v>42241</v>
      </c>
      <c r="BI114" s="95">
        <v>0.41299999999999998</v>
      </c>
      <c r="BJ114" s="96">
        <v>8.33</v>
      </c>
    </row>
    <row r="115" spans="1:62" ht="13.8" x14ac:dyDescent="0.25">
      <c r="A115" s="237">
        <v>52171</v>
      </c>
      <c r="B115" s="7">
        <f t="shared" si="33"/>
        <v>4775.6788399534489</v>
      </c>
      <c r="C115" s="7">
        <f t="shared" si="28"/>
        <v>3972.5755417071059</v>
      </c>
      <c r="D115" s="7">
        <f t="shared" si="26"/>
        <v>803.10329824634277</v>
      </c>
      <c r="E115" s="7">
        <f t="shared" si="34"/>
        <v>65768.730559482312</v>
      </c>
      <c r="F115" s="269">
        <f t="shared" si="31"/>
        <v>2.2006900000000003E-2</v>
      </c>
      <c r="G115" s="289">
        <v>1.22838</v>
      </c>
      <c r="H115">
        <f t="shared" si="32"/>
        <v>2.4329999999999998</v>
      </c>
      <c r="I115" s="47"/>
      <c r="J115" s="47"/>
      <c r="O115" s="63"/>
      <c r="BB115" s="187">
        <v>42275</v>
      </c>
      <c r="BC115" s="180">
        <v>2.9000000000000001E-2</v>
      </c>
      <c r="BD115" s="191">
        <v>42275</v>
      </c>
      <c r="BE115" s="192">
        <v>0.48199999999999998</v>
      </c>
      <c r="BH115" s="94">
        <v>42242</v>
      </c>
      <c r="BI115" s="95">
        <v>0.41499999999999998</v>
      </c>
      <c r="BJ115" s="96">
        <v>8.33</v>
      </c>
    </row>
    <row r="116" spans="1:62" ht="13.8" x14ac:dyDescent="0.25">
      <c r="A116" s="234">
        <v>52352</v>
      </c>
      <c r="B116" s="7">
        <f t="shared" si="33"/>
        <v>4775.6788399534489</v>
      </c>
      <c r="C116" s="7">
        <f t="shared" si="28"/>
        <v>4047.9754409105203</v>
      </c>
      <c r="D116" s="7">
        <f t="shared" si="26"/>
        <v>727.70339904292871</v>
      </c>
      <c r="E116" s="7">
        <f t="shared" si="34"/>
        <v>61720.755118571789</v>
      </c>
      <c r="F116" s="269">
        <f t="shared" si="31"/>
        <v>2.1830250000000002E-2</v>
      </c>
      <c r="G116" s="289">
        <v>1.1930499999999999</v>
      </c>
      <c r="H116">
        <f t="shared" si="32"/>
        <v>2.4329999999999998</v>
      </c>
      <c r="I116" s="47"/>
      <c r="J116" s="47"/>
      <c r="BB116" s="187">
        <v>42276</v>
      </c>
      <c r="BC116" s="180">
        <v>2.9000000000000001E-2</v>
      </c>
      <c r="BD116" s="191">
        <v>42276</v>
      </c>
      <c r="BE116" s="192">
        <v>0.47499999999999998</v>
      </c>
      <c r="BH116" s="94">
        <v>42243</v>
      </c>
      <c r="BI116" s="95">
        <v>0.41799999999999998</v>
      </c>
      <c r="BJ116" s="96">
        <v>8.32</v>
      </c>
    </row>
    <row r="117" spans="1:62" ht="13.8" x14ac:dyDescent="0.25">
      <c r="A117" s="235">
        <v>52536</v>
      </c>
      <c r="B117" s="7">
        <f t="shared" si="33"/>
        <v>4775.6788399534489</v>
      </c>
      <c r="C117" s="7">
        <f t="shared" si="28"/>
        <v>4087.0181992462121</v>
      </c>
      <c r="D117" s="7">
        <f t="shared" si="26"/>
        <v>688.66064070723655</v>
      </c>
      <c r="E117" s="7">
        <f t="shared" si="34"/>
        <v>57633.73691932558</v>
      </c>
      <c r="F117" s="269">
        <f t="shared" si="31"/>
        <v>2.1832400000000002E-2</v>
      </c>
      <c r="G117" s="289">
        <v>1.1934800000000001</v>
      </c>
      <c r="H117">
        <f t="shared" si="32"/>
        <v>2.4329999999999998</v>
      </c>
      <c r="I117" s="47"/>
      <c r="J117" s="47"/>
      <c r="BB117" s="187">
        <v>42277</v>
      </c>
      <c r="BC117" s="180">
        <v>2.9000000000000001E-2</v>
      </c>
      <c r="BD117" s="191">
        <v>42277</v>
      </c>
      <c r="BE117" s="192">
        <v>0.46800000000000003</v>
      </c>
      <c r="BH117" s="94">
        <v>42244</v>
      </c>
      <c r="BI117" s="95">
        <v>0.42099999999999999</v>
      </c>
      <c r="BJ117" s="96">
        <v>8.32</v>
      </c>
    </row>
    <row r="118" spans="1:62" ht="13.8" x14ac:dyDescent="0.25">
      <c r="A118" s="236">
        <v>52718</v>
      </c>
      <c r="B118" s="7">
        <f t="shared" si="33"/>
        <v>4775.6788399534489</v>
      </c>
      <c r="C118" s="7">
        <f t="shared" si="28"/>
        <v>4139.5469810062768</v>
      </c>
      <c r="D118" s="7">
        <f t="shared" si="26"/>
        <v>636.13185894717242</v>
      </c>
      <c r="E118" s="7">
        <f t="shared" si="34"/>
        <v>53494.189938319301</v>
      </c>
      <c r="F118" s="269">
        <f t="shared" si="31"/>
        <v>2.1833449999999997E-2</v>
      </c>
      <c r="G118" s="289">
        <v>1.1936899999999999</v>
      </c>
      <c r="H118">
        <f t="shared" si="32"/>
        <v>2.4329999999999998</v>
      </c>
      <c r="I118" s="47"/>
      <c r="J118" s="47"/>
      <c r="BB118" s="187">
        <v>42278</v>
      </c>
      <c r="BC118" s="180">
        <v>2.7E-2</v>
      </c>
      <c r="BD118" s="191">
        <v>42278</v>
      </c>
      <c r="BE118" s="192">
        <v>0.46200000000000002</v>
      </c>
      <c r="BH118" s="94">
        <v>42247</v>
      </c>
      <c r="BI118" s="95">
        <v>0.42599999999999999</v>
      </c>
      <c r="BJ118" s="96">
        <v>8.31</v>
      </c>
    </row>
    <row r="119" spans="1:62" ht="13.8" x14ac:dyDescent="0.25">
      <c r="A119" s="237">
        <v>52902</v>
      </c>
      <c r="B119" s="7">
        <f t="shared" si="33"/>
        <v>4775.6788399534489</v>
      </c>
      <c r="C119" s="7">
        <f t="shared" si="28"/>
        <v>4178.7201157289528</v>
      </c>
      <c r="D119" s="7">
        <f t="shared" si="26"/>
        <v>596.95872422449645</v>
      </c>
      <c r="E119" s="7">
        <f t="shared" si="34"/>
        <v>49315.469822590348</v>
      </c>
      <c r="F119" s="269">
        <f t="shared" si="31"/>
        <v>2.1571E-2</v>
      </c>
      <c r="G119" s="289">
        <v>1.1412</v>
      </c>
      <c r="H119">
        <f t="shared" si="32"/>
        <v>2.4329999999999998</v>
      </c>
      <c r="I119" s="47"/>
      <c r="J119" s="47"/>
      <c r="BB119" s="187">
        <v>42279</v>
      </c>
      <c r="BC119" s="180">
        <v>2.5999999999999999E-2</v>
      </c>
      <c r="BD119" s="191">
        <v>42279</v>
      </c>
      <c r="BE119" s="192">
        <v>0.45700000000000002</v>
      </c>
      <c r="BH119" s="94">
        <v>42248</v>
      </c>
      <c r="BI119" s="95">
        <v>0.433</v>
      </c>
      <c r="BJ119" s="96">
        <v>8.31</v>
      </c>
    </row>
    <row r="120" spans="1:62" ht="13.8" x14ac:dyDescent="0.25">
      <c r="A120" s="234">
        <v>53083</v>
      </c>
      <c r="B120" s="7">
        <f t="shared" si="33"/>
        <v>4775.6788399534489</v>
      </c>
      <c r="C120" s="7">
        <f t="shared" si="28"/>
        <v>4240.8318846276143</v>
      </c>
      <c r="D120" s="7">
        <f t="shared" si="26"/>
        <v>534.84695532583453</v>
      </c>
      <c r="E120" s="7">
        <f t="shared" si="34"/>
        <v>45074.637937962732</v>
      </c>
      <c r="F120" s="269">
        <f t="shared" si="31"/>
        <v>2.1476700000000001E-2</v>
      </c>
      <c r="G120" s="289">
        <v>1.1223399999999999</v>
      </c>
      <c r="H120">
        <f t="shared" si="32"/>
        <v>2.4329999999999998</v>
      </c>
      <c r="I120" s="47"/>
      <c r="J120" s="47"/>
      <c r="BB120" s="187">
        <v>42282</v>
      </c>
      <c r="BC120" s="180">
        <v>2.7E-2</v>
      </c>
      <c r="BD120" s="191">
        <v>42282</v>
      </c>
      <c r="BE120" s="192">
        <v>0.45200000000000001</v>
      </c>
      <c r="BH120" s="94">
        <v>42249</v>
      </c>
      <c r="BI120" s="95">
        <v>0.437</v>
      </c>
      <c r="BJ120" s="96">
        <v>8.31</v>
      </c>
    </row>
    <row r="121" spans="1:62" ht="13.8" x14ac:dyDescent="0.25">
      <c r="A121" s="235">
        <v>53267</v>
      </c>
      <c r="B121" s="7">
        <f t="shared" si="33"/>
        <v>4775.6788399534489</v>
      </c>
      <c r="C121" s="7">
        <f t="shared" si="28"/>
        <v>4280.8954408011905</v>
      </c>
      <c r="D121" s="7">
        <f t="shared" si="26"/>
        <v>494.78339915225814</v>
      </c>
      <c r="E121" s="7">
        <f t="shared" si="34"/>
        <v>40793.74249716154</v>
      </c>
      <c r="F121" s="269">
        <f t="shared" si="31"/>
        <v>2.118275E-2</v>
      </c>
      <c r="G121" s="289">
        <v>1.06355</v>
      </c>
      <c r="H121">
        <f t="shared" si="32"/>
        <v>2.4329999999999998</v>
      </c>
      <c r="I121" s="47"/>
      <c r="J121" s="47"/>
      <c r="BB121" s="187">
        <v>42283</v>
      </c>
      <c r="BC121" s="180">
        <v>2.7E-2</v>
      </c>
      <c r="BD121" s="191">
        <v>42283</v>
      </c>
      <c r="BE121" s="192">
        <v>0.44900000000000001</v>
      </c>
      <c r="BH121" s="94">
        <v>42250</v>
      </c>
      <c r="BI121" s="95">
        <v>0.439</v>
      </c>
      <c r="BJ121" s="96">
        <v>8.3000000000000007</v>
      </c>
    </row>
    <row r="122" spans="1:62" ht="13.8" x14ac:dyDescent="0.25">
      <c r="A122" s="236">
        <v>53448</v>
      </c>
      <c r="B122" s="7">
        <f t="shared" si="33"/>
        <v>4775.6788399534489</v>
      </c>
      <c r="C122" s="7">
        <f t="shared" si="28"/>
        <v>4341.2166720434589</v>
      </c>
      <c r="D122" s="7">
        <f t="shared" si="26"/>
        <v>434.46216790999034</v>
      </c>
      <c r="E122" s="7">
        <f t="shared" si="34"/>
        <v>36452.525825118079</v>
      </c>
      <c r="F122" s="269">
        <f t="shared" si="31"/>
        <v>2.1080000000000002E-2</v>
      </c>
      <c r="G122" s="289">
        <v>1.0429999999999999</v>
      </c>
      <c r="H122">
        <f t="shared" si="32"/>
        <v>2.4329999999999998</v>
      </c>
      <c r="I122" s="47"/>
      <c r="J122" s="47"/>
      <c r="BB122" s="187">
        <v>42284</v>
      </c>
      <c r="BC122" s="180">
        <v>2.8000000000000001E-2</v>
      </c>
      <c r="BD122" s="191">
        <v>42284</v>
      </c>
      <c r="BE122" s="192">
        <v>0.44600000000000001</v>
      </c>
      <c r="BH122" s="94">
        <v>42251</v>
      </c>
      <c r="BI122" s="95">
        <v>0.44</v>
      </c>
      <c r="BJ122" s="96">
        <v>8.3000000000000007</v>
      </c>
    </row>
    <row r="123" spans="1:62" ht="13.8" x14ac:dyDescent="0.25">
      <c r="A123" s="237">
        <v>53632</v>
      </c>
      <c r="B123" s="7">
        <f t="shared" si="33"/>
        <v>4775.6788399534489</v>
      </c>
      <c r="C123" s="7">
        <f t="shared" si="28"/>
        <v>4382.9312261523319</v>
      </c>
      <c r="D123" s="7">
        <f t="shared" si="26"/>
        <v>392.7476138011167</v>
      </c>
      <c r="E123" s="7">
        <f t="shared" si="34"/>
        <v>32069.594598965748</v>
      </c>
      <c r="F123" s="269">
        <f t="shared" si="31"/>
        <v>2.109805E-2</v>
      </c>
      <c r="G123" s="289">
        <v>1.04661</v>
      </c>
      <c r="H123">
        <f t="shared" si="32"/>
        <v>2.4329999999999998</v>
      </c>
      <c r="I123" s="47"/>
      <c r="J123" s="47"/>
      <c r="BB123" s="187">
        <v>42285</v>
      </c>
      <c r="BC123" s="180">
        <v>2.8000000000000001E-2</v>
      </c>
      <c r="BD123" s="191">
        <v>42285</v>
      </c>
      <c r="BE123" s="192">
        <v>0.44500000000000001</v>
      </c>
      <c r="BH123" s="94">
        <v>42254</v>
      </c>
      <c r="BI123" s="95">
        <v>0.441</v>
      </c>
      <c r="BJ123" s="96">
        <v>8.2899999999999991</v>
      </c>
    </row>
    <row r="124" spans="1:62" ht="13.8" x14ac:dyDescent="0.25">
      <c r="A124" s="234">
        <v>53813</v>
      </c>
      <c r="B124" s="7">
        <f t="shared" si="33"/>
        <v>4775.6788399534489</v>
      </c>
      <c r="C124" s="7">
        <f t="shared" si="28"/>
        <v>4435.4964239270703</v>
      </c>
      <c r="D124" s="7">
        <f t="shared" si="26"/>
        <v>340.18241602637886</v>
      </c>
      <c r="E124" s="7">
        <f t="shared" si="34"/>
        <v>27634.098175038678</v>
      </c>
      <c r="F124" s="269">
        <f t="shared" si="31"/>
        <v>2.1104850000000001E-2</v>
      </c>
      <c r="G124" s="289">
        <v>1.0479700000000001</v>
      </c>
      <c r="H124">
        <f t="shared" si="32"/>
        <v>2.4329999999999998</v>
      </c>
      <c r="I124" s="47"/>
      <c r="J124" s="47"/>
      <c r="BB124" s="187">
        <v>42286</v>
      </c>
      <c r="BC124" s="180">
        <v>2.8000000000000001E-2</v>
      </c>
      <c r="BD124" s="191">
        <v>42286</v>
      </c>
      <c r="BE124" s="192">
        <v>0.443</v>
      </c>
      <c r="BH124" s="94">
        <v>42255</v>
      </c>
      <c r="BI124" s="95">
        <v>0.443</v>
      </c>
      <c r="BJ124" s="96">
        <v>8.2799999999999994</v>
      </c>
    </row>
    <row r="125" spans="1:62" ht="13.8" x14ac:dyDescent="0.25">
      <c r="A125" s="235">
        <v>53997</v>
      </c>
      <c r="B125" s="7">
        <f t="shared" si="33"/>
        <v>4775.6788399534489</v>
      </c>
      <c r="C125" s="7">
        <f t="shared" si="28"/>
        <v>4477.5919415535</v>
      </c>
      <c r="D125" s="7">
        <f t="shared" si="26"/>
        <v>298.08689839994884</v>
      </c>
      <c r="E125" s="7">
        <f t="shared" si="34"/>
        <v>23156.506233485179</v>
      </c>
      <c r="F125" s="269">
        <f t="shared" si="31"/>
        <v>2.0270650000000001E-2</v>
      </c>
      <c r="G125" s="289">
        <v>0.88112999999999997</v>
      </c>
      <c r="H125">
        <f t="shared" si="32"/>
        <v>2.4329999999999998</v>
      </c>
      <c r="I125" s="47"/>
      <c r="J125" s="47"/>
      <c r="BB125" s="187">
        <v>42289</v>
      </c>
      <c r="BC125" s="180">
        <v>2.7E-2</v>
      </c>
      <c r="BD125" s="191">
        <v>42289</v>
      </c>
      <c r="BE125" s="192">
        <v>0.441</v>
      </c>
      <c r="BH125" s="94">
        <v>42256</v>
      </c>
      <c r="BI125" s="95">
        <v>0.44700000000000001</v>
      </c>
      <c r="BJ125" s="96">
        <v>8.2799999999999994</v>
      </c>
    </row>
    <row r="126" spans="1:62" ht="13.8" x14ac:dyDescent="0.25">
      <c r="A126" s="236">
        <v>54179</v>
      </c>
      <c r="B126" s="7">
        <f t="shared" si="33"/>
        <v>4775.6788399534489</v>
      </c>
      <c r="C126" s="7">
        <f t="shared" si="28"/>
        <v>4538.3723598954293</v>
      </c>
      <c r="D126" s="7">
        <f t="shared" ref="D126:D130" si="35">+E125*F125*(A126-A125)/360</f>
        <v>237.30648005801928</v>
      </c>
      <c r="E126" s="7">
        <f t="shared" si="34"/>
        <v>18618.133873589752</v>
      </c>
      <c r="F126" s="269">
        <f t="shared" si="31"/>
        <v>1.9996949999999999E-2</v>
      </c>
      <c r="G126">
        <v>0.82638999999999996</v>
      </c>
      <c r="H126">
        <f t="shared" si="32"/>
        <v>2.4329999999999998</v>
      </c>
      <c r="I126" s="47"/>
      <c r="J126" s="47"/>
      <c r="BB126" s="187">
        <v>42290</v>
      </c>
      <c r="BC126" s="180">
        <v>2.5999999999999999E-2</v>
      </c>
      <c r="BD126" s="191">
        <v>42290</v>
      </c>
      <c r="BE126" s="192">
        <v>0.438</v>
      </c>
      <c r="BH126" s="94">
        <v>42257</v>
      </c>
      <c r="BI126" s="95">
        <v>0.44900000000000001</v>
      </c>
      <c r="BJ126" s="96">
        <v>8.2799999999999994</v>
      </c>
    </row>
    <row r="127" spans="1:62" ht="13.8" x14ac:dyDescent="0.25">
      <c r="A127" s="237">
        <v>54363</v>
      </c>
      <c r="B127" s="7">
        <f t="shared" si="33"/>
        <v>4775.6788399534489</v>
      </c>
      <c r="C127" s="7">
        <f t="shared" ref="C127:C130" si="36">+B127-D127</f>
        <v>4585.3891617365589</v>
      </c>
      <c r="D127" s="7">
        <f t="shared" si="35"/>
        <v>190.28967821689005</v>
      </c>
      <c r="E127" s="7">
        <f t="shared" si="34"/>
        <v>14032.744711853193</v>
      </c>
      <c r="F127" s="269">
        <f t="shared" si="31"/>
        <v>2.0683699999999999E-2</v>
      </c>
      <c r="G127">
        <v>0.96374000000000004</v>
      </c>
      <c r="H127">
        <f t="shared" si="32"/>
        <v>2.4329999999999998</v>
      </c>
      <c r="I127" s="47"/>
      <c r="J127" s="47"/>
      <c r="BB127" s="187">
        <v>42291</v>
      </c>
      <c r="BC127" s="180">
        <v>2.7E-2</v>
      </c>
      <c r="BD127" s="191">
        <v>42291</v>
      </c>
      <c r="BE127" s="192">
        <v>0.432</v>
      </c>
      <c r="BH127" s="94">
        <v>42258</v>
      </c>
      <c r="BI127" s="95">
        <v>0.45</v>
      </c>
      <c r="BJ127" s="96">
        <v>8.2799999999999994</v>
      </c>
    </row>
    <row r="128" spans="1:62" ht="13.8" x14ac:dyDescent="0.25">
      <c r="A128" s="234">
        <v>54544</v>
      </c>
      <c r="B128" s="7">
        <f t="shared" si="33"/>
        <v>4775.6788399534489</v>
      </c>
      <c r="C128" s="7">
        <f t="shared" si="36"/>
        <v>4629.7480516057349</v>
      </c>
      <c r="D128" s="7">
        <f t="shared" si="35"/>
        <v>145.93078834771379</v>
      </c>
      <c r="E128" s="7">
        <f t="shared" si="34"/>
        <v>9402.9966602474578</v>
      </c>
      <c r="F128" s="269">
        <f t="shared" si="31"/>
        <v>2.0936999999999997E-2</v>
      </c>
      <c r="G128">
        <v>1.0144</v>
      </c>
      <c r="H128">
        <f t="shared" si="32"/>
        <v>2.4329999999999998</v>
      </c>
      <c r="I128" s="47"/>
      <c r="J128" s="47"/>
      <c r="BB128" s="187">
        <v>42292</v>
      </c>
      <c r="BC128" s="180">
        <v>2.4E-2</v>
      </c>
      <c r="BD128" s="191">
        <v>42292</v>
      </c>
      <c r="BE128" s="192">
        <v>0.42399999999999999</v>
      </c>
      <c r="BH128" s="94">
        <v>42261</v>
      </c>
      <c r="BI128" s="95">
        <v>0.45100000000000001</v>
      </c>
      <c r="BJ128" s="96">
        <v>8.27</v>
      </c>
    </row>
    <row r="129" spans="1:62" ht="13.8" x14ac:dyDescent="0.25">
      <c r="A129" s="235">
        <v>54728</v>
      </c>
      <c r="B129" s="7">
        <f t="shared" si="33"/>
        <v>4775.6788399534489</v>
      </c>
      <c r="C129" s="7">
        <f t="shared" si="36"/>
        <v>4675.0561189592527</v>
      </c>
      <c r="D129" s="7">
        <f t="shared" si="35"/>
        <v>100.62272099419609</v>
      </c>
      <c r="E129" s="7">
        <f t="shared" si="34"/>
        <v>4727.9405412882052</v>
      </c>
      <c r="F129" s="269">
        <f t="shared" si="31"/>
        <v>2.0082549999999998E-2</v>
      </c>
      <c r="G129">
        <v>0.84350999999999998</v>
      </c>
      <c r="H129">
        <f t="shared" si="32"/>
        <v>2.4329999999999998</v>
      </c>
      <c r="I129" s="47"/>
      <c r="J129" s="47"/>
      <c r="BB129" s="187">
        <v>42293</v>
      </c>
      <c r="BC129" s="180">
        <v>2.1000000000000001E-2</v>
      </c>
      <c r="BD129" s="191">
        <v>42293</v>
      </c>
      <c r="BE129" s="192">
        <v>0.42</v>
      </c>
      <c r="BH129" s="94">
        <v>42262</v>
      </c>
      <c r="BI129" s="95">
        <v>0.49399999999999999</v>
      </c>
      <c r="BJ129" s="96">
        <v>8.74</v>
      </c>
    </row>
    <row r="130" spans="1:62" ht="13.8" x14ac:dyDescent="0.25">
      <c r="A130" s="236">
        <v>54909</v>
      </c>
      <c r="B130" s="7">
        <f t="shared" si="33"/>
        <v>4775.6788399534489</v>
      </c>
      <c r="C130" s="7">
        <f t="shared" si="36"/>
        <v>4727.9405412882879</v>
      </c>
      <c r="D130" s="7">
        <f t="shared" si="35"/>
        <v>47.738298665161061</v>
      </c>
      <c r="E130" s="240">
        <f t="shared" si="34"/>
        <v>-8.276401786133647E-11</v>
      </c>
      <c r="F130" s="269"/>
      <c r="I130" s="47"/>
      <c r="J130" s="47"/>
      <c r="BB130" s="187">
        <v>42296</v>
      </c>
      <c r="BC130" s="180">
        <v>1.9E-2</v>
      </c>
      <c r="BD130" s="191">
        <v>42296</v>
      </c>
      <c r="BE130" s="192">
        <v>0.41699999999999998</v>
      </c>
      <c r="BH130" s="94">
        <v>42263</v>
      </c>
      <c r="BI130" s="95">
        <v>0.497</v>
      </c>
      <c r="BJ130" s="96">
        <v>8.74</v>
      </c>
    </row>
    <row r="131" spans="1:62" ht="13.8" x14ac:dyDescent="0.25">
      <c r="A131" s="239"/>
      <c r="BB131" s="187">
        <v>42297</v>
      </c>
      <c r="BC131" s="180">
        <v>1.7999999999999999E-2</v>
      </c>
      <c r="BD131" s="191">
        <v>42297</v>
      </c>
      <c r="BE131" s="192">
        <v>0.41599999999999998</v>
      </c>
      <c r="BH131" s="94">
        <v>42264</v>
      </c>
      <c r="BI131" s="95">
        <v>0.503</v>
      </c>
      <c r="BJ131" s="96">
        <v>8.73</v>
      </c>
    </row>
    <row r="132" spans="1:62" ht="13.8" x14ac:dyDescent="0.25">
      <c r="A132" s="239"/>
      <c r="E132" s="7">
        <v>0</v>
      </c>
      <c r="BB132" s="187">
        <v>42298</v>
      </c>
      <c r="BC132" s="180">
        <v>1.9E-2</v>
      </c>
      <c r="BD132" s="191">
        <v>42298</v>
      </c>
      <c r="BE132" s="192">
        <v>0.41599999999999998</v>
      </c>
      <c r="BH132" s="94">
        <v>42265</v>
      </c>
      <c r="BI132" s="95">
        <v>0.504</v>
      </c>
      <c r="BJ132" s="96">
        <v>8.73</v>
      </c>
    </row>
    <row r="133" spans="1:62" ht="13.8" x14ac:dyDescent="0.25">
      <c r="A133" s="239"/>
      <c r="E133" s="16">
        <f>+E130-E132</f>
        <v>-8.276401786133647E-11</v>
      </c>
      <c r="BB133" s="187">
        <v>42299</v>
      </c>
      <c r="BC133" s="180">
        <v>1.9E-2</v>
      </c>
      <c r="BD133" s="191">
        <v>42299</v>
      </c>
      <c r="BE133" s="192">
        <v>0.41399999999999998</v>
      </c>
      <c r="BH133" s="94">
        <v>42268</v>
      </c>
      <c r="BI133" s="95">
        <v>0.50600000000000001</v>
      </c>
      <c r="BJ133" s="96">
        <v>8.7200000000000006</v>
      </c>
    </row>
    <row r="134" spans="1:62" ht="13.8" x14ac:dyDescent="0.25">
      <c r="A134" s="239"/>
      <c r="BB134" s="187">
        <v>42300</v>
      </c>
      <c r="BC134" s="180">
        <v>0.01</v>
      </c>
      <c r="BD134" s="191">
        <v>42300</v>
      </c>
      <c r="BE134" s="192">
        <v>0.40799999999999997</v>
      </c>
      <c r="BH134" s="94">
        <v>42269</v>
      </c>
      <c r="BI134" s="95">
        <v>0.503</v>
      </c>
      <c r="BJ134" s="96">
        <v>8.7200000000000006</v>
      </c>
    </row>
    <row r="135" spans="1:62" ht="13.8" x14ac:dyDescent="0.25">
      <c r="A135" s="239"/>
      <c r="BB135" s="187">
        <v>42303</v>
      </c>
      <c r="BC135" s="180">
        <v>8.0000000000000002E-3</v>
      </c>
      <c r="BD135" s="191"/>
      <c r="BE135" s="193">
        <f>+BE134</f>
        <v>0.40799999999999997</v>
      </c>
      <c r="BH135" s="94">
        <v>42270</v>
      </c>
      <c r="BI135" s="95">
        <v>0.498</v>
      </c>
      <c r="BJ135" s="96">
        <v>8.7200000000000006</v>
      </c>
    </row>
    <row r="136" spans="1:62" ht="13.8" x14ac:dyDescent="0.25">
      <c r="A136" s="239"/>
      <c r="BB136" s="187">
        <v>42304</v>
      </c>
      <c r="BC136" s="180">
        <v>8.0000000000000002E-3</v>
      </c>
      <c r="BD136" s="191">
        <v>42304</v>
      </c>
      <c r="BE136" s="192">
        <v>0.40100000000000002</v>
      </c>
      <c r="BH136" s="94">
        <v>42271</v>
      </c>
      <c r="BI136" s="95">
        <v>0.49199999999999999</v>
      </c>
      <c r="BJ136" s="96">
        <v>8.7100000000000009</v>
      </c>
    </row>
    <row r="137" spans="1:62" ht="13.8" x14ac:dyDescent="0.25">
      <c r="A137" s="239"/>
      <c r="BB137" s="187">
        <v>42305</v>
      </c>
      <c r="BC137" s="180">
        <v>6.0000000000000001E-3</v>
      </c>
      <c r="BD137" s="191">
        <v>42305</v>
      </c>
      <c r="BE137" s="192">
        <v>0.39400000000000002</v>
      </c>
      <c r="BH137" s="94">
        <v>42272</v>
      </c>
      <c r="BI137" s="95">
        <v>0.48799999999999999</v>
      </c>
      <c r="BJ137" s="96">
        <v>8.7100000000000009</v>
      </c>
    </row>
    <row r="138" spans="1:62" ht="13.8" x14ac:dyDescent="0.25">
      <c r="A138" s="239"/>
      <c r="BB138" s="187">
        <v>42306</v>
      </c>
      <c r="BC138" s="180">
        <v>4.0000000000000001E-3</v>
      </c>
      <c r="BD138" s="191">
        <v>42306</v>
      </c>
      <c r="BE138" s="192">
        <v>0.38800000000000001</v>
      </c>
      <c r="BH138" s="94">
        <v>42275</v>
      </c>
      <c r="BI138" s="95">
        <v>0.48199999999999998</v>
      </c>
      <c r="BJ138" s="96">
        <v>8.6999999999999993</v>
      </c>
    </row>
    <row r="139" spans="1:62" ht="13.8" x14ac:dyDescent="0.25">
      <c r="A139" s="239"/>
      <c r="BB139" s="187">
        <v>42307</v>
      </c>
      <c r="BC139" s="180">
        <v>6.0000000000000001E-3</v>
      </c>
      <c r="BD139" s="191">
        <v>42307</v>
      </c>
      <c r="BE139" s="192">
        <v>0.38400000000000001</v>
      </c>
      <c r="BH139" s="94">
        <v>42276</v>
      </c>
      <c r="BI139" s="95">
        <v>0.47499999999999998</v>
      </c>
      <c r="BJ139" s="96">
        <v>8.6999999999999993</v>
      </c>
    </row>
    <row r="140" spans="1:62" ht="13.8" x14ac:dyDescent="0.25">
      <c r="A140" s="239"/>
      <c r="BB140" s="187">
        <v>42310</v>
      </c>
      <c r="BC140" s="180">
        <v>7.0000000000000001E-3</v>
      </c>
      <c r="BD140" s="191">
        <v>42310</v>
      </c>
      <c r="BE140" s="192">
        <v>0.38300000000000001</v>
      </c>
      <c r="BF140" s="111">
        <f>+(BC140+BE140)/2+0.37</f>
        <v>0.56499999999999995</v>
      </c>
      <c r="BH140" s="94">
        <v>42277</v>
      </c>
      <c r="BI140" s="95">
        <v>0.46800000000000003</v>
      </c>
      <c r="BJ140" s="96">
        <v>8.6999999999999993</v>
      </c>
    </row>
    <row r="141" spans="1:62" ht="13.8" x14ac:dyDescent="0.25">
      <c r="A141" s="239"/>
      <c r="BB141" s="187">
        <v>42311</v>
      </c>
      <c r="BC141" s="180">
        <v>3.0000000000000001E-3</v>
      </c>
      <c r="BD141" s="191">
        <v>42311</v>
      </c>
      <c r="BE141" s="192">
        <v>0.38200000000000001</v>
      </c>
      <c r="BH141" s="94">
        <v>42278</v>
      </c>
      <c r="BI141" s="95">
        <v>0.46200000000000002</v>
      </c>
      <c r="BJ141" s="96">
        <v>8.6999999999999993</v>
      </c>
    </row>
    <row r="142" spans="1:62" ht="13.8" x14ac:dyDescent="0.25">
      <c r="A142" s="239"/>
      <c r="BB142" s="187">
        <v>42312</v>
      </c>
      <c r="BC142" s="180">
        <v>0</v>
      </c>
      <c r="BD142" s="191">
        <v>42312</v>
      </c>
      <c r="BE142" s="192">
        <v>0.379</v>
      </c>
      <c r="BH142" s="94">
        <v>42279</v>
      </c>
      <c r="BI142" s="95">
        <v>0.45700000000000002</v>
      </c>
      <c r="BJ142" s="96">
        <v>8.69</v>
      </c>
    </row>
    <row r="143" spans="1:62" ht="13.8" x14ac:dyDescent="0.25">
      <c r="A143" s="239"/>
      <c r="BB143" s="187">
        <v>42313</v>
      </c>
      <c r="BC143" s="180">
        <v>1E-3</v>
      </c>
      <c r="BD143" s="191">
        <v>42313</v>
      </c>
      <c r="BE143" s="192">
        <v>0.38200000000000001</v>
      </c>
      <c r="BH143" s="94">
        <v>42282</v>
      </c>
      <c r="BI143" s="95">
        <v>0.45200000000000001</v>
      </c>
      <c r="BJ143" s="96">
        <v>8.68</v>
      </c>
    </row>
    <row r="144" spans="1:62" ht="13.8" x14ac:dyDescent="0.25">
      <c r="A144" s="239"/>
      <c r="BB144" s="187">
        <v>42314</v>
      </c>
      <c r="BC144" s="180">
        <v>-2E-3</v>
      </c>
      <c r="BD144" s="191">
        <v>42314</v>
      </c>
      <c r="BE144" s="192">
        <v>0.38200000000000001</v>
      </c>
      <c r="BH144" s="94">
        <v>42283</v>
      </c>
      <c r="BI144" s="95">
        <v>0.44900000000000001</v>
      </c>
      <c r="BJ144" s="96">
        <v>8.68</v>
      </c>
    </row>
    <row r="145" spans="1:62" ht="13.8" x14ac:dyDescent="0.25">
      <c r="A145" s="239"/>
      <c r="BB145" s="187">
        <v>42317</v>
      </c>
      <c r="BC145" s="180">
        <v>1E-3</v>
      </c>
      <c r="BD145" s="191">
        <v>42317</v>
      </c>
      <c r="BE145" s="192">
        <v>0.38200000000000001</v>
      </c>
      <c r="BH145" s="94">
        <v>42284</v>
      </c>
      <c r="BI145" s="95">
        <v>0.44600000000000001</v>
      </c>
      <c r="BJ145" s="96">
        <v>8.68</v>
      </c>
    </row>
    <row r="146" spans="1:62" ht="13.8" x14ac:dyDescent="0.25">
      <c r="A146" s="239"/>
      <c r="BB146" s="187">
        <v>42318</v>
      </c>
      <c r="BC146" s="180">
        <v>-4.0000000000000001E-3</v>
      </c>
      <c r="BD146" s="191">
        <v>42318</v>
      </c>
      <c r="BE146" s="192">
        <v>0.38100000000000001</v>
      </c>
      <c r="BH146" s="94">
        <v>42285</v>
      </c>
      <c r="BI146" s="95">
        <v>0.44500000000000001</v>
      </c>
      <c r="BJ146" s="96">
        <v>8.68</v>
      </c>
    </row>
    <row r="147" spans="1:62" ht="13.8" x14ac:dyDescent="0.25">
      <c r="A147" s="239"/>
      <c r="BB147" s="187">
        <v>42319</v>
      </c>
      <c r="BC147" s="180">
        <v>-6.0000000000000001E-3</v>
      </c>
      <c r="BD147" s="191">
        <v>42319</v>
      </c>
      <c r="BE147" s="192">
        <v>0.38</v>
      </c>
      <c r="BH147" s="94">
        <v>42286</v>
      </c>
      <c r="BI147" s="95">
        <v>0.443</v>
      </c>
      <c r="BJ147" s="96">
        <v>8.68</v>
      </c>
    </row>
    <row r="148" spans="1:62" ht="13.8" x14ac:dyDescent="0.25">
      <c r="A148" s="239"/>
      <c r="BB148" s="187">
        <v>42320</v>
      </c>
      <c r="BC148" s="180">
        <v>-1.0999999999999999E-2</v>
      </c>
      <c r="BD148" s="191">
        <v>42320</v>
      </c>
      <c r="BE148" s="192">
        <v>0.379</v>
      </c>
      <c r="BH148" s="94">
        <v>42289</v>
      </c>
      <c r="BI148" s="95">
        <v>0.441</v>
      </c>
      <c r="BJ148" s="96">
        <v>8.67</v>
      </c>
    </row>
    <row r="149" spans="1:62" ht="13.8" x14ac:dyDescent="0.25">
      <c r="A149" s="239"/>
      <c r="BB149" s="187">
        <v>42321</v>
      </c>
      <c r="BC149" s="180">
        <v>-1.0999999999999999E-2</v>
      </c>
      <c r="BD149" s="191">
        <v>42321</v>
      </c>
      <c r="BE149" s="192">
        <v>0.378</v>
      </c>
      <c r="BH149" s="94">
        <v>42290</v>
      </c>
      <c r="BI149" s="95">
        <v>0.438</v>
      </c>
      <c r="BJ149" s="96">
        <v>8.67</v>
      </c>
    </row>
    <row r="150" spans="1:62" ht="13.8" x14ac:dyDescent="0.25">
      <c r="A150" s="239"/>
      <c r="BB150" s="187">
        <v>42324</v>
      </c>
      <c r="BC150" s="180">
        <v>-1.2999999999999999E-2</v>
      </c>
      <c r="BD150" s="191">
        <v>42324</v>
      </c>
      <c r="BE150" s="192">
        <v>0.375</v>
      </c>
      <c r="BH150" s="94">
        <v>42291</v>
      </c>
      <c r="BI150" s="95">
        <v>0.432</v>
      </c>
      <c r="BJ150" s="96">
        <v>8.66</v>
      </c>
    </row>
    <row r="151" spans="1:62" ht="13.8" x14ac:dyDescent="0.25">
      <c r="A151" s="239"/>
      <c r="BB151" s="187">
        <v>42325</v>
      </c>
      <c r="BC151" s="180">
        <v>-1.4999999999999999E-2</v>
      </c>
      <c r="BD151" s="191">
        <v>42325</v>
      </c>
      <c r="BE151" s="192">
        <v>0.372</v>
      </c>
      <c r="BH151" s="94">
        <v>42292</v>
      </c>
      <c r="BI151" s="95">
        <v>0.42399999999999999</v>
      </c>
      <c r="BJ151" s="96">
        <v>8.66</v>
      </c>
    </row>
    <row r="152" spans="1:62" ht="13.8" x14ac:dyDescent="0.25">
      <c r="A152" s="239"/>
      <c r="BB152" s="187">
        <v>42326</v>
      </c>
      <c r="BC152" s="180">
        <v>-1.4999999999999999E-2</v>
      </c>
      <c r="BD152" s="191">
        <v>42326</v>
      </c>
      <c r="BE152" s="192">
        <v>0.36599999999999999</v>
      </c>
      <c r="BH152" s="94">
        <v>42293</v>
      </c>
      <c r="BI152" s="95">
        <v>0.42</v>
      </c>
      <c r="BJ152" s="96">
        <v>8.66</v>
      </c>
    </row>
    <row r="153" spans="1:62" ht="13.8" x14ac:dyDescent="0.25">
      <c r="A153" s="239"/>
      <c r="BB153" s="187">
        <v>42327</v>
      </c>
      <c r="BC153" s="180">
        <v>-1.9E-2</v>
      </c>
      <c r="BD153" s="191">
        <v>42327</v>
      </c>
      <c r="BE153" s="192">
        <v>0.36</v>
      </c>
      <c r="BH153" s="94">
        <v>42296</v>
      </c>
      <c r="BI153" s="95">
        <v>0.41699999999999998</v>
      </c>
      <c r="BJ153" s="96">
        <v>8.65</v>
      </c>
    </row>
    <row r="154" spans="1:62" ht="13.8" x14ac:dyDescent="0.25">
      <c r="A154" s="239"/>
      <c r="BB154" s="187">
        <v>42328</v>
      </c>
      <c r="BC154" s="180">
        <v>-2.4E-2</v>
      </c>
      <c r="BD154" s="191">
        <v>42328</v>
      </c>
      <c r="BE154" s="192">
        <v>0.35699999999999998</v>
      </c>
      <c r="BH154" s="94">
        <v>42297</v>
      </c>
      <c r="BI154" s="95">
        <v>0.41599999999999998</v>
      </c>
      <c r="BJ154" s="96">
        <v>8.65</v>
      </c>
    </row>
    <row r="155" spans="1:62" ht="13.8" x14ac:dyDescent="0.25">
      <c r="A155" s="239"/>
      <c r="BB155" s="187">
        <v>42331</v>
      </c>
      <c r="BC155" s="180">
        <v>-0.03</v>
      </c>
      <c r="BD155" s="191">
        <v>42331</v>
      </c>
      <c r="BE155" s="192">
        <v>0.35499999999999998</v>
      </c>
      <c r="BH155" s="94">
        <v>42298</v>
      </c>
      <c r="BI155" s="95">
        <v>0.41599999999999998</v>
      </c>
      <c r="BJ155" s="96">
        <v>8.64</v>
      </c>
    </row>
    <row r="156" spans="1:62" ht="13.8" x14ac:dyDescent="0.25">
      <c r="A156" s="239"/>
      <c r="BB156" s="187">
        <v>42332</v>
      </c>
      <c r="BC156" s="180">
        <v>-3.3000000000000002E-2</v>
      </c>
      <c r="BD156" s="191">
        <v>42332</v>
      </c>
      <c r="BE156" s="192">
        <v>0.35499999999999998</v>
      </c>
      <c r="BH156" s="94">
        <v>42299</v>
      </c>
      <c r="BI156" s="95">
        <v>0.41399999999999998</v>
      </c>
      <c r="BJ156" s="96">
        <v>8.64</v>
      </c>
    </row>
    <row r="157" spans="1:62" ht="13.8" x14ac:dyDescent="0.25">
      <c r="A157" s="239"/>
      <c r="BB157" s="187">
        <v>42333</v>
      </c>
      <c r="BC157" s="180">
        <v>-3.1E-2</v>
      </c>
      <c r="BD157" s="191">
        <v>42333</v>
      </c>
      <c r="BE157" s="192">
        <v>0.35499999999999998</v>
      </c>
      <c r="BH157" s="94">
        <v>42300</v>
      </c>
      <c r="BI157" s="95">
        <v>0.40799999999999997</v>
      </c>
      <c r="BJ157" s="96">
        <v>8.64</v>
      </c>
    </row>
    <row r="158" spans="1:62" ht="13.8" x14ac:dyDescent="0.25">
      <c r="A158" s="239"/>
      <c r="BB158" s="187">
        <v>42334</v>
      </c>
      <c r="BC158" s="180">
        <v>-3.9E-2</v>
      </c>
      <c r="BD158" s="191">
        <v>42334</v>
      </c>
      <c r="BE158" s="192">
        <v>0.35299999999999998</v>
      </c>
      <c r="BH158" s="94">
        <v>42304</v>
      </c>
      <c r="BI158" s="95">
        <v>0.40100000000000002</v>
      </c>
      <c r="BJ158" s="96">
        <v>8.6300000000000008</v>
      </c>
    </row>
    <row r="159" spans="1:62" ht="13.8" x14ac:dyDescent="0.25">
      <c r="A159" s="239"/>
      <c r="BB159" s="187">
        <v>42335</v>
      </c>
      <c r="BC159" s="180">
        <v>-0.04</v>
      </c>
      <c r="BD159" s="191">
        <v>42335</v>
      </c>
      <c r="BE159" s="192">
        <v>0.34899999999999998</v>
      </c>
      <c r="BH159" s="94">
        <v>42305</v>
      </c>
      <c r="BI159" s="95">
        <v>0.39400000000000002</v>
      </c>
      <c r="BJ159" s="96">
        <v>8.6300000000000008</v>
      </c>
    </row>
    <row r="160" spans="1:62" ht="13.8" x14ac:dyDescent="0.25">
      <c r="A160" s="239"/>
      <c r="BB160" s="187">
        <v>42338</v>
      </c>
      <c r="BC160" s="180">
        <v>-4.2999999999999997E-2</v>
      </c>
      <c r="BD160" s="191">
        <v>42338</v>
      </c>
      <c r="BE160" s="192">
        <v>0.34499999999999997</v>
      </c>
      <c r="BH160" s="94">
        <v>42306</v>
      </c>
      <c r="BI160" s="95">
        <v>0.38800000000000001</v>
      </c>
      <c r="BJ160" s="96">
        <v>8.6199999999999992</v>
      </c>
    </row>
    <row r="161" spans="1:62" ht="13.8" x14ac:dyDescent="0.25">
      <c r="A161" s="239"/>
      <c r="BB161" s="187">
        <v>42339</v>
      </c>
      <c r="BC161" s="180">
        <v>-4.4999999999999998E-2</v>
      </c>
      <c r="BD161" s="191">
        <v>42339</v>
      </c>
      <c r="BE161" s="192">
        <v>0.34100000000000003</v>
      </c>
      <c r="BH161" s="94">
        <v>42307</v>
      </c>
      <c r="BI161" s="95">
        <v>0.38400000000000001</v>
      </c>
      <c r="BJ161" s="96">
        <v>8.6199999999999992</v>
      </c>
    </row>
    <row r="162" spans="1:62" ht="13.8" x14ac:dyDescent="0.25">
      <c r="A162" s="239"/>
      <c r="BB162" s="187">
        <v>42340</v>
      </c>
      <c r="BC162" s="180">
        <v>-4.8000000000000001E-2</v>
      </c>
      <c r="BD162" s="191">
        <v>42340</v>
      </c>
      <c r="BE162" s="192">
        <v>0.33600000000000002</v>
      </c>
      <c r="BH162" s="94">
        <v>42310</v>
      </c>
      <c r="BI162" s="95">
        <v>0.38300000000000001</v>
      </c>
      <c r="BJ162" s="96">
        <v>8.61</v>
      </c>
    </row>
    <row r="163" spans="1:62" ht="13.8" x14ac:dyDescent="0.25">
      <c r="A163" s="239"/>
      <c r="BB163" s="187">
        <v>42341</v>
      </c>
      <c r="BC163" s="180">
        <v>-5.0999999999999997E-2</v>
      </c>
      <c r="BD163" s="191">
        <v>42341</v>
      </c>
      <c r="BE163" s="192">
        <v>0.33200000000000002</v>
      </c>
      <c r="BH163" s="94">
        <v>42311</v>
      </c>
      <c r="BI163" s="95">
        <v>0.38200000000000001</v>
      </c>
      <c r="BJ163" s="96">
        <v>8.61</v>
      </c>
    </row>
    <row r="164" spans="1:62" ht="13.8" x14ac:dyDescent="0.25">
      <c r="A164" s="239"/>
      <c r="BB164" s="187">
        <v>42342</v>
      </c>
      <c r="BC164" s="180">
        <v>-0.03</v>
      </c>
      <c r="BD164" s="191">
        <v>42342</v>
      </c>
      <c r="BE164" s="192">
        <v>0.33400000000000002</v>
      </c>
      <c r="BH164" s="94">
        <v>42312</v>
      </c>
      <c r="BI164" s="95">
        <v>0.379</v>
      </c>
      <c r="BJ164" s="96">
        <v>8.61</v>
      </c>
    </row>
    <row r="165" spans="1:62" ht="13.8" x14ac:dyDescent="0.25">
      <c r="A165" s="239"/>
      <c r="BB165" s="187">
        <v>42345</v>
      </c>
      <c r="BC165" s="180">
        <v>-3.1E-2</v>
      </c>
      <c r="BD165" s="191">
        <v>42345</v>
      </c>
      <c r="BE165" s="192">
        <v>0.33100000000000002</v>
      </c>
      <c r="BH165" s="94">
        <v>42313</v>
      </c>
      <c r="BI165" s="95">
        <v>0.38200000000000001</v>
      </c>
      <c r="BJ165" s="96">
        <v>8.64</v>
      </c>
    </row>
    <row r="166" spans="1:62" ht="13.8" x14ac:dyDescent="0.25">
      <c r="A166" s="239"/>
      <c r="BB166" s="187">
        <v>42346</v>
      </c>
      <c r="BC166" s="180">
        <v>-3.3000000000000002E-2</v>
      </c>
      <c r="BD166" s="191"/>
      <c r="BE166" s="193">
        <f>+BE165</f>
        <v>0.33100000000000002</v>
      </c>
      <c r="BH166" s="94">
        <v>42314</v>
      </c>
      <c r="BI166" s="95">
        <v>0.38200000000000001</v>
      </c>
      <c r="BJ166" s="96">
        <v>8.64</v>
      </c>
    </row>
    <row r="167" spans="1:62" ht="13.8" x14ac:dyDescent="0.25">
      <c r="A167" s="239"/>
      <c r="BB167" s="187">
        <v>42347</v>
      </c>
      <c r="BC167" s="180">
        <v>-3.4000000000000002E-2</v>
      </c>
      <c r="BD167" s="191">
        <v>42347</v>
      </c>
      <c r="BE167" s="192">
        <v>0.32900000000000001</v>
      </c>
      <c r="BH167" s="94">
        <v>42317</v>
      </c>
      <c r="BI167" s="95">
        <v>0.38200000000000001</v>
      </c>
      <c r="BJ167" s="96">
        <v>8.6300000000000008</v>
      </c>
    </row>
    <row r="168" spans="1:62" ht="13.8" x14ac:dyDescent="0.25">
      <c r="A168" s="239"/>
      <c r="BB168" s="187">
        <v>42348</v>
      </c>
      <c r="BC168" s="180">
        <v>-3.5999999999999997E-2</v>
      </c>
      <c r="BD168" s="191">
        <v>42348</v>
      </c>
      <c r="BE168" s="192">
        <v>0.32700000000000001</v>
      </c>
      <c r="BH168" s="94">
        <v>42318</v>
      </c>
      <c r="BI168" s="95">
        <v>0.38100000000000001</v>
      </c>
      <c r="BJ168" s="96">
        <v>8.6300000000000008</v>
      </c>
    </row>
    <row r="169" spans="1:62" ht="13.8" x14ac:dyDescent="0.25">
      <c r="A169" s="239"/>
      <c r="BB169" s="187">
        <v>42349</v>
      </c>
      <c r="BC169" s="180">
        <v>-3.7999999999999999E-2</v>
      </c>
      <c r="BD169" s="191">
        <v>42349</v>
      </c>
      <c r="BE169" s="192">
        <v>0.32500000000000001</v>
      </c>
      <c r="BH169" s="94">
        <v>42319</v>
      </c>
      <c r="BI169" s="95">
        <v>0.38</v>
      </c>
      <c r="BJ169" s="96">
        <v>8.6300000000000008</v>
      </c>
    </row>
    <row r="170" spans="1:62" ht="13.8" x14ac:dyDescent="0.25">
      <c r="A170" s="239"/>
      <c r="BB170" s="187">
        <v>42352</v>
      </c>
      <c r="BC170" s="180">
        <v>-3.9E-2</v>
      </c>
      <c r="BD170" s="191">
        <v>42352</v>
      </c>
      <c r="BE170" s="192">
        <v>0.32400000000000001</v>
      </c>
      <c r="BH170" s="94">
        <v>42320</v>
      </c>
      <c r="BI170" s="95">
        <v>0.379</v>
      </c>
      <c r="BJ170" s="96">
        <v>8.6199999999999992</v>
      </c>
    </row>
    <row r="171" spans="1:62" ht="13.8" x14ac:dyDescent="0.25">
      <c r="A171" s="239"/>
      <c r="BB171" s="187">
        <v>42353</v>
      </c>
      <c r="BC171" s="180">
        <v>-4.1000000000000002E-2</v>
      </c>
      <c r="BD171" s="191">
        <v>42353</v>
      </c>
      <c r="BE171" s="192">
        <v>0.32600000000000001</v>
      </c>
      <c r="BH171" s="94">
        <v>42321</v>
      </c>
      <c r="BI171" s="95">
        <v>0.378</v>
      </c>
      <c r="BJ171" s="96">
        <v>8.6199999999999992</v>
      </c>
    </row>
    <row r="172" spans="1:62" ht="13.8" x14ac:dyDescent="0.25">
      <c r="A172" s="239"/>
      <c r="BB172" s="187">
        <v>42354</v>
      </c>
      <c r="BC172" s="180">
        <v>-4.1000000000000002E-2</v>
      </c>
      <c r="BD172" s="191">
        <v>42354</v>
      </c>
      <c r="BE172" s="192">
        <v>0.33</v>
      </c>
      <c r="BH172" s="94">
        <v>42324</v>
      </c>
      <c r="BI172" s="95">
        <v>0.375</v>
      </c>
      <c r="BJ172" s="96">
        <v>8.61</v>
      </c>
    </row>
    <row r="173" spans="1:62" ht="13.8" x14ac:dyDescent="0.25">
      <c r="A173" s="239"/>
      <c r="BB173" s="187">
        <v>42355</v>
      </c>
      <c r="BC173" s="180">
        <v>-4.1000000000000002E-2</v>
      </c>
      <c r="BD173" s="191">
        <v>42355</v>
      </c>
      <c r="BE173" s="192">
        <v>0.33400000000000002</v>
      </c>
      <c r="BH173" s="94">
        <v>42325</v>
      </c>
      <c r="BI173" s="95">
        <v>0.372</v>
      </c>
      <c r="BJ173" s="96">
        <v>8.61</v>
      </c>
    </row>
    <row r="174" spans="1:62" ht="13.8" x14ac:dyDescent="0.25">
      <c r="A174" s="239"/>
      <c r="BB174" s="187">
        <v>42356</v>
      </c>
      <c r="BC174" s="180">
        <v>-4.1000000000000002E-2</v>
      </c>
      <c r="BD174" s="191">
        <v>42356</v>
      </c>
      <c r="BE174" s="192">
        <v>0.33500000000000002</v>
      </c>
      <c r="BH174" s="94">
        <v>42326</v>
      </c>
      <c r="BI174" s="95">
        <v>0.36599999999999999</v>
      </c>
      <c r="BJ174" s="96">
        <v>8.61</v>
      </c>
    </row>
    <row r="175" spans="1:62" ht="13.8" x14ac:dyDescent="0.25">
      <c r="A175" s="239"/>
      <c r="BB175" s="187">
        <v>42359</v>
      </c>
      <c r="BC175" s="180">
        <v>-4.1000000000000002E-2</v>
      </c>
      <c r="BD175" s="191">
        <v>42359</v>
      </c>
      <c r="BE175" s="192">
        <v>0.33700000000000002</v>
      </c>
      <c r="BH175" s="94">
        <v>42327</v>
      </c>
      <c r="BI175" s="95">
        <v>0.36</v>
      </c>
      <c r="BJ175" s="96">
        <v>8.6</v>
      </c>
    </row>
    <row r="176" spans="1:62" ht="13.8" x14ac:dyDescent="0.25">
      <c r="A176" s="239"/>
      <c r="BB176" s="187">
        <v>42360</v>
      </c>
      <c r="BC176" s="180">
        <v>-4.1000000000000002E-2</v>
      </c>
      <c r="BD176" s="191">
        <v>42360</v>
      </c>
      <c r="BE176" s="192">
        <v>0.33900000000000002</v>
      </c>
      <c r="BH176" s="94">
        <v>42328</v>
      </c>
      <c r="BI176" s="95">
        <v>0.35699999999999998</v>
      </c>
      <c r="BJ176" s="96">
        <v>8.6</v>
      </c>
    </row>
    <row r="177" spans="1:62" ht="13.8" x14ac:dyDescent="0.25">
      <c r="A177" s="239"/>
      <c r="BB177" s="187">
        <v>42361</v>
      </c>
      <c r="BC177" s="180">
        <v>-4.1000000000000002E-2</v>
      </c>
      <c r="BD177" s="191">
        <v>42361</v>
      </c>
      <c r="BE177" s="192">
        <v>0.34399999999999997</v>
      </c>
      <c r="BH177" s="94">
        <v>42331</v>
      </c>
      <c r="BI177" s="95">
        <v>0.35499999999999998</v>
      </c>
      <c r="BJ177" s="96">
        <v>8.59</v>
      </c>
    </row>
    <row r="178" spans="1:62" ht="13.8" x14ac:dyDescent="0.25">
      <c r="A178" s="239"/>
      <c r="BB178" s="187">
        <v>42362</v>
      </c>
      <c r="BC178" s="180">
        <v>-0.04</v>
      </c>
      <c r="BD178" s="191"/>
      <c r="BE178" s="193">
        <f>+BE177</f>
        <v>0.34399999999999997</v>
      </c>
      <c r="BH178" s="94">
        <v>42332</v>
      </c>
      <c r="BI178" s="95">
        <v>0.35499999999999998</v>
      </c>
      <c r="BJ178" s="96">
        <v>8.59</v>
      </c>
    </row>
    <row r="179" spans="1:62" ht="13.8" x14ac:dyDescent="0.25">
      <c r="A179" s="239"/>
      <c r="BB179" s="187">
        <v>42363</v>
      </c>
      <c r="BC179" s="180">
        <v>-0.04</v>
      </c>
      <c r="BD179" s="191"/>
      <c r="BE179" s="193">
        <f>+BE178</f>
        <v>0.34399999999999997</v>
      </c>
      <c r="BH179" s="94">
        <v>42333</v>
      </c>
      <c r="BI179" s="95">
        <v>0.35499999999999998</v>
      </c>
      <c r="BJ179" s="96">
        <v>8.59</v>
      </c>
    </row>
    <row r="180" spans="1:62" ht="13.8" x14ac:dyDescent="0.25">
      <c r="A180" s="239"/>
      <c r="BB180" s="187">
        <v>42366</v>
      </c>
      <c r="BC180" s="180">
        <v>-0.04</v>
      </c>
      <c r="BD180" s="191">
        <v>42366</v>
      </c>
      <c r="BE180" s="192">
        <v>0.34799999999999998</v>
      </c>
      <c r="BH180" s="94">
        <v>42334</v>
      </c>
      <c r="BI180" s="95">
        <v>0.35299999999999998</v>
      </c>
      <c r="BJ180" s="96">
        <v>8.58</v>
      </c>
    </row>
    <row r="181" spans="1:62" ht="13.8" x14ac:dyDescent="0.25">
      <c r="A181" s="239"/>
      <c r="BB181" s="187">
        <v>42367</v>
      </c>
      <c r="BC181" s="180">
        <v>-4.2000000000000003E-2</v>
      </c>
      <c r="BD181" s="191">
        <v>42367</v>
      </c>
      <c r="BE181" s="192">
        <v>0.35399999999999998</v>
      </c>
      <c r="BH181" s="94">
        <v>42335</v>
      </c>
      <c r="BI181" s="95">
        <v>0.34899999999999998</v>
      </c>
      <c r="BJ181" s="96">
        <v>8.58</v>
      </c>
    </row>
    <row r="182" spans="1:62" ht="13.8" x14ac:dyDescent="0.25">
      <c r="A182" s="239"/>
      <c r="BB182" s="187">
        <v>42368</v>
      </c>
      <c r="BC182" s="180">
        <v>-4.1000000000000002E-2</v>
      </c>
      <c r="BD182" s="191">
        <v>42368</v>
      </c>
      <c r="BE182" s="192">
        <v>0.36099999999999999</v>
      </c>
      <c r="BH182" s="94">
        <v>42338</v>
      </c>
      <c r="BI182" s="95">
        <v>0.34499999999999997</v>
      </c>
      <c r="BJ182" s="96">
        <v>8.57</v>
      </c>
    </row>
    <row r="183" spans="1:62" ht="13.8" x14ac:dyDescent="0.25">
      <c r="A183" s="239"/>
      <c r="BB183" s="187">
        <v>42369</v>
      </c>
      <c r="BC183" s="180">
        <v>-0.04</v>
      </c>
      <c r="BD183" s="191">
        <v>42369</v>
      </c>
      <c r="BE183" s="192">
        <v>0.36499999999999999</v>
      </c>
      <c r="BH183" s="94">
        <v>42339</v>
      </c>
      <c r="BI183" s="95">
        <v>0.34100000000000003</v>
      </c>
      <c r="BJ183" s="96">
        <v>8.57</v>
      </c>
    </row>
    <row r="184" spans="1:62" ht="13.8" x14ac:dyDescent="0.25">
      <c r="A184" s="239"/>
      <c r="BB184" s="187">
        <v>42370</v>
      </c>
      <c r="BC184" s="180">
        <v>-0.04</v>
      </c>
      <c r="BD184" s="191"/>
      <c r="BE184" s="193">
        <f>+BE183</f>
        <v>0.36499999999999999</v>
      </c>
      <c r="BH184" s="94">
        <v>42340</v>
      </c>
      <c r="BI184" s="95">
        <v>0.33600000000000002</v>
      </c>
      <c r="BJ184" s="96">
        <v>8.57</v>
      </c>
    </row>
    <row r="185" spans="1:62" ht="13.8" x14ac:dyDescent="0.25">
      <c r="A185" s="239"/>
      <c r="BB185" s="187">
        <v>42373</v>
      </c>
      <c r="BC185" s="180">
        <v>-4.1000000000000002E-2</v>
      </c>
      <c r="BD185" s="191">
        <v>42373</v>
      </c>
      <c r="BE185" s="192">
        <v>0.36799999999999999</v>
      </c>
      <c r="BH185" s="94">
        <v>42341</v>
      </c>
      <c r="BI185" s="95">
        <v>0.33200000000000002</v>
      </c>
      <c r="BJ185" s="96">
        <v>8.57</v>
      </c>
    </row>
    <row r="186" spans="1:62" ht="13.8" x14ac:dyDescent="0.25">
      <c r="A186" s="239"/>
      <c r="BB186" s="187">
        <v>42374</v>
      </c>
      <c r="BC186" s="180">
        <v>-4.1000000000000002E-2</v>
      </c>
      <c r="BD186" s="191">
        <v>42374</v>
      </c>
      <c r="BE186" s="192">
        <v>0.373</v>
      </c>
      <c r="BH186" s="94">
        <v>42342</v>
      </c>
      <c r="BI186" s="95">
        <v>0.33400000000000002</v>
      </c>
      <c r="BJ186" s="96">
        <v>8.56</v>
      </c>
    </row>
    <row r="187" spans="1:62" ht="13.8" x14ac:dyDescent="0.25">
      <c r="A187" s="239"/>
      <c r="BB187" s="187">
        <v>42375</v>
      </c>
      <c r="BC187" s="180">
        <v>-4.3999999999999997E-2</v>
      </c>
      <c r="BD187" s="191"/>
      <c r="BE187" s="193">
        <f>+BE186</f>
        <v>0.373</v>
      </c>
      <c r="BH187" s="94">
        <v>42345</v>
      </c>
      <c r="BI187" s="95">
        <v>0.33100000000000002</v>
      </c>
      <c r="BJ187" s="96">
        <v>8.5500000000000007</v>
      </c>
    </row>
    <row r="188" spans="1:62" ht="13.8" x14ac:dyDescent="0.25">
      <c r="A188" s="239"/>
      <c r="BB188" s="187">
        <v>42376</v>
      </c>
      <c r="BC188" s="180">
        <v>-0.05</v>
      </c>
      <c r="BD188" s="191">
        <v>42376</v>
      </c>
      <c r="BE188" s="192">
        <v>0.373</v>
      </c>
      <c r="BH188" s="94">
        <v>42347</v>
      </c>
      <c r="BI188" s="95">
        <v>0.32900000000000001</v>
      </c>
      <c r="BJ188" s="96">
        <v>8.5500000000000007</v>
      </c>
    </row>
    <row r="189" spans="1:62" ht="13.8" x14ac:dyDescent="0.25">
      <c r="A189" s="239"/>
      <c r="BB189" s="187">
        <v>42377</v>
      </c>
      <c r="BC189" s="180">
        <v>-5.0999999999999997E-2</v>
      </c>
      <c r="BD189" s="191">
        <v>42377</v>
      </c>
      <c r="BE189" s="192">
        <v>0.36899999999999999</v>
      </c>
      <c r="BH189" s="94">
        <v>42348</v>
      </c>
      <c r="BI189" s="95">
        <v>0.32700000000000001</v>
      </c>
      <c r="BJ189" s="96">
        <v>8.5500000000000007</v>
      </c>
    </row>
    <row r="190" spans="1:62" ht="13.8" x14ac:dyDescent="0.25">
      <c r="A190" s="239"/>
      <c r="BB190" s="187">
        <v>42380</v>
      </c>
      <c r="BC190" s="180">
        <v>-5.1999999999999998E-2</v>
      </c>
      <c r="BD190" s="191">
        <v>42380</v>
      </c>
      <c r="BE190" s="192">
        <v>0.36599999999999999</v>
      </c>
      <c r="BH190" s="94">
        <v>42349</v>
      </c>
      <c r="BI190" s="95">
        <v>0.32500000000000001</v>
      </c>
      <c r="BJ190" s="96">
        <v>8.5399999999999991</v>
      </c>
    </row>
    <row r="191" spans="1:62" ht="13.8" x14ac:dyDescent="0.25">
      <c r="A191" s="239"/>
      <c r="BB191" s="187">
        <v>42381</v>
      </c>
      <c r="BC191" s="180">
        <v>-5.2999999999999999E-2</v>
      </c>
      <c r="BD191" s="191">
        <v>42381</v>
      </c>
      <c r="BE191" s="192">
        <v>0.36699999999999999</v>
      </c>
      <c r="BH191" s="94">
        <v>42352</v>
      </c>
      <c r="BI191" s="95">
        <v>0.32400000000000001</v>
      </c>
      <c r="BJ191" s="96">
        <v>8.5399999999999991</v>
      </c>
    </row>
    <row r="192" spans="1:62" ht="13.8" x14ac:dyDescent="0.25">
      <c r="A192" s="239"/>
      <c r="BB192" s="187">
        <v>42382</v>
      </c>
      <c r="BC192" s="180">
        <v>-5.3999999999999999E-2</v>
      </c>
      <c r="BD192" s="191">
        <v>42382</v>
      </c>
      <c r="BE192" s="192">
        <v>0.36599999999999999</v>
      </c>
      <c r="BH192" s="94">
        <v>42353</v>
      </c>
      <c r="BI192" s="95">
        <v>0.32600000000000001</v>
      </c>
      <c r="BJ192" s="96">
        <v>8.5299999999999994</v>
      </c>
    </row>
    <row r="193" spans="1:62" ht="13.8" x14ac:dyDescent="0.25">
      <c r="A193" s="239"/>
      <c r="BB193" s="187">
        <v>42383</v>
      </c>
      <c r="BC193" s="180">
        <v>-5.2999999999999999E-2</v>
      </c>
      <c r="BD193" s="191">
        <v>42383</v>
      </c>
      <c r="BE193" s="192">
        <v>0.372</v>
      </c>
      <c r="BH193" s="94">
        <v>42354</v>
      </c>
      <c r="BI193" s="95">
        <v>0.33</v>
      </c>
      <c r="BJ193" s="96">
        <v>8.5299999999999994</v>
      </c>
    </row>
    <row r="194" spans="1:62" ht="13.8" x14ac:dyDescent="0.25">
      <c r="A194" s="239"/>
      <c r="BB194" s="187">
        <v>42384</v>
      </c>
      <c r="BC194" s="180">
        <v>-5.3999999999999999E-2</v>
      </c>
      <c r="BD194" s="191">
        <v>42384</v>
      </c>
      <c r="BE194" s="192">
        <v>0.371</v>
      </c>
      <c r="BH194" s="94">
        <v>42355</v>
      </c>
      <c r="BI194" s="95">
        <v>0.33400000000000002</v>
      </c>
      <c r="BJ194" s="96">
        <v>8.5299999999999994</v>
      </c>
    </row>
    <row r="195" spans="1:62" ht="13.8" x14ac:dyDescent="0.25">
      <c r="A195" s="239"/>
      <c r="BB195" s="187">
        <v>42387</v>
      </c>
      <c r="BC195" s="180">
        <v>-5.3999999999999999E-2</v>
      </c>
      <c r="BD195" s="191">
        <v>42387</v>
      </c>
      <c r="BE195" s="192">
        <v>0.36699999999999999</v>
      </c>
      <c r="BH195" s="94">
        <v>42356</v>
      </c>
      <c r="BI195" s="95">
        <v>0.33500000000000002</v>
      </c>
      <c r="BJ195" s="96">
        <v>8.52</v>
      </c>
    </row>
    <row r="196" spans="1:62" ht="13.8" x14ac:dyDescent="0.25">
      <c r="A196" s="239"/>
      <c r="BB196" s="187">
        <v>42388</v>
      </c>
      <c r="BC196" s="180">
        <v>-5.6000000000000001E-2</v>
      </c>
      <c r="BD196" s="191">
        <v>42388</v>
      </c>
      <c r="BE196" s="192">
        <v>0.36299999999999999</v>
      </c>
      <c r="BH196" s="94">
        <v>42359</v>
      </c>
      <c r="BI196" s="95">
        <v>0.33700000000000002</v>
      </c>
      <c r="BJ196" s="96">
        <v>8.52</v>
      </c>
    </row>
    <row r="197" spans="1:62" ht="13.8" x14ac:dyDescent="0.25">
      <c r="A197" s="239"/>
      <c r="BB197" s="187">
        <v>42389</v>
      </c>
      <c r="BC197" s="180">
        <v>-6.0999999999999999E-2</v>
      </c>
      <c r="BD197" s="191">
        <v>42389</v>
      </c>
      <c r="BE197" s="192">
        <v>0.35899999999999999</v>
      </c>
      <c r="BH197" s="94">
        <v>42360</v>
      </c>
      <c r="BI197" s="95">
        <v>0.33900000000000002</v>
      </c>
      <c r="BJ197" s="96">
        <v>8.51</v>
      </c>
    </row>
    <row r="198" spans="1:62" ht="13.8" x14ac:dyDescent="0.25">
      <c r="A198" s="239"/>
      <c r="BB198" s="187">
        <v>42390</v>
      </c>
      <c r="BC198" s="180">
        <v>-6.5000000000000002E-2</v>
      </c>
      <c r="BD198" s="191">
        <v>42390</v>
      </c>
      <c r="BE198" s="192">
        <v>0.35599999999999998</v>
      </c>
      <c r="BH198" s="94">
        <v>42361</v>
      </c>
      <c r="BI198" s="95">
        <v>0.34399999999999997</v>
      </c>
      <c r="BJ198" s="96">
        <v>8.51</v>
      </c>
    </row>
    <row r="199" spans="1:62" ht="13.8" x14ac:dyDescent="0.25">
      <c r="A199" s="239"/>
      <c r="BB199" s="187">
        <v>42391</v>
      </c>
      <c r="BC199" s="180">
        <v>-7.3999999999999996E-2</v>
      </c>
      <c r="BD199" s="191">
        <v>42391</v>
      </c>
      <c r="BE199" s="192">
        <v>0.35299999999999998</v>
      </c>
      <c r="BH199" s="94">
        <v>42366</v>
      </c>
      <c r="BI199" s="95">
        <v>0.34799999999999998</v>
      </c>
      <c r="BJ199" s="96">
        <v>8.5</v>
      </c>
    </row>
    <row r="200" spans="1:62" ht="13.8" x14ac:dyDescent="0.25">
      <c r="A200" s="239"/>
      <c r="BB200" s="187">
        <v>42394</v>
      </c>
      <c r="BC200" s="180">
        <v>-7.6999999999999999E-2</v>
      </c>
      <c r="BD200" s="191">
        <v>42394</v>
      </c>
      <c r="BE200" s="192">
        <v>0.34799999999999998</v>
      </c>
      <c r="BH200" s="94">
        <v>42367</v>
      </c>
      <c r="BI200" s="95">
        <v>0.35399999999999998</v>
      </c>
      <c r="BJ200" s="96">
        <v>8.49</v>
      </c>
    </row>
    <row r="201" spans="1:62" ht="13.8" x14ac:dyDescent="0.25">
      <c r="A201" s="239"/>
      <c r="BB201" s="187">
        <v>42395</v>
      </c>
      <c r="BC201" s="180">
        <v>-8.2000000000000003E-2</v>
      </c>
      <c r="BD201" s="191">
        <v>42395</v>
      </c>
      <c r="BE201" s="192">
        <v>0.34</v>
      </c>
      <c r="BH201" s="94">
        <v>42368</v>
      </c>
      <c r="BI201" s="95">
        <v>0.36099999999999999</v>
      </c>
      <c r="BJ201" s="96">
        <v>8.49</v>
      </c>
    </row>
    <row r="202" spans="1:62" ht="13.8" x14ac:dyDescent="0.25">
      <c r="A202" s="239"/>
      <c r="BB202" s="187">
        <v>42396</v>
      </c>
      <c r="BC202" s="180">
        <v>-8.2000000000000003E-2</v>
      </c>
      <c r="BD202" s="191">
        <v>42396</v>
      </c>
      <c r="BE202" s="192">
        <v>0.33200000000000002</v>
      </c>
      <c r="BH202" s="94">
        <v>42369</v>
      </c>
      <c r="BI202" s="95">
        <v>0.36499999999999999</v>
      </c>
      <c r="BJ202" s="96">
        <v>8.49</v>
      </c>
    </row>
    <row r="203" spans="1:62" ht="13.8" x14ac:dyDescent="0.25">
      <c r="A203" s="239"/>
      <c r="BB203" s="187">
        <v>42397</v>
      </c>
      <c r="BC203" s="180">
        <v>-8.3000000000000004E-2</v>
      </c>
      <c r="BD203" s="191">
        <v>42397</v>
      </c>
      <c r="BE203" s="192">
        <v>0.32300000000000001</v>
      </c>
      <c r="BH203" s="94">
        <v>42373</v>
      </c>
      <c r="BI203" s="95">
        <v>0.36799999999999999</v>
      </c>
      <c r="BJ203" s="96">
        <v>8.48</v>
      </c>
    </row>
    <row r="204" spans="1:62" ht="13.8" x14ac:dyDescent="0.25">
      <c r="A204" s="239"/>
      <c r="BB204" s="187">
        <v>42398</v>
      </c>
      <c r="BC204" s="180">
        <v>-8.8999999999999996E-2</v>
      </c>
      <c r="BD204" s="191">
        <v>42398</v>
      </c>
      <c r="BE204" s="192">
        <v>0.311</v>
      </c>
      <c r="BH204" s="94">
        <v>42374</v>
      </c>
      <c r="BI204" s="95">
        <v>0.373</v>
      </c>
      <c r="BJ204" s="96">
        <v>8.4700000000000006</v>
      </c>
    </row>
    <row r="205" spans="1:62" ht="13.8" x14ac:dyDescent="0.25">
      <c r="A205" s="239"/>
      <c r="BB205" s="187">
        <v>42401</v>
      </c>
      <c r="BC205" s="180">
        <v>-9.4E-2</v>
      </c>
      <c r="BD205" s="191">
        <v>42401</v>
      </c>
      <c r="BE205" s="192">
        <v>0.30399999999999999</v>
      </c>
      <c r="BH205" s="94">
        <v>42376</v>
      </c>
      <c r="BI205" s="95">
        <v>0.373</v>
      </c>
      <c r="BJ205" s="96">
        <v>8.4700000000000006</v>
      </c>
    </row>
    <row r="206" spans="1:62" ht="13.8" x14ac:dyDescent="0.25">
      <c r="A206" s="239"/>
      <c r="BB206" s="187">
        <v>42402</v>
      </c>
      <c r="BC206" s="180">
        <v>-9.4E-2</v>
      </c>
      <c r="BD206" s="191">
        <v>42402</v>
      </c>
      <c r="BE206" s="192">
        <v>0.29499999999999998</v>
      </c>
      <c r="BH206" s="94">
        <v>42377</v>
      </c>
      <c r="BI206" s="95">
        <v>0.36899999999999999</v>
      </c>
      <c r="BJ206" s="96">
        <v>8.4700000000000006</v>
      </c>
    </row>
    <row r="207" spans="1:62" ht="13.8" x14ac:dyDescent="0.25">
      <c r="A207" s="239"/>
      <c r="BB207" s="187">
        <v>42403</v>
      </c>
      <c r="BC207" s="180">
        <v>-9.6000000000000002E-2</v>
      </c>
      <c r="BD207" s="191">
        <v>42403</v>
      </c>
      <c r="BE207" s="192">
        <v>0.28499999999999998</v>
      </c>
      <c r="BH207" s="94">
        <v>42380</v>
      </c>
      <c r="BI207" s="95">
        <v>0.36599999999999999</v>
      </c>
      <c r="BJ207" s="96">
        <v>8.4600000000000009</v>
      </c>
    </row>
    <row r="208" spans="1:62" ht="13.8" x14ac:dyDescent="0.25">
      <c r="A208" s="239"/>
      <c r="BB208" s="187">
        <v>42404</v>
      </c>
      <c r="BC208" s="180">
        <v>-0.10199999999999999</v>
      </c>
      <c r="BD208" s="191">
        <v>42404</v>
      </c>
      <c r="BE208" s="192">
        <v>0.27600000000000002</v>
      </c>
      <c r="BH208" s="94">
        <v>42381</v>
      </c>
      <c r="BI208" s="95">
        <v>0.36699999999999999</v>
      </c>
      <c r="BJ208" s="96">
        <v>8.4600000000000009</v>
      </c>
    </row>
    <row r="209" spans="1:62" ht="13.8" x14ac:dyDescent="0.25">
      <c r="A209" s="239"/>
      <c r="BB209" s="187">
        <v>42405</v>
      </c>
      <c r="BC209" s="180">
        <v>-0.104</v>
      </c>
      <c r="BD209" s="191">
        <v>42405</v>
      </c>
      <c r="BE209" s="192">
        <v>0.26600000000000001</v>
      </c>
      <c r="BH209" s="94">
        <v>42382</v>
      </c>
      <c r="BI209" s="95">
        <v>0.36599999999999999</v>
      </c>
      <c r="BJ209" s="96">
        <v>8.4499999999999993</v>
      </c>
    </row>
    <row r="210" spans="1:62" ht="13.8" x14ac:dyDescent="0.25">
      <c r="A210" s="239"/>
      <c r="BB210" s="187">
        <v>42408</v>
      </c>
      <c r="BC210" s="180">
        <v>-0.107</v>
      </c>
      <c r="BD210" s="191">
        <v>42408</v>
      </c>
      <c r="BE210" s="192">
        <v>0.255</v>
      </c>
      <c r="BH210" s="94">
        <v>42383</v>
      </c>
      <c r="BI210" s="95">
        <v>0.372</v>
      </c>
      <c r="BJ210" s="96">
        <v>8.48</v>
      </c>
    </row>
    <row r="211" spans="1:62" ht="13.8" x14ac:dyDescent="0.25">
      <c r="A211" s="239"/>
      <c r="BB211" s="187">
        <v>42409</v>
      </c>
      <c r="BC211" s="180">
        <v>-0.109</v>
      </c>
      <c r="BD211" s="191">
        <v>42409</v>
      </c>
      <c r="BE211" s="192">
        <v>0.24199999999999999</v>
      </c>
      <c r="BH211" s="94">
        <v>42384</v>
      </c>
      <c r="BI211" s="95">
        <v>0.371</v>
      </c>
      <c r="BJ211" s="96">
        <v>8.48</v>
      </c>
    </row>
    <row r="212" spans="1:62" ht="13.8" x14ac:dyDescent="0.25">
      <c r="A212" s="239"/>
      <c r="BB212" s="187">
        <v>42410</v>
      </c>
      <c r="BC212" s="180">
        <v>-0.111</v>
      </c>
      <c r="BD212" s="191">
        <v>42410</v>
      </c>
      <c r="BE212" s="192">
        <v>0.23100000000000001</v>
      </c>
      <c r="BH212" s="94">
        <v>42387</v>
      </c>
      <c r="BI212" s="95">
        <v>0.36699999999999999</v>
      </c>
      <c r="BJ212" s="96">
        <v>8.4700000000000006</v>
      </c>
    </row>
    <row r="213" spans="1:62" ht="13.8" x14ac:dyDescent="0.25">
      <c r="A213" s="239"/>
      <c r="BB213" s="187">
        <v>42411</v>
      </c>
      <c r="BC213" s="180">
        <v>-0.112</v>
      </c>
      <c r="BD213" s="191">
        <v>42411</v>
      </c>
      <c r="BE213" s="192">
        <v>0.223</v>
      </c>
      <c r="BH213" s="94">
        <v>42388</v>
      </c>
      <c r="BI213" s="95">
        <v>0.36299999999999999</v>
      </c>
      <c r="BJ213" s="96">
        <v>8.4700000000000006</v>
      </c>
    </row>
    <row r="214" spans="1:62" ht="13.8" x14ac:dyDescent="0.25">
      <c r="A214" s="239"/>
      <c r="BB214" s="187">
        <v>42412</v>
      </c>
      <c r="BC214" s="180">
        <v>-0.11600000000000001</v>
      </c>
      <c r="BD214" s="191">
        <v>42412</v>
      </c>
      <c r="BE214" s="192">
        <v>0.214</v>
      </c>
      <c r="BH214" s="94">
        <v>42389</v>
      </c>
      <c r="BI214" s="95">
        <v>0.35899999999999999</v>
      </c>
      <c r="BJ214" s="96">
        <v>8.4700000000000006</v>
      </c>
    </row>
    <row r="215" spans="1:62" ht="13.8" x14ac:dyDescent="0.25">
      <c r="A215" s="239"/>
      <c r="BB215" s="187">
        <v>42415</v>
      </c>
      <c r="BC215" s="180">
        <v>-0.11600000000000001</v>
      </c>
      <c r="BD215" s="191">
        <v>42415</v>
      </c>
      <c r="BE215" s="192">
        <v>0.20499999999999999</v>
      </c>
      <c r="BH215" s="94">
        <v>42390</v>
      </c>
      <c r="BI215" s="95">
        <v>0.35599999999999998</v>
      </c>
      <c r="BJ215" s="96">
        <v>8.4600000000000009</v>
      </c>
    </row>
    <row r="216" spans="1:62" ht="13.8" x14ac:dyDescent="0.25">
      <c r="A216" s="239"/>
      <c r="BB216" s="187">
        <v>42416</v>
      </c>
      <c r="BC216" s="180">
        <v>-0.12</v>
      </c>
      <c r="BD216" s="191">
        <v>42416</v>
      </c>
      <c r="BE216" s="192">
        <v>0.19700000000000001</v>
      </c>
      <c r="BH216" s="94">
        <v>42391</v>
      </c>
      <c r="BI216" s="95">
        <v>0.35299999999999998</v>
      </c>
      <c r="BJ216" s="96">
        <v>8.4600000000000009</v>
      </c>
    </row>
    <row r="217" spans="1:62" ht="13.8" x14ac:dyDescent="0.25">
      <c r="A217" s="239"/>
      <c r="BB217" s="187">
        <v>42417</v>
      </c>
      <c r="BC217" s="180">
        <v>-0.121</v>
      </c>
      <c r="BD217" s="191">
        <v>42417</v>
      </c>
      <c r="BE217" s="192">
        <v>0.191</v>
      </c>
      <c r="BH217" s="94">
        <v>42394</v>
      </c>
      <c r="BI217" s="95">
        <v>0.34799999999999998</v>
      </c>
      <c r="BJ217" s="96">
        <v>8.4499999999999993</v>
      </c>
    </row>
    <row r="218" spans="1:62" ht="13.8" x14ac:dyDescent="0.25">
      <c r="A218" s="239"/>
      <c r="BB218" s="187">
        <v>42418</v>
      </c>
      <c r="BC218" s="180">
        <v>-0.124</v>
      </c>
      <c r="BD218" s="191">
        <v>42418</v>
      </c>
      <c r="BE218" s="192">
        <v>0.184</v>
      </c>
      <c r="BH218" s="94">
        <v>42395</v>
      </c>
      <c r="BI218" s="95">
        <v>0.34</v>
      </c>
      <c r="BJ218" s="96">
        <v>8.4499999999999993</v>
      </c>
    </row>
    <row r="219" spans="1:62" ht="13.8" x14ac:dyDescent="0.25">
      <c r="A219" s="239"/>
      <c r="BB219" s="187">
        <v>42419</v>
      </c>
      <c r="BC219" s="180">
        <v>-0.125</v>
      </c>
      <c r="BD219" s="191">
        <v>42419</v>
      </c>
      <c r="BE219" s="192">
        <v>0.17599999999999999</v>
      </c>
      <c r="BH219" s="94">
        <v>42396</v>
      </c>
      <c r="BI219" s="95">
        <v>0.33200000000000002</v>
      </c>
      <c r="BJ219" s="96">
        <v>8.4499999999999993</v>
      </c>
    </row>
    <row r="220" spans="1:62" ht="13.8" x14ac:dyDescent="0.25">
      <c r="A220" s="239"/>
      <c r="BB220" s="187">
        <v>42422</v>
      </c>
      <c r="BC220" s="180">
        <v>-0.126</v>
      </c>
      <c r="BD220" s="191">
        <v>42422</v>
      </c>
      <c r="BE220" s="192">
        <v>0.2</v>
      </c>
      <c r="BH220" s="94">
        <v>42397</v>
      </c>
      <c r="BI220" s="95">
        <v>0.32300000000000001</v>
      </c>
      <c r="BJ220" s="96">
        <v>8.4499999999999993</v>
      </c>
    </row>
    <row r="221" spans="1:62" ht="13.8" x14ac:dyDescent="0.25">
      <c r="A221" s="239"/>
      <c r="BB221" s="187">
        <v>42423</v>
      </c>
      <c r="BC221" s="180">
        <v>-0.125</v>
      </c>
      <c r="BD221" s="191">
        <v>42423</v>
      </c>
      <c r="BE221" s="192">
        <v>0.21099999999999999</v>
      </c>
      <c r="BH221" s="94">
        <v>42398</v>
      </c>
      <c r="BI221" s="95">
        <v>0.311</v>
      </c>
      <c r="BJ221" s="96">
        <v>8.44</v>
      </c>
    </row>
    <row r="222" spans="1:62" ht="13.8" x14ac:dyDescent="0.25">
      <c r="A222" s="239"/>
      <c r="BB222" s="187">
        <v>42424</v>
      </c>
      <c r="BC222" s="180">
        <v>-0.128</v>
      </c>
      <c r="BD222" s="191">
        <v>42424</v>
      </c>
      <c r="BE222" s="192">
        <v>0.20300000000000001</v>
      </c>
      <c r="BH222" s="94">
        <v>42401</v>
      </c>
      <c r="BI222" s="95">
        <v>0.30399999999999999</v>
      </c>
      <c r="BJ222" s="96">
        <v>8.43</v>
      </c>
    </row>
    <row r="223" spans="1:62" ht="13.8" x14ac:dyDescent="0.25">
      <c r="A223" s="239"/>
      <c r="BB223" s="187">
        <v>42425</v>
      </c>
      <c r="BC223" s="180">
        <v>-0.128</v>
      </c>
      <c r="BD223" s="191">
        <v>42425</v>
      </c>
      <c r="BE223" s="192">
        <v>0.19500000000000001</v>
      </c>
      <c r="BH223" s="94">
        <v>42402</v>
      </c>
      <c r="BI223" s="95">
        <v>0.29499999999999998</v>
      </c>
      <c r="BJ223" s="96">
        <v>8.43</v>
      </c>
    </row>
    <row r="224" spans="1:62" ht="13.8" x14ac:dyDescent="0.25">
      <c r="A224" s="239"/>
      <c r="BB224" s="187">
        <v>42426</v>
      </c>
      <c r="BC224" s="180">
        <v>-0.129</v>
      </c>
      <c r="BD224" s="191">
        <v>42426</v>
      </c>
      <c r="BE224" s="192">
        <v>0.19</v>
      </c>
      <c r="BH224" s="94">
        <v>42403</v>
      </c>
      <c r="BI224" s="95">
        <v>0.28499999999999998</v>
      </c>
      <c r="BJ224" s="96">
        <v>8.43</v>
      </c>
    </row>
    <row r="225" spans="1:62" ht="13.8" x14ac:dyDescent="0.25">
      <c r="A225" s="239"/>
      <c r="BB225" s="187">
        <v>42429</v>
      </c>
      <c r="BC225" s="180">
        <v>-0.13400000000000001</v>
      </c>
      <c r="BD225" s="191">
        <v>42429</v>
      </c>
      <c r="BE225" s="192">
        <v>0.183</v>
      </c>
      <c r="BH225" s="94">
        <v>42404</v>
      </c>
      <c r="BI225" s="95">
        <v>0.27600000000000002</v>
      </c>
      <c r="BJ225" s="96">
        <v>8.43</v>
      </c>
    </row>
    <row r="226" spans="1:62" ht="13.8" x14ac:dyDescent="0.25">
      <c r="A226" s="239"/>
      <c r="BB226" s="187">
        <v>42430</v>
      </c>
      <c r="BC226" s="180">
        <v>-0.13500000000000001</v>
      </c>
      <c r="BD226" s="191">
        <v>42430</v>
      </c>
      <c r="BE226" s="192">
        <v>0.17799999999999999</v>
      </c>
      <c r="BH226" s="94">
        <v>42405</v>
      </c>
      <c r="BI226" s="95">
        <v>0.26600000000000001</v>
      </c>
      <c r="BJ226" s="96">
        <v>8.42</v>
      </c>
    </row>
    <row r="227" spans="1:62" ht="13.8" x14ac:dyDescent="0.25">
      <c r="A227" s="239"/>
      <c r="BB227" s="187">
        <v>42431</v>
      </c>
      <c r="BC227" s="180">
        <v>-0.13400000000000001</v>
      </c>
      <c r="BD227" s="191">
        <v>42431</v>
      </c>
      <c r="BE227" s="192">
        <v>0.17499999999999999</v>
      </c>
      <c r="BH227" s="94">
        <v>42408</v>
      </c>
      <c r="BI227" s="95">
        <v>0.255</v>
      </c>
      <c r="BJ227" s="96">
        <v>8.42</v>
      </c>
    </row>
    <row r="228" spans="1:62" ht="13.8" x14ac:dyDescent="0.25">
      <c r="A228" s="239"/>
      <c r="BB228" s="187">
        <v>42432</v>
      </c>
      <c r="BC228" s="180">
        <v>-0.13500000000000001</v>
      </c>
      <c r="BD228" s="191">
        <v>42432</v>
      </c>
      <c r="BE228" s="192">
        <v>0.17199999999999999</v>
      </c>
      <c r="BH228" s="94">
        <v>42409</v>
      </c>
      <c r="BI228" s="95">
        <v>0.24199999999999999</v>
      </c>
      <c r="BJ228" s="96">
        <v>8.41</v>
      </c>
    </row>
    <row r="229" spans="1:62" ht="13.8" x14ac:dyDescent="0.25">
      <c r="A229" s="239"/>
      <c r="BB229" s="187">
        <v>42433</v>
      </c>
      <c r="BC229" s="180">
        <v>-0.13600000000000001</v>
      </c>
      <c r="BD229" s="191">
        <v>42433</v>
      </c>
      <c r="BE229" s="192">
        <v>0.17</v>
      </c>
      <c r="BH229" s="94">
        <v>42410</v>
      </c>
      <c r="BI229" s="95">
        <v>0.23100000000000001</v>
      </c>
      <c r="BJ229" s="96">
        <v>8.41</v>
      </c>
    </row>
    <row r="230" spans="1:62" ht="13.8" x14ac:dyDescent="0.25">
      <c r="A230" s="239"/>
      <c r="BB230" s="187">
        <v>42436</v>
      </c>
      <c r="BC230" s="180">
        <v>-0.13600000000000001</v>
      </c>
      <c r="BD230" s="191">
        <v>42436</v>
      </c>
      <c r="BE230" s="192">
        <v>0.16900000000000001</v>
      </c>
      <c r="BH230" s="94">
        <v>42411</v>
      </c>
      <c r="BI230" s="95">
        <v>0.223</v>
      </c>
      <c r="BJ230" s="96">
        <v>8.4600000000000009</v>
      </c>
    </row>
    <row r="231" spans="1:62" ht="13.8" x14ac:dyDescent="0.25">
      <c r="A231" s="239"/>
      <c r="BB231" s="187">
        <v>42437</v>
      </c>
      <c r="BC231" s="180">
        <v>-0.13800000000000001</v>
      </c>
      <c r="BD231" s="191">
        <v>42437</v>
      </c>
      <c r="BE231" s="192">
        <v>0.16700000000000001</v>
      </c>
      <c r="BH231" s="94">
        <v>42412</v>
      </c>
      <c r="BI231" s="95">
        <v>0.214</v>
      </c>
      <c r="BJ231" s="96">
        <v>8.4600000000000009</v>
      </c>
    </row>
    <row r="232" spans="1:62" ht="13.8" x14ac:dyDescent="0.25">
      <c r="A232" s="239"/>
      <c r="BB232" s="187">
        <v>42438</v>
      </c>
      <c r="BC232" s="180">
        <v>-0.13900000000000001</v>
      </c>
      <c r="BD232" s="191">
        <v>42438</v>
      </c>
      <c r="BE232" s="192">
        <v>0.16600000000000001</v>
      </c>
      <c r="BH232" s="94">
        <v>42415</v>
      </c>
      <c r="BI232" s="95">
        <v>0.20499999999999999</v>
      </c>
      <c r="BJ232" s="96">
        <v>8.4499999999999993</v>
      </c>
    </row>
    <row r="233" spans="1:62" ht="13.8" x14ac:dyDescent="0.25">
      <c r="A233" s="239"/>
      <c r="BB233" s="187">
        <v>42439</v>
      </c>
      <c r="BC233" s="180">
        <v>-0.14099999999999999</v>
      </c>
      <c r="BD233" s="191">
        <v>42439</v>
      </c>
      <c r="BE233" s="192">
        <v>0.16700000000000001</v>
      </c>
      <c r="BH233" s="94">
        <v>42416</v>
      </c>
      <c r="BI233" s="95">
        <v>0.19700000000000001</v>
      </c>
      <c r="BJ233" s="96">
        <v>8.4499999999999993</v>
      </c>
    </row>
    <row r="234" spans="1:62" ht="13.8" x14ac:dyDescent="0.25">
      <c r="A234" s="239"/>
      <c r="BB234" s="187">
        <v>42440</v>
      </c>
      <c r="BC234" s="180">
        <v>-0.13100000000000001</v>
      </c>
      <c r="BD234" s="191">
        <v>42440</v>
      </c>
      <c r="BE234" s="192">
        <v>0.16700000000000001</v>
      </c>
      <c r="BH234" s="94">
        <v>42417</v>
      </c>
      <c r="BI234" s="95">
        <v>0.191</v>
      </c>
      <c r="BJ234" s="96">
        <v>8.44</v>
      </c>
    </row>
    <row r="235" spans="1:62" ht="13.8" x14ac:dyDescent="0.25">
      <c r="A235" s="239"/>
      <c r="BB235" s="187">
        <v>42443</v>
      </c>
      <c r="BC235" s="180">
        <v>-0.13100000000000001</v>
      </c>
      <c r="BD235" s="191">
        <v>42443</v>
      </c>
      <c r="BE235" s="192">
        <v>0.16500000000000001</v>
      </c>
      <c r="BH235" s="94">
        <v>42418</v>
      </c>
      <c r="BI235" s="95">
        <v>0.184</v>
      </c>
      <c r="BJ235" s="96">
        <v>8.44</v>
      </c>
    </row>
    <row r="236" spans="1:62" ht="13.8" x14ac:dyDescent="0.25">
      <c r="A236" s="239"/>
      <c r="BB236" s="187">
        <v>42444</v>
      </c>
      <c r="BC236" s="180">
        <v>-0.13</v>
      </c>
      <c r="BD236" s="191">
        <v>42444</v>
      </c>
      <c r="BE236" s="192">
        <v>0.16400000000000001</v>
      </c>
      <c r="BH236" s="94">
        <v>42419</v>
      </c>
      <c r="BI236" s="95">
        <v>0.17599999999999999</v>
      </c>
      <c r="BJ236" s="96">
        <v>8.44</v>
      </c>
    </row>
    <row r="237" spans="1:62" ht="13.8" x14ac:dyDescent="0.25">
      <c r="A237" s="239"/>
      <c r="BB237" s="187">
        <v>42445</v>
      </c>
      <c r="BC237" s="180">
        <v>-0.129</v>
      </c>
      <c r="BD237" s="191">
        <v>42445</v>
      </c>
      <c r="BE237" s="192">
        <v>0.16300000000000001</v>
      </c>
      <c r="BH237" s="94">
        <v>42422</v>
      </c>
      <c r="BI237" s="95">
        <v>0.2</v>
      </c>
      <c r="BJ237" s="96">
        <v>8.85</v>
      </c>
    </row>
    <row r="238" spans="1:62" ht="13.8" x14ac:dyDescent="0.25">
      <c r="A238" s="239"/>
      <c r="BB238" s="187">
        <v>42446</v>
      </c>
      <c r="BC238" s="180">
        <v>-0.13100000000000001</v>
      </c>
      <c r="BD238" s="191">
        <v>42446</v>
      </c>
      <c r="BE238" s="192">
        <v>0.161</v>
      </c>
      <c r="BH238" s="94">
        <v>42423</v>
      </c>
      <c r="BI238" s="95">
        <v>0.21099999999999999</v>
      </c>
      <c r="BJ238" s="96">
        <v>9.07</v>
      </c>
    </row>
    <row r="239" spans="1:62" ht="13.8" x14ac:dyDescent="0.25">
      <c r="A239" s="239"/>
      <c r="BB239" s="187">
        <v>42447</v>
      </c>
      <c r="BC239" s="180">
        <v>-0.13100000000000001</v>
      </c>
      <c r="BD239" s="191">
        <v>42447</v>
      </c>
      <c r="BE239" s="192">
        <v>0.159</v>
      </c>
      <c r="BH239" s="94">
        <v>42424</v>
      </c>
      <c r="BI239" s="95">
        <v>0.20300000000000001</v>
      </c>
      <c r="BJ239" s="96">
        <v>9.07</v>
      </c>
    </row>
    <row r="240" spans="1:62" ht="13.8" x14ac:dyDescent="0.25">
      <c r="A240" s="239"/>
      <c r="BB240" s="187">
        <v>42450</v>
      </c>
      <c r="BC240" s="180">
        <v>-0.13100000000000001</v>
      </c>
      <c r="BD240" s="191">
        <v>42450</v>
      </c>
      <c r="BE240" s="192">
        <v>0.158</v>
      </c>
      <c r="BH240" s="94">
        <v>42425</v>
      </c>
      <c r="BI240" s="95">
        <v>0.19500000000000001</v>
      </c>
      <c r="BJ240" s="96">
        <v>9.07</v>
      </c>
    </row>
    <row r="241" spans="1:62" ht="13.8" x14ac:dyDescent="0.25">
      <c r="A241" s="239"/>
      <c r="BB241" s="187">
        <v>42451</v>
      </c>
      <c r="BC241" s="180">
        <v>-0.13200000000000001</v>
      </c>
      <c r="BD241" s="191">
        <v>42451</v>
      </c>
      <c r="BE241" s="192">
        <v>0.156</v>
      </c>
      <c r="BH241" s="94">
        <v>42426</v>
      </c>
      <c r="BI241" s="95">
        <v>0.19</v>
      </c>
      <c r="BJ241" s="96">
        <v>9.06</v>
      </c>
    </row>
    <row r="242" spans="1:62" ht="13.8" x14ac:dyDescent="0.25">
      <c r="A242" s="239"/>
      <c r="BB242" s="187">
        <v>42452</v>
      </c>
      <c r="BC242" s="180">
        <v>-0.13300000000000001</v>
      </c>
      <c r="BD242" s="191">
        <v>42452</v>
      </c>
      <c r="BE242" s="192">
        <v>0.157</v>
      </c>
      <c r="BH242" s="94">
        <v>42429</v>
      </c>
      <c r="BI242" s="95">
        <v>0.183</v>
      </c>
      <c r="BJ242" s="96">
        <v>9.0500000000000007</v>
      </c>
    </row>
    <row r="243" spans="1:62" ht="13.8" x14ac:dyDescent="0.25">
      <c r="A243" s="239"/>
      <c r="BB243" s="187">
        <v>42453</v>
      </c>
      <c r="BC243" s="180">
        <v>-0.13400000000000001</v>
      </c>
      <c r="BD243" s="191">
        <v>42453</v>
      </c>
      <c r="BE243" s="192">
        <v>0.157</v>
      </c>
      <c r="BH243" s="94">
        <v>42430</v>
      </c>
      <c r="BI243" s="95">
        <v>0.17799999999999999</v>
      </c>
      <c r="BJ243" s="96">
        <v>9.0500000000000007</v>
      </c>
    </row>
    <row r="244" spans="1:62" ht="13.8" x14ac:dyDescent="0.25">
      <c r="A244" s="239"/>
      <c r="BB244" s="187">
        <v>42454</v>
      </c>
      <c r="BC244" s="180">
        <v>-0.13400000000000001</v>
      </c>
      <c r="BD244" s="191">
        <v>42454</v>
      </c>
      <c r="BE244" s="192">
        <v>0.158</v>
      </c>
      <c r="BH244" s="94">
        <v>42431</v>
      </c>
      <c r="BI244" s="95">
        <v>0.17499999999999999</v>
      </c>
      <c r="BJ244" s="96">
        <v>9.0500000000000007</v>
      </c>
    </row>
    <row r="245" spans="1:62" ht="13.8" x14ac:dyDescent="0.25">
      <c r="A245" s="239"/>
      <c r="BB245" s="187">
        <v>42457</v>
      </c>
      <c r="BC245" s="180">
        <v>-0.13400000000000001</v>
      </c>
      <c r="BD245" s="191"/>
      <c r="BE245" s="193">
        <f>+BE244</f>
        <v>0.158</v>
      </c>
      <c r="BH245" s="94">
        <v>42432</v>
      </c>
      <c r="BI245" s="95">
        <v>0.17199999999999999</v>
      </c>
      <c r="BJ245" s="96">
        <v>9.0500000000000007</v>
      </c>
    </row>
    <row r="246" spans="1:62" ht="13.8" x14ac:dyDescent="0.25">
      <c r="A246" s="239"/>
      <c r="BB246" s="187">
        <v>42458</v>
      </c>
      <c r="BC246" s="180">
        <v>-0.13400000000000001</v>
      </c>
      <c r="BD246" s="191">
        <v>42458</v>
      </c>
      <c r="BE246" s="192">
        <v>0.158</v>
      </c>
      <c r="BH246" s="94">
        <v>42433</v>
      </c>
      <c r="BI246" s="95">
        <v>0.17</v>
      </c>
      <c r="BJ246" s="96">
        <v>9.0399999999999991</v>
      </c>
    </row>
    <row r="247" spans="1:62" ht="13.8" x14ac:dyDescent="0.25">
      <c r="A247" s="239"/>
      <c r="BB247" s="187">
        <v>42459</v>
      </c>
      <c r="BC247" s="180">
        <v>-0.13200000000000001</v>
      </c>
      <c r="BD247" s="191">
        <v>42459</v>
      </c>
      <c r="BE247" s="192">
        <v>0.157</v>
      </c>
      <c r="BH247" s="94">
        <v>42436</v>
      </c>
      <c r="BI247" s="95">
        <v>0.16900000000000001</v>
      </c>
      <c r="BJ247" s="96">
        <v>9.0399999999999991</v>
      </c>
    </row>
    <row r="248" spans="1:62" ht="13.8" x14ac:dyDescent="0.25">
      <c r="A248" s="239"/>
      <c r="BB248" s="187">
        <v>42460</v>
      </c>
      <c r="BC248" s="180">
        <v>-0.13200000000000001</v>
      </c>
      <c r="BD248" s="191">
        <v>42460</v>
      </c>
      <c r="BE248" s="192">
        <v>0.154</v>
      </c>
      <c r="BH248" s="94">
        <v>42437</v>
      </c>
      <c r="BI248" s="95">
        <v>0.16700000000000001</v>
      </c>
      <c r="BJ248" s="96">
        <v>9.0299999999999994</v>
      </c>
    </row>
    <row r="249" spans="1:62" ht="13.8" x14ac:dyDescent="0.25">
      <c r="A249" s="239"/>
      <c r="BB249" s="187">
        <v>42461</v>
      </c>
      <c r="BC249" s="180">
        <v>-0.13100000000000001</v>
      </c>
      <c r="BD249" s="191">
        <v>42461</v>
      </c>
      <c r="BE249" s="192">
        <v>0.151</v>
      </c>
      <c r="BH249" s="94">
        <v>42438</v>
      </c>
      <c r="BI249" s="95">
        <v>0.16600000000000001</v>
      </c>
      <c r="BJ249" s="96">
        <v>9.0299999999999994</v>
      </c>
    </row>
    <row r="250" spans="1:62" ht="13.8" x14ac:dyDescent="0.25">
      <c r="A250" s="239"/>
      <c r="BB250" s="187">
        <v>42464</v>
      </c>
      <c r="BC250" s="180">
        <v>-0.13200000000000001</v>
      </c>
      <c r="BD250" s="191">
        <v>42464</v>
      </c>
      <c r="BE250" s="192">
        <v>0.14599999999999999</v>
      </c>
      <c r="BH250" s="94">
        <v>42439</v>
      </c>
      <c r="BI250" s="95">
        <v>0.16700000000000001</v>
      </c>
      <c r="BJ250" s="96">
        <v>9.02</v>
      </c>
    </row>
    <row r="251" spans="1:62" ht="13.8" x14ac:dyDescent="0.25">
      <c r="A251" s="239"/>
      <c r="BB251" s="187">
        <v>42465</v>
      </c>
      <c r="BC251" s="180">
        <v>-0.13200000000000001</v>
      </c>
      <c r="BD251" s="191">
        <v>42465</v>
      </c>
      <c r="BE251" s="192">
        <v>0.14000000000000001</v>
      </c>
      <c r="BH251" s="94">
        <v>42440</v>
      </c>
      <c r="BI251" s="95">
        <v>0.16700000000000001</v>
      </c>
      <c r="BJ251" s="96">
        <v>9.02</v>
      </c>
    </row>
    <row r="252" spans="1:62" ht="13.8" x14ac:dyDescent="0.25">
      <c r="A252" s="239"/>
      <c r="BB252" s="187">
        <v>42466</v>
      </c>
      <c r="BC252" s="180">
        <v>-0.13200000000000001</v>
      </c>
      <c r="BD252" s="191">
        <v>42466</v>
      </c>
      <c r="BE252" s="192">
        <v>0.13700000000000001</v>
      </c>
      <c r="BH252" s="94">
        <v>42443</v>
      </c>
      <c r="BI252" s="95">
        <v>0.16500000000000001</v>
      </c>
      <c r="BJ252" s="96">
        <v>9.01</v>
      </c>
    </row>
    <row r="253" spans="1:62" ht="13.8" x14ac:dyDescent="0.25">
      <c r="A253" s="239"/>
      <c r="BB253" s="187">
        <v>42467</v>
      </c>
      <c r="BC253" s="180">
        <v>-0.13400000000000001</v>
      </c>
      <c r="BD253" s="191">
        <v>42467</v>
      </c>
      <c r="BE253" s="192">
        <v>0.13500000000000001</v>
      </c>
      <c r="BH253" s="94">
        <v>42444</v>
      </c>
      <c r="BI253" s="95">
        <v>0.16400000000000001</v>
      </c>
      <c r="BJ253" s="96">
        <v>9</v>
      </c>
    </row>
    <row r="254" spans="1:62" ht="13.8" x14ac:dyDescent="0.25">
      <c r="A254" s="239"/>
      <c r="BB254" s="187">
        <v>42468</v>
      </c>
      <c r="BC254" s="180">
        <v>-0.13400000000000001</v>
      </c>
      <c r="BD254" s="191">
        <v>42468</v>
      </c>
      <c r="BE254" s="192">
        <v>0.129</v>
      </c>
      <c r="BH254" s="94">
        <v>42445</v>
      </c>
      <c r="BI254" s="95">
        <v>0.16300000000000001</v>
      </c>
      <c r="BJ254" s="96">
        <v>9</v>
      </c>
    </row>
    <row r="255" spans="1:62" ht="13.8" x14ac:dyDescent="0.25">
      <c r="A255" s="239"/>
      <c r="BB255" s="187">
        <v>42471</v>
      </c>
      <c r="BC255" s="180">
        <v>-0.13300000000000001</v>
      </c>
      <c r="BD255" s="191">
        <v>42471</v>
      </c>
      <c r="BE255" s="192">
        <v>0.122</v>
      </c>
      <c r="BH255" s="94">
        <v>42446</v>
      </c>
      <c r="BI255" s="95">
        <v>0.161</v>
      </c>
      <c r="BJ255" s="96">
        <v>9</v>
      </c>
    </row>
    <row r="256" spans="1:62" ht="13.8" x14ac:dyDescent="0.25">
      <c r="A256" s="239"/>
      <c r="BB256" s="187">
        <v>42472</v>
      </c>
      <c r="BC256" s="180">
        <v>-0.13600000000000001</v>
      </c>
      <c r="BD256" s="191">
        <v>42472</v>
      </c>
      <c r="BE256" s="192">
        <v>0.11700000000000001</v>
      </c>
      <c r="BH256" s="94">
        <v>42447</v>
      </c>
      <c r="BI256" s="95">
        <v>0.159</v>
      </c>
      <c r="BJ256" s="96">
        <v>9</v>
      </c>
    </row>
    <row r="257" spans="1:62" ht="13.8" x14ac:dyDescent="0.25">
      <c r="A257" s="239"/>
      <c r="BB257" s="187">
        <v>42473</v>
      </c>
      <c r="BC257" s="180">
        <v>-0.13800000000000001</v>
      </c>
      <c r="BD257" s="191">
        <v>42473</v>
      </c>
      <c r="BE257" s="192">
        <v>0.111</v>
      </c>
      <c r="BH257" s="94">
        <v>42450</v>
      </c>
      <c r="BI257" s="95">
        <v>0.158</v>
      </c>
      <c r="BJ257" s="96">
        <v>8.99</v>
      </c>
    </row>
    <row r="258" spans="1:62" ht="13.8" x14ac:dyDescent="0.25">
      <c r="A258" s="239"/>
      <c r="BB258" s="187">
        <v>42474</v>
      </c>
      <c r="BC258" s="180">
        <v>-0.13800000000000001</v>
      </c>
      <c r="BD258" s="191">
        <v>42474</v>
      </c>
      <c r="BE258" s="192">
        <v>0.105</v>
      </c>
      <c r="BH258" s="94">
        <v>42451</v>
      </c>
      <c r="BI258" s="95">
        <v>0.156</v>
      </c>
      <c r="BJ258" s="96">
        <v>8.99</v>
      </c>
    </row>
    <row r="259" spans="1:62" ht="13.8" x14ac:dyDescent="0.25">
      <c r="A259" s="239"/>
      <c r="BB259" s="187">
        <v>42475</v>
      </c>
      <c r="BC259" s="180">
        <v>-0.14000000000000001</v>
      </c>
      <c r="BD259" s="191">
        <v>42475</v>
      </c>
      <c r="BE259" s="192">
        <v>0.10100000000000001</v>
      </c>
      <c r="BH259" s="94">
        <v>42452</v>
      </c>
      <c r="BI259" s="95">
        <v>0.157</v>
      </c>
      <c r="BJ259" s="96">
        <v>8.98</v>
      </c>
    </row>
    <row r="260" spans="1:62" ht="13.8" x14ac:dyDescent="0.25">
      <c r="A260" s="239"/>
      <c r="BB260" s="187">
        <v>42478</v>
      </c>
      <c r="BC260" s="180">
        <v>-0.13900000000000001</v>
      </c>
      <c r="BD260" s="191">
        <v>42478</v>
      </c>
      <c r="BE260" s="192">
        <v>9.7000000000000003E-2</v>
      </c>
      <c r="BH260" s="94">
        <v>42453</v>
      </c>
      <c r="BI260" s="95">
        <v>0.157</v>
      </c>
      <c r="BJ260" s="96">
        <v>8.98</v>
      </c>
    </row>
    <row r="261" spans="1:62" ht="13.8" x14ac:dyDescent="0.25">
      <c r="A261" s="239"/>
      <c r="BB261" s="187">
        <v>42479</v>
      </c>
      <c r="BC261" s="180">
        <v>-0.13900000000000001</v>
      </c>
      <c r="BD261" s="191">
        <v>42479</v>
      </c>
      <c r="BE261" s="192">
        <v>9.6000000000000002E-2</v>
      </c>
      <c r="BH261" s="94">
        <v>42454</v>
      </c>
      <c r="BI261" s="95">
        <v>0.158</v>
      </c>
      <c r="BJ261" s="96">
        <v>8.98</v>
      </c>
    </row>
    <row r="262" spans="1:62" ht="13.8" x14ac:dyDescent="0.25">
      <c r="A262" s="239"/>
      <c r="BB262" s="187">
        <v>42480</v>
      </c>
      <c r="BC262" s="180">
        <v>-0.14099999999999999</v>
      </c>
      <c r="BD262" s="191">
        <v>42480</v>
      </c>
      <c r="BE262" s="192">
        <v>9.2999999999999999E-2</v>
      </c>
      <c r="BH262" s="94">
        <v>42458</v>
      </c>
      <c r="BI262" s="95">
        <v>0.158</v>
      </c>
      <c r="BJ262" s="96">
        <v>8.9700000000000006</v>
      </c>
    </row>
    <row r="263" spans="1:62" ht="13.8" x14ac:dyDescent="0.25">
      <c r="A263" s="239"/>
      <c r="BB263" s="187">
        <v>42481</v>
      </c>
      <c r="BC263" s="180">
        <v>-0.14299999999999999</v>
      </c>
      <c r="BD263" s="191">
        <v>42481</v>
      </c>
      <c r="BE263" s="192">
        <v>9.0999999999999998E-2</v>
      </c>
      <c r="BH263" s="94">
        <v>42459</v>
      </c>
      <c r="BI263" s="95">
        <v>0.157</v>
      </c>
      <c r="BJ263" s="96">
        <v>8.9600000000000009</v>
      </c>
    </row>
    <row r="264" spans="1:62" ht="13.8" x14ac:dyDescent="0.25">
      <c r="A264" s="239"/>
      <c r="BB264" s="187">
        <v>42482</v>
      </c>
      <c r="BC264" s="180">
        <v>-0.14299999999999999</v>
      </c>
      <c r="BD264" s="191">
        <v>42482</v>
      </c>
      <c r="BE264" s="192">
        <v>9.1999999999999998E-2</v>
      </c>
      <c r="BH264" s="94">
        <v>42460</v>
      </c>
      <c r="BI264" s="95">
        <v>0.154</v>
      </c>
      <c r="BJ264" s="96">
        <v>8.9600000000000009</v>
      </c>
    </row>
    <row r="265" spans="1:62" ht="13.8" x14ac:dyDescent="0.25">
      <c r="A265" s="239"/>
      <c r="BB265" s="187">
        <v>42485</v>
      </c>
      <c r="BC265" s="180">
        <v>-0.14399999999999999</v>
      </c>
      <c r="BD265" s="191">
        <v>42485</v>
      </c>
      <c r="BE265" s="192">
        <v>9.4E-2</v>
      </c>
      <c r="BH265" s="94">
        <v>42461</v>
      </c>
      <c r="BI265" s="95">
        <v>0.151</v>
      </c>
      <c r="BJ265" s="96">
        <v>8.9600000000000009</v>
      </c>
    </row>
    <row r="266" spans="1:62" ht="13.8" x14ac:dyDescent="0.25">
      <c r="A266" s="239"/>
      <c r="BB266" s="187">
        <v>42486</v>
      </c>
      <c r="BC266" s="180">
        <v>-0.14299999999999999</v>
      </c>
      <c r="BD266" s="191">
        <v>42486</v>
      </c>
      <c r="BE266" s="192">
        <v>9.7000000000000003E-2</v>
      </c>
      <c r="BH266" s="94">
        <v>42464</v>
      </c>
      <c r="BI266" s="95">
        <v>0.14599999999999999</v>
      </c>
      <c r="BJ266" s="96">
        <v>8.9499999999999993</v>
      </c>
    </row>
    <row r="267" spans="1:62" ht="13.8" x14ac:dyDescent="0.25">
      <c r="A267" s="239"/>
      <c r="BB267" s="187">
        <v>42487</v>
      </c>
      <c r="BC267" s="180">
        <v>-0.14199999999999999</v>
      </c>
      <c r="BD267" s="191">
        <v>42487</v>
      </c>
      <c r="BE267" s="192">
        <v>0.10100000000000001</v>
      </c>
      <c r="BH267" s="94">
        <v>42465</v>
      </c>
      <c r="BI267" s="95">
        <v>0.14000000000000001</v>
      </c>
      <c r="BJ267" s="96">
        <v>8.9499999999999993</v>
      </c>
    </row>
    <row r="268" spans="1:62" ht="13.8" x14ac:dyDescent="0.25">
      <c r="A268" s="239"/>
      <c r="BB268" s="187">
        <v>42488</v>
      </c>
      <c r="BC268" s="180">
        <v>-0.14199999999999999</v>
      </c>
      <c r="BD268" s="191">
        <v>42488</v>
      </c>
      <c r="BE268" s="192">
        <v>0.10299999999999999</v>
      </c>
      <c r="BH268" s="94">
        <v>42466</v>
      </c>
      <c r="BI268" s="95">
        <v>0.13700000000000001</v>
      </c>
      <c r="BJ268" s="96">
        <v>8.94</v>
      </c>
    </row>
    <row r="269" spans="1:62" ht="13.8" x14ac:dyDescent="0.25">
      <c r="A269" s="239"/>
      <c r="BB269" s="187">
        <v>42489</v>
      </c>
      <c r="BC269" s="180">
        <v>-0.14099999999999999</v>
      </c>
      <c r="BD269" s="191">
        <v>42489</v>
      </c>
      <c r="BE269" s="192">
        <v>0.107</v>
      </c>
      <c r="BH269" s="94">
        <v>42467</v>
      </c>
      <c r="BI269" s="95">
        <v>0.13500000000000001</v>
      </c>
      <c r="BJ269" s="96">
        <v>9.01</v>
      </c>
    </row>
    <row r="270" spans="1:62" ht="13.8" x14ac:dyDescent="0.25">
      <c r="A270" s="239"/>
      <c r="BB270" s="187">
        <v>42492</v>
      </c>
      <c r="BC270" s="180">
        <v>-0.14099999999999999</v>
      </c>
      <c r="BD270" s="191">
        <v>42492</v>
      </c>
      <c r="BE270" s="192">
        <v>0.111</v>
      </c>
      <c r="BF270" s="111">
        <f>+(BC270+BE270)/2+0.37</f>
        <v>0.35499999999999998</v>
      </c>
      <c r="BH270" s="94">
        <v>42468</v>
      </c>
      <c r="BI270" s="95">
        <v>0.129</v>
      </c>
      <c r="BJ270" s="96">
        <v>9</v>
      </c>
    </row>
    <row r="271" spans="1:62" ht="13.8" x14ac:dyDescent="0.25">
      <c r="A271" s="239"/>
      <c r="BB271" s="187">
        <v>42493</v>
      </c>
      <c r="BC271" s="180">
        <v>-0.14199999999999999</v>
      </c>
      <c r="BD271" s="191">
        <v>42493</v>
      </c>
      <c r="BE271" s="192">
        <v>0.11600000000000001</v>
      </c>
      <c r="BH271" s="94">
        <v>42471</v>
      </c>
      <c r="BI271" s="95">
        <v>0.122</v>
      </c>
      <c r="BJ271" s="96">
        <v>9</v>
      </c>
    </row>
    <row r="272" spans="1:62" ht="13.8" x14ac:dyDescent="0.25">
      <c r="A272" s="239"/>
      <c r="BB272" s="187">
        <v>42494</v>
      </c>
      <c r="BC272" s="180">
        <v>-0.14199999999999999</v>
      </c>
      <c r="BD272" s="191">
        <v>42494</v>
      </c>
      <c r="BE272" s="192">
        <v>0.11899999999999999</v>
      </c>
      <c r="BH272" s="94">
        <v>42472</v>
      </c>
      <c r="BI272" s="95">
        <v>0.11700000000000001</v>
      </c>
      <c r="BJ272" s="96">
        <v>8.99</v>
      </c>
    </row>
    <row r="273" spans="1:62" ht="13.8" x14ac:dyDescent="0.25">
      <c r="A273" s="239"/>
      <c r="BB273" s="187">
        <v>42495</v>
      </c>
      <c r="BC273" s="180">
        <v>-0.14399999999999999</v>
      </c>
      <c r="BD273" s="191"/>
      <c r="BE273" s="193">
        <f>+BE272</f>
        <v>0.11899999999999999</v>
      </c>
      <c r="BH273" s="94">
        <v>42473</v>
      </c>
      <c r="BI273" s="95">
        <v>0.111</v>
      </c>
      <c r="BJ273" s="96">
        <v>8.99</v>
      </c>
    </row>
    <row r="274" spans="1:62" ht="13.8" x14ac:dyDescent="0.25">
      <c r="A274" s="239"/>
      <c r="BB274" s="187">
        <v>42496</v>
      </c>
      <c r="BC274" s="180">
        <v>-0.14399999999999999</v>
      </c>
      <c r="BD274" s="191">
        <v>42496</v>
      </c>
      <c r="BE274" s="192">
        <v>0.121</v>
      </c>
      <c r="BH274" s="94">
        <v>42474</v>
      </c>
      <c r="BI274" s="95">
        <v>0.105</v>
      </c>
      <c r="BJ274" s="96">
        <v>8.99</v>
      </c>
    </row>
    <row r="275" spans="1:62" ht="13.8" x14ac:dyDescent="0.25">
      <c r="A275" s="239"/>
      <c r="BB275" s="187">
        <v>42499</v>
      </c>
      <c r="BC275" s="180">
        <v>-0.14299999999999999</v>
      </c>
      <c r="BD275" s="191">
        <v>42499</v>
      </c>
      <c r="BE275" s="192">
        <v>0.123</v>
      </c>
      <c r="BH275" s="94">
        <v>42475</v>
      </c>
      <c r="BI275" s="95">
        <v>0.10100000000000001</v>
      </c>
      <c r="BJ275" s="96">
        <v>8.99</v>
      </c>
    </row>
    <row r="276" spans="1:62" ht="13.8" x14ac:dyDescent="0.25">
      <c r="A276" s="239"/>
      <c r="BB276" s="187">
        <v>42500</v>
      </c>
      <c r="BC276" s="180">
        <v>-0.14399999999999999</v>
      </c>
      <c r="BD276" s="191">
        <v>42500</v>
      </c>
      <c r="BE276" s="192">
        <v>0.124</v>
      </c>
      <c r="BH276" s="94">
        <v>42478</v>
      </c>
      <c r="BI276" s="95">
        <v>9.7000000000000003E-2</v>
      </c>
      <c r="BJ276" s="96">
        <v>8.98</v>
      </c>
    </row>
    <row r="277" spans="1:62" ht="13.8" x14ac:dyDescent="0.25">
      <c r="A277" s="239"/>
      <c r="BB277" s="187">
        <v>42501</v>
      </c>
      <c r="BC277" s="180">
        <v>-0.14399999999999999</v>
      </c>
      <c r="BD277" s="191">
        <v>42501</v>
      </c>
      <c r="BE277" s="192">
        <v>0.123</v>
      </c>
      <c r="BH277" s="94">
        <v>42479</v>
      </c>
      <c r="BI277" s="95">
        <v>9.6000000000000002E-2</v>
      </c>
      <c r="BJ277" s="96">
        <v>8.9700000000000006</v>
      </c>
    </row>
    <row r="278" spans="1:62" ht="13.8" x14ac:dyDescent="0.25">
      <c r="A278" s="239"/>
      <c r="BB278" s="187">
        <v>42502</v>
      </c>
      <c r="BC278" s="180">
        <v>-0.14399999999999999</v>
      </c>
      <c r="BD278" s="191">
        <v>42502</v>
      </c>
      <c r="BE278" s="192">
        <v>0.127</v>
      </c>
      <c r="BH278" s="94">
        <v>42480</v>
      </c>
      <c r="BI278" s="95">
        <v>9.2999999999999999E-2</v>
      </c>
      <c r="BJ278" s="96">
        <v>8.9700000000000006</v>
      </c>
    </row>
    <row r="279" spans="1:62" ht="13.8" x14ac:dyDescent="0.25">
      <c r="A279" s="239"/>
      <c r="BB279" s="187">
        <v>42503</v>
      </c>
      <c r="BC279" s="180">
        <v>-0.14399999999999999</v>
      </c>
      <c r="BD279" s="191">
        <v>42503</v>
      </c>
      <c r="BE279" s="192">
        <v>0.126</v>
      </c>
      <c r="BH279" s="94">
        <v>42481</v>
      </c>
      <c r="BI279" s="95">
        <v>9.0999999999999998E-2</v>
      </c>
      <c r="BJ279" s="96">
        <v>8.9700000000000006</v>
      </c>
    </row>
    <row r="280" spans="1:62" ht="13.8" x14ac:dyDescent="0.25">
      <c r="A280" s="239"/>
      <c r="BB280" s="187">
        <v>42506</v>
      </c>
      <c r="BC280" s="180">
        <v>-0.14299999999999999</v>
      </c>
      <c r="BD280" s="191"/>
      <c r="BE280" s="193">
        <f>+BE279</f>
        <v>0.126</v>
      </c>
      <c r="BH280" s="94">
        <v>42482</v>
      </c>
      <c r="BI280" s="95">
        <v>9.1999999999999998E-2</v>
      </c>
      <c r="BJ280" s="96">
        <v>8.9700000000000006</v>
      </c>
    </row>
    <row r="281" spans="1:62" ht="13.8" x14ac:dyDescent="0.25">
      <c r="A281" s="239"/>
      <c r="BB281" s="187">
        <v>42507</v>
      </c>
      <c r="BC281" s="180">
        <v>-0.14299999999999999</v>
      </c>
      <c r="BD281" s="191">
        <v>42507</v>
      </c>
      <c r="BE281" s="192">
        <v>0.126</v>
      </c>
      <c r="BH281" s="94">
        <v>42485</v>
      </c>
      <c r="BI281" s="95">
        <v>9.4E-2</v>
      </c>
      <c r="BJ281" s="96">
        <v>8.9600000000000009</v>
      </c>
    </row>
    <row r="282" spans="1:62" ht="13.8" x14ac:dyDescent="0.25">
      <c r="A282" s="239"/>
      <c r="BB282" s="187">
        <v>42508</v>
      </c>
      <c r="BC282" s="180">
        <v>-0.14399999999999999</v>
      </c>
      <c r="BD282" s="191">
        <v>42508</v>
      </c>
      <c r="BE282" s="192">
        <v>0.127</v>
      </c>
      <c r="BH282" s="94">
        <v>42486</v>
      </c>
      <c r="BI282" s="95">
        <v>9.7000000000000003E-2</v>
      </c>
      <c r="BJ282" s="96">
        <v>8.9600000000000009</v>
      </c>
    </row>
    <row r="283" spans="1:62" ht="13.8" x14ac:dyDescent="0.25">
      <c r="A283" s="239"/>
      <c r="BB283" s="187">
        <v>42509</v>
      </c>
      <c r="BC283" s="180">
        <v>-0.14299999999999999</v>
      </c>
      <c r="BD283" s="191">
        <v>42509</v>
      </c>
      <c r="BE283" s="192">
        <v>0.127</v>
      </c>
      <c r="BH283" s="94">
        <v>42487</v>
      </c>
      <c r="BI283" s="95">
        <v>0.10100000000000001</v>
      </c>
      <c r="BJ283" s="96">
        <v>8.9499999999999993</v>
      </c>
    </row>
    <row r="284" spans="1:62" ht="13.8" x14ac:dyDescent="0.25">
      <c r="A284" s="239"/>
      <c r="BB284" s="187">
        <v>42510</v>
      </c>
      <c r="BC284" s="180">
        <v>-0.14299999999999999</v>
      </c>
      <c r="BD284" s="191">
        <v>42510</v>
      </c>
      <c r="BE284" s="192">
        <v>0.128</v>
      </c>
      <c r="BH284" s="94">
        <v>42488</v>
      </c>
      <c r="BI284" s="95">
        <v>0.10299999999999999</v>
      </c>
      <c r="BJ284" s="96">
        <v>8.9499999999999993</v>
      </c>
    </row>
    <row r="285" spans="1:62" ht="13.8" x14ac:dyDescent="0.25">
      <c r="A285" s="239"/>
      <c r="BB285" s="187">
        <v>42513</v>
      </c>
      <c r="BC285" s="180">
        <v>-0.14399999999999999</v>
      </c>
      <c r="BD285" s="191">
        <v>42513</v>
      </c>
      <c r="BE285" s="192">
        <v>0.127</v>
      </c>
      <c r="BH285" s="94">
        <v>42489</v>
      </c>
      <c r="BI285" s="95">
        <v>0.107</v>
      </c>
      <c r="BJ285" s="96">
        <v>8.9499999999999993</v>
      </c>
    </row>
    <row r="286" spans="1:62" ht="13.8" x14ac:dyDescent="0.25">
      <c r="A286" s="239"/>
      <c r="BB286" s="187">
        <v>42514</v>
      </c>
      <c r="BC286" s="180">
        <v>-0.14399999999999999</v>
      </c>
      <c r="BD286" s="191">
        <v>42514</v>
      </c>
      <c r="BE286" s="192">
        <v>0.125</v>
      </c>
      <c r="BH286" s="94">
        <v>42492</v>
      </c>
      <c r="BI286" s="95">
        <v>0.111</v>
      </c>
      <c r="BJ286" s="96">
        <v>8.94</v>
      </c>
    </row>
    <row r="287" spans="1:62" ht="13.8" x14ac:dyDescent="0.25">
      <c r="A287" s="239"/>
      <c r="BB287" s="187">
        <v>42515</v>
      </c>
      <c r="BC287" s="180">
        <v>-0.14399999999999999</v>
      </c>
      <c r="BD287" s="191">
        <v>42515</v>
      </c>
      <c r="BE287" s="192">
        <v>0.123</v>
      </c>
      <c r="BH287" s="94">
        <v>42493</v>
      </c>
      <c r="BI287" s="95">
        <v>0.11600000000000001</v>
      </c>
      <c r="BJ287" s="96">
        <v>8.94</v>
      </c>
    </row>
    <row r="288" spans="1:62" ht="13.8" x14ac:dyDescent="0.25">
      <c r="A288" s="239"/>
      <c r="BB288" s="187">
        <v>42516</v>
      </c>
      <c r="BC288" s="180">
        <v>-0.14599999999999999</v>
      </c>
      <c r="BD288" s="191">
        <v>42517</v>
      </c>
      <c r="BE288" s="192">
        <v>0.11799999999999999</v>
      </c>
      <c r="BH288" s="94">
        <v>42494</v>
      </c>
      <c r="BI288" s="95">
        <v>0.11899999999999999</v>
      </c>
      <c r="BJ288" s="96">
        <v>8.93</v>
      </c>
    </row>
    <row r="289" spans="1:62" ht="13.8" x14ac:dyDescent="0.25">
      <c r="A289" s="239"/>
      <c r="BB289" s="187">
        <v>42517</v>
      </c>
      <c r="BC289" s="180">
        <v>-0.14899999999999999</v>
      </c>
      <c r="BD289" s="191">
        <v>42520</v>
      </c>
      <c r="BE289" s="192">
        <v>0.113</v>
      </c>
      <c r="BH289" s="94">
        <v>42496</v>
      </c>
      <c r="BI289" s="95">
        <v>0.121</v>
      </c>
      <c r="BJ289" s="96">
        <v>8.93</v>
      </c>
    </row>
    <row r="290" spans="1:62" ht="13.8" x14ac:dyDescent="0.25">
      <c r="A290" s="239"/>
      <c r="BB290" s="187">
        <v>42520</v>
      </c>
      <c r="BC290" s="180">
        <v>-0.151</v>
      </c>
      <c r="BD290" s="191">
        <v>42521</v>
      </c>
      <c r="BE290" s="192">
        <v>0.11</v>
      </c>
      <c r="BH290" s="94">
        <v>42499</v>
      </c>
      <c r="BI290" s="95">
        <v>0.123</v>
      </c>
      <c r="BJ290" s="96">
        <v>8.92</v>
      </c>
    </row>
    <row r="291" spans="1:62" ht="13.8" x14ac:dyDescent="0.25">
      <c r="A291" s="239"/>
      <c r="BB291" s="187">
        <v>42521</v>
      </c>
      <c r="BC291" s="180">
        <v>-0.153</v>
      </c>
      <c r="BD291" s="191">
        <v>42522</v>
      </c>
      <c r="BE291" s="192">
        <v>0.10299999999999999</v>
      </c>
      <c r="BH291" s="94">
        <v>42500</v>
      </c>
      <c r="BI291" s="95">
        <v>0.124</v>
      </c>
      <c r="BJ291" s="96">
        <v>8.92</v>
      </c>
    </row>
    <row r="292" spans="1:62" ht="13.8" x14ac:dyDescent="0.25">
      <c r="A292" s="239"/>
      <c r="BB292" s="187">
        <v>42522</v>
      </c>
      <c r="BC292" s="180">
        <v>-0.153</v>
      </c>
      <c r="BD292" s="191"/>
      <c r="BE292" s="193">
        <f>+BE291</f>
        <v>0.10299999999999999</v>
      </c>
      <c r="BH292" s="94">
        <v>42501</v>
      </c>
      <c r="BI292" s="95">
        <v>0.123</v>
      </c>
      <c r="BJ292" s="96">
        <v>8.91</v>
      </c>
    </row>
    <row r="293" spans="1:62" ht="13.8" x14ac:dyDescent="0.25">
      <c r="A293" s="239"/>
      <c r="BB293" s="187">
        <v>42523</v>
      </c>
      <c r="BC293" s="180">
        <v>-0.153</v>
      </c>
      <c r="BD293" s="191">
        <v>42523</v>
      </c>
      <c r="BE293" s="192">
        <v>9.7000000000000003E-2</v>
      </c>
      <c r="BH293" s="94">
        <v>42502</v>
      </c>
      <c r="BI293" s="95">
        <v>0.127</v>
      </c>
      <c r="BJ293" s="96">
        <v>8.94</v>
      </c>
    </row>
    <row r="294" spans="1:62" ht="13.8" x14ac:dyDescent="0.25">
      <c r="A294" s="239"/>
      <c r="BB294" s="187">
        <v>42524</v>
      </c>
      <c r="BC294" s="180">
        <v>-0.154</v>
      </c>
      <c r="BD294" s="191">
        <v>42524</v>
      </c>
      <c r="BE294" s="192">
        <v>9.1999999999999998E-2</v>
      </c>
      <c r="BH294" s="94">
        <v>42503</v>
      </c>
      <c r="BI294" s="95">
        <v>0.126</v>
      </c>
      <c r="BJ294" s="96">
        <v>8.94</v>
      </c>
    </row>
    <row r="295" spans="1:62" ht="13.8" x14ac:dyDescent="0.25">
      <c r="A295" s="239"/>
      <c r="BB295" s="187">
        <v>42527</v>
      </c>
      <c r="BC295" s="180">
        <v>-0.157</v>
      </c>
      <c r="BD295" s="191">
        <v>42527</v>
      </c>
      <c r="BE295" s="192">
        <v>8.5999999999999993E-2</v>
      </c>
      <c r="BH295" s="94">
        <v>42507</v>
      </c>
      <c r="BI295" s="95">
        <v>0.126</v>
      </c>
      <c r="BJ295" s="96">
        <v>8.93</v>
      </c>
    </row>
    <row r="296" spans="1:62" ht="13.8" x14ac:dyDescent="0.25">
      <c r="A296" s="239"/>
      <c r="BB296" s="187">
        <v>42528</v>
      </c>
      <c r="BC296" s="180">
        <v>-0.159</v>
      </c>
      <c r="BD296" s="191">
        <v>42528</v>
      </c>
      <c r="BE296" s="192">
        <v>8.2000000000000003E-2</v>
      </c>
      <c r="BH296" s="94">
        <v>42508</v>
      </c>
      <c r="BI296" s="95">
        <v>0.127</v>
      </c>
      <c r="BJ296" s="96">
        <v>8.93</v>
      </c>
    </row>
    <row r="297" spans="1:62" ht="13.8" x14ac:dyDescent="0.25">
      <c r="A297" s="239"/>
      <c r="BB297" s="187">
        <v>42529</v>
      </c>
      <c r="BC297" s="180">
        <v>-0.16</v>
      </c>
      <c r="BD297" s="191">
        <v>42529</v>
      </c>
      <c r="BE297" s="192">
        <v>7.8E-2</v>
      </c>
      <c r="BH297" s="94">
        <v>42509</v>
      </c>
      <c r="BI297" s="95">
        <v>0.127</v>
      </c>
      <c r="BJ297" s="96">
        <v>8.93</v>
      </c>
    </row>
    <row r="298" spans="1:62" ht="13.8" x14ac:dyDescent="0.25">
      <c r="A298" s="239"/>
      <c r="BB298" s="187">
        <v>42530</v>
      </c>
      <c r="BC298" s="180">
        <v>-0.159</v>
      </c>
      <c r="BD298" s="191">
        <v>42530</v>
      </c>
      <c r="BE298" s="192">
        <v>7.4999999999999997E-2</v>
      </c>
      <c r="BH298" s="94">
        <v>42510</v>
      </c>
      <c r="BI298" s="95">
        <v>0.128</v>
      </c>
      <c r="BJ298" s="96">
        <v>8.92</v>
      </c>
    </row>
    <row r="299" spans="1:62" ht="13.8" x14ac:dyDescent="0.25">
      <c r="A299" s="239"/>
      <c r="BB299" s="187">
        <v>42531</v>
      </c>
      <c r="BC299" s="180">
        <v>-0.159</v>
      </c>
      <c r="BD299" s="191">
        <v>42531</v>
      </c>
      <c r="BE299" s="192">
        <v>7.0000000000000007E-2</v>
      </c>
      <c r="BH299" s="94">
        <v>42513</v>
      </c>
      <c r="BI299" s="95">
        <v>0.127</v>
      </c>
      <c r="BJ299" s="96">
        <v>8.91</v>
      </c>
    </row>
    <row r="300" spans="1:62" ht="13.8" x14ac:dyDescent="0.25">
      <c r="A300" s="239"/>
      <c r="BB300" s="187">
        <v>42534</v>
      </c>
      <c r="BC300" s="180">
        <v>-0.158</v>
      </c>
      <c r="BD300" s="191">
        <v>42534</v>
      </c>
      <c r="BE300" s="192">
        <v>6.5000000000000002E-2</v>
      </c>
      <c r="BH300" s="94">
        <v>42514</v>
      </c>
      <c r="BI300" s="95">
        <v>0.125</v>
      </c>
      <c r="BJ300" s="96">
        <v>8.91</v>
      </c>
    </row>
    <row r="301" spans="1:62" ht="13.8" x14ac:dyDescent="0.25">
      <c r="A301" s="239"/>
      <c r="BB301" s="187">
        <v>42535</v>
      </c>
      <c r="BC301" s="180">
        <v>-0.159</v>
      </c>
      <c r="BD301" s="191">
        <v>42535</v>
      </c>
      <c r="BE301" s="192">
        <v>0.06</v>
      </c>
      <c r="BH301" s="94">
        <v>42515</v>
      </c>
      <c r="BI301" s="95">
        <v>0.123</v>
      </c>
      <c r="BJ301" s="96">
        <v>8.91</v>
      </c>
    </row>
    <row r="302" spans="1:62" ht="13.8" x14ac:dyDescent="0.25">
      <c r="A302" s="239"/>
      <c r="BB302" s="187">
        <v>42536</v>
      </c>
      <c r="BC302" s="180">
        <v>-0.159</v>
      </c>
      <c r="BD302" s="191">
        <v>42536</v>
      </c>
      <c r="BE302" s="192">
        <v>5.5E-2</v>
      </c>
      <c r="BH302" s="94">
        <v>42517</v>
      </c>
      <c r="BI302" s="95">
        <v>0.11799999999999999</v>
      </c>
      <c r="BJ302" s="96">
        <v>8.9</v>
      </c>
    </row>
    <row r="303" spans="1:62" ht="13.8" x14ac:dyDescent="0.25">
      <c r="A303" s="239"/>
      <c r="BB303" s="187">
        <v>42537</v>
      </c>
      <c r="BC303" s="180">
        <v>-0.16</v>
      </c>
      <c r="BD303" s="191">
        <v>42537</v>
      </c>
      <c r="BE303" s="192">
        <v>0.05</v>
      </c>
      <c r="BH303" s="94">
        <v>42520</v>
      </c>
      <c r="BI303" s="95">
        <v>0.113</v>
      </c>
      <c r="BJ303" s="96">
        <v>8.89</v>
      </c>
    </row>
    <row r="304" spans="1:62" ht="13.8" x14ac:dyDescent="0.25">
      <c r="A304" s="239"/>
      <c r="BB304" s="187">
        <v>42538</v>
      </c>
      <c r="BC304" s="180">
        <v>-0.159</v>
      </c>
      <c r="BD304" s="191">
        <v>42538</v>
      </c>
      <c r="BE304" s="192">
        <v>4.3999999999999997E-2</v>
      </c>
      <c r="BH304" s="94">
        <v>42521</v>
      </c>
      <c r="BI304" s="95">
        <v>0.11</v>
      </c>
      <c r="BJ304" s="96">
        <v>8.89</v>
      </c>
    </row>
    <row r="305" spans="1:62" ht="13.8" x14ac:dyDescent="0.25">
      <c r="A305" s="239"/>
      <c r="BB305" s="187">
        <v>42541</v>
      </c>
      <c r="BC305" s="180">
        <v>-0.159</v>
      </c>
      <c r="BD305" s="191">
        <v>42541</v>
      </c>
      <c r="BE305" s="192">
        <v>3.9E-2</v>
      </c>
      <c r="BH305" s="94">
        <v>42522</v>
      </c>
      <c r="BI305" s="95">
        <v>0.10299999999999999</v>
      </c>
      <c r="BJ305" s="96">
        <v>8.89</v>
      </c>
    </row>
    <row r="306" spans="1:62" ht="13.8" x14ac:dyDescent="0.25">
      <c r="A306" s="239"/>
      <c r="BB306" s="187">
        <v>42542</v>
      </c>
      <c r="BC306" s="180">
        <v>-0.159</v>
      </c>
      <c r="BD306" s="191">
        <v>42542</v>
      </c>
      <c r="BE306" s="192">
        <v>3.5000000000000003E-2</v>
      </c>
      <c r="BH306" s="94">
        <v>42523</v>
      </c>
      <c r="BI306" s="95">
        <v>9.7000000000000003E-2</v>
      </c>
      <c r="BJ306" s="96">
        <v>8.89</v>
      </c>
    </row>
    <row r="307" spans="1:62" ht="13.8" x14ac:dyDescent="0.25">
      <c r="A307" s="239"/>
      <c r="BB307" s="187">
        <v>42543</v>
      </c>
      <c r="BC307" s="180">
        <v>-0.161</v>
      </c>
      <c r="BD307" s="191">
        <v>42543</v>
      </c>
      <c r="BE307" s="192">
        <v>0.03</v>
      </c>
      <c r="BH307" s="94">
        <v>42524</v>
      </c>
      <c r="BI307" s="95">
        <v>9.1999999999999998E-2</v>
      </c>
      <c r="BJ307" s="96">
        <v>8.8800000000000008</v>
      </c>
    </row>
    <row r="308" spans="1:62" ht="13.8" x14ac:dyDescent="0.25">
      <c r="A308" s="239"/>
      <c r="BB308" s="187">
        <v>42544</v>
      </c>
      <c r="BC308" s="180">
        <v>-0.161</v>
      </c>
      <c r="BD308" s="191">
        <v>42544</v>
      </c>
      <c r="BE308" s="192">
        <v>2.7E-2</v>
      </c>
      <c r="BH308" s="94">
        <v>42527</v>
      </c>
      <c r="BI308" s="95">
        <v>8.5999999999999993E-2</v>
      </c>
      <c r="BJ308" s="96">
        <v>8.8800000000000008</v>
      </c>
    </row>
    <row r="309" spans="1:62" ht="13.8" x14ac:dyDescent="0.25">
      <c r="A309" s="239"/>
      <c r="BB309" s="187">
        <v>42545</v>
      </c>
      <c r="BC309" s="180">
        <v>-0.17499999999999999</v>
      </c>
      <c r="BD309" s="191">
        <v>42545</v>
      </c>
      <c r="BE309" s="192">
        <v>2.1000000000000001E-2</v>
      </c>
      <c r="BH309" s="94">
        <v>42528</v>
      </c>
      <c r="BI309" s="95">
        <v>8.2000000000000003E-2</v>
      </c>
      <c r="BJ309" s="96">
        <v>8.8699999999999992</v>
      </c>
    </row>
    <row r="310" spans="1:62" ht="13.8" x14ac:dyDescent="0.25">
      <c r="A310" s="239"/>
      <c r="BB310" s="187">
        <v>42548</v>
      </c>
      <c r="BC310" s="180">
        <v>-0.17599999999999999</v>
      </c>
      <c r="BD310" s="191">
        <v>42548</v>
      </c>
      <c r="BE310" s="192">
        <v>1.2E-2</v>
      </c>
      <c r="BH310" s="94">
        <v>42529</v>
      </c>
      <c r="BI310" s="95">
        <v>7.8E-2</v>
      </c>
      <c r="BJ310" s="96">
        <v>8.8699999999999992</v>
      </c>
    </row>
    <row r="311" spans="1:62" ht="13.8" x14ac:dyDescent="0.25">
      <c r="A311" s="239"/>
      <c r="BB311" s="187">
        <v>42549</v>
      </c>
      <c r="BC311" s="180">
        <v>-0.17599999999999999</v>
      </c>
      <c r="BD311" s="191">
        <v>42549</v>
      </c>
      <c r="BE311" s="192">
        <v>3.0000000000000001E-3</v>
      </c>
      <c r="BH311" s="94">
        <v>42530</v>
      </c>
      <c r="BI311" s="95">
        <v>7.4999999999999997E-2</v>
      </c>
      <c r="BJ311" s="96">
        <v>8.8699999999999992</v>
      </c>
    </row>
    <row r="312" spans="1:62" ht="13.8" x14ac:dyDescent="0.25">
      <c r="A312" s="239"/>
      <c r="BB312" s="187">
        <v>42550</v>
      </c>
      <c r="BC312" s="180">
        <v>-0.17799999999999999</v>
      </c>
      <c r="BD312" s="191">
        <v>42550</v>
      </c>
      <c r="BE312" s="192" t="s">
        <v>57</v>
      </c>
      <c r="BH312" s="94">
        <v>42531</v>
      </c>
      <c r="BI312" s="95">
        <v>7.0000000000000007E-2</v>
      </c>
      <c r="BJ312" s="96">
        <v>8.8699999999999992</v>
      </c>
    </row>
    <row r="313" spans="1:62" ht="13.8" x14ac:dyDescent="0.25">
      <c r="A313" s="239"/>
      <c r="BB313" s="187">
        <v>42551</v>
      </c>
      <c r="BC313" s="180">
        <v>-0.17899999999999999</v>
      </c>
      <c r="BD313" s="191">
        <v>42551</v>
      </c>
      <c r="BE313" s="192" t="s">
        <v>58</v>
      </c>
      <c r="BH313" s="94">
        <v>42534</v>
      </c>
      <c r="BI313" s="95">
        <v>6.5000000000000002E-2</v>
      </c>
      <c r="BJ313" s="96">
        <v>8.86</v>
      </c>
    </row>
    <row r="314" spans="1:62" ht="13.8" x14ac:dyDescent="0.25">
      <c r="A314" s="239"/>
      <c r="BB314" s="187">
        <v>42552</v>
      </c>
      <c r="BC314" s="180">
        <v>-0.182</v>
      </c>
      <c r="BD314" s="191">
        <v>42552</v>
      </c>
      <c r="BE314" s="192" t="s">
        <v>59</v>
      </c>
      <c r="BH314" s="94">
        <v>42535</v>
      </c>
      <c r="BI314" s="95">
        <v>0.06</v>
      </c>
      <c r="BJ314" s="96">
        <v>8.86</v>
      </c>
    </row>
    <row r="315" spans="1:62" ht="13.8" x14ac:dyDescent="0.25">
      <c r="A315" s="239"/>
      <c r="BB315" s="187">
        <v>42555</v>
      </c>
      <c r="BC315" s="180">
        <v>-0.185</v>
      </c>
      <c r="BD315" s="191">
        <v>42555</v>
      </c>
      <c r="BE315" s="192" t="s">
        <v>60</v>
      </c>
      <c r="BH315" s="94">
        <v>42536</v>
      </c>
      <c r="BI315" s="95">
        <v>5.5E-2</v>
      </c>
      <c r="BJ315" s="96">
        <v>8.85</v>
      </c>
    </row>
    <row r="316" spans="1:62" ht="13.8" x14ac:dyDescent="0.25">
      <c r="A316" s="239"/>
      <c r="BB316" s="187">
        <v>42556</v>
      </c>
      <c r="BC316" s="180">
        <v>-0.188</v>
      </c>
      <c r="BD316" s="191">
        <v>42556</v>
      </c>
      <c r="BE316" s="192" t="s">
        <v>61</v>
      </c>
      <c r="BH316" s="94">
        <v>42537</v>
      </c>
      <c r="BI316" s="95">
        <v>0.05</v>
      </c>
      <c r="BJ316" s="96">
        <v>8.85</v>
      </c>
    </row>
    <row r="317" spans="1:62" ht="13.8" x14ac:dyDescent="0.25">
      <c r="A317" s="239"/>
      <c r="BB317" s="187">
        <v>42557</v>
      </c>
      <c r="BC317" s="180">
        <v>-0.189</v>
      </c>
      <c r="BD317" s="191">
        <v>42557</v>
      </c>
      <c r="BE317" s="192" t="s">
        <v>62</v>
      </c>
      <c r="BH317" s="94">
        <v>42538</v>
      </c>
      <c r="BI317" s="95">
        <v>4.3999999999999997E-2</v>
      </c>
      <c r="BJ317" s="96">
        <v>8.85</v>
      </c>
    </row>
    <row r="318" spans="1:62" ht="13.8" x14ac:dyDescent="0.25">
      <c r="A318" s="239"/>
      <c r="BB318" s="187">
        <v>42558</v>
      </c>
      <c r="BC318" s="180">
        <v>-0.189</v>
      </c>
      <c r="BD318" s="191">
        <v>42558</v>
      </c>
      <c r="BE318" s="192" t="s">
        <v>63</v>
      </c>
      <c r="BH318" s="94">
        <v>42541</v>
      </c>
      <c r="BI318" s="95">
        <v>3.9E-2</v>
      </c>
      <c r="BJ318" s="96">
        <v>8.84</v>
      </c>
    </row>
    <row r="319" spans="1:62" ht="13.8" x14ac:dyDescent="0.25">
      <c r="A319" s="239"/>
      <c r="BB319" s="187">
        <v>42559</v>
      </c>
      <c r="BC319" s="180">
        <v>-0.19</v>
      </c>
      <c r="BD319" s="191">
        <v>42559</v>
      </c>
      <c r="BE319" s="192" t="s">
        <v>64</v>
      </c>
      <c r="BH319" s="94">
        <v>42542</v>
      </c>
      <c r="BI319" s="95">
        <v>3.5000000000000003E-2</v>
      </c>
      <c r="BJ319" s="96">
        <v>8.84</v>
      </c>
    </row>
    <row r="320" spans="1:62" ht="13.8" x14ac:dyDescent="0.25">
      <c r="A320" s="239"/>
      <c r="BB320" s="187">
        <v>42562</v>
      </c>
      <c r="BC320" s="180">
        <v>-0.19</v>
      </c>
      <c r="BD320" s="191">
        <v>42562</v>
      </c>
      <c r="BE320" s="192" t="s">
        <v>65</v>
      </c>
      <c r="BH320" s="94">
        <v>42543</v>
      </c>
      <c r="BI320" s="95">
        <v>0.03</v>
      </c>
      <c r="BJ320" s="96">
        <v>8.83</v>
      </c>
    </row>
    <row r="321" spans="1:62" ht="13.8" x14ac:dyDescent="0.25">
      <c r="A321" s="239"/>
      <c r="BB321" s="187">
        <v>42563</v>
      </c>
      <c r="BC321" s="180">
        <v>-0.191</v>
      </c>
      <c r="BD321" s="191">
        <v>42563</v>
      </c>
      <c r="BE321" s="192" t="s">
        <v>66</v>
      </c>
      <c r="BH321" s="94">
        <v>42544</v>
      </c>
      <c r="BI321" s="95">
        <v>2.7E-2</v>
      </c>
      <c r="BJ321" s="96">
        <v>8.83</v>
      </c>
    </row>
    <row r="322" spans="1:62" ht="13.8" x14ac:dyDescent="0.25">
      <c r="A322" s="239"/>
      <c r="BB322" s="187">
        <v>42564</v>
      </c>
      <c r="BC322" s="180">
        <v>-0.191</v>
      </c>
      <c r="BD322" s="191">
        <v>42564</v>
      </c>
      <c r="BE322" s="192" t="s">
        <v>67</v>
      </c>
      <c r="BH322" s="94">
        <v>42545</v>
      </c>
      <c r="BI322" s="95">
        <v>2.1000000000000001E-2</v>
      </c>
      <c r="BJ322" s="96">
        <v>8.83</v>
      </c>
    </row>
    <row r="323" spans="1:62" ht="13.8" x14ac:dyDescent="0.25">
      <c r="A323" s="239"/>
      <c r="BB323" s="187">
        <v>42565</v>
      </c>
      <c r="BC323" s="180">
        <v>-0.19</v>
      </c>
      <c r="BD323" s="191">
        <v>42565</v>
      </c>
      <c r="BE323" s="192" t="s">
        <v>68</v>
      </c>
      <c r="BH323" s="94">
        <v>42548</v>
      </c>
      <c r="BI323" s="95">
        <v>1.2E-2</v>
      </c>
      <c r="BJ323" s="96">
        <v>8.82</v>
      </c>
    </row>
    <row r="324" spans="1:62" ht="13.8" x14ac:dyDescent="0.25">
      <c r="A324" s="239"/>
      <c r="BB324" s="187">
        <v>42566</v>
      </c>
      <c r="BC324" s="180">
        <v>-0.187</v>
      </c>
      <c r="BD324" s="191">
        <v>42566</v>
      </c>
      <c r="BE324" s="192" t="s">
        <v>69</v>
      </c>
      <c r="BH324" s="94">
        <v>42549</v>
      </c>
      <c r="BI324" s="95">
        <v>3.0000000000000001E-3</v>
      </c>
      <c r="BJ324" s="96">
        <v>8.82</v>
      </c>
    </row>
    <row r="325" spans="1:62" ht="13.8" x14ac:dyDescent="0.25">
      <c r="A325" s="239"/>
      <c r="BB325" s="187">
        <v>42569</v>
      </c>
      <c r="BC325" s="180">
        <v>-0.191</v>
      </c>
      <c r="BD325" s="191">
        <v>42569</v>
      </c>
      <c r="BE325" s="192" t="s">
        <v>70</v>
      </c>
      <c r="BH325" s="94">
        <v>42550</v>
      </c>
      <c r="BI325" s="95" t="s">
        <v>57</v>
      </c>
      <c r="BJ325" s="96">
        <v>8.81</v>
      </c>
    </row>
    <row r="326" spans="1:62" ht="13.8" x14ac:dyDescent="0.25">
      <c r="A326" s="239"/>
      <c r="BB326" s="187">
        <v>42570</v>
      </c>
      <c r="BC326" s="180">
        <v>-0.189</v>
      </c>
      <c r="BD326" s="191">
        <v>42570</v>
      </c>
      <c r="BE326" s="192" t="s">
        <v>71</v>
      </c>
      <c r="BH326" s="94">
        <v>42551</v>
      </c>
      <c r="BI326" s="95" t="s">
        <v>58</v>
      </c>
      <c r="BJ326" s="96">
        <v>8.81</v>
      </c>
    </row>
    <row r="327" spans="1:62" ht="13.8" x14ac:dyDescent="0.25">
      <c r="A327" s="239"/>
      <c r="BB327" s="187">
        <v>42571</v>
      </c>
      <c r="BC327" s="180">
        <v>-0.189</v>
      </c>
      <c r="BD327" s="191">
        <v>42571</v>
      </c>
      <c r="BE327" s="192" t="s">
        <v>72</v>
      </c>
      <c r="BH327" s="94">
        <v>42552</v>
      </c>
      <c r="BI327" s="95" t="s">
        <v>59</v>
      </c>
      <c r="BJ327" s="96">
        <v>8.81</v>
      </c>
    </row>
    <row r="328" spans="1:62" ht="13.8" x14ac:dyDescent="0.25">
      <c r="A328" s="239"/>
      <c r="BB328" s="187">
        <v>42572</v>
      </c>
      <c r="BC328" s="180">
        <v>-0.188</v>
      </c>
      <c r="BD328" s="191">
        <v>42572</v>
      </c>
      <c r="BE328" s="192" t="s">
        <v>73</v>
      </c>
      <c r="BH328" s="94">
        <v>42555</v>
      </c>
      <c r="BI328" s="95" t="s">
        <v>60</v>
      </c>
      <c r="BJ328" s="96">
        <v>8.8000000000000007</v>
      </c>
    </row>
    <row r="329" spans="1:62" ht="13.8" x14ac:dyDescent="0.25">
      <c r="A329" s="239"/>
      <c r="BB329" s="187">
        <v>42573</v>
      </c>
      <c r="BC329" s="180">
        <v>-0.189</v>
      </c>
      <c r="BD329" s="191">
        <v>42573</v>
      </c>
      <c r="BE329" s="192" t="s">
        <v>74</v>
      </c>
      <c r="BH329" s="94">
        <v>42556</v>
      </c>
      <c r="BI329" s="95" t="s">
        <v>61</v>
      </c>
      <c r="BJ329" s="96">
        <v>8.8000000000000007</v>
      </c>
    </row>
    <row r="330" spans="1:62" ht="13.8" x14ac:dyDescent="0.25">
      <c r="A330" s="239"/>
      <c r="BB330" s="187">
        <v>42576</v>
      </c>
      <c r="BC330" s="180">
        <v>-0.188</v>
      </c>
      <c r="BD330" s="191">
        <v>42576</v>
      </c>
      <c r="BE330" s="192" t="s">
        <v>75</v>
      </c>
      <c r="BH330" s="94">
        <v>42557</v>
      </c>
      <c r="BI330" s="95" t="s">
        <v>62</v>
      </c>
      <c r="BJ330" s="96">
        <v>8.8000000000000007</v>
      </c>
    </row>
    <row r="331" spans="1:62" ht="13.8" x14ac:dyDescent="0.25">
      <c r="A331" s="239"/>
      <c r="BB331" s="187">
        <v>42577</v>
      </c>
      <c r="BC331" s="180">
        <v>-0.187</v>
      </c>
      <c r="BD331" s="191">
        <v>42577</v>
      </c>
      <c r="BE331" s="192" t="s">
        <v>76</v>
      </c>
      <c r="BH331" s="94">
        <v>42558</v>
      </c>
      <c r="BI331" s="95" t="s">
        <v>63</v>
      </c>
      <c r="BJ331" s="96">
        <v>8.81</v>
      </c>
    </row>
    <row r="332" spans="1:62" ht="13.8" x14ac:dyDescent="0.25">
      <c r="A332" s="239"/>
      <c r="BB332" s="187">
        <v>42578</v>
      </c>
      <c r="BC332" s="180">
        <v>-0.187</v>
      </c>
      <c r="BD332" s="191">
        <v>42578</v>
      </c>
      <c r="BE332" s="192" t="s">
        <v>77</v>
      </c>
      <c r="BH332" s="94">
        <v>42559</v>
      </c>
      <c r="BI332" s="95" t="s">
        <v>64</v>
      </c>
      <c r="BJ332" s="96">
        <v>8.8000000000000007</v>
      </c>
    </row>
    <row r="333" spans="1:62" ht="13.8" x14ac:dyDescent="0.25">
      <c r="A333" s="239"/>
      <c r="BB333" s="187">
        <v>42579</v>
      </c>
      <c r="BC333" s="180">
        <v>-0.186</v>
      </c>
      <c r="BD333" s="191">
        <v>42579</v>
      </c>
      <c r="BE333" s="192" t="s">
        <v>78</v>
      </c>
      <c r="BH333" s="94">
        <v>42562</v>
      </c>
      <c r="BI333" s="95" t="s">
        <v>65</v>
      </c>
      <c r="BJ333" s="96">
        <v>8.7899999999999991</v>
      </c>
    </row>
    <row r="334" spans="1:62" ht="13.8" x14ac:dyDescent="0.25">
      <c r="A334" s="239"/>
      <c r="BB334" s="187">
        <v>42580</v>
      </c>
      <c r="BC334" s="180">
        <v>-0.186</v>
      </c>
      <c r="BD334" s="191">
        <v>42580</v>
      </c>
      <c r="BE334" s="192" t="s">
        <v>79</v>
      </c>
      <c r="BH334" s="94">
        <v>42563</v>
      </c>
      <c r="BI334" s="95" t="s">
        <v>66</v>
      </c>
      <c r="BJ334" s="96">
        <v>8.7899999999999991</v>
      </c>
    </row>
    <row r="335" spans="1:62" ht="13.8" x14ac:dyDescent="0.25">
      <c r="A335" s="239"/>
      <c r="BB335" s="187">
        <v>42583</v>
      </c>
      <c r="BC335" s="180">
        <v>-0.186</v>
      </c>
      <c r="BD335" s="191">
        <v>42583</v>
      </c>
      <c r="BE335" s="192" t="s">
        <v>80</v>
      </c>
      <c r="BH335" s="94">
        <v>42564</v>
      </c>
      <c r="BI335" s="95" t="s">
        <v>67</v>
      </c>
      <c r="BJ335" s="96">
        <v>8.7899999999999991</v>
      </c>
    </row>
    <row r="336" spans="1:62" ht="13.8" x14ac:dyDescent="0.25">
      <c r="A336" s="239"/>
      <c r="BB336" s="187">
        <v>42584</v>
      </c>
      <c r="BC336" s="180">
        <v>-0.184</v>
      </c>
      <c r="BD336" s="191">
        <v>42584</v>
      </c>
      <c r="BE336" s="192" t="s">
        <v>80</v>
      </c>
      <c r="BH336" s="94">
        <v>42565</v>
      </c>
      <c r="BI336" s="95" t="s">
        <v>68</v>
      </c>
      <c r="BJ336" s="96">
        <v>8.7899999999999991</v>
      </c>
    </row>
    <row r="337" spans="1:62" ht="13.8" x14ac:dyDescent="0.25">
      <c r="A337" s="239"/>
      <c r="BB337" s="187">
        <v>42585</v>
      </c>
      <c r="BC337" s="180">
        <v>-0.183</v>
      </c>
      <c r="BD337" s="191">
        <v>42585</v>
      </c>
      <c r="BE337" s="192" t="s">
        <v>81</v>
      </c>
      <c r="BH337" s="94">
        <v>42566</v>
      </c>
      <c r="BI337" s="95" t="s">
        <v>69</v>
      </c>
      <c r="BJ337" s="96">
        <v>8.7799999999999994</v>
      </c>
    </row>
    <row r="338" spans="1:62" ht="13.8" x14ac:dyDescent="0.25">
      <c r="A338" s="239"/>
      <c r="BB338" s="187">
        <v>42586</v>
      </c>
      <c r="BC338" s="180">
        <v>-0.183</v>
      </c>
      <c r="BD338" s="191">
        <v>42586</v>
      </c>
      <c r="BE338" s="192" t="s">
        <v>80</v>
      </c>
      <c r="BH338" s="94">
        <v>42569</v>
      </c>
      <c r="BI338" s="95" t="s">
        <v>70</v>
      </c>
      <c r="BJ338" s="96">
        <v>8.7799999999999994</v>
      </c>
    </row>
    <row r="339" spans="1:62" ht="13.8" x14ac:dyDescent="0.25">
      <c r="A339" s="239"/>
      <c r="BB339" s="187">
        <v>42587</v>
      </c>
      <c r="BC339" s="180">
        <v>-0.185</v>
      </c>
      <c r="BD339" s="191">
        <v>42587</v>
      </c>
      <c r="BE339" s="192" t="s">
        <v>80</v>
      </c>
      <c r="BH339" s="94">
        <v>42570</v>
      </c>
      <c r="BI339" s="95" t="s">
        <v>71</v>
      </c>
      <c r="BJ339" s="96">
        <v>8.77</v>
      </c>
    </row>
    <row r="340" spans="1:62" ht="13.8" x14ac:dyDescent="0.25">
      <c r="A340" s="239"/>
      <c r="BB340" s="187">
        <v>42590</v>
      </c>
      <c r="BC340" s="180">
        <v>-0.185</v>
      </c>
      <c r="BD340" s="191">
        <v>42590</v>
      </c>
      <c r="BE340" s="192" t="s">
        <v>81</v>
      </c>
      <c r="BH340" s="94">
        <v>42571</v>
      </c>
      <c r="BI340" s="95" t="s">
        <v>72</v>
      </c>
      <c r="BJ340" s="96">
        <v>8.77</v>
      </c>
    </row>
    <row r="341" spans="1:62" ht="13.8" x14ac:dyDescent="0.25">
      <c r="A341" s="239"/>
      <c r="BB341" s="187">
        <v>42591</v>
      </c>
      <c r="BC341" s="180">
        <v>-0.187</v>
      </c>
      <c r="BD341" s="191">
        <v>42591</v>
      </c>
      <c r="BE341" s="192" t="s">
        <v>80</v>
      </c>
      <c r="BH341" s="94">
        <v>42572</v>
      </c>
      <c r="BI341" s="95" t="s">
        <v>73</v>
      </c>
      <c r="BJ341" s="96">
        <v>8.77</v>
      </c>
    </row>
    <row r="342" spans="1:62" ht="13.8" x14ac:dyDescent="0.25">
      <c r="A342" s="239"/>
      <c r="BB342" s="187">
        <v>42592</v>
      </c>
      <c r="BC342" s="180">
        <v>-0.188</v>
      </c>
      <c r="BD342" s="191">
        <v>42592</v>
      </c>
      <c r="BE342" s="192" t="s">
        <v>82</v>
      </c>
      <c r="BH342" s="94">
        <v>42573</v>
      </c>
      <c r="BI342" s="95" t="s">
        <v>74</v>
      </c>
      <c r="BJ342" s="96">
        <v>8.76</v>
      </c>
    </row>
    <row r="343" spans="1:62" ht="13.8" x14ac:dyDescent="0.25">
      <c r="A343" s="239"/>
      <c r="BB343" s="187">
        <v>42593</v>
      </c>
      <c r="BC343" s="180">
        <v>-0.189</v>
      </c>
      <c r="BD343" s="191">
        <v>42593</v>
      </c>
      <c r="BE343" s="192" t="s">
        <v>83</v>
      </c>
      <c r="BH343" s="94">
        <v>42576</v>
      </c>
      <c r="BI343" s="95" t="s">
        <v>75</v>
      </c>
      <c r="BJ343" s="96">
        <v>8.76</v>
      </c>
    </row>
    <row r="344" spans="1:62" ht="13.8" x14ac:dyDescent="0.25">
      <c r="A344" s="239"/>
      <c r="BB344" s="187">
        <v>42594</v>
      </c>
      <c r="BC344" s="180">
        <v>-0.188</v>
      </c>
      <c r="BD344" s="191">
        <v>42594</v>
      </c>
      <c r="BE344" s="192" t="s">
        <v>84</v>
      </c>
      <c r="BH344" s="94">
        <v>42577</v>
      </c>
      <c r="BI344" s="95" t="s">
        <v>76</v>
      </c>
      <c r="BJ344" s="96">
        <v>8.75</v>
      </c>
    </row>
    <row r="345" spans="1:62" ht="13.8" x14ac:dyDescent="0.25">
      <c r="A345" s="239"/>
      <c r="BB345" s="187">
        <v>42597</v>
      </c>
      <c r="BC345" s="180">
        <v>-0.189</v>
      </c>
      <c r="BD345" s="191"/>
      <c r="BE345" s="193" t="str">
        <f>+BE344</f>
        <v>−0,175</v>
      </c>
      <c r="BH345" s="94">
        <v>42578</v>
      </c>
      <c r="BI345" s="95" t="s">
        <v>77</v>
      </c>
      <c r="BJ345" s="96">
        <v>8.75</v>
      </c>
    </row>
    <row r="346" spans="1:62" ht="13.8" x14ac:dyDescent="0.25">
      <c r="A346" s="239"/>
      <c r="BB346" s="187">
        <v>42598</v>
      </c>
      <c r="BC346" s="180">
        <v>-0.189</v>
      </c>
      <c r="BD346" s="191">
        <v>42598</v>
      </c>
      <c r="BE346" s="192" t="s">
        <v>85</v>
      </c>
      <c r="BH346" s="94">
        <v>42579</v>
      </c>
      <c r="BI346" s="95" t="s">
        <v>78</v>
      </c>
      <c r="BJ346" s="96">
        <v>8.75</v>
      </c>
    </row>
    <row r="347" spans="1:62" ht="13.8" x14ac:dyDescent="0.25">
      <c r="A347" s="239"/>
      <c r="BB347" s="187">
        <v>42599</v>
      </c>
      <c r="BC347" s="180">
        <v>-0.19</v>
      </c>
      <c r="BD347" s="191">
        <v>42599</v>
      </c>
      <c r="BE347" s="192" t="s">
        <v>86</v>
      </c>
      <c r="BH347" s="94">
        <v>42580</v>
      </c>
      <c r="BI347" s="95" t="s">
        <v>79</v>
      </c>
      <c r="BJ347" s="96">
        <v>8.75</v>
      </c>
    </row>
    <row r="348" spans="1:62" ht="13.8" x14ac:dyDescent="0.25">
      <c r="A348" s="239"/>
      <c r="BB348" s="187">
        <v>42600</v>
      </c>
      <c r="BC348" s="180">
        <v>-0.191</v>
      </c>
      <c r="BD348" s="191">
        <v>42600</v>
      </c>
      <c r="BE348" s="192" t="s">
        <v>87</v>
      </c>
      <c r="BH348" s="94">
        <v>42583</v>
      </c>
      <c r="BI348" s="95" t="s">
        <v>80</v>
      </c>
      <c r="BJ348" s="96">
        <v>8.74</v>
      </c>
    </row>
    <row r="349" spans="1:62" ht="13.8" x14ac:dyDescent="0.25">
      <c r="A349" s="239"/>
      <c r="BB349" s="187">
        <v>42601</v>
      </c>
      <c r="BC349" s="180">
        <v>-0.189</v>
      </c>
      <c r="BD349" s="191">
        <v>42601</v>
      </c>
      <c r="BE349" s="192" t="s">
        <v>88</v>
      </c>
      <c r="BH349" s="94">
        <v>42584</v>
      </c>
      <c r="BI349" s="95" t="s">
        <v>80</v>
      </c>
      <c r="BJ349" s="96">
        <v>8.73</v>
      </c>
    </row>
    <row r="350" spans="1:62" ht="13.8" x14ac:dyDescent="0.25">
      <c r="A350" s="239"/>
      <c r="BB350" s="187">
        <v>42604</v>
      </c>
      <c r="BC350" s="180">
        <v>-0.19</v>
      </c>
      <c r="BD350" s="191">
        <v>42604</v>
      </c>
      <c r="BE350" s="192" t="s">
        <v>89</v>
      </c>
      <c r="BH350" s="94">
        <v>42585</v>
      </c>
      <c r="BI350" s="95" t="s">
        <v>81</v>
      </c>
      <c r="BJ350" s="96">
        <v>8.73</v>
      </c>
    </row>
    <row r="351" spans="1:62" ht="13.8" x14ac:dyDescent="0.25">
      <c r="A351" s="239"/>
      <c r="BB351" s="187">
        <v>42605</v>
      </c>
      <c r="BC351" s="180">
        <v>-0.192</v>
      </c>
      <c r="BD351" s="191">
        <v>42605</v>
      </c>
      <c r="BE351" s="192" t="s">
        <v>90</v>
      </c>
      <c r="BH351" s="94">
        <v>42586</v>
      </c>
      <c r="BI351" s="95" t="s">
        <v>80</v>
      </c>
      <c r="BJ351" s="96">
        <v>8.73</v>
      </c>
    </row>
    <row r="352" spans="1:62" ht="13.8" x14ac:dyDescent="0.25">
      <c r="A352" s="239"/>
      <c r="BB352" s="187">
        <v>42606</v>
      </c>
      <c r="BC352" s="180">
        <v>-0.191</v>
      </c>
      <c r="BD352" s="191">
        <v>42606</v>
      </c>
      <c r="BE352" s="192" t="s">
        <v>91</v>
      </c>
      <c r="BH352" s="94">
        <v>42587</v>
      </c>
      <c r="BI352" s="95" t="s">
        <v>80</v>
      </c>
      <c r="BJ352" s="96">
        <v>8.73</v>
      </c>
    </row>
    <row r="353" spans="1:62" ht="13.8" x14ac:dyDescent="0.25">
      <c r="A353" s="239"/>
      <c r="BB353" s="187">
        <v>42607</v>
      </c>
      <c r="BC353" s="180">
        <v>-0.192</v>
      </c>
      <c r="BD353" s="191">
        <v>42607</v>
      </c>
      <c r="BE353" s="192" t="s">
        <v>92</v>
      </c>
      <c r="BH353" s="94">
        <v>42590</v>
      </c>
      <c r="BI353" s="95" t="s">
        <v>81</v>
      </c>
      <c r="BJ353" s="96">
        <v>8.7200000000000006</v>
      </c>
    </row>
    <row r="354" spans="1:62" ht="13.8" x14ac:dyDescent="0.25">
      <c r="A354" s="239"/>
      <c r="BB354" s="187">
        <v>42608</v>
      </c>
      <c r="BC354" s="180">
        <v>-0.191</v>
      </c>
      <c r="BD354" s="191">
        <v>42608</v>
      </c>
      <c r="BE354" s="192" t="s">
        <v>91</v>
      </c>
      <c r="BH354" s="94">
        <v>42591</v>
      </c>
      <c r="BI354" s="95" t="s">
        <v>80</v>
      </c>
      <c r="BJ354" s="96">
        <v>8.7200000000000006</v>
      </c>
    </row>
    <row r="355" spans="1:62" ht="13.8" x14ac:dyDescent="0.25">
      <c r="A355" s="239"/>
      <c r="BB355" s="187">
        <v>42611</v>
      </c>
      <c r="BC355" s="180">
        <v>-0.193</v>
      </c>
      <c r="BD355" s="191">
        <v>42611</v>
      </c>
      <c r="BE355" s="192" t="s">
        <v>93</v>
      </c>
      <c r="BH355" s="94">
        <v>42592</v>
      </c>
      <c r="BI355" s="95" t="s">
        <v>82</v>
      </c>
      <c r="BJ355" s="96">
        <v>8.7100000000000009</v>
      </c>
    </row>
    <row r="356" spans="1:62" ht="13.8" x14ac:dyDescent="0.25">
      <c r="A356" s="239"/>
      <c r="BB356" s="187">
        <v>42612</v>
      </c>
      <c r="BC356" s="180">
        <v>-0.192</v>
      </c>
      <c r="BD356" s="191">
        <v>42612</v>
      </c>
      <c r="BE356" s="192" t="s">
        <v>90</v>
      </c>
      <c r="BH356" s="94">
        <v>42593</v>
      </c>
      <c r="BI356" s="95" t="s">
        <v>83</v>
      </c>
      <c r="BJ356" s="96">
        <v>8.7100000000000009</v>
      </c>
    </row>
    <row r="357" spans="1:62" ht="13.8" x14ac:dyDescent="0.25">
      <c r="A357" s="239"/>
      <c r="BB357" s="187">
        <v>42613</v>
      </c>
      <c r="BC357" s="180">
        <v>-0.192</v>
      </c>
      <c r="BD357" s="191">
        <v>42613</v>
      </c>
      <c r="BE357" s="192" t="s">
        <v>93</v>
      </c>
      <c r="BH357" s="94">
        <v>42594</v>
      </c>
      <c r="BI357" s="95" t="s">
        <v>84</v>
      </c>
      <c r="BJ357" s="96">
        <v>8.7100000000000009</v>
      </c>
    </row>
    <row r="358" spans="1:62" ht="13.8" x14ac:dyDescent="0.25">
      <c r="A358" s="239"/>
      <c r="BB358" s="187">
        <v>42614</v>
      </c>
      <c r="BC358" s="180">
        <v>-0.193</v>
      </c>
      <c r="BD358" s="191">
        <v>42614</v>
      </c>
      <c r="BE358" s="192" t="s">
        <v>90</v>
      </c>
      <c r="BH358" s="94">
        <v>42598</v>
      </c>
      <c r="BI358" s="95" t="s">
        <v>85</v>
      </c>
      <c r="BJ358" s="96">
        <v>8.6999999999999993</v>
      </c>
    </row>
    <row r="359" spans="1:62" ht="13.8" x14ac:dyDescent="0.25">
      <c r="A359" s="239"/>
      <c r="BB359" s="187">
        <v>42615</v>
      </c>
      <c r="BC359" s="180">
        <v>-0.193</v>
      </c>
      <c r="BD359" s="191">
        <v>42615</v>
      </c>
      <c r="BE359" s="192" t="s">
        <v>94</v>
      </c>
      <c r="BH359" s="94">
        <v>42599</v>
      </c>
      <c r="BI359" s="95" t="s">
        <v>86</v>
      </c>
      <c r="BJ359" s="96">
        <v>8.6999999999999993</v>
      </c>
    </row>
    <row r="360" spans="1:62" ht="13.8" x14ac:dyDescent="0.25">
      <c r="A360" s="239"/>
      <c r="BB360" s="187">
        <v>42618</v>
      </c>
      <c r="BC360" s="180">
        <v>-0.19500000000000001</v>
      </c>
      <c r="BD360" s="191">
        <v>42618</v>
      </c>
      <c r="BE360" s="192" t="s">
        <v>95</v>
      </c>
      <c r="BH360" s="94">
        <v>42600</v>
      </c>
      <c r="BI360" s="95" t="s">
        <v>87</v>
      </c>
      <c r="BJ360" s="96">
        <v>8.6999999999999993</v>
      </c>
    </row>
    <row r="361" spans="1:62" ht="13.8" x14ac:dyDescent="0.25">
      <c r="A361" s="239"/>
      <c r="BB361" s="187">
        <v>42619</v>
      </c>
      <c r="BC361" s="180">
        <v>-0.19700000000000001</v>
      </c>
      <c r="BD361" s="191">
        <v>42619</v>
      </c>
      <c r="BE361" s="192" t="s">
        <v>95</v>
      </c>
      <c r="BH361" s="94">
        <v>42601</v>
      </c>
      <c r="BI361" s="95" t="s">
        <v>88</v>
      </c>
      <c r="BJ361" s="96">
        <v>8.69</v>
      </c>
    </row>
    <row r="362" spans="1:62" ht="13.8" x14ac:dyDescent="0.25">
      <c r="A362" s="239"/>
      <c r="BB362" s="187">
        <v>42620</v>
      </c>
      <c r="BC362" s="180">
        <v>-0.19800000000000001</v>
      </c>
      <c r="BD362" s="191">
        <v>42620</v>
      </c>
      <c r="BE362" s="192" t="s">
        <v>94</v>
      </c>
      <c r="BH362" s="94">
        <v>42604</v>
      </c>
      <c r="BI362" s="95" t="s">
        <v>89</v>
      </c>
      <c r="BJ362" s="96">
        <v>8.68</v>
      </c>
    </row>
    <row r="363" spans="1:62" ht="13.8" x14ac:dyDescent="0.25">
      <c r="A363" s="239"/>
      <c r="BB363" s="187">
        <v>42621</v>
      </c>
      <c r="BC363" s="180">
        <v>-0.20100000000000001</v>
      </c>
      <c r="BD363" s="191">
        <v>42621</v>
      </c>
      <c r="BE363" s="192" t="s">
        <v>89</v>
      </c>
      <c r="BH363" s="94">
        <v>42605</v>
      </c>
      <c r="BI363" s="95" t="s">
        <v>90</v>
      </c>
      <c r="BJ363" s="96">
        <v>8.68</v>
      </c>
    </row>
    <row r="364" spans="1:62" ht="13.8" x14ac:dyDescent="0.25">
      <c r="A364" s="239"/>
      <c r="BB364" s="187">
        <v>42622</v>
      </c>
      <c r="BC364" s="180">
        <v>-0.19800000000000001</v>
      </c>
      <c r="BD364" s="191">
        <v>42622</v>
      </c>
      <c r="BE364" s="192" t="s">
        <v>88</v>
      </c>
      <c r="BH364" s="94">
        <v>42606</v>
      </c>
      <c r="BI364" s="95" t="s">
        <v>91</v>
      </c>
      <c r="BJ364" s="96">
        <v>8.68</v>
      </c>
    </row>
    <row r="365" spans="1:62" ht="13.8" x14ac:dyDescent="0.25">
      <c r="A365" s="239"/>
      <c r="BB365" s="187">
        <v>42625</v>
      </c>
      <c r="BC365" s="180">
        <v>-0.19800000000000001</v>
      </c>
      <c r="BD365" s="191">
        <v>42625</v>
      </c>
      <c r="BE365" s="192" t="s">
        <v>96</v>
      </c>
      <c r="BH365" s="94">
        <v>42607</v>
      </c>
      <c r="BI365" s="95" t="s">
        <v>92</v>
      </c>
      <c r="BJ365" s="96">
        <v>8.68</v>
      </c>
    </row>
    <row r="366" spans="1:62" ht="13.8" x14ac:dyDescent="0.25">
      <c r="A366" s="239"/>
      <c r="BB366" s="187">
        <v>42626</v>
      </c>
      <c r="BC366" s="180">
        <v>-0.19900000000000001</v>
      </c>
      <c r="BD366" s="191">
        <v>42626</v>
      </c>
      <c r="BE366" s="192" t="s">
        <v>85</v>
      </c>
      <c r="BH366" s="94">
        <v>42608</v>
      </c>
      <c r="BI366" s="95" t="s">
        <v>91</v>
      </c>
      <c r="BJ366" s="96">
        <v>8.67</v>
      </c>
    </row>
    <row r="367" spans="1:62" ht="13.8" x14ac:dyDescent="0.25">
      <c r="A367" s="239"/>
      <c r="BB367" s="187">
        <v>42627</v>
      </c>
      <c r="BC367" s="180">
        <v>-0.19900000000000001</v>
      </c>
      <c r="BD367" s="191">
        <v>42627</v>
      </c>
      <c r="BE367" s="192" t="s">
        <v>84</v>
      </c>
      <c r="BH367" s="94">
        <v>42611</v>
      </c>
      <c r="BI367" s="95" t="s">
        <v>93</v>
      </c>
      <c r="BJ367" s="96">
        <v>8.67</v>
      </c>
    </row>
    <row r="368" spans="1:62" ht="13.8" x14ac:dyDescent="0.25">
      <c r="A368" s="239"/>
      <c r="BB368" s="187">
        <v>42628</v>
      </c>
      <c r="BC368" s="180">
        <v>-0.19900000000000001</v>
      </c>
      <c r="BD368" s="191">
        <v>42628</v>
      </c>
      <c r="BE368" s="192" t="s">
        <v>97</v>
      </c>
      <c r="BH368" s="94">
        <v>42612</v>
      </c>
      <c r="BI368" s="95" t="s">
        <v>90</v>
      </c>
      <c r="BJ368" s="96">
        <v>8.66</v>
      </c>
    </row>
    <row r="369" spans="1:62" ht="13.8" x14ac:dyDescent="0.25">
      <c r="A369" s="239"/>
      <c r="BB369" s="187">
        <v>42629</v>
      </c>
      <c r="BC369" s="180">
        <v>-0.20100000000000001</v>
      </c>
      <c r="BD369" s="191">
        <v>42629</v>
      </c>
      <c r="BE369" s="192" t="s">
        <v>98</v>
      </c>
      <c r="BH369" s="94">
        <v>42613</v>
      </c>
      <c r="BI369" s="95" t="s">
        <v>93</v>
      </c>
      <c r="BJ369" s="96">
        <v>8.66</v>
      </c>
    </row>
    <row r="370" spans="1:62" ht="13.8" x14ac:dyDescent="0.25">
      <c r="A370" s="239"/>
      <c r="BB370" s="187">
        <v>42632</v>
      </c>
      <c r="BC370" s="180">
        <v>-0.20200000000000001</v>
      </c>
      <c r="BD370" s="191">
        <v>42632</v>
      </c>
      <c r="BE370" s="192" t="s">
        <v>99</v>
      </c>
      <c r="BH370" s="94">
        <v>42614</v>
      </c>
      <c r="BI370" s="95" t="s">
        <v>90</v>
      </c>
      <c r="BJ370" s="96">
        <v>8.66</v>
      </c>
    </row>
    <row r="371" spans="1:62" ht="13.8" x14ac:dyDescent="0.25">
      <c r="A371" s="239"/>
      <c r="BB371" s="187">
        <v>42633</v>
      </c>
      <c r="BC371" s="180">
        <v>-0.2</v>
      </c>
      <c r="BD371" s="191">
        <v>42633</v>
      </c>
      <c r="BE371" s="192" t="s">
        <v>100</v>
      </c>
      <c r="BH371" s="94">
        <v>42615</v>
      </c>
      <c r="BI371" s="95" t="s">
        <v>94</v>
      </c>
      <c r="BJ371" s="96">
        <v>8.65</v>
      </c>
    </row>
    <row r="372" spans="1:62" ht="13.8" x14ac:dyDescent="0.25">
      <c r="A372" s="239"/>
      <c r="BB372" s="187">
        <v>42634</v>
      </c>
      <c r="BC372" s="180">
        <v>-0.20100000000000001</v>
      </c>
      <c r="BD372" s="191">
        <v>42634</v>
      </c>
      <c r="BE372" s="192" t="s">
        <v>101</v>
      </c>
      <c r="BH372" s="94">
        <v>42618</v>
      </c>
      <c r="BI372" s="95" t="s">
        <v>95</v>
      </c>
      <c r="BJ372" s="96">
        <v>8.65</v>
      </c>
    </row>
    <row r="373" spans="1:62" ht="13.8" x14ac:dyDescent="0.25">
      <c r="A373" s="239"/>
      <c r="BB373" s="187">
        <v>42635</v>
      </c>
      <c r="BC373" s="180">
        <v>-0.20100000000000001</v>
      </c>
      <c r="BD373" s="191">
        <v>42635</v>
      </c>
      <c r="BE373" s="192" t="s">
        <v>73</v>
      </c>
      <c r="BH373" s="94">
        <v>42619</v>
      </c>
      <c r="BI373" s="95" t="s">
        <v>95</v>
      </c>
      <c r="BJ373" s="96">
        <v>8.64</v>
      </c>
    </row>
    <row r="374" spans="1:62" ht="13.8" x14ac:dyDescent="0.25">
      <c r="A374" s="239"/>
      <c r="BB374" s="187">
        <v>42636</v>
      </c>
      <c r="BC374" s="180">
        <v>-0.2</v>
      </c>
      <c r="BD374" s="191">
        <v>42636</v>
      </c>
      <c r="BE374" s="192" t="s">
        <v>73</v>
      </c>
      <c r="BH374" s="94">
        <v>42620</v>
      </c>
      <c r="BI374" s="95" t="s">
        <v>94</v>
      </c>
      <c r="BJ374" s="96">
        <v>8.64</v>
      </c>
    </row>
    <row r="375" spans="1:62" ht="13.8" x14ac:dyDescent="0.25">
      <c r="A375" s="239"/>
      <c r="BB375" s="187">
        <v>42639</v>
      </c>
      <c r="BC375" s="180">
        <v>-0.19900000000000001</v>
      </c>
      <c r="BD375" s="191">
        <v>42639</v>
      </c>
      <c r="BE375" s="192" t="s">
        <v>99</v>
      </c>
      <c r="BH375" s="94">
        <v>42621</v>
      </c>
      <c r="BI375" s="95" t="s">
        <v>89</v>
      </c>
      <c r="BJ375" s="96">
        <v>8.64</v>
      </c>
    </row>
    <row r="376" spans="1:62" ht="13.8" x14ac:dyDescent="0.25">
      <c r="A376" s="239"/>
      <c r="BB376" s="187">
        <v>42640</v>
      </c>
      <c r="BC376" s="180">
        <v>-0.20100000000000001</v>
      </c>
      <c r="BD376" s="191">
        <v>42640</v>
      </c>
      <c r="BE376" s="192" t="s">
        <v>75</v>
      </c>
      <c r="BH376" s="94">
        <v>42622</v>
      </c>
      <c r="BI376" s="95" t="s">
        <v>88</v>
      </c>
      <c r="BJ376" s="96">
        <v>8.64</v>
      </c>
    </row>
    <row r="377" spans="1:62" ht="13.8" x14ac:dyDescent="0.25">
      <c r="A377" s="239"/>
      <c r="BB377" s="187">
        <v>42641</v>
      </c>
      <c r="BC377" s="180">
        <v>-0.20200000000000001</v>
      </c>
      <c r="BD377" s="191">
        <v>42641</v>
      </c>
      <c r="BE377" s="192" t="s">
        <v>98</v>
      </c>
      <c r="BH377" s="94">
        <v>42625</v>
      </c>
      <c r="BI377" s="95" t="s">
        <v>96</v>
      </c>
      <c r="BJ377" s="96">
        <v>8.6300000000000008</v>
      </c>
    </row>
    <row r="378" spans="1:62" ht="13.8" x14ac:dyDescent="0.25">
      <c r="A378" s="239"/>
      <c r="BB378" s="187">
        <v>42642</v>
      </c>
      <c r="BC378" s="180">
        <v>-0.20100000000000001</v>
      </c>
      <c r="BD378" s="191">
        <v>42642</v>
      </c>
      <c r="BE378" s="192" t="s">
        <v>77</v>
      </c>
      <c r="BH378" s="94">
        <v>42626</v>
      </c>
      <c r="BI378" s="95" t="s">
        <v>85</v>
      </c>
      <c r="BJ378" s="96">
        <v>8.6300000000000008</v>
      </c>
    </row>
    <row r="379" spans="1:62" ht="13.8" x14ac:dyDescent="0.25">
      <c r="A379" s="239"/>
      <c r="BB379" s="187">
        <v>42643</v>
      </c>
      <c r="BC379" s="180">
        <v>-0.20300000000000001</v>
      </c>
      <c r="BD379" s="191">
        <v>42643</v>
      </c>
      <c r="BE379" s="192" t="s">
        <v>102</v>
      </c>
      <c r="BH379" s="94">
        <v>42627</v>
      </c>
      <c r="BI379" s="95" t="s">
        <v>84</v>
      </c>
      <c r="BJ379" s="96">
        <v>8.6199999999999992</v>
      </c>
    </row>
    <row r="380" spans="1:62" ht="13.8" x14ac:dyDescent="0.25">
      <c r="A380" s="239"/>
      <c r="BB380" s="187">
        <v>42646</v>
      </c>
      <c r="BC380" s="180">
        <v>-0.20300000000000001</v>
      </c>
      <c r="BD380" s="191">
        <v>42646</v>
      </c>
      <c r="BE380" s="192" t="s">
        <v>103</v>
      </c>
      <c r="BH380" s="94">
        <v>42628</v>
      </c>
      <c r="BI380" s="95" t="s">
        <v>97</v>
      </c>
      <c r="BJ380" s="96">
        <v>8.9600000000000009</v>
      </c>
    </row>
    <row r="381" spans="1:62" ht="13.8" x14ac:dyDescent="0.25">
      <c r="A381" s="239"/>
      <c r="BB381" s="187">
        <v>42647</v>
      </c>
      <c r="BC381" s="180">
        <v>-0.20200000000000001</v>
      </c>
      <c r="BD381" s="191">
        <v>42647</v>
      </c>
      <c r="BE381" s="192" t="s">
        <v>104</v>
      </c>
      <c r="BH381" s="94">
        <v>42629</v>
      </c>
      <c r="BI381" s="95" t="s">
        <v>98</v>
      </c>
      <c r="BJ381" s="96">
        <v>8.9600000000000009</v>
      </c>
    </row>
    <row r="382" spans="1:62" ht="13.8" x14ac:dyDescent="0.25">
      <c r="A382" s="239"/>
      <c r="BB382" s="187">
        <v>42648</v>
      </c>
      <c r="BC382" s="180">
        <v>-0.20300000000000001</v>
      </c>
      <c r="BD382" s="191">
        <v>42648</v>
      </c>
      <c r="BE382" s="192" t="s">
        <v>105</v>
      </c>
      <c r="BH382" s="94">
        <v>42632</v>
      </c>
      <c r="BI382" s="95" t="s">
        <v>99</v>
      </c>
      <c r="BJ382" s="96">
        <v>8.9499999999999993</v>
      </c>
    </row>
    <row r="383" spans="1:62" ht="13.8" x14ac:dyDescent="0.25">
      <c r="A383" s="239"/>
      <c r="BB383" s="187">
        <v>42649</v>
      </c>
      <c r="BC383" s="180">
        <v>-0.20200000000000001</v>
      </c>
      <c r="BD383" s="191">
        <v>42649</v>
      </c>
      <c r="BE383" s="192" t="s">
        <v>106</v>
      </c>
      <c r="BH383" s="94">
        <v>42633</v>
      </c>
      <c r="BI383" s="95" t="s">
        <v>100</v>
      </c>
      <c r="BJ383" s="96">
        <v>8.9499999999999993</v>
      </c>
    </row>
    <row r="384" spans="1:62" ht="13.8" x14ac:dyDescent="0.25">
      <c r="A384" s="239"/>
      <c r="BB384" s="187">
        <v>42650</v>
      </c>
      <c r="BC384" s="180">
        <v>-0.20300000000000001</v>
      </c>
      <c r="BD384" s="191">
        <v>42650</v>
      </c>
      <c r="BE384" s="192" t="s">
        <v>76</v>
      </c>
      <c r="BH384" s="94">
        <v>42634</v>
      </c>
      <c r="BI384" s="95" t="s">
        <v>101</v>
      </c>
      <c r="BJ384" s="96">
        <v>8.9499999999999993</v>
      </c>
    </row>
    <row r="385" spans="1:62" ht="13.8" x14ac:dyDescent="0.25">
      <c r="A385" s="239"/>
      <c r="BB385" s="187">
        <v>42653</v>
      </c>
      <c r="BC385" s="180">
        <v>-0.20300000000000001</v>
      </c>
      <c r="BD385" s="191">
        <v>42653</v>
      </c>
      <c r="BE385" s="192" t="s">
        <v>97</v>
      </c>
      <c r="BH385" s="94">
        <v>42635</v>
      </c>
      <c r="BI385" s="95" t="s">
        <v>73</v>
      </c>
      <c r="BJ385" s="96">
        <v>8.94</v>
      </c>
    </row>
    <row r="386" spans="1:62" ht="13.8" x14ac:dyDescent="0.25">
      <c r="A386" s="239"/>
      <c r="BB386" s="187">
        <v>42654</v>
      </c>
      <c r="BC386" s="180">
        <v>-0.20300000000000001</v>
      </c>
      <c r="BD386" s="191">
        <v>42654</v>
      </c>
      <c r="BE386" s="192" t="s">
        <v>97</v>
      </c>
      <c r="BH386" s="94">
        <v>42636</v>
      </c>
      <c r="BI386" s="95" t="s">
        <v>73</v>
      </c>
      <c r="BJ386" s="96">
        <v>8.94</v>
      </c>
    </row>
    <row r="387" spans="1:62" ht="13.8" x14ac:dyDescent="0.25">
      <c r="A387" s="239"/>
      <c r="BB387" s="187">
        <v>42655</v>
      </c>
      <c r="BC387" s="180">
        <v>-0.20399999999999999</v>
      </c>
      <c r="BD387" s="191">
        <v>42655</v>
      </c>
      <c r="BE387" s="192" t="s">
        <v>98</v>
      </c>
      <c r="BH387" s="94">
        <v>42639</v>
      </c>
      <c r="BI387" s="95" t="s">
        <v>99</v>
      </c>
      <c r="BJ387" s="96">
        <v>8.93</v>
      </c>
    </row>
    <row r="388" spans="1:62" ht="13.8" x14ac:dyDescent="0.25">
      <c r="A388" s="239"/>
      <c r="BB388" s="187">
        <v>42656</v>
      </c>
      <c r="BC388" s="180">
        <v>-0.20399999999999999</v>
      </c>
      <c r="BD388" s="191">
        <v>42656</v>
      </c>
      <c r="BE388" s="192" t="s">
        <v>99</v>
      </c>
      <c r="BH388" s="94">
        <v>42640</v>
      </c>
      <c r="BI388" s="95" t="s">
        <v>75</v>
      </c>
      <c r="BJ388" s="96">
        <v>8.93</v>
      </c>
    </row>
    <row r="389" spans="1:62" ht="13.8" x14ac:dyDescent="0.25">
      <c r="A389" s="239"/>
      <c r="BB389" s="187">
        <v>42657</v>
      </c>
      <c r="BC389" s="180">
        <v>-0.20399999999999999</v>
      </c>
      <c r="BD389" s="191">
        <v>42657</v>
      </c>
      <c r="BE389" s="192" t="s">
        <v>100</v>
      </c>
      <c r="BH389" s="94">
        <v>42641</v>
      </c>
      <c r="BI389" s="95" t="s">
        <v>98</v>
      </c>
      <c r="BJ389" s="96">
        <v>8.93</v>
      </c>
    </row>
    <row r="390" spans="1:62" ht="13.8" x14ac:dyDescent="0.25">
      <c r="A390" s="239"/>
      <c r="BB390" s="187">
        <v>42660</v>
      </c>
      <c r="BC390" s="180">
        <v>-0.20399999999999999</v>
      </c>
      <c r="BD390" s="191">
        <v>42660</v>
      </c>
      <c r="BE390" s="192" t="s">
        <v>101</v>
      </c>
      <c r="BH390" s="94">
        <v>42642</v>
      </c>
      <c r="BI390" s="95" t="s">
        <v>77</v>
      </c>
      <c r="BJ390" s="96">
        <v>8.92</v>
      </c>
    </row>
    <row r="391" spans="1:62" ht="13.8" x14ac:dyDescent="0.25">
      <c r="A391" s="239"/>
      <c r="BB391" s="187">
        <v>42661</v>
      </c>
      <c r="BC391" s="180">
        <v>-0.20899999999999999</v>
      </c>
      <c r="BD391" s="191">
        <v>42661</v>
      </c>
      <c r="BE391" s="192" t="s">
        <v>107</v>
      </c>
      <c r="BH391" s="94">
        <v>42643</v>
      </c>
      <c r="BI391" s="95" t="s">
        <v>102</v>
      </c>
      <c r="BJ391" s="96">
        <v>8.92</v>
      </c>
    </row>
    <row r="392" spans="1:62" ht="13.8" x14ac:dyDescent="0.25">
      <c r="A392" s="239"/>
      <c r="BB392" s="187">
        <v>42662</v>
      </c>
      <c r="BC392" s="180">
        <v>-0.21</v>
      </c>
      <c r="BD392" s="191">
        <v>42662</v>
      </c>
      <c r="BE392" s="192" t="s">
        <v>108</v>
      </c>
      <c r="BH392" s="94">
        <v>42646</v>
      </c>
      <c r="BI392" s="95" t="s">
        <v>103</v>
      </c>
      <c r="BJ392" s="96">
        <v>8.91</v>
      </c>
    </row>
    <row r="393" spans="1:62" ht="13.8" x14ac:dyDescent="0.25">
      <c r="A393" s="239"/>
      <c r="BB393" s="187">
        <v>42663</v>
      </c>
      <c r="BC393" s="180">
        <v>-0.21099999999999999</v>
      </c>
      <c r="BD393" s="191">
        <v>42663</v>
      </c>
      <c r="BE393" s="192" t="s">
        <v>109</v>
      </c>
      <c r="BH393" s="94">
        <v>42647</v>
      </c>
      <c r="BI393" s="95" t="s">
        <v>104</v>
      </c>
      <c r="BJ393" s="96">
        <v>8.91</v>
      </c>
    </row>
    <row r="394" spans="1:62" ht="13.8" x14ac:dyDescent="0.25">
      <c r="A394" s="239"/>
      <c r="BB394" s="187">
        <v>42664</v>
      </c>
      <c r="BC394" s="180">
        <v>-0.21099999999999999</v>
      </c>
      <c r="BD394" s="191">
        <v>42664</v>
      </c>
      <c r="BE394" s="192" t="s">
        <v>110</v>
      </c>
      <c r="BH394" s="94">
        <v>42648</v>
      </c>
      <c r="BI394" s="95" t="s">
        <v>105</v>
      </c>
      <c r="BJ394" s="96">
        <v>8.91</v>
      </c>
    </row>
    <row r="395" spans="1:62" ht="13.8" x14ac:dyDescent="0.25">
      <c r="A395" s="239"/>
      <c r="BB395" s="187">
        <v>42667</v>
      </c>
      <c r="BC395" s="180">
        <v>-0.21199999999999999</v>
      </c>
      <c r="BD395" s="191">
        <v>42667</v>
      </c>
      <c r="BE395" s="192" t="s">
        <v>111</v>
      </c>
      <c r="BH395" s="94">
        <v>42649</v>
      </c>
      <c r="BI395" s="95" t="s">
        <v>106</v>
      </c>
      <c r="BJ395" s="96">
        <v>8.9</v>
      </c>
    </row>
    <row r="396" spans="1:62" ht="13.8" x14ac:dyDescent="0.25">
      <c r="A396" s="239"/>
      <c r="BB396" s="187">
        <v>42668</v>
      </c>
      <c r="BC396" s="180">
        <v>-0.21199999999999999</v>
      </c>
      <c r="BD396" s="191">
        <v>42668</v>
      </c>
      <c r="BE396" s="192" t="s">
        <v>112</v>
      </c>
      <c r="BH396" s="94">
        <v>42650</v>
      </c>
      <c r="BI396" s="95" t="s">
        <v>76</v>
      </c>
      <c r="BJ396" s="96">
        <v>8.9</v>
      </c>
    </row>
    <row r="397" spans="1:62" ht="13.8" x14ac:dyDescent="0.25">
      <c r="A397" s="239"/>
      <c r="BB397" s="187">
        <v>42669</v>
      </c>
      <c r="BC397" s="180">
        <v>-0.21199999999999999</v>
      </c>
      <c r="BD397" s="191"/>
      <c r="BE397" s="193" t="str">
        <f>+BE396</f>
        <v>−0,128</v>
      </c>
      <c r="BH397" s="94">
        <v>42653</v>
      </c>
      <c r="BI397" s="95" t="s">
        <v>97</v>
      </c>
      <c r="BJ397" s="96">
        <v>8.89</v>
      </c>
    </row>
    <row r="398" spans="1:62" ht="13.8" x14ac:dyDescent="0.25">
      <c r="A398" s="239"/>
      <c r="BB398" s="187">
        <v>42670</v>
      </c>
      <c r="BC398" s="180">
        <v>-0.21299999999999999</v>
      </c>
      <c r="BD398" s="191">
        <v>42670</v>
      </c>
      <c r="BE398" s="192" t="s">
        <v>113</v>
      </c>
      <c r="BH398" s="94">
        <v>42654</v>
      </c>
      <c r="BI398" s="95" t="s">
        <v>97</v>
      </c>
      <c r="BJ398" s="96">
        <v>8.89</v>
      </c>
    </row>
    <row r="399" spans="1:62" ht="13.8" x14ac:dyDescent="0.25">
      <c r="A399" s="239"/>
      <c r="BB399" s="187">
        <v>42671</v>
      </c>
      <c r="BC399" s="180">
        <v>-0.21199999999999999</v>
      </c>
      <c r="BD399" s="191">
        <v>42671</v>
      </c>
      <c r="BE399" s="192" t="s">
        <v>114</v>
      </c>
      <c r="BH399" s="94">
        <v>42655</v>
      </c>
      <c r="BI399" s="95" t="s">
        <v>98</v>
      </c>
      <c r="BJ399" s="96">
        <v>8.89</v>
      </c>
    </row>
    <row r="400" spans="1:62" ht="13.8" x14ac:dyDescent="0.25">
      <c r="A400" s="239"/>
      <c r="BB400" s="187">
        <v>42674</v>
      </c>
      <c r="BC400" s="180">
        <v>-0.21199999999999999</v>
      </c>
      <c r="BD400" s="191">
        <v>42674</v>
      </c>
      <c r="BE400" s="192" t="s">
        <v>115</v>
      </c>
      <c r="BH400" s="94">
        <v>42656</v>
      </c>
      <c r="BI400" s="95" t="s">
        <v>99</v>
      </c>
      <c r="BJ400" s="96">
        <v>8.9600000000000009</v>
      </c>
    </row>
    <row r="401" spans="1:62" ht="13.8" x14ac:dyDescent="0.25">
      <c r="A401" s="239"/>
      <c r="BB401" s="187">
        <v>42675</v>
      </c>
      <c r="BC401" s="180">
        <v>-0.21099999999999999</v>
      </c>
      <c r="BD401" s="191"/>
      <c r="BE401" s="193">
        <v>-0.1</v>
      </c>
      <c r="BF401" s="111">
        <f>+(BC401+BE401)/2+0.37</f>
        <v>0.2145</v>
      </c>
      <c r="BH401" s="94">
        <v>42657</v>
      </c>
      <c r="BI401" s="95" t="s">
        <v>100</v>
      </c>
      <c r="BJ401" s="96">
        <v>8.9600000000000009</v>
      </c>
    </row>
    <row r="402" spans="1:62" ht="13.8" x14ac:dyDescent="0.25">
      <c r="A402" s="239"/>
      <c r="BB402" s="187">
        <v>42676</v>
      </c>
      <c r="BC402" s="180">
        <v>-0.21299999999999999</v>
      </c>
      <c r="BD402" s="191">
        <v>42676</v>
      </c>
      <c r="BE402" s="192" t="s">
        <v>116</v>
      </c>
      <c r="BH402" s="94">
        <v>42660</v>
      </c>
      <c r="BI402" s="95" t="s">
        <v>101</v>
      </c>
      <c r="BJ402" s="96">
        <v>8.9499999999999993</v>
      </c>
    </row>
    <row r="403" spans="1:62" ht="13.8" x14ac:dyDescent="0.25">
      <c r="A403" s="239"/>
      <c r="BB403" s="187">
        <v>42677</v>
      </c>
      <c r="BC403" s="180">
        <v>-0.21299999999999999</v>
      </c>
      <c r="BD403" s="191">
        <v>42677</v>
      </c>
      <c r="BE403" s="192" t="s">
        <v>117</v>
      </c>
      <c r="BH403" s="94">
        <v>42661</v>
      </c>
      <c r="BI403" s="95" t="s">
        <v>107</v>
      </c>
      <c r="BJ403" s="96">
        <v>8.9499999999999993</v>
      </c>
    </row>
    <row r="404" spans="1:62" ht="13.8" x14ac:dyDescent="0.25">
      <c r="A404" s="239"/>
      <c r="BB404" s="187">
        <v>42678</v>
      </c>
      <c r="BC404" s="180">
        <v>-0.21299999999999999</v>
      </c>
      <c r="BD404" s="191">
        <v>42678</v>
      </c>
      <c r="BE404" s="192" t="s">
        <v>118</v>
      </c>
      <c r="BH404" s="94">
        <v>42662</v>
      </c>
      <c r="BI404" s="95" t="s">
        <v>108</v>
      </c>
      <c r="BJ404" s="96">
        <v>8.9499999999999993</v>
      </c>
    </row>
    <row r="405" spans="1:62" ht="13.8" x14ac:dyDescent="0.25">
      <c r="A405" s="239"/>
      <c r="BB405" s="187">
        <v>42681</v>
      </c>
      <c r="BC405" s="180">
        <v>-0.21099999999999999</v>
      </c>
      <c r="BD405" s="191">
        <v>42681</v>
      </c>
      <c r="BE405" s="192" t="s">
        <v>119</v>
      </c>
      <c r="BH405" s="94">
        <v>42663</v>
      </c>
      <c r="BI405" s="95" t="s">
        <v>109</v>
      </c>
      <c r="BJ405" s="96">
        <v>8.94</v>
      </c>
    </row>
    <row r="406" spans="1:62" ht="13.8" x14ac:dyDescent="0.25">
      <c r="A406" s="239"/>
      <c r="BB406" s="187">
        <v>42682</v>
      </c>
      <c r="BC406" s="180">
        <v>-0.21099999999999999</v>
      </c>
      <c r="BD406" s="191">
        <v>42682</v>
      </c>
      <c r="BE406" s="192" t="s">
        <v>120</v>
      </c>
      <c r="BH406" s="94">
        <v>42664</v>
      </c>
      <c r="BI406" s="95" t="s">
        <v>110</v>
      </c>
      <c r="BJ406" s="96">
        <v>8.94</v>
      </c>
    </row>
    <row r="407" spans="1:62" ht="13.8" x14ac:dyDescent="0.25">
      <c r="A407" s="239"/>
      <c r="BB407" s="187">
        <v>42683</v>
      </c>
      <c r="BC407" s="180">
        <v>-0.21099999999999999</v>
      </c>
      <c r="BD407" s="191">
        <v>42683</v>
      </c>
      <c r="BE407" s="192" t="s">
        <v>121</v>
      </c>
      <c r="BH407" s="94">
        <v>42667</v>
      </c>
      <c r="BI407" s="95" t="s">
        <v>111</v>
      </c>
      <c r="BJ407" s="96">
        <v>8.93</v>
      </c>
    </row>
    <row r="408" spans="1:62" ht="13.8" x14ac:dyDescent="0.25">
      <c r="A408" s="239"/>
      <c r="BB408" s="187">
        <v>42684</v>
      </c>
      <c r="BC408" s="180">
        <v>-0.21099999999999999</v>
      </c>
      <c r="BD408" s="191">
        <v>42684</v>
      </c>
      <c r="BE408" s="192" t="s">
        <v>122</v>
      </c>
      <c r="BH408" s="94">
        <v>42668</v>
      </c>
      <c r="BI408" s="95" t="s">
        <v>112</v>
      </c>
      <c r="BJ408" s="96">
        <v>8.93</v>
      </c>
    </row>
    <row r="409" spans="1:62" ht="13.8" x14ac:dyDescent="0.25">
      <c r="A409" s="239"/>
      <c r="BB409" s="187">
        <v>42685</v>
      </c>
      <c r="BC409" s="180">
        <v>-0.21</v>
      </c>
      <c r="BD409" s="191">
        <v>42685</v>
      </c>
      <c r="BE409" s="192" t="s">
        <v>123</v>
      </c>
      <c r="BH409" s="94">
        <v>42670</v>
      </c>
      <c r="BI409" s="95" t="s">
        <v>113</v>
      </c>
      <c r="BJ409" s="96">
        <v>8.92</v>
      </c>
    </row>
    <row r="410" spans="1:62" ht="13.8" x14ac:dyDescent="0.25">
      <c r="A410" s="239"/>
      <c r="BB410" s="187">
        <v>42688</v>
      </c>
      <c r="BC410" s="180">
        <v>-0.21099999999999999</v>
      </c>
      <c r="BD410" s="191">
        <v>42688</v>
      </c>
      <c r="BE410" s="192" t="s">
        <v>124</v>
      </c>
      <c r="BH410" s="94">
        <v>42671</v>
      </c>
      <c r="BI410" s="95" t="s">
        <v>114</v>
      </c>
      <c r="BJ410" s="96">
        <v>8.92</v>
      </c>
    </row>
    <row r="411" spans="1:62" ht="13.8" x14ac:dyDescent="0.25">
      <c r="A411" s="239"/>
      <c r="BB411" s="187">
        <v>42689</v>
      </c>
      <c r="BC411" s="180">
        <v>-0.21099999999999999</v>
      </c>
      <c r="BD411" s="191">
        <v>42689</v>
      </c>
      <c r="BE411" s="192" t="s">
        <v>125</v>
      </c>
      <c r="BH411" s="94">
        <v>42674</v>
      </c>
      <c r="BI411" s="95" t="s">
        <v>115</v>
      </c>
      <c r="BJ411" s="96">
        <v>8.91</v>
      </c>
    </row>
    <row r="412" spans="1:62" ht="13.8" x14ac:dyDescent="0.25">
      <c r="A412" s="239"/>
      <c r="BB412" s="187">
        <v>42690</v>
      </c>
      <c r="BC412" s="180">
        <v>-0.214</v>
      </c>
      <c r="BD412" s="191">
        <v>42690</v>
      </c>
      <c r="BE412" s="192">
        <v>0</v>
      </c>
      <c r="BH412" s="94">
        <v>42676</v>
      </c>
      <c r="BI412" s="95" t="s">
        <v>116</v>
      </c>
      <c r="BJ412" s="96">
        <v>9.5299999999999994</v>
      </c>
    </row>
    <row r="413" spans="1:62" ht="13.8" x14ac:dyDescent="0.25">
      <c r="A413" s="239"/>
      <c r="BB413" s="187">
        <v>42691</v>
      </c>
      <c r="BC413" s="180">
        <v>-0.215</v>
      </c>
      <c r="BD413" s="191">
        <v>42691</v>
      </c>
      <c r="BE413" s="192">
        <v>8.9999999999999993E-3</v>
      </c>
      <c r="BH413" s="94">
        <v>42677</v>
      </c>
      <c r="BI413" s="95" t="s">
        <v>117</v>
      </c>
      <c r="BJ413" s="96">
        <v>9.5299999999999994</v>
      </c>
    </row>
    <row r="414" spans="1:62" ht="13.8" x14ac:dyDescent="0.25">
      <c r="A414" s="239"/>
      <c r="BB414" s="187">
        <v>42692</v>
      </c>
      <c r="BC414" s="180">
        <v>-0.217</v>
      </c>
      <c r="BD414" s="191">
        <v>42692</v>
      </c>
      <c r="BE414" s="192">
        <v>0.02</v>
      </c>
      <c r="BH414" s="94">
        <v>42678</v>
      </c>
      <c r="BI414" s="95" t="s">
        <v>118</v>
      </c>
      <c r="BJ414" s="96">
        <v>9.5299999999999994</v>
      </c>
    </row>
    <row r="415" spans="1:62" ht="13.8" x14ac:dyDescent="0.25">
      <c r="A415" s="239"/>
      <c r="BB415" s="187">
        <v>42695</v>
      </c>
      <c r="BC415" s="180">
        <v>-0.219</v>
      </c>
      <c r="BD415" s="191">
        <v>42695</v>
      </c>
      <c r="BE415" s="192">
        <v>0.03</v>
      </c>
      <c r="BH415" s="94">
        <v>42681</v>
      </c>
      <c r="BI415" s="95" t="s">
        <v>119</v>
      </c>
      <c r="BJ415" s="96">
        <v>9.52</v>
      </c>
    </row>
    <row r="416" spans="1:62" ht="13.8" x14ac:dyDescent="0.25">
      <c r="A416" s="239"/>
      <c r="BB416" s="187">
        <v>42696</v>
      </c>
      <c r="BC416" s="180">
        <v>-0.22</v>
      </c>
      <c r="BD416" s="191">
        <v>42696</v>
      </c>
      <c r="BE416" s="192">
        <v>3.7999999999999999E-2</v>
      </c>
      <c r="BH416" s="94">
        <v>42682</v>
      </c>
      <c r="BI416" s="95" t="s">
        <v>120</v>
      </c>
      <c r="BJ416" s="96">
        <v>9.52</v>
      </c>
    </row>
    <row r="417" spans="1:62" ht="13.8" x14ac:dyDescent="0.25">
      <c r="A417" s="239"/>
      <c r="BB417" s="187">
        <v>42697</v>
      </c>
      <c r="BC417" s="180">
        <v>-0.22</v>
      </c>
      <c r="BD417" s="191">
        <v>42697</v>
      </c>
      <c r="BE417" s="192">
        <v>4.8000000000000001E-2</v>
      </c>
      <c r="BH417" s="94">
        <v>42683</v>
      </c>
      <c r="BI417" s="95" t="s">
        <v>121</v>
      </c>
      <c r="BJ417" s="96">
        <v>9.51</v>
      </c>
    </row>
    <row r="418" spans="1:62" ht="13.8" x14ac:dyDescent="0.25">
      <c r="A418" s="239"/>
      <c r="BB418" s="187">
        <v>42698</v>
      </c>
      <c r="BC418" s="180">
        <v>-0.219</v>
      </c>
      <c r="BD418" s="191">
        <v>42698</v>
      </c>
      <c r="BE418" s="192">
        <v>5.6000000000000001E-2</v>
      </c>
      <c r="BH418" s="94">
        <v>42684</v>
      </c>
      <c r="BI418" s="95" t="s">
        <v>122</v>
      </c>
      <c r="BJ418" s="96">
        <v>9.51</v>
      </c>
    </row>
    <row r="419" spans="1:62" ht="13.8" x14ac:dyDescent="0.25">
      <c r="A419" s="239"/>
      <c r="BB419" s="187">
        <v>42699</v>
      </c>
      <c r="BC419" s="180">
        <v>-0.219</v>
      </c>
      <c r="BD419" s="191">
        <v>42699</v>
      </c>
      <c r="BE419" s="192">
        <v>6.0999999999999999E-2</v>
      </c>
      <c r="BH419" s="94">
        <v>42685</v>
      </c>
      <c r="BI419" s="95" t="s">
        <v>123</v>
      </c>
      <c r="BJ419" s="96">
        <v>9.51</v>
      </c>
    </row>
    <row r="420" spans="1:62" ht="13.8" x14ac:dyDescent="0.25">
      <c r="A420" s="239"/>
      <c r="BB420" s="187">
        <v>42702</v>
      </c>
      <c r="BC420" s="180">
        <v>-0.219</v>
      </c>
      <c r="BD420" s="191">
        <v>42702</v>
      </c>
      <c r="BE420" s="192">
        <v>6.3E-2</v>
      </c>
      <c r="BH420" s="94">
        <v>42688</v>
      </c>
      <c r="BI420" s="95" t="s">
        <v>124</v>
      </c>
      <c r="BJ420" s="96">
        <v>9.5</v>
      </c>
    </row>
    <row r="421" spans="1:62" ht="13.8" x14ac:dyDescent="0.25">
      <c r="A421" s="239"/>
      <c r="BB421" s="187">
        <v>42703</v>
      </c>
      <c r="BC421" s="180">
        <v>-0.219</v>
      </c>
      <c r="BD421" s="191">
        <v>42703</v>
      </c>
      <c r="BE421" s="192">
        <v>6.6000000000000003E-2</v>
      </c>
      <c r="BH421" s="94">
        <v>42689</v>
      </c>
      <c r="BI421" s="95" t="s">
        <v>125</v>
      </c>
      <c r="BJ421" s="96">
        <v>9.5</v>
      </c>
    </row>
    <row r="422" spans="1:62" ht="13.8" x14ac:dyDescent="0.25">
      <c r="A422" s="239"/>
      <c r="BB422" s="187">
        <v>42704</v>
      </c>
      <c r="BC422" s="180">
        <v>-0.219</v>
      </c>
      <c r="BD422" s="191">
        <v>42704</v>
      </c>
      <c r="BE422" s="192">
        <v>7.0000000000000007E-2</v>
      </c>
      <c r="BH422" s="94">
        <v>42690</v>
      </c>
      <c r="BI422" s="95">
        <v>0</v>
      </c>
      <c r="BJ422" s="96">
        <v>9.49</v>
      </c>
    </row>
    <row r="423" spans="1:62" ht="13.8" x14ac:dyDescent="0.25">
      <c r="A423" s="239"/>
      <c r="BB423" s="187">
        <v>42705</v>
      </c>
      <c r="BC423" s="180">
        <v>-0.219</v>
      </c>
      <c r="BD423" s="191">
        <v>42705</v>
      </c>
      <c r="BE423" s="192">
        <v>7.4999999999999997E-2</v>
      </c>
      <c r="BH423" s="94">
        <v>42691</v>
      </c>
      <c r="BI423" s="95">
        <v>8.9999999999999993E-3</v>
      </c>
      <c r="BJ423" s="96">
        <v>9.49</v>
      </c>
    </row>
    <row r="424" spans="1:62" ht="13.8" x14ac:dyDescent="0.25">
      <c r="A424" s="239"/>
      <c r="BB424" s="187">
        <v>42706</v>
      </c>
      <c r="BC424" s="180">
        <v>-0.218</v>
      </c>
      <c r="BD424" s="191">
        <v>42706</v>
      </c>
      <c r="BE424" s="192">
        <v>0.08</v>
      </c>
      <c r="BH424" s="94">
        <v>42692</v>
      </c>
      <c r="BI424" s="95">
        <v>0.02</v>
      </c>
      <c r="BJ424" s="96">
        <v>9.49</v>
      </c>
    </row>
    <row r="425" spans="1:62" ht="13.8" x14ac:dyDescent="0.25">
      <c r="A425" s="239"/>
      <c r="BB425" s="187">
        <v>42709</v>
      </c>
      <c r="BC425" s="180">
        <v>-0.218</v>
      </c>
      <c r="BD425" s="191">
        <v>42709</v>
      </c>
      <c r="BE425" s="192">
        <v>8.5999999999999993E-2</v>
      </c>
      <c r="BH425" s="94">
        <v>42695</v>
      </c>
      <c r="BI425" s="95">
        <v>0.03</v>
      </c>
      <c r="BJ425" s="96">
        <v>9.48</v>
      </c>
    </row>
    <row r="426" spans="1:62" ht="13.8" x14ac:dyDescent="0.25">
      <c r="A426" s="239"/>
      <c r="BB426" s="187">
        <v>42710</v>
      </c>
      <c r="BC426" s="180">
        <v>-0.219</v>
      </c>
      <c r="BD426" s="191">
        <v>42710</v>
      </c>
      <c r="BE426" s="192">
        <v>9.1999999999999998E-2</v>
      </c>
      <c r="BH426" s="94">
        <v>42696</v>
      </c>
      <c r="BI426" s="95">
        <v>3.7999999999999999E-2</v>
      </c>
      <c r="BJ426" s="96">
        <v>9.48</v>
      </c>
    </row>
    <row r="427" spans="1:62" ht="13.8" x14ac:dyDescent="0.25">
      <c r="A427" s="239"/>
      <c r="BB427" s="187">
        <v>42711</v>
      </c>
      <c r="BC427" s="180">
        <v>-0.217</v>
      </c>
      <c r="BD427" s="191">
        <v>42711</v>
      </c>
      <c r="BE427" s="192">
        <v>9.8000000000000004E-2</v>
      </c>
      <c r="BH427" s="94">
        <v>42697</v>
      </c>
      <c r="BI427" s="95">
        <v>4.8000000000000001E-2</v>
      </c>
      <c r="BJ427" s="96">
        <v>9.48</v>
      </c>
    </row>
    <row r="428" spans="1:62" ht="13.8" x14ac:dyDescent="0.25">
      <c r="A428" s="239"/>
      <c r="BB428" s="187">
        <v>42712</v>
      </c>
      <c r="BC428" s="180">
        <v>-0.217</v>
      </c>
      <c r="BD428" s="191"/>
      <c r="BE428" s="193">
        <f>+BE427</f>
        <v>9.8000000000000004E-2</v>
      </c>
      <c r="BH428" s="94">
        <v>42698</v>
      </c>
      <c r="BI428" s="95">
        <v>5.6000000000000001E-2</v>
      </c>
      <c r="BJ428" s="96">
        <v>9.4700000000000006</v>
      </c>
    </row>
    <row r="429" spans="1:62" ht="13.8" x14ac:dyDescent="0.25">
      <c r="A429" s="239"/>
      <c r="BB429" s="187">
        <v>42713</v>
      </c>
      <c r="BC429" s="180">
        <v>-0.217</v>
      </c>
      <c r="BD429" s="191">
        <v>42713</v>
      </c>
      <c r="BE429" s="192">
        <v>0.1</v>
      </c>
      <c r="BH429" s="94">
        <v>42699</v>
      </c>
      <c r="BI429" s="95">
        <v>6.0999999999999999E-2</v>
      </c>
      <c r="BJ429" s="96">
        <v>9.4700000000000006</v>
      </c>
    </row>
    <row r="430" spans="1:62" ht="13.8" x14ac:dyDescent="0.25">
      <c r="A430" s="239"/>
      <c r="BB430" s="187">
        <v>42716</v>
      </c>
      <c r="BC430" s="180">
        <v>-0.217</v>
      </c>
      <c r="BD430" s="191">
        <v>42716</v>
      </c>
      <c r="BE430" s="192">
        <v>0.10199999999999999</v>
      </c>
      <c r="BH430" s="94">
        <v>42702</v>
      </c>
      <c r="BI430" s="95">
        <v>6.3E-2</v>
      </c>
      <c r="BJ430" s="96">
        <v>9.4600000000000009</v>
      </c>
    </row>
    <row r="431" spans="1:62" ht="13.8" x14ac:dyDescent="0.25">
      <c r="A431" s="239"/>
      <c r="BB431" s="187">
        <v>42717</v>
      </c>
      <c r="BC431" s="180">
        <v>-0.218</v>
      </c>
      <c r="BD431" s="191">
        <v>42717</v>
      </c>
      <c r="BE431" s="192">
        <v>9.9000000000000005E-2</v>
      </c>
      <c r="BH431" s="94">
        <v>42703</v>
      </c>
      <c r="BI431" s="95">
        <v>6.6000000000000003E-2</v>
      </c>
      <c r="BJ431" s="96">
        <v>9.4600000000000009</v>
      </c>
    </row>
    <row r="432" spans="1:62" ht="13.8" x14ac:dyDescent="0.25">
      <c r="A432" s="239"/>
      <c r="BB432" s="187">
        <v>42718</v>
      </c>
      <c r="BC432" s="180">
        <v>-0.217</v>
      </c>
      <c r="BD432" s="191">
        <v>42718</v>
      </c>
      <c r="BE432" s="192">
        <v>9.8000000000000004E-2</v>
      </c>
      <c r="BH432" s="94">
        <v>42704</v>
      </c>
      <c r="BI432" s="95">
        <v>7.0000000000000007E-2</v>
      </c>
      <c r="BJ432" s="96">
        <v>9.4600000000000009</v>
      </c>
    </row>
    <row r="433" spans="1:62" ht="13.8" x14ac:dyDescent="0.25">
      <c r="A433" s="239"/>
      <c r="BB433" s="187">
        <v>42719</v>
      </c>
      <c r="BC433" s="180">
        <v>-0.217</v>
      </c>
      <c r="BD433" s="191">
        <v>42719</v>
      </c>
      <c r="BE433" s="192">
        <v>9.9000000000000005E-2</v>
      </c>
      <c r="BH433" s="94">
        <v>42705</v>
      </c>
      <c r="BI433" s="95">
        <v>7.4999999999999997E-2</v>
      </c>
      <c r="BJ433" s="96">
        <v>9.4499999999999993</v>
      </c>
    </row>
    <row r="434" spans="1:62" ht="13.8" x14ac:dyDescent="0.25">
      <c r="A434" s="239"/>
      <c r="BB434" s="187">
        <v>42720</v>
      </c>
      <c r="BC434" s="180">
        <v>-0.216</v>
      </c>
      <c r="BD434" s="191">
        <v>42720</v>
      </c>
      <c r="BE434" s="192">
        <v>9.8000000000000004E-2</v>
      </c>
      <c r="BH434" s="94">
        <v>42706</v>
      </c>
      <c r="BI434" s="95">
        <v>0.08</v>
      </c>
      <c r="BJ434" s="96">
        <v>9.4499999999999993</v>
      </c>
    </row>
    <row r="435" spans="1:62" ht="13.8" x14ac:dyDescent="0.25">
      <c r="A435" s="239"/>
      <c r="BB435" s="187">
        <v>42723</v>
      </c>
      <c r="BC435" s="180">
        <v>-0.216</v>
      </c>
      <c r="BD435" s="191">
        <v>42723</v>
      </c>
      <c r="BE435" s="192">
        <v>9.5000000000000001E-2</v>
      </c>
      <c r="BH435" s="94">
        <v>42709</v>
      </c>
      <c r="BI435" s="95">
        <v>8.5999999999999993E-2</v>
      </c>
      <c r="BJ435" s="96">
        <v>9.44</v>
      </c>
    </row>
    <row r="436" spans="1:62" ht="13.8" x14ac:dyDescent="0.25">
      <c r="A436" s="239"/>
      <c r="BB436" s="187">
        <v>42724</v>
      </c>
      <c r="BC436" s="180">
        <v>-0.218</v>
      </c>
      <c r="BD436" s="191">
        <v>42724</v>
      </c>
      <c r="BE436" s="192">
        <v>9.2999999999999999E-2</v>
      </c>
      <c r="BH436" s="94">
        <v>42710</v>
      </c>
      <c r="BI436" s="95">
        <v>9.1999999999999998E-2</v>
      </c>
      <c r="BJ436" s="96">
        <v>9.44</v>
      </c>
    </row>
    <row r="437" spans="1:62" ht="13.8" x14ac:dyDescent="0.25">
      <c r="A437" s="239"/>
      <c r="BB437" s="187">
        <v>42725</v>
      </c>
      <c r="BC437" s="180">
        <v>-0.216</v>
      </c>
      <c r="BD437" s="191">
        <v>42725</v>
      </c>
      <c r="BE437" s="192">
        <v>9.1999999999999998E-2</v>
      </c>
      <c r="BH437" s="94">
        <v>42711</v>
      </c>
      <c r="BI437" s="95">
        <v>9.8000000000000004E-2</v>
      </c>
      <c r="BJ437" s="96">
        <v>9.44</v>
      </c>
    </row>
    <row r="438" spans="1:62" ht="13.8" x14ac:dyDescent="0.25">
      <c r="A438" s="239"/>
      <c r="BB438" s="187">
        <v>42726</v>
      </c>
      <c r="BC438" s="180">
        <v>-0.216</v>
      </c>
      <c r="BD438" s="191">
        <v>42726</v>
      </c>
      <c r="BE438" s="192">
        <v>9.0999999999999998E-2</v>
      </c>
      <c r="BH438" s="94">
        <v>42713</v>
      </c>
      <c r="BI438" s="95">
        <v>0.1</v>
      </c>
      <c r="BJ438" s="96">
        <v>9.43</v>
      </c>
    </row>
    <row r="439" spans="1:62" ht="13.8" x14ac:dyDescent="0.25">
      <c r="A439" s="239"/>
      <c r="BB439" s="187">
        <v>42727</v>
      </c>
      <c r="BC439" s="180">
        <v>-0.217</v>
      </c>
      <c r="BD439" s="191">
        <v>42727</v>
      </c>
      <c r="BE439" s="192">
        <v>8.7999999999999995E-2</v>
      </c>
      <c r="BH439" s="94">
        <v>42716</v>
      </c>
      <c r="BI439" s="95">
        <v>0.10199999999999999</v>
      </c>
      <c r="BJ439" s="96">
        <v>9.42</v>
      </c>
    </row>
    <row r="440" spans="1:62" ht="13.8" x14ac:dyDescent="0.25">
      <c r="A440" s="239"/>
      <c r="BB440" s="187">
        <v>42730</v>
      </c>
      <c r="BC440" s="180">
        <v>-0.217</v>
      </c>
      <c r="BD440" s="191"/>
      <c r="BE440" s="193">
        <f>+BE439</f>
        <v>8.7999999999999995E-2</v>
      </c>
      <c r="BH440" s="94">
        <v>42717</v>
      </c>
      <c r="BI440" s="95">
        <v>9.9000000000000005E-2</v>
      </c>
      <c r="BJ440" s="96">
        <v>9.42</v>
      </c>
    </row>
    <row r="441" spans="1:62" ht="13.8" x14ac:dyDescent="0.25">
      <c r="A441" s="239"/>
      <c r="BB441" s="187">
        <v>42731</v>
      </c>
      <c r="BC441" s="180">
        <v>-0.22</v>
      </c>
      <c r="BD441" s="191">
        <v>42731</v>
      </c>
      <c r="BE441" s="192">
        <v>8.5000000000000006E-2</v>
      </c>
      <c r="BH441" s="94">
        <v>42718</v>
      </c>
      <c r="BI441" s="95">
        <v>9.8000000000000004E-2</v>
      </c>
      <c r="BJ441" s="96">
        <v>9.42</v>
      </c>
    </row>
    <row r="442" spans="1:62" ht="13.8" x14ac:dyDescent="0.25">
      <c r="A442" s="239"/>
      <c r="BB442" s="187">
        <v>42732</v>
      </c>
      <c r="BC442" s="180">
        <v>-0.221</v>
      </c>
      <c r="BD442" s="191">
        <v>42732</v>
      </c>
      <c r="BE442" s="192">
        <v>8.1000000000000003E-2</v>
      </c>
      <c r="BH442" s="94">
        <v>42719</v>
      </c>
      <c r="BI442" s="95">
        <v>9.9000000000000005E-2</v>
      </c>
      <c r="BJ442" s="96">
        <v>9.41</v>
      </c>
    </row>
    <row r="443" spans="1:62" ht="13.8" x14ac:dyDescent="0.25">
      <c r="A443" s="239"/>
      <c r="BB443" s="187">
        <v>42733</v>
      </c>
      <c r="BC443" s="180">
        <v>-0.221</v>
      </c>
      <c r="BD443" s="191">
        <v>42733</v>
      </c>
      <c r="BE443" s="192">
        <v>7.8E-2</v>
      </c>
      <c r="BH443" s="94">
        <v>42720</v>
      </c>
      <c r="BI443" s="95">
        <v>9.8000000000000004E-2</v>
      </c>
      <c r="BJ443" s="96">
        <v>9.41</v>
      </c>
    </row>
    <row r="444" spans="1:62" ht="13.8" x14ac:dyDescent="0.25">
      <c r="A444" s="239"/>
      <c r="BB444" s="187">
        <v>42734</v>
      </c>
      <c r="BC444" s="180">
        <v>-0.221</v>
      </c>
      <c r="BD444" s="191">
        <v>42734</v>
      </c>
      <c r="BE444" s="192">
        <v>7.5999999999999998E-2</v>
      </c>
      <c r="BH444" s="94">
        <v>42723</v>
      </c>
      <c r="BI444" s="95">
        <v>9.5000000000000001E-2</v>
      </c>
      <c r="BJ444" s="96">
        <v>9.4</v>
      </c>
    </row>
    <row r="445" spans="1:62" ht="13.8" x14ac:dyDescent="0.25">
      <c r="A445" s="239"/>
      <c r="BB445" s="187">
        <v>42737</v>
      </c>
      <c r="BC445" s="180">
        <v>-0.22</v>
      </c>
      <c r="BD445" s="191">
        <v>42737</v>
      </c>
      <c r="BE445" s="192">
        <v>7.0000000000000007E-2</v>
      </c>
      <c r="BH445" s="94">
        <v>42724</v>
      </c>
      <c r="BI445" s="95">
        <v>9.2999999999999999E-2</v>
      </c>
      <c r="BJ445" s="96">
        <v>9.4</v>
      </c>
    </row>
    <row r="446" spans="1:62" ht="13.8" x14ac:dyDescent="0.25">
      <c r="A446" s="239"/>
      <c r="BB446" s="187">
        <v>42738</v>
      </c>
      <c r="BC446" s="180">
        <v>-0.221</v>
      </c>
      <c r="BD446" s="191">
        <v>42738</v>
      </c>
      <c r="BE446" s="192">
        <v>6.7000000000000004E-2</v>
      </c>
      <c r="BH446" s="94">
        <v>42725</v>
      </c>
      <c r="BI446" s="95">
        <v>9.1999999999999998E-2</v>
      </c>
      <c r="BJ446" s="96">
        <v>9.4</v>
      </c>
    </row>
    <row r="447" spans="1:62" ht="13.8" x14ac:dyDescent="0.25">
      <c r="A447" s="239"/>
      <c r="BB447" s="187">
        <v>42739</v>
      </c>
      <c r="BC447" s="180">
        <v>-0.224</v>
      </c>
      <c r="BD447" s="191">
        <v>42739</v>
      </c>
      <c r="BE447" s="192">
        <v>6.4000000000000001E-2</v>
      </c>
      <c r="BH447" s="94">
        <v>42726</v>
      </c>
      <c r="BI447" s="95">
        <v>9.0999999999999998E-2</v>
      </c>
      <c r="BJ447" s="96">
        <v>9.4</v>
      </c>
    </row>
    <row r="448" spans="1:62" ht="13.8" x14ac:dyDescent="0.25">
      <c r="A448" s="239"/>
      <c r="BB448" s="187">
        <v>42740</v>
      </c>
      <c r="BC448" s="180">
        <v>-0.22600000000000001</v>
      </c>
      <c r="BD448" s="191">
        <v>42740</v>
      </c>
      <c r="BE448" s="192">
        <v>6.2E-2</v>
      </c>
      <c r="BH448" s="94">
        <v>42727</v>
      </c>
      <c r="BI448" s="95">
        <v>8.7999999999999995E-2</v>
      </c>
      <c r="BJ448" s="96">
        <v>9.39</v>
      </c>
    </row>
    <row r="449" spans="1:62" ht="13.8" x14ac:dyDescent="0.25">
      <c r="A449" s="239"/>
      <c r="BB449" s="187">
        <v>42741</v>
      </c>
      <c r="BC449" s="180">
        <v>-0.22900000000000001</v>
      </c>
      <c r="BD449" s="191"/>
      <c r="BE449" s="193">
        <f>+BE448</f>
        <v>6.2E-2</v>
      </c>
      <c r="BH449" s="94">
        <v>42731</v>
      </c>
      <c r="BI449" s="95">
        <v>8.5000000000000006E-2</v>
      </c>
      <c r="BJ449" s="96">
        <v>9.3800000000000008</v>
      </c>
    </row>
    <row r="450" spans="1:62" ht="13.8" x14ac:dyDescent="0.25">
      <c r="A450" s="239"/>
      <c r="BB450" s="187">
        <v>42744</v>
      </c>
      <c r="BC450" s="180">
        <v>-0.23</v>
      </c>
      <c r="BD450" s="191">
        <v>42744</v>
      </c>
      <c r="BE450" s="192">
        <v>0.06</v>
      </c>
      <c r="BH450" s="94">
        <v>42732</v>
      </c>
      <c r="BI450" s="95">
        <v>8.1000000000000003E-2</v>
      </c>
      <c r="BJ450" s="96">
        <v>9.3800000000000008</v>
      </c>
    </row>
    <row r="451" spans="1:62" ht="13.8" x14ac:dyDescent="0.25">
      <c r="A451" s="239"/>
      <c r="BB451" s="187">
        <v>42745</v>
      </c>
      <c r="BC451" s="180">
        <v>-0.23200000000000001</v>
      </c>
      <c r="BD451" s="191">
        <v>42745</v>
      </c>
      <c r="BE451" s="192">
        <v>5.8999999999999997E-2</v>
      </c>
      <c r="BH451" s="94">
        <v>42733</v>
      </c>
      <c r="BI451" s="95">
        <v>7.8E-2</v>
      </c>
      <c r="BJ451" s="96">
        <v>9.3800000000000008</v>
      </c>
    </row>
    <row r="452" spans="1:62" ht="13.8" x14ac:dyDescent="0.25">
      <c r="A452" s="239"/>
      <c r="BB452" s="187">
        <v>42746</v>
      </c>
      <c r="BC452" s="180">
        <v>-0.23300000000000001</v>
      </c>
      <c r="BD452" s="191">
        <v>42746</v>
      </c>
      <c r="BE452" s="192">
        <v>5.5E-2</v>
      </c>
      <c r="BH452" s="94">
        <v>42734</v>
      </c>
      <c r="BI452" s="95">
        <v>7.5999999999999998E-2</v>
      </c>
      <c r="BJ452" s="96">
        <v>9.3699999999999992</v>
      </c>
    </row>
    <row r="453" spans="1:62" ht="13.8" x14ac:dyDescent="0.25">
      <c r="A453" s="239"/>
      <c r="BB453" s="187">
        <v>42747</v>
      </c>
      <c r="BC453" s="180">
        <v>-0.23400000000000001</v>
      </c>
      <c r="BD453" s="191">
        <v>42747</v>
      </c>
      <c r="BE453" s="192">
        <v>5.7000000000000002E-2</v>
      </c>
      <c r="BH453" s="94">
        <v>42737</v>
      </c>
      <c r="BI453" s="95">
        <v>7.0000000000000007E-2</v>
      </c>
      <c r="BJ453" s="96">
        <v>9.3699999999999992</v>
      </c>
    </row>
    <row r="454" spans="1:62" ht="13.8" x14ac:dyDescent="0.25">
      <c r="A454" s="239"/>
      <c r="BB454" s="187">
        <v>42748</v>
      </c>
      <c r="BC454" s="180">
        <v>-0.23599999999999999</v>
      </c>
      <c r="BD454" s="191">
        <v>42748</v>
      </c>
      <c r="BE454" s="192">
        <v>5.6000000000000001E-2</v>
      </c>
      <c r="BH454" s="94">
        <v>42738</v>
      </c>
      <c r="BI454" s="95">
        <v>6.7000000000000004E-2</v>
      </c>
      <c r="BJ454" s="96">
        <v>9.36</v>
      </c>
    </row>
    <row r="455" spans="1:62" ht="13.8" x14ac:dyDescent="0.25">
      <c r="A455" s="239"/>
      <c r="BB455" s="187">
        <v>42751</v>
      </c>
      <c r="BC455" s="180">
        <v>-0.23799999999999999</v>
      </c>
      <c r="BD455" s="191">
        <v>42751</v>
      </c>
      <c r="BE455" s="192">
        <v>0.10100000000000001</v>
      </c>
      <c r="BH455" s="94">
        <v>42739</v>
      </c>
      <c r="BI455" s="95">
        <v>6.4000000000000001E-2</v>
      </c>
      <c r="BJ455" s="96">
        <v>9.36</v>
      </c>
    </row>
    <row r="456" spans="1:62" ht="13.8" x14ac:dyDescent="0.25">
      <c r="A456" s="239"/>
      <c r="BB456" s="187">
        <v>42752</v>
      </c>
      <c r="BC456" s="180">
        <v>-0.23899999999999999</v>
      </c>
      <c r="BD456" s="191">
        <v>42752</v>
      </c>
      <c r="BE456" s="192">
        <v>0.1</v>
      </c>
      <c r="BH456" s="94">
        <v>42740</v>
      </c>
      <c r="BI456" s="95">
        <v>6.2E-2</v>
      </c>
      <c r="BJ456" s="96">
        <v>9.36</v>
      </c>
    </row>
    <row r="457" spans="1:62" ht="13.8" x14ac:dyDescent="0.25">
      <c r="A457" s="239"/>
      <c r="BB457" s="187">
        <v>42753</v>
      </c>
      <c r="BC457" s="180">
        <v>-0.24</v>
      </c>
      <c r="BD457" s="191">
        <v>42753</v>
      </c>
      <c r="BE457" s="192">
        <v>0.1</v>
      </c>
      <c r="BH457" s="94">
        <v>42744</v>
      </c>
      <c r="BI457" s="95">
        <v>0.06</v>
      </c>
      <c r="BJ457" s="96">
        <v>9.35</v>
      </c>
    </row>
    <row r="458" spans="1:62" ht="13.8" x14ac:dyDescent="0.25">
      <c r="A458" s="239"/>
      <c r="BB458" s="187">
        <v>42754</v>
      </c>
      <c r="BC458" s="180">
        <v>-0.24</v>
      </c>
      <c r="BD458" s="191">
        <v>42754</v>
      </c>
      <c r="BE458" s="192">
        <v>0.10299999999999999</v>
      </c>
      <c r="BH458" s="94">
        <v>42745</v>
      </c>
      <c r="BI458" s="95">
        <v>5.8999999999999997E-2</v>
      </c>
      <c r="BJ458" s="96">
        <v>9.34</v>
      </c>
    </row>
    <row r="459" spans="1:62" ht="13.8" x14ac:dyDescent="0.25">
      <c r="A459" s="239"/>
      <c r="BB459" s="187">
        <v>42755</v>
      </c>
      <c r="BC459" s="180">
        <v>-0.24099999999999999</v>
      </c>
      <c r="BD459" s="191">
        <v>42755</v>
      </c>
      <c r="BE459" s="192">
        <v>0.108</v>
      </c>
      <c r="BH459" s="94">
        <v>42746</v>
      </c>
      <c r="BI459" s="95">
        <v>5.5E-2</v>
      </c>
      <c r="BJ459" s="96">
        <v>9.34</v>
      </c>
    </row>
    <row r="460" spans="1:62" ht="13.8" x14ac:dyDescent="0.25">
      <c r="A460" s="239"/>
      <c r="BB460" s="187">
        <v>42758</v>
      </c>
      <c r="BC460" s="180">
        <v>-0.24099999999999999</v>
      </c>
      <c r="BD460" s="191">
        <v>42758</v>
      </c>
      <c r="BE460" s="192">
        <v>0.113</v>
      </c>
      <c r="BH460" s="94">
        <v>42747</v>
      </c>
      <c r="BI460" s="95">
        <v>5.7000000000000002E-2</v>
      </c>
      <c r="BJ460" s="96">
        <v>9.39</v>
      </c>
    </row>
    <row r="461" spans="1:62" ht="13.8" x14ac:dyDescent="0.25">
      <c r="A461" s="239"/>
      <c r="BB461" s="187">
        <v>42759</v>
      </c>
      <c r="BC461" s="180">
        <v>-0.24199999999999999</v>
      </c>
      <c r="BD461" s="191">
        <v>42759</v>
      </c>
      <c r="BE461" s="192">
        <v>0.11799999999999999</v>
      </c>
      <c r="BH461" s="94">
        <v>42748</v>
      </c>
      <c r="BI461" s="95">
        <v>5.6000000000000001E-2</v>
      </c>
      <c r="BJ461" s="96">
        <v>9.3800000000000008</v>
      </c>
    </row>
    <row r="462" spans="1:62" ht="13.8" x14ac:dyDescent="0.25">
      <c r="A462" s="239"/>
      <c r="BB462" s="187">
        <v>42760</v>
      </c>
      <c r="BC462" s="180">
        <v>-0.24199999999999999</v>
      </c>
      <c r="BD462" s="191">
        <v>42760</v>
      </c>
      <c r="BE462" s="192">
        <v>0.127</v>
      </c>
      <c r="BH462" s="94">
        <v>42751</v>
      </c>
      <c r="BI462" s="95">
        <v>0.10100000000000001</v>
      </c>
      <c r="BJ462" s="96">
        <v>9.9600000000000009</v>
      </c>
    </row>
    <row r="463" spans="1:62" ht="13.8" x14ac:dyDescent="0.25">
      <c r="A463" s="239"/>
      <c r="BB463" s="187">
        <v>42761</v>
      </c>
      <c r="BC463" s="180">
        <v>-0.24399999999999999</v>
      </c>
      <c r="BD463" s="191">
        <v>42761</v>
      </c>
      <c r="BE463" s="192">
        <v>0.13800000000000001</v>
      </c>
      <c r="BH463" s="94">
        <v>42752</v>
      </c>
      <c r="BI463" s="95">
        <v>0.1</v>
      </c>
      <c r="BJ463" s="96">
        <v>9.9600000000000009</v>
      </c>
    </row>
    <row r="464" spans="1:62" ht="13.8" x14ac:dyDescent="0.25">
      <c r="A464" s="239"/>
      <c r="BB464" s="187">
        <v>42762</v>
      </c>
      <c r="BC464" s="180">
        <v>-0.24299999999999999</v>
      </c>
      <c r="BD464" s="191">
        <v>42762</v>
      </c>
      <c r="BE464" s="192">
        <v>0.14899999999999999</v>
      </c>
      <c r="BH464" s="94">
        <v>42753</v>
      </c>
      <c r="BI464" s="95">
        <v>0.1</v>
      </c>
      <c r="BJ464" s="96">
        <v>9.9499999999999993</v>
      </c>
    </row>
    <row r="465" spans="1:62" ht="13.8" x14ac:dyDescent="0.25">
      <c r="A465" s="239"/>
      <c r="BB465" s="187">
        <v>42765</v>
      </c>
      <c r="BC465" s="180">
        <v>-0.24399999999999999</v>
      </c>
      <c r="BD465" s="191">
        <v>42765</v>
      </c>
      <c r="BE465" s="192">
        <v>0.161</v>
      </c>
      <c r="BH465" s="94">
        <v>42754</v>
      </c>
      <c r="BI465" s="95">
        <v>0.10299999999999999</v>
      </c>
      <c r="BJ465" s="96">
        <v>9.9499999999999993</v>
      </c>
    </row>
    <row r="466" spans="1:62" ht="13.8" x14ac:dyDescent="0.25">
      <c r="A466" s="239"/>
      <c r="BB466" s="187">
        <v>42766</v>
      </c>
      <c r="BC466" s="180">
        <v>-0.24299999999999999</v>
      </c>
      <c r="BD466" s="191">
        <v>42766</v>
      </c>
      <c r="BE466" s="192">
        <v>0.17199999999999999</v>
      </c>
      <c r="BH466" s="94">
        <v>42755</v>
      </c>
      <c r="BI466" s="95">
        <v>0.108</v>
      </c>
      <c r="BJ466" s="96">
        <v>9.9499999999999993</v>
      </c>
    </row>
    <row r="467" spans="1:62" ht="13.8" x14ac:dyDescent="0.25">
      <c r="A467" s="239"/>
      <c r="BB467" s="187">
        <v>42767</v>
      </c>
      <c r="BC467" s="180">
        <v>-0.24399999999999999</v>
      </c>
      <c r="BD467" s="191">
        <v>42767</v>
      </c>
      <c r="BE467" s="192">
        <v>0.18099999999999999</v>
      </c>
      <c r="BH467" s="94">
        <v>42758</v>
      </c>
      <c r="BI467" s="95">
        <v>0.113</v>
      </c>
      <c r="BJ467" s="96">
        <v>9.94</v>
      </c>
    </row>
    <row r="468" spans="1:62" ht="13.8" x14ac:dyDescent="0.25">
      <c r="A468" s="239"/>
      <c r="BB468" s="187">
        <v>42768</v>
      </c>
      <c r="BC468" s="180">
        <v>-0.24399999999999999</v>
      </c>
      <c r="BD468" s="191">
        <v>42768</v>
      </c>
      <c r="BE468" s="192">
        <v>0.188</v>
      </c>
      <c r="BH468" s="94">
        <v>42759</v>
      </c>
      <c r="BI468" s="95">
        <v>0.11799999999999999</v>
      </c>
      <c r="BJ468" s="96">
        <v>9.94</v>
      </c>
    </row>
    <row r="469" spans="1:62" ht="13.8" x14ac:dyDescent="0.25">
      <c r="A469" s="239"/>
      <c r="BB469" s="187">
        <v>42769</v>
      </c>
      <c r="BC469" s="180">
        <v>-0.24399999999999999</v>
      </c>
      <c r="BD469" s="191">
        <v>42769</v>
      </c>
      <c r="BE469" s="192">
        <v>0.192</v>
      </c>
      <c r="BH469" s="94">
        <v>42760</v>
      </c>
      <c r="BI469" s="95">
        <v>0.127</v>
      </c>
      <c r="BJ469" s="96">
        <v>9.94</v>
      </c>
    </row>
    <row r="470" spans="1:62" ht="13.8" x14ac:dyDescent="0.25">
      <c r="A470" s="239"/>
      <c r="BB470" s="187">
        <v>42772</v>
      </c>
      <c r="BC470" s="180">
        <v>-0.24399999999999999</v>
      </c>
      <c r="BD470" s="191">
        <v>42772</v>
      </c>
      <c r="BE470" s="192">
        <v>0.19500000000000001</v>
      </c>
      <c r="BH470" s="94">
        <v>42761</v>
      </c>
      <c r="BI470" s="95">
        <v>0.13800000000000001</v>
      </c>
      <c r="BJ470" s="96">
        <v>9.93</v>
      </c>
    </row>
    <row r="471" spans="1:62" ht="13.8" x14ac:dyDescent="0.25">
      <c r="A471" s="239"/>
      <c r="BB471" s="187">
        <v>42773</v>
      </c>
      <c r="BC471" s="180">
        <v>-0.24399999999999999</v>
      </c>
      <c r="BD471" s="191">
        <v>42773</v>
      </c>
      <c r="BE471" s="192">
        <v>0.19700000000000001</v>
      </c>
      <c r="BH471" s="94">
        <v>42762</v>
      </c>
      <c r="BI471" s="95">
        <v>0.14899999999999999</v>
      </c>
      <c r="BJ471" s="96">
        <v>9.93</v>
      </c>
    </row>
    <row r="472" spans="1:62" ht="13.8" x14ac:dyDescent="0.25">
      <c r="A472" s="239"/>
      <c r="BB472" s="187">
        <v>42774</v>
      </c>
      <c r="BC472" s="180">
        <v>-0.24199999999999999</v>
      </c>
      <c r="BD472" s="191">
        <v>42774</v>
      </c>
      <c r="BE472" s="192">
        <v>0.19800000000000001</v>
      </c>
      <c r="BH472" s="94">
        <v>42765</v>
      </c>
      <c r="BI472" s="95">
        <v>0.161</v>
      </c>
      <c r="BJ472" s="96">
        <v>9.92</v>
      </c>
    </row>
    <row r="473" spans="1:62" ht="13.8" x14ac:dyDescent="0.25">
      <c r="A473" s="239"/>
      <c r="BB473" s="187">
        <v>42775</v>
      </c>
      <c r="BC473" s="180">
        <v>-0.24099999999999999</v>
      </c>
      <c r="BD473" s="191">
        <v>42775</v>
      </c>
      <c r="BE473" s="192">
        <v>0.2</v>
      </c>
      <c r="BH473" s="94">
        <v>42766</v>
      </c>
      <c r="BI473" s="95">
        <v>0.17199999999999999</v>
      </c>
      <c r="BJ473" s="96">
        <v>9.92</v>
      </c>
    </row>
    <row r="474" spans="1:62" ht="13.8" x14ac:dyDescent="0.25">
      <c r="A474" s="239"/>
      <c r="BB474" s="187">
        <v>42776</v>
      </c>
      <c r="BC474" s="180">
        <v>-0.24</v>
      </c>
      <c r="BD474" s="191">
        <v>42776</v>
      </c>
      <c r="BE474" s="192">
        <v>0.20200000000000001</v>
      </c>
      <c r="BH474" s="94">
        <v>42767</v>
      </c>
      <c r="BI474" s="95">
        <v>0.18099999999999999</v>
      </c>
      <c r="BJ474" s="96">
        <v>9.92</v>
      </c>
    </row>
    <row r="475" spans="1:62" ht="13.8" x14ac:dyDescent="0.25">
      <c r="A475" s="239"/>
      <c r="BB475" s="187">
        <v>42779</v>
      </c>
      <c r="BC475" s="180">
        <v>-0.24</v>
      </c>
      <c r="BD475" s="191">
        <v>42779</v>
      </c>
      <c r="BE475" s="192">
        <v>0.20399999999999999</v>
      </c>
      <c r="BH475" s="94">
        <v>42768</v>
      </c>
      <c r="BI475" s="95">
        <v>0.188</v>
      </c>
      <c r="BJ475" s="96">
        <v>9.91</v>
      </c>
    </row>
    <row r="476" spans="1:62" ht="13.8" x14ac:dyDescent="0.25">
      <c r="A476" s="239"/>
      <c r="BB476" s="187">
        <v>42780</v>
      </c>
      <c r="BC476" s="180">
        <v>-0.24099999999999999</v>
      </c>
      <c r="BD476" s="191">
        <v>42780</v>
      </c>
      <c r="BE476" s="192">
        <v>0.20799999999999999</v>
      </c>
      <c r="BH476" s="94">
        <v>42769</v>
      </c>
      <c r="BI476" s="95">
        <v>0.192</v>
      </c>
      <c r="BJ476" s="96">
        <v>9.91</v>
      </c>
    </row>
    <row r="477" spans="1:62" ht="13.8" x14ac:dyDescent="0.25">
      <c r="A477" s="239"/>
      <c r="BB477" s="187">
        <v>42781</v>
      </c>
      <c r="BC477" s="180">
        <v>-0.24099999999999999</v>
      </c>
      <c r="BD477" s="191">
        <v>42781</v>
      </c>
      <c r="BE477" s="192">
        <v>0.21099999999999999</v>
      </c>
      <c r="BH477" s="94">
        <v>42772</v>
      </c>
      <c r="BI477" s="95">
        <v>0.19500000000000001</v>
      </c>
      <c r="BJ477" s="96">
        <v>9.9</v>
      </c>
    </row>
    <row r="478" spans="1:62" ht="13.8" x14ac:dyDescent="0.25">
      <c r="A478" s="239"/>
      <c r="BB478" s="187">
        <v>42782</v>
      </c>
      <c r="BC478" s="180">
        <v>-0.23899999999999999</v>
      </c>
      <c r="BD478" s="191">
        <v>42782</v>
      </c>
      <c r="BE478" s="192">
        <v>0.21199999999999999</v>
      </c>
      <c r="BH478" s="94">
        <v>42773</v>
      </c>
      <c r="BI478" s="95">
        <v>0.19700000000000001</v>
      </c>
      <c r="BJ478" s="96">
        <v>9.9</v>
      </c>
    </row>
    <row r="479" spans="1:62" ht="13.8" x14ac:dyDescent="0.25">
      <c r="A479" s="239"/>
      <c r="BB479" s="187">
        <v>42783</v>
      </c>
      <c r="BC479" s="180">
        <v>-0.23899999999999999</v>
      </c>
      <c r="BD479" s="191">
        <v>42783</v>
      </c>
      <c r="BE479" s="192">
        <v>0.21</v>
      </c>
      <c r="BH479" s="94">
        <v>42774</v>
      </c>
      <c r="BI479" s="95">
        <v>0.19800000000000001</v>
      </c>
      <c r="BJ479" s="96">
        <v>9.9</v>
      </c>
    </row>
    <row r="480" spans="1:62" ht="13.8" x14ac:dyDescent="0.25">
      <c r="A480" s="239"/>
      <c r="BB480" s="187">
        <v>42786</v>
      </c>
      <c r="BC480" s="180">
        <v>-0.23799999999999999</v>
      </c>
      <c r="BD480" s="191">
        <v>42786</v>
      </c>
      <c r="BE480" s="192">
        <v>0.20899999999999999</v>
      </c>
      <c r="BH480" s="94">
        <v>42775</v>
      </c>
      <c r="BI480" s="95">
        <v>0.2</v>
      </c>
      <c r="BJ480" s="96">
        <v>9.8800000000000008</v>
      </c>
    </row>
    <row r="481" spans="1:62" ht="13.8" x14ac:dyDescent="0.25">
      <c r="A481" s="239"/>
      <c r="BB481" s="187">
        <v>42787</v>
      </c>
      <c r="BC481" s="180">
        <v>-0.23799999999999999</v>
      </c>
      <c r="BD481" s="191">
        <v>42787</v>
      </c>
      <c r="BE481" s="192">
        <v>0.20899999999999999</v>
      </c>
      <c r="BH481" s="94">
        <v>42776</v>
      </c>
      <c r="BI481" s="95">
        <v>0.20200000000000001</v>
      </c>
      <c r="BJ481" s="96">
        <v>9.8800000000000008</v>
      </c>
    </row>
    <row r="482" spans="1:62" ht="13.8" x14ac:dyDescent="0.25">
      <c r="A482" s="239"/>
      <c r="BB482" s="187">
        <v>42788</v>
      </c>
      <c r="BC482" s="180">
        <v>-0.23899999999999999</v>
      </c>
      <c r="BD482" s="191">
        <v>42788</v>
      </c>
      <c r="BE482" s="192">
        <v>0.20399999999999999</v>
      </c>
      <c r="BH482" s="94">
        <v>42779</v>
      </c>
      <c r="BI482" s="95">
        <v>0.20399999999999999</v>
      </c>
      <c r="BJ482" s="96">
        <v>9.8699999999999992</v>
      </c>
    </row>
    <row r="483" spans="1:62" ht="13.8" x14ac:dyDescent="0.25">
      <c r="A483" s="239"/>
      <c r="BB483" s="187">
        <v>42789</v>
      </c>
      <c r="BC483" s="180">
        <v>-0.23799999999999999</v>
      </c>
      <c r="BD483" s="191">
        <v>42789</v>
      </c>
      <c r="BE483" s="192">
        <v>0.19600000000000001</v>
      </c>
      <c r="BH483" s="94">
        <v>42780</v>
      </c>
      <c r="BI483" s="95">
        <v>0.20799999999999999</v>
      </c>
      <c r="BJ483" s="96">
        <v>9.8699999999999992</v>
      </c>
    </row>
    <row r="484" spans="1:62" ht="13.8" x14ac:dyDescent="0.25">
      <c r="A484" s="239"/>
      <c r="BB484" s="187">
        <v>42790</v>
      </c>
      <c r="BC484" s="180">
        <v>-0.23799999999999999</v>
      </c>
      <c r="BD484" s="191">
        <v>42790</v>
      </c>
      <c r="BE484" s="192">
        <v>0.186</v>
      </c>
      <c r="BH484" s="94">
        <v>42781</v>
      </c>
      <c r="BI484" s="95">
        <v>0.21099999999999999</v>
      </c>
      <c r="BJ484" s="96">
        <v>9.86</v>
      </c>
    </row>
    <row r="485" spans="1:62" ht="13.8" x14ac:dyDescent="0.25">
      <c r="A485" s="239"/>
      <c r="BB485" s="187">
        <v>42793</v>
      </c>
      <c r="BC485" s="180">
        <v>-0.23799999999999999</v>
      </c>
      <c r="BD485" s="191">
        <v>42793</v>
      </c>
      <c r="BE485" s="192">
        <v>0.17399999999999999</v>
      </c>
      <c r="BH485" s="94">
        <v>42782</v>
      </c>
      <c r="BI485" s="95">
        <v>0.21199999999999999</v>
      </c>
      <c r="BJ485" s="96">
        <v>9.86</v>
      </c>
    </row>
    <row r="486" spans="1:62" ht="13.8" x14ac:dyDescent="0.25">
      <c r="A486" s="239"/>
      <c r="BB486" s="187">
        <v>42794</v>
      </c>
      <c r="BC486" s="180">
        <v>-0.23899999999999999</v>
      </c>
      <c r="BD486" s="191">
        <v>42794</v>
      </c>
      <c r="BE486" s="192">
        <v>0.16400000000000001</v>
      </c>
      <c r="BH486" s="94">
        <v>42783</v>
      </c>
      <c r="BI486" s="95">
        <v>0.21</v>
      </c>
      <c r="BJ486" s="96">
        <v>9.86</v>
      </c>
    </row>
    <row r="487" spans="1:62" ht="13.8" x14ac:dyDescent="0.25">
      <c r="A487" s="239"/>
      <c r="BB487" s="187">
        <v>42795</v>
      </c>
      <c r="BC487" s="180">
        <v>-0.23699999999999999</v>
      </c>
      <c r="BD487" s="191">
        <v>42795</v>
      </c>
      <c r="BE487" s="192">
        <v>0.155</v>
      </c>
      <c r="BH487" s="94">
        <v>42786</v>
      </c>
      <c r="BI487" s="95">
        <v>0.20899999999999999</v>
      </c>
      <c r="BJ487" s="96">
        <v>9.85</v>
      </c>
    </row>
    <row r="488" spans="1:62" ht="13.8" x14ac:dyDescent="0.25">
      <c r="A488" s="239"/>
      <c r="BB488" s="187">
        <v>42796</v>
      </c>
      <c r="BC488" s="180">
        <v>-0.23799999999999999</v>
      </c>
      <c r="BD488" s="191">
        <v>42796</v>
      </c>
      <c r="BE488" s="192">
        <v>0.15</v>
      </c>
      <c r="BH488" s="94">
        <v>42787</v>
      </c>
      <c r="BI488" s="95">
        <v>0.20899999999999999</v>
      </c>
      <c r="BJ488" s="96">
        <v>9.85</v>
      </c>
    </row>
    <row r="489" spans="1:62" ht="13.8" x14ac:dyDescent="0.25">
      <c r="A489" s="239"/>
      <c r="BB489" s="187">
        <v>42797</v>
      </c>
      <c r="BC489" s="180">
        <v>-0.23699999999999999</v>
      </c>
      <c r="BD489" s="191">
        <v>42797</v>
      </c>
      <c r="BE489" s="192">
        <v>0.14499999999999999</v>
      </c>
      <c r="BH489" s="94">
        <v>42788</v>
      </c>
      <c r="BI489" s="95">
        <v>0.20399999999999999</v>
      </c>
      <c r="BJ489" s="96">
        <v>9.85</v>
      </c>
    </row>
    <row r="490" spans="1:62" ht="13.8" x14ac:dyDescent="0.25">
      <c r="A490" s="239"/>
      <c r="BB490" s="187">
        <v>42800</v>
      </c>
      <c r="BC490" s="180">
        <v>-0.24099999999999999</v>
      </c>
      <c r="BD490" s="191">
        <v>42800</v>
      </c>
      <c r="BE490" s="192">
        <v>0.14199999999999999</v>
      </c>
      <c r="BH490" s="94">
        <v>42789</v>
      </c>
      <c r="BI490" s="95">
        <v>0.19600000000000001</v>
      </c>
      <c r="BJ490" s="96">
        <v>9.84</v>
      </c>
    </row>
    <row r="491" spans="1:62" ht="13.8" x14ac:dyDescent="0.25">
      <c r="A491" s="239"/>
      <c r="BB491" s="187">
        <v>42801</v>
      </c>
      <c r="BC491" s="180">
        <v>-0.24</v>
      </c>
      <c r="BD491" s="191">
        <v>42801</v>
      </c>
      <c r="BE491" s="192">
        <v>0.13900000000000001</v>
      </c>
      <c r="BH491" s="94">
        <v>42790</v>
      </c>
      <c r="BI491" s="95">
        <v>0.186</v>
      </c>
      <c r="BJ491" s="96">
        <v>9.84</v>
      </c>
    </row>
    <row r="492" spans="1:62" ht="13.8" x14ac:dyDescent="0.25">
      <c r="A492" s="239"/>
      <c r="BB492" s="187">
        <v>42802</v>
      </c>
      <c r="BC492" s="180">
        <v>-0.24099999999999999</v>
      </c>
      <c r="BD492" s="191">
        <v>42802</v>
      </c>
      <c r="BE492" s="192">
        <v>0.13800000000000001</v>
      </c>
      <c r="BH492" s="94">
        <v>42793</v>
      </c>
      <c r="BI492" s="95">
        <v>0.17399999999999999</v>
      </c>
      <c r="BJ492" s="96">
        <v>9.83</v>
      </c>
    </row>
    <row r="493" spans="1:62" ht="13.8" x14ac:dyDescent="0.25">
      <c r="A493" s="239"/>
      <c r="BB493" s="187">
        <v>42803</v>
      </c>
      <c r="BC493" s="180">
        <v>-0.24099999999999999</v>
      </c>
      <c r="BD493" s="191">
        <v>42803</v>
      </c>
      <c r="BE493" s="192">
        <v>0.14499999999999999</v>
      </c>
      <c r="BH493" s="94">
        <v>42794</v>
      </c>
      <c r="BI493" s="95">
        <v>0.16400000000000001</v>
      </c>
      <c r="BJ493" s="96">
        <v>9.83</v>
      </c>
    </row>
    <row r="494" spans="1:62" ht="13.8" x14ac:dyDescent="0.25">
      <c r="A494" s="239"/>
      <c r="BB494" s="187">
        <v>42804</v>
      </c>
      <c r="BC494" s="180">
        <v>-0.24099999999999999</v>
      </c>
      <c r="BD494" s="191">
        <v>42804</v>
      </c>
      <c r="BE494" s="192">
        <v>0.14699999999999999</v>
      </c>
      <c r="BH494" s="94">
        <v>42795</v>
      </c>
      <c r="BI494" s="95">
        <v>0.155</v>
      </c>
      <c r="BJ494" s="96">
        <v>9.83</v>
      </c>
    </row>
    <row r="495" spans="1:62" ht="13.8" x14ac:dyDescent="0.25">
      <c r="A495" s="239"/>
      <c r="BB495" s="187">
        <v>42807</v>
      </c>
      <c r="BC495" s="180">
        <v>-0.24099999999999999</v>
      </c>
      <c r="BD495" s="191">
        <v>42807</v>
      </c>
      <c r="BE495" s="192">
        <v>0.14799999999999999</v>
      </c>
      <c r="BH495" s="94">
        <v>42796</v>
      </c>
      <c r="BI495" s="95">
        <v>0.15</v>
      </c>
      <c r="BJ495" s="96">
        <v>9.82</v>
      </c>
    </row>
    <row r="496" spans="1:62" ht="13.8" x14ac:dyDescent="0.25">
      <c r="A496" s="239"/>
      <c r="BB496" s="187">
        <v>42808</v>
      </c>
      <c r="BC496" s="180">
        <v>-0.24099999999999999</v>
      </c>
      <c r="BD496" s="191">
        <v>42808</v>
      </c>
      <c r="BE496" s="192">
        <v>0.15</v>
      </c>
      <c r="BH496" s="94">
        <v>42797</v>
      </c>
      <c r="BI496" s="95">
        <v>0.14499999999999999</v>
      </c>
      <c r="BJ496" s="96">
        <v>9.82</v>
      </c>
    </row>
    <row r="497" spans="1:62" ht="13.8" x14ac:dyDescent="0.25">
      <c r="A497" s="239"/>
      <c r="BB497" s="187">
        <v>42809</v>
      </c>
      <c r="BC497" s="180">
        <v>-0.24099999999999999</v>
      </c>
      <c r="BD497" s="191">
        <v>42809</v>
      </c>
      <c r="BE497" s="192">
        <v>0.14899999999999999</v>
      </c>
      <c r="BH497" s="94">
        <v>42800</v>
      </c>
      <c r="BI497" s="95">
        <v>0.14199999999999999</v>
      </c>
      <c r="BJ497" s="96">
        <v>9.81</v>
      </c>
    </row>
    <row r="498" spans="1:62" ht="13.8" x14ac:dyDescent="0.25">
      <c r="A498" s="239"/>
      <c r="BB498" s="187">
        <v>42810</v>
      </c>
      <c r="BC498" s="180">
        <v>-0.24099999999999999</v>
      </c>
      <c r="BD498" s="191">
        <v>42810</v>
      </c>
      <c r="BE498" s="192">
        <v>0.15</v>
      </c>
      <c r="BH498" s="94">
        <v>42801</v>
      </c>
      <c r="BI498" s="95">
        <v>0.13900000000000001</v>
      </c>
      <c r="BJ498" s="96">
        <v>9.81</v>
      </c>
    </row>
    <row r="499" spans="1:62" ht="13.8" x14ac:dyDescent="0.25">
      <c r="A499" s="239"/>
      <c r="BB499" s="187">
        <v>42811</v>
      </c>
      <c r="BC499" s="180">
        <v>-0.24099999999999999</v>
      </c>
      <c r="BD499" s="191">
        <v>42811</v>
      </c>
      <c r="BE499" s="192">
        <v>0.152</v>
      </c>
      <c r="BH499" s="94">
        <v>42802</v>
      </c>
      <c r="BI499" s="95">
        <v>0.13800000000000001</v>
      </c>
      <c r="BJ499" s="96">
        <v>9.81</v>
      </c>
    </row>
    <row r="500" spans="1:62" ht="13.8" x14ac:dyDescent="0.25">
      <c r="A500" s="239"/>
      <c r="BB500" s="187">
        <v>42814</v>
      </c>
      <c r="BC500" s="180">
        <v>-0.24099999999999999</v>
      </c>
      <c r="BD500" s="191">
        <v>42814</v>
      </c>
      <c r="BE500" s="192">
        <v>0.155</v>
      </c>
      <c r="BH500" s="94">
        <v>42803</v>
      </c>
      <c r="BI500" s="95">
        <v>0.14499999999999999</v>
      </c>
      <c r="BJ500" s="96">
        <v>9.83</v>
      </c>
    </row>
    <row r="501" spans="1:62" ht="13.8" x14ac:dyDescent="0.25">
      <c r="A501" s="239"/>
      <c r="BB501" s="187">
        <v>42815</v>
      </c>
      <c r="BC501" s="180">
        <v>-0.24099999999999999</v>
      </c>
      <c r="BD501" s="191">
        <v>42815</v>
      </c>
      <c r="BE501" s="192">
        <v>0.158</v>
      </c>
      <c r="BH501" s="94">
        <v>42804</v>
      </c>
      <c r="BI501" s="95">
        <v>0.14699999999999999</v>
      </c>
      <c r="BJ501" s="96">
        <v>9.83</v>
      </c>
    </row>
    <row r="502" spans="1:62" ht="13.8" x14ac:dyDescent="0.25">
      <c r="A502" s="239"/>
      <c r="BB502" s="187">
        <v>42816</v>
      </c>
      <c r="BC502" s="180">
        <v>-0.24199999999999999</v>
      </c>
      <c r="BD502" s="191">
        <v>42816</v>
      </c>
      <c r="BE502" s="192">
        <v>0.161</v>
      </c>
      <c r="BH502" s="94">
        <v>42807</v>
      </c>
      <c r="BI502" s="95">
        <v>0.14799999999999999</v>
      </c>
      <c r="BJ502" s="96">
        <v>9.82</v>
      </c>
    </row>
    <row r="503" spans="1:62" ht="13.8" x14ac:dyDescent="0.25">
      <c r="A503" s="239"/>
      <c r="BB503" s="187">
        <v>42817</v>
      </c>
      <c r="BC503" s="180">
        <v>-0.24199999999999999</v>
      </c>
      <c r="BD503" s="191">
        <v>42817</v>
      </c>
      <c r="BE503" s="192">
        <v>0.16500000000000001</v>
      </c>
      <c r="BH503" s="94">
        <v>42808</v>
      </c>
      <c r="BI503" s="95">
        <v>0.15</v>
      </c>
      <c r="BJ503" s="96">
        <v>9.82</v>
      </c>
    </row>
    <row r="504" spans="1:62" ht="13.8" x14ac:dyDescent="0.25">
      <c r="A504" s="239"/>
      <c r="BB504" s="187">
        <v>42818</v>
      </c>
      <c r="BC504" s="180">
        <v>-0.24199999999999999</v>
      </c>
      <c r="BD504" s="191">
        <v>42818</v>
      </c>
      <c r="BE504" s="192">
        <v>0.17299999999999999</v>
      </c>
      <c r="BH504" s="94">
        <v>42809</v>
      </c>
      <c r="BI504" s="95">
        <v>0.14899999999999999</v>
      </c>
      <c r="BJ504" s="96">
        <v>9.82</v>
      </c>
    </row>
    <row r="505" spans="1:62" ht="13.8" x14ac:dyDescent="0.25">
      <c r="A505" s="239"/>
      <c r="BB505" s="187">
        <v>42821</v>
      </c>
      <c r="BC505" s="180">
        <v>-0.24199999999999999</v>
      </c>
      <c r="BD505" s="191">
        <v>42821</v>
      </c>
      <c r="BE505" s="192">
        <v>0.18</v>
      </c>
      <c r="BH505" s="94">
        <v>42810</v>
      </c>
      <c r="BI505" s="95">
        <v>0.15</v>
      </c>
      <c r="BJ505" s="96">
        <v>9.81</v>
      </c>
    </row>
    <row r="506" spans="1:62" ht="13.8" x14ac:dyDescent="0.25">
      <c r="A506" s="239"/>
      <c r="BB506" s="187">
        <v>42822</v>
      </c>
      <c r="BC506" s="180">
        <v>-0.24199999999999999</v>
      </c>
      <c r="BD506" s="191">
        <v>42822</v>
      </c>
      <c r="BE506" s="192">
        <v>0.186</v>
      </c>
      <c r="BH506" s="94">
        <v>42811</v>
      </c>
      <c r="BI506" s="95">
        <v>0.152</v>
      </c>
      <c r="BJ506" s="96">
        <v>9.81</v>
      </c>
    </row>
    <row r="507" spans="1:62" ht="13.8" x14ac:dyDescent="0.25">
      <c r="A507" s="239"/>
      <c r="BB507" s="187">
        <v>42823</v>
      </c>
      <c r="BC507" s="180">
        <v>-0.24199999999999999</v>
      </c>
      <c r="BD507" s="191">
        <v>42823</v>
      </c>
      <c r="BE507" s="192">
        <v>0.19</v>
      </c>
      <c r="BH507" s="94">
        <v>42814</v>
      </c>
      <c r="BI507" s="95">
        <v>0.155</v>
      </c>
      <c r="BJ507" s="96">
        <v>9.8000000000000007</v>
      </c>
    </row>
    <row r="508" spans="1:62" ht="13.8" x14ac:dyDescent="0.25">
      <c r="A508" s="239"/>
      <c r="BB508" s="187">
        <v>42824</v>
      </c>
      <c r="BC508" s="180">
        <v>-0.24099999999999999</v>
      </c>
      <c r="BD508" s="191">
        <v>42824</v>
      </c>
      <c r="BE508" s="192">
        <v>0.19</v>
      </c>
      <c r="BH508" s="94">
        <v>42815</v>
      </c>
      <c r="BI508" s="95">
        <v>0.158</v>
      </c>
      <c r="BJ508" s="96">
        <v>9.8000000000000007</v>
      </c>
    </row>
    <row r="509" spans="1:62" ht="13.8" x14ac:dyDescent="0.25">
      <c r="A509" s="239"/>
      <c r="BB509" s="187">
        <v>42825</v>
      </c>
      <c r="BC509" s="180">
        <v>-0.24099999999999999</v>
      </c>
      <c r="BD509" s="191">
        <v>42825</v>
      </c>
      <c r="BE509" s="192">
        <v>0.19</v>
      </c>
      <c r="BH509" s="94">
        <v>42816</v>
      </c>
      <c r="BI509" s="95">
        <v>0.161</v>
      </c>
      <c r="BJ509" s="96">
        <v>9.8000000000000007</v>
      </c>
    </row>
    <row r="510" spans="1:62" ht="13.8" x14ac:dyDescent="0.25">
      <c r="A510" s="239"/>
      <c r="BB510" s="187">
        <v>42828</v>
      </c>
      <c r="BC510" s="180">
        <v>-0.24299999999999999</v>
      </c>
      <c r="BD510" s="191">
        <v>42828</v>
      </c>
      <c r="BE510" s="192">
        <v>0.189</v>
      </c>
      <c r="BH510" s="94">
        <v>42817</v>
      </c>
      <c r="BI510" s="95">
        <v>0.16500000000000001</v>
      </c>
      <c r="BJ510" s="96">
        <v>9.7899999999999991</v>
      </c>
    </row>
    <row r="511" spans="1:62" ht="13.8" x14ac:dyDescent="0.25">
      <c r="A511" s="239"/>
      <c r="BB511" s="187">
        <v>42829</v>
      </c>
      <c r="BC511" s="180">
        <v>-0.24199999999999999</v>
      </c>
      <c r="BD511" s="191">
        <v>42829</v>
      </c>
      <c r="BE511" s="192">
        <v>0.186</v>
      </c>
      <c r="BH511" s="94">
        <v>42818</v>
      </c>
      <c r="BI511" s="95">
        <v>0.17299999999999999</v>
      </c>
      <c r="BJ511" s="96">
        <v>9.7899999999999991</v>
      </c>
    </row>
    <row r="512" spans="1:62" ht="13.8" x14ac:dyDescent="0.25">
      <c r="A512" s="239"/>
      <c r="BB512" s="187">
        <v>42830</v>
      </c>
      <c r="BC512" s="180">
        <v>-0.24099999999999999</v>
      </c>
      <c r="BD512" s="191">
        <v>42830</v>
      </c>
      <c r="BE512" s="192">
        <v>0.182</v>
      </c>
      <c r="BH512" s="94">
        <v>42821</v>
      </c>
      <c r="BI512" s="95">
        <v>0.18</v>
      </c>
      <c r="BJ512" s="96">
        <v>9.7799999999999994</v>
      </c>
    </row>
    <row r="513" spans="1:62" ht="13.8" x14ac:dyDescent="0.25">
      <c r="A513" s="239"/>
      <c r="BB513" s="187">
        <v>42831</v>
      </c>
      <c r="BC513" s="180">
        <v>-0.24199999999999999</v>
      </c>
      <c r="BD513" s="191">
        <v>42831</v>
      </c>
      <c r="BE513" s="192">
        <v>0.17799999999999999</v>
      </c>
      <c r="BH513" s="94">
        <v>42822</v>
      </c>
      <c r="BI513" s="95">
        <v>0.186</v>
      </c>
      <c r="BJ513" s="96">
        <v>9.7799999999999994</v>
      </c>
    </row>
    <row r="514" spans="1:62" ht="13.8" x14ac:dyDescent="0.25">
      <c r="A514" s="239"/>
      <c r="BB514" s="187">
        <v>42832</v>
      </c>
      <c r="BC514" s="180">
        <v>-0.24099999999999999</v>
      </c>
      <c r="BD514" s="191">
        <v>42832</v>
      </c>
      <c r="BE514" s="192">
        <v>0.17</v>
      </c>
      <c r="BH514" s="94">
        <v>42823</v>
      </c>
      <c r="BI514" s="95">
        <v>0.19</v>
      </c>
      <c r="BJ514" s="96">
        <v>9.7799999999999994</v>
      </c>
    </row>
    <row r="515" spans="1:62" ht="13.8" x14ac:dyDescent="0.25">
      <c r="A515" s="239"/>
      <c r="BB515" s="187">
        <v>42835</v>
      </c>
      <c r="BC515" s="180">
        <v>-0.24099999999999999</v>
      </c>
      <c r="BD515" s="191">
        <v>42835</v>
      </c>
      <c r="BE515" s="192">
        <v>0.16200000000000001</v>
      </c>
      <c r="BH515" s="94">
        <v>42824</v>
      </c>
      <c r="BI515" s="95">
        <v>0.19</v>
      </c>
      <c r="BJ515" s="96">
        <v>9.77</v>
      </c>
    </row>
    <row r="516" spans="1:62" ht="13.8" x14ac:dyDescent="0.25">
      <c r="A516" s="239"/>
      <c r="BB516" s="187">
        <v>42836</v>
      </c>
      <c r="BC516" s="180">
        <v>-0.24199999999999999</v>
      </c>
      <c r="BD516" s="191">
        <v>42836</v>
      </c>
      <c r="BE516" s="192">
        <v>0.154</v>
      </c>
      <c r="BH516" s="94">
        <v>42825</v>
      </c>
      <c r="BI516" s="95">
        <v>0.19</v>
      </c>
      <c r="BJ516" s="96">
        <v>9.77</v>
      </c>
    </row>
    <row r="517" spans="1:62" ht="13.8" x14ac:dyDescent="0.25">
      <c r="A517" s="239"/>
      <c r="BB517" s="187">
        <v>42837</v>
      </c>
      <c r="BC517" s="180">
        <v>-0.24199999999999999</v>
      </c>
      <c r="BD517" s="191">
        <v>42837</v>
      </c>
      <c r="BE517" s="192">
        <v>0.14699999999999999</v>
      </c>
      <c r="BH517" s="94">
        <v>42828</v>
      </c>
      <c r="BI517" s="95">
        <v>0.189</v>
      </c>
      <c r="BJ517" s="96">
        <v>9.76</v>
      </c>
    </row>
    <row r="518" spans="1:62" ht="13.8" x14ac:dyDescent="0.25">
      <c r="A518" s="239"/>
      <c r="BB518" s="187">
        <v>42838</v>
      </c>
      <c r="BC518" s="180">
        <v>-0.246</v>
      </c>
      <c r="BD518" s="191">
        <v>42838</v>
      </c>
      <c r="BE518" s="192">
        <v>0.13800000000000001</v>
      </c>
      <c r="BH518" s="94">
        <v>42829</v>
      </c>
      <c r="BI518" s="95">
        <v>0.186</v>
      </c>
      <c r="BJ518" s="96">
        <v>9.76</v>
      </c>
    </row>
    <row r="519" spans="1:62" ht="13.8" x14ac:dyDescent="0.25">
      <c r="A519" s="239"/>
      <c r="BB519" s="187">
        <v>42839</v>
      </c>
      <c r="BC519" s="180">
        <v>-0.246</v>
      </c>
      <c r="BD519" s="191"/>
      <c r="BE519" s="193">
        <f>+BE518</f>
        <v>0.13800000000000001</v>
      </c>
      <c r="BH519" s="94">
        <v>42830</v>
      </c>
      <c r="BI519" s="95">
        <v>0.182</v>
      </c>
      <c r="BJ519" s="96">
        <v>9.76</v>
      </c>
    </row>
    <row r="520" spans="1:62" ht="13.8" x14ac:dyDescent="0.25">
      <c r="A520" s="239"/>
      <c r="BB520" s="187">
        <v>42842</v>
      </c>
      <c r="BC520" s="180">
        <v>-0.246</v>
      </c>
      <c r="BD520" s="191"/>
      <c r="BE520" s="193">
        <f>+BE519</f>
        <v>0.13800000000000001</v>
      </c>
      <c r="BH520" s="94">
        <v>42831</v>
      </c>
      <c r="BI520" s="95">
        <v>0.17799999999999999</v>
      </c>
      <c r="BJ520" s="96">
        <v>9.74</v>
      </c>
    </row>
    <row r="521" spans="1:62" ht="13.8" x14ac:dyDescent="0.25">
      <c r="A521" s="239"/>
      <c r="BB521" s="187">
        <v>42843</v>
      </c>
      <c r="BC521" s="180">
        <v>-0.25</v>
      </c>
      <c r="BD521" s="191">
        <v>42843</v>
      </c>
      <c r="BE521" s="192">
        <v>0.123</v>
      </c>
      <c r="BH521" s="94">
        <v>42832</v>
      </c>
      <c r="BI521" s="95">
        <v>0.17</v>
      </c>
      <c r="BJ521" s="96">
        <v>9.74</v>
      </c>
    </row>
    <row r="522" spans="1:62" ht="13.8" x14ac:dyDescent="0.25">
      <c r="A522" s="239"/>
      <c r="BB522" s="187">
        <v>42844</v>
      </c>
      <c r="BC522" s="180">
        <v>-0.251</v>
      </c>
      <c r="BD522" s="191">
        <v>42844</v>
      </c>
      <c r="BE522" s="192">
        <v>0.113</v>
      </c>
      <c r="BH522" s="94">
        <v>42835</v>
      </c>
      <c r="BI522" s="95">
        <v>0.16200000000000001</v>
      </c>
      <c r="BJ522" s="96">
        <v>9.73</v>
      </c>
    </row>
    <row r="523" spans="1:62" ht="13.8" x14ac:dyDescent="0.25">
      <c r="A523" s="239"/>
      <c r="BB523" s="187">
        <v>42845</v>
      </c>
      <c r="BC523" s="180">
        <v>-0.249</v>
      </c>
      <c r="BD523" s="191">
        <v>42845</v>
      </c>
      <c r="BE523" s="192">
        <v>0.11799999999999999</v>
      </c>
      <c r="BH523" s="94">
        <v>42836</v>
      </c>
      <c r="BI523" s="95">
        <v>0.154</v>
      </c>
      <c r="BJ523" s="96">
        <v>9.73</v>
      </c>
    </row>
    <row r="524" spans="1:62" ht="13.8" x14ac:dyDescent="0.25">
      <c r="A524" s="239"/>
      <c r="BB524" s="187">
        <v>42846</v>
      </c>
      <c r="BC524" s="180">
        <v>-0.249</v>
      </c>
      <c r="BD524" s="191">
        <v>42846</v>
      </c>
      <c r="BE524" s="192">
        <v>0.113</v>
      </c>
      <c r="BH524" s="94">
        <v>42837</v>
      </c>
      <c r="BI524" s="95">
        <v>0.14699999999999999</v>
      </c>
      <c r="BJ524" s="96">
        <v>9.73</v>
      </c>
    </row>
    <row r="525" spans="1:62" ht="13.8" x14ac:dyDescent="0.25">
      <c r="A525" s="239"/>
      <c r="BB525" s="187">
        <v>42849</v>
      </c>
      <c r="BC525" s="180">
        <v>-0.247</v>
      </c>
      <c r="BD525" s="191">
        <v>42849</v>
      </c>
      <c r="BE525" s="192">
        <v>0.111</v>
      </c>
      <c r="BH525" s="94">
        <v>42838</v>
      </c>
      <c r="BI525" s="95">
        <v>0.13800000000000001</v>
      </c>
      <c r="BJ525" s="96">
        <v>9.7200000000000006</v>
      </c>
    </row>
    <row r="526" spans="1:62" ht="13.8" x14ac:dyDescent="0.25">
      <c r="A526" s="239"/>
      <c r="BB526" s="187">
        <v>42850</v>
      </c>
      <c r="BC526" s="180">
        <v>-0.248</v>
      </c>
      <c r="BD526" s="191">
        <v>42850</v>
      </c>
      <c r="BE526" s="192">
        <v>0.112</v>
      </c>
      <c r="BH526" s="94">
        <v>42843</v>
      </c>
      <c r="BI526" s="95">
        <v>0.123</v>
      </c>
      <c r="BJ526" s="96">
        <v>9.7100000000000009</v>
      </c>
    </row>
    <row r="527" spans="1:62" ht="13.8" x14ac:dyDescent="0.25">
      <c r="A527" s="239"/>
      <c r="BB527" s="187">
        <v>42851</v>
      </c>
      <c r="BC527" s="180">
        <v>-0.248</v>
      </c>
      <c r="BD527" s="191">
        <v>42851</v>
      </c>
      <c r="BE527" s="192">
        <v>0.112</v>
      </c>
      <c r="BH527" s="94">
        <v>42844</v>
      </c>
      <c r="BI527" s="95">
        <v>0.113</v>
      </c>
      <c r="BJ527" s="96">
        <v>9.7100000000000009</v>
      </c>
    </row>
    <row r="528" spans="1:62" ht="13.8" x14ac:dyDescent="0.25">
      <c r="A528" s="239"/>
      <c r="BB528" s="187">
        <v>42852</v>
      </c>
      <c r="BC528" s="180">
        <v>-0.248</v>
      </c>
      <c r="BD528" s="191">
        <v>42852</v>
      </c>
      <c r="BE528" s="192">
        <v>0.112</v>
      </c>
      <c r="BH528" s="94">
        <v>42845</v>
      </c>
      <c r="BI528" s="95">
        <v>0.11799999999999999</v>
      </c>
      <c r="BJ528" s="96">
        <v>9.7100000000000009</v>
      </c>
    </row>
    <row r="529" spans="1:62" ht="13.8" x14ac:dyDescent="0.25">
      <c r="A529" s="239"/>
      <c r="BB529" s="187">
        <v>42853</v>
      </c>
      <c r="BC529" s="180">
        <v>-0.249</v>
      </c>
      <c r="BD529" s="191">
        <v>42853</v>
      </c>
      <c r="BE529" s="192">
        <v>0.112</v>
      </c>
      <c r="BH529" s="94">
        <v>42846</v>
      </c>
      <c r="BI529" s="95">
        <v>0.113</v>
      </c>
      <c r="BJ529" s="96">
        <v>9.7100000000000009</v>
      </c>
    </row>
    <row r="530" spans="1:62" ht="13.8" x14ac:dyDescent="0.25">
      <c r="A530" s="239"/>
      <c r="BB530" s="187">
        <v>42856</v>
      </c>
      <c r="BC530" s="180">
        <v>-0.249</v>
      </c>
      <c r="BD530" s="191"/>
      <c r="BE530" s="193">
        <f>+BE529</f>
        <v>0.112</v>
      </c>
      <c r="BF530" s="111">
        <f>+(BC530+BE530)/2+0.37</f>
        <v>0.30149999999999999</v>
      </c>
      <c r="BH530" s="94">
        <v>42849</v>
      </c>
      <c r="BI530" s="95">
        <v>0.111</v>
      </c>
      <c r="BJ530" s="96">
        <v>9.6999999999999993</v>
      </c>
    </row>
    <row r="531" spans="1:62" ht="13.8" x14ac:dyDescent="0.25">
      <c r="BB531" s="187">
        <v>42857</v>
      </c>
      <c r="BC531" s="180">
        <v>-0.249</v>
      </c>
      <c r="BD531" s="191">
        <v>42857</v>
      </c>
      <c r="BE531" s="192">
        <v>0.112</v>
      </c>
      <c r="BH531" s="94">
        <v>42850</v>
      </c>
      <c r="BI531" s="95">
        <v>0.112</v>
      </c>
      <c r="BJ531" s="96">
        <v>9.6999999999999993</v>
      </c>
    </row>
    <row r="532" spans="1:62" ht="13.8" x14ac:dyDescent="0.25">
      <c r="BB532" s="187">
        <v>42858</v>
      </c>
      <c r="BC532" s="180">
        <v>-0.251</v>
      </c>
      <c r="BD532" s="191">
        <v>42858</v>
      </c>
      <c r="BE532" s="192">
        <v>0.114</v>
      </c>
      <c r="BH532" s="94">
        <v>42851</v>
      </c>
      <c r="BI532" s="95">
        <v>0.112</v>
      </c>
      <c r="BJ532" s="96">
        <v>9.6999999999999993</v>
      </c>
    </row>
    <row r="533" spans="1:62" ht="13.8" x14ac:dyDescent="0.25">
      <c r="BB533" s="187">
        <v>42859</v>
      </c>
      <c r="BC533" s="180">
        <v>-0.25</v>
      </c>
      <c r="BD533" s="191">
        <v>42859</v>
      </c>
      <c r="BE533" s="192">
        <v>0.12</v>
      </c>
      <c r="BH533" s="94">
        <v>42852</v>
      </c>
      <c r="BI533" s="95">
        <v>0.112</v>
      </c>
      <c r="BJ533" s="96">
        <v>9.69</v>
      </c>
    </row>
    <row r="534" spans="1:62" ht="13.8" x14ac:dyDescent="0.25">
      <c r="BB534" s="187">
        <v>42860</v>
      </c>
      <c r="BC534" s="180">
        <v>-0.248</v>
      </c>
      <c r="BD534" s="191">
        <v>42860</v>
      </c>
      <c r="BE534" s="192">
        <v>0.126</v>
      </c>
      <c r="BH534" s="94">
        <v>42853</v>
      </c>
      <c r="BI534" s="95">
        <v>0.112</v>
      </c>
      <c r="BJ534" s="96">
        <v>9.69</v>
      </c>
    </row>
    <row r="535" spans="1:62" ht="13.8" x14ac:dyDescent="0.25">
      <c r="BB535" s="187">
        <v>42863</v>
      </c>
      <c r="BC535" s="180">
        <v>-0.249</v>
      </c>
      <c r="BD535" s="191">
        <v>42863</v>
      </c>
      <c r="BE535" s="192">
        <v>0.13300000000000001</v>
      </c>
      <c r="BH535" s="94">
        <v>42857</v>
      </c>
      <c r="BI535" s="95">
        <v>0.112</v>
      </c>
      <c r="BJ535" s="96">
        <v>9.68</v>
      </c>
    </row>
    <row r="536" spans="1:62" ht="13.8" x14ac:dyDescent="0.25">
      <c r="BB536" s="187">
        <v>42864</v>
      </c>
      <c r="BC536" s="180">
        <v>-0.249</v>
      </c>
      <c r="BD536" s="191">
        <v>42864</v>
      </c>
      <c r="BE536" s="192">
        <v>0.14099999999999999</v>
      </c>
      <c r="BH536" s="94">
        <v>42858</v>
      </c>
      <c r="BI536" s="95">
        <v>0.114</v>
      </c>
      <c r="BJ536" s="96">
        <v>9.68</v>
      </c>
    </row>
    <row r="537" spans="1:62" ht="13.8" x14ac:dyDescent="0.25">
      <c r="BB537" s="187">
        <v>42865</v>
      </c>
      <c r="BC537" s="180">
        <v>-0.249</v>
      </c>
      <c r="BD537" s="191">
        <v>42865</v>
      </c>
      <c r="BE537" s="192">
        <v>0.14899999999999999</v>
      </c>
      <c r="BH537" s="94">
        <v>42859</v>
      </c>
      <c r="BI537" s="95">
        <v>0.12</v>
      </c>
      <c r="BJ537" s="96">
        <v>9.67</v>
      </c>
    </row>
    <row r="538" spans="1:62" ht="13.8" x14ac:dyDescent="0.25">
      <c r="BB538" s="187">
        <v>42866</v>
      </c>
      <c r="BC538" s="180">
        <v>-0.25</v>
      </c>
      <c r="BD538" s="191">
        <v>42866</v>
      </c>
      <c r="BE538" s="192">
        <v>0.16300000000000001</v>
      </c>
      <c r="BH538" s="94">
        <v>42860</v>
      </c>
      <c r="BI538" s="95">
        <v>0.126</v>
      </c>
      <c r="BJ538" s="96">
        <v>9.67</v>
      </c>
    </row>
    <row r="539" spans="1:62" ht="13.8" x14ac:dyDescent="0.25">
      <c r="BB539" s="187">
        <v>42867</v>
      </c>
      <c r="BC539" s="180">
        <v>-0.251</v>
      </c>
      <c r="BD539" s="191">
        <v>42867</v>
      </c>
      <c r="BE539" s="192">
        <v>0.17100000000000001</v>
      </c>
      <c r="BH539" s="94">
        <v>42863</v>
      </c>
      <c r="BI539" s="95">
        <v>0.13300000000000001</v>
      </c>
      <c r="BJ539" s="96">
        <v>9.66</v>
      </c>
    </row>
    <row r="540" spans="1:62" ht="13.8" x14ac:dyDescent="0.25">
      <c r="BB540" s="187">
        <v>42870</v>
      </c>
      <c r="BC540" s="180">
        <v>-0.251</v>
      </c>
      <c r="BD540" s="191">
        <v>42870</v>
      </c>
      <c r="BE540" s="192">
        <v>0.17899999999999999</v>
      </c>
      <c r="BH540" s="94">
        <v>42864</v>
      </c>
      <c r="BI540" s="95">
        <v>0.14099999999999999</v>
      </c>
      <c r="BJ540" s="96">
        <v>9.66</v>
      </c>
    </row>
    <row r="541" spans="1:62" ht="13.8" x14ac:dyDescent="0.25">
      <c r="BB541" s="187">
        <v>42871</v>
      </c>
      <c r="BC541" s="180">
        <v>-0.25</v>
      </c>
      <c r="BD541" s="191">
        <v>42871</v>
      </c>
      <c r="BE541" s="192">
        <v>0.182</v>
      </c>
      <c r="BH541" s="94">
        <v>42865</v>
      </c>
      <c r="BI541" s="95">
        <v>0.14899999999999999</v>
      </c>
      <c r="BJ541" s="96">
        <v>9.66</v>
      </c>
    </row>
    <row r="542" spans="1:62" ht="13.8" x14ac:dyDescent="0.25">
      <c r="BB542" s="187">
        <v>42872</v>
      </c>
      <c r="BC542" s="180">
        <v>-0.251</v>
      </c>
      <c r="BD542" s="191">
        <v>42872</v>
      </c>
      <c r="BE542" s="192">
        <v>0.19</v>
      </c>
      <c r="BH542" s="94">
        <v>42866</v>
      </c>
      <c r="BI542" s="95">
        <v>0.16300000000000001</v>
      </c>
      <c r="BJ542" s="96">
        <v>9.7100000000000009</v>
      </c>
    </row>
    <row r="543" spans="1:62" ht="13.8" x14ac:dyDescent="0.25">
      <c r="BB543" s="187">
        <v>42873</v>
      </c>
      <c r="BC543" s="180">
        <v>-0.251</v>
      </c>
      <c r="BD543" s="191">
        <v>42873</v>
      </c>
      <c r="BE543" s="192">
        <v>0.19600000000000001</v>
      </c>
      <c r="BH543" s="94">
        <v>42867</v>
      </c>
      <c r="BI543" s="95">
        <v>0.17100000000000001</v>
      </c>
      <c r="BJ543" s="96">
        <v>9.7100000000000009</v>
      </c>
    </row>
    <row r="544" spans="1:62" ht="13.8" x14ac:dyDescent="0.25">
      <c r="BB544" s="187">
        <v>42874</v>
      </c>
      <c r="BC544" s="180">
        <v>-0.251</v>
      </c>
      <c r="BD544" s="191">
        <v>42874</v>
      </c>
      <c r="BE544" s="192">
        <v>0.2</v>
      </c>
      <c r="BH544" s="94">
        <v>42870</v>
      </c>
      <c r="BI544" s="95">
        <v>0.17899999999999999</v>
      </c>
      <c r="BJ544" s="96">
        <v>9.6999999999999993</v>
      </c>
    </row>
    <row r="545" spans="54:62" ht="13.8" x14ac:dyDescent="0.25">
      <c r="BB545" s="187">
        <v>42877</v>
      </c>
      <c r="BC545" s="180">
        <v>-0.251</v>
      </c>
      <c r="BD545" s="191">
        <v>42877</v>
      </c>
      <c r="BE545" s="192">
        <v>0.20499999999999999</v>
      </c>
      <c r="BH545" s="94">
        <v>42871</v>
      </c>
      <c r="BI545" s="95">
        <v>0.182</v>
      </c>
      <c r="BJ545" s="96">
        <v>9.6999999999999993</v>
      </c>
    </row>
    <row r="546" spans="54:62" ht="13.8" x14ac:dyDescent="0.25">
      <c r="BB546" s="187">
        <v>42878</v>
      </c>
      <c r="BC546" s="180">
        <v>-0.251</v>
      </c>
      <c r="BD546" s="191">
        <v>42878</v>
      </c>
      <c r="BE546" s="192">
        <v>0.20699999999999999</v>
      </c>
      <c r="BH546" s="94">
        <v>42872</v>
      </c>
      <c r="BI546" s="95">
        <v>0.19</v>
      </c>
      <c r="BJ546" s="96">
        <v>9.6999999999999993</v>
      </c>
    </row>
    <row r="547" spans="54:62" ht="13.8" x14ac:dyDescent="0.25">
      <c r="BB547" s="187">
        <v>42879</v>
      </c>
      <c r="BC547" s="180">
        <v>-0.25</v>
      </c>
      <c r="BD547" s="191">
        <v>42879</v>
      </c>
      <c r="BE547" s="192">
        <v>0.20699999999999999</v>
      </c>
      <c r="BH547" s="94">
        <v>42873</v>
      </c>
      <c r="BI547" s="95">
        <v>0.19600000000000001</v>
      </c>
      <c r="BJ547" s="96">
        <v>9.69</v>
      </c>
    </row>
    <row r="548" spans="54:62" ht="13.8" x14ac:dyDescent="0.25">
      <c r="BB548" s="187">
        <v>42880</v>
      </c>
      <c r="BC548" s="180">
        <v>-0.251</v>
      </c>
      <c r="BD548" s="191"/>
      <c r="BE548" s="193">
        <f>+BE547</f>
        <v>0.20699999999999999</v>
      </c>
      <c r="BH548" s="94">
        <v>42874</v>
      </c>
      <c r="BI548" s="95">
        <v>0.2</v>
      </c>
      <c r="BJ548" s="96">
        <v>9.69</v>
      </c>
    </row>
    <row r="549" spans="54:62" ht="13.8" x14ac:dyDescent="0.25">
      <c r="BB549" s="187">
        <v>42881</v>
      </c>
      <c r="BC549" s="180">
        <v>-0.254</v>
      </c>
      <c r="BD549" s="191">
        <v>42881</v>
      </c>
      <c r="BE549" s="192">
        <v>0.20599999999999999</v>
      </c>
      <c r="BH549" s="94">
        <v>42877</v>
      </c>
      <c r="BI549" s="95">
        <v>0.20499999999999999</v>
      </c>
      <c r="BJ549" s="96">
        <v>9.68</v>
      </c>
    </row>
    <row r="550" spans="54:62" ht="13.8" x14ac:dyDescent="0.25">
      <c r="BB550" s="187">
        <v>42884</v>
      </c>
      <c r="BC550" s="180">
        <v>-0.254</v>
      </c>
      <c r="BD550" s="191">
        <v>42884</v>
      </c>
      <c r="BE550" s="192">
        <v>0.20499999999999999</v>
      </c>
      <c r="BH550" s="94">
        <v>42878</v>
      </c>
      <c r="BI550" s="95">
        <v>0.20699999999999999</v>
      </c>
      <c r="BJ550" s="96">
        <v>9.68</v>
      </c>
    </row>
    <row r="551" spans="54:62" ht="13.8" x14ac:dyDescent="0.25">
      <c r="BB551" s="187">
        <v>42885</v>
      </c>
      <c r="BC551" s="180">
        <v>-0.254</v>
      </c>
      <c r="BD551" s="191">
        <v>42885</v>
      </c>
      <c r="BE551" s="192">
        <v>0.20300000000000001</v>
      </c>
      <c r="BH551" s="94">
        <v>42879</v>
      </c>
      <c r="BI551" s="95">
        <v>0.20699999999999999</v>
      </c>
      <c r="BJ551" s="96">
        <v>9.68</v>
      </c>
    </row>
    <row r="552" spans="54:62" ht="13.8" x14ac:dyDescent="0.25">
      <c r="BB552" s="187">
        <v>42886</v>
      </c>
      <c r="BC552" s="180">
        <v>-0.254</v>
      </c>
      <c r="BD552" s="191">
        <v>42886</v>
      </c>
      <c r="BE552" s="192">
        <v>0.20200000000000001</v>
      </c>
      <c r="BH552" s="94">
        <v>42881</v>
      </c>
      <c r="BI552" s="95">
        <v>0.20599999999999999</v>
      </c>
      <c r="BJ552" s="96">
        <v>9.67</v>
      </c>
    </row>
    <row r="553" spans="54:62" ht="13.8" x14ac:dyDescent="0.25">
      <c r="BB553" s="187">
        <v>42887</v>
      </c>
      <c r="BC553" s="180">
        <v>-0.254</v>
      </c>
      <c r="BD553" s="191">
        <v>42887</v>
      </c>
      <c r="BE553" s="192">
        <v>0.20200000000000001</v>
      </c>
      <c r="BH553" s="94">
        <v>42884</v>
      </c>
      <c r="BI553" s="95">
        <v>0.20499999999999999</v>
      </c>
      <c r="BJ553" s="96">
        <v>9.66</v>
      </c>
    </row>
    <row r="554" spans="54:62" ht="13.8" x14ac:dyDescent="0.25">
      <c r="BB554" s="187">
        <v>42888</v>
      </c>
      <c r="BC554" s="180">
        <v>-0.255</v>
      </c>
      <c r="BD554" s="191">
        <v>42888</v>
      </c>
      <c r="BE554" s="192">
        <v>0.19800000000000001</v>
      </c>
      <c r="BH554" s="94">
        <v>42885</v>
      </c>
      <c r="BI554" s="95">
        <v>0.20300000000000001</v>
      </c>
      <c r="BJ554" s="96">
        <v>9.66</v>
      </c>
    </row>
    <row r="555" spans="54:62" ht="13.8" x14ac:dyDescent="0.25">
      <c r="BB555" s="187">
        <v>42891</v>
      </c>
      <c r="BC555" s="180">
        <v>-0.25600000000000001</v>
      </c>
      <c r="BD555" s="191"/>
      <c r="BE555" s="193">
        <f>+BE554</f>
        <v>0.19800000000000001</v>
      </c>
      <c r="BH555" s="94">
        <v>42886</v>
      </c>
      <c r="BI555" s="95">
        <v>0.20200000000000001</v>
      </c>
      <c r="BJ555" s="96">
        <v>9.66</v>
      </c>
    </row>
    <row r="556" spans="54:62" ht="13.8" x14ac:dyDescent="0.25">
      <c r="BB556" s="187">
        <v>42892</v>
      </c>
      <c r="BC556" s="180">
        <v>-0.25700000000000001</v>
      </c>
      <c r="BD556" s="191">
        <v>42892</v>
      </c>
      <c r="BE556" s="192">
        <v>0.193</v>
      </c>
      <c r="BH556" s="94">
        <v>42887</v>
      </c>
      <c r="BI556" s="95">
        <v>0.20200000000000001</v>
      </c>
      <c r="BJ556" s="96">
        <v>9.65</v>
      </c>
    </row>
    <row r="557" spans="54:62" ht="13.8" x14ac:dyDescent="0.25">
      <c r="BB557" s="187">
        <v>42893</v>
      </c>
      <c r="BC557" s="180">
        <v>-0.25900000000000001</v>
      </c>
      <c r="BD557" s="191">
        <v>42893</v>
      </c>
      <c r="BE557" s="192">
        <v>0.188</v>
      </c>
      <c r="BH557" s="94">
        <v>42888</v>
      </c>
      <c r="BI557" s="95">
        <v>0.19800000000000001</v>
      </c>
      <c r="BJ557" s="96">
        <v>9.65</v>
      </c>
    </row>
    <row r="558" spans="54:62" ht="13.8" x14ac:dyDescent="0.25">
      <c r="BB558" s="187">
        <v>42894</v>
      </c>
      <c r="BC558" s="180">
        <v>-0.26</v>
      </c>
      <c r="BD558" s="191">
        <v>42894</v>
      </c>
      <c r="BE558" s="192">
        <v>0.184</v>
      </c>
      <c r="BH558" s="94">
        <v>42892</v>
      </c>
      <c r="BI558" s="95">
        <v>0.193</v>
      </c>
      <c r="BJ558" s="96">
        <v>9.64</v>
      </c>
    </row>
    <row r="559" spans="54:62" ht="13.8" x14ac:dyDescent="0.25">
      <c r="BB559" s="187">
        <v>42895</v>
      </c>
      <c r="BC559" s="180">
        <v>-0.26400000000000001</v>
      </c>
      <c r="BD559" s="191">
        <v>42895</v>
      </c>
      <c r="BE559" s="192">
        <v>0.17799999999999999</v>
      </c>
      <c r="BH559" s="94">
        <v>42893</v>
      </c>
      <c r="BI559" s="95">
        <v>0.188</v>
      </c>
      <c r="BJ559" s="96">
        <v>9.64</v>
      </c>
    </row>
    <row r="560" spans="54:62" ht="13.8" x14ac:dyDescent="0.25">
      <c r="BB560" s="187">
        <v>42898</v>
      </c>
      <c r="BC560" s="180">
        <v>-0.26600000000000001</v>
      </c>
      <c r="BD560" s="191">
        <v>42898</v>
      </c>
      <c r="BE560" s="192">
        <v>0.17199999999999999</v>
      </c>
      <c r="BH560" s="94">
        <v>42894</v>
      </c>
      <c r="BI560" s="95">
        <v>0.184</v>
      </c>
      <c r="BJ560" s="96">
        <v>9.6199999999999992</v>
      </c>
    </row>
    <row r="561" spans="54:62" ht="13.8" x14ac:dyDescent="0.25">
      <c r="BB561" s="187">
        <v>42899</v>
      </c>
      <c r="BC561" s="180">
        <v>-0.27</v>
      </c>
      <c r="BD561" s="191">
        <v>42899</v>
      </c>
      <c r="BE561" s="192">
        <v>0.16700000000000001</v>
      </c>
      <c r="BH561" s="94">
        <v>42895</v>
      </c>
      <c r="BI561" s="95">
        <v>0.17799999999999999</v>
      </c>
      <c r="BJ561" s="96">
        <v>9.6199999999999992</v>
      </c>
    </row>
    <row r="562" spans="54:62" ht="13.8" x14ac:dyDescent="0.25">
      <c r="BB562" s="187">
        <v>42900</v>
      </c>
      <c r="BC562" s="180">
        <v>-0.27100000000000002</v>
      </c>
      <c r="BD562" s="191">
        <v>42900</v>
      </c>
      <c r="BE562" s="192">
        <v>0.161</v>
      </c>
      <c r="BH562" s="94">
        <v>42898</v>
      </c>
      <c r="BI562" s="95">
        <v>0.17199999999999999</v>
      </c>
      <c r="BJ562" s="96">
        <v>9.61</v>
      </c>
    </row>
    <row r="563" spans="54:62" ht="13.8" x14ac:dyDescent="0.25">
      <c r="BB563" s="187">
        <v>42901</v>
      </c>
      <c r="BC563" s="180">
        <v>-0.27100000000000002</v>
      </c>
      <c r="BD563" s="191"/>
      <c r="BE563" s="193">
        <f>+BE562</f>
        <v>0.161</v>
      </c>
      <c r="BH563" s="94">
        <v>42899</v>
      </c>
      <c r="BI563" s="95">
        <v>0.16700000000000001</v>
      </c>
      <c r="BJ563" s="96">
        <v>9.61</v>
      </c>
    </row>
    <row r="564" spans="54:62" ht="13.8" x14ac:dyDescent="0.25">
      <c r="BB564" s="187">
        <v>42902</v>
      </c>
      <c r="BC564" s="180">
        <v>-0.27100000000000002</v>
      </c>
      <c r="BD564" s="191">
        <v>42902</v>
      </c>
      <c r="BE564" s="192">
        <v>0.157</v>
      </c>
      <c r="BH564" s="94">
        <v>42900</v>
      </c>
      <c r="BI564" s="95">
        <v>0.161</v>
      </c>
      <c r="BJ564" s="96">
        <v>9.61</v>
      </c>
    </row>
    <row r="565" spans="54:62" ht="13.8" x14ac:dyDescent="0.25">
      <c r="BB565" s="187">
        <v>42905</v>
      </c>
      <c r="BC565" s="180">
        <v>-0.27100000000000002</v>
      </c>
      <c r="BD565" s="191">
        <v>42905</v>
      </c>
      <c r="BE565" s="192">
        <v>0.152</v>
      </c>
      <c r="BH565" s="94">
        <v>42902</v>
      </c>
      <c r="BI565" s="95">
        <v>0.157</v>
      </c>
      <c r="BJ565" s="96">
        <v>9.6</v>
      </c>
    </row>
    <row r="566" spans="54:62" ht="13.8" x14ac:dyDescent="0.25">
      <c r="BB566" s="187">
        <v>42906</v>
      </c>
      <c r="BC566" s="180">
        <v>-0.27100000000000002</v>
      </c>
      <c r="BD566" s="191">
        <v>42906</v>
      </c>
      <c r="BE566" s="192">
        <v>0.15</v>
      </c>
      <c r="BH566" s="94">
        <v>42905</v>
      </c>
      <c r="BI566" s="95">
        <v>0.152</v>
      </c>
      <c r="BJ566" s="96">
        <v>9.58</v>
      </c>
    </row>
    <row r="567" spans="54:62" ht="13.8" x14ac:dyDescent="0.25">
      <c r="BB567" s="187">
        <v>42907</v>
      </c>
      <c r="BC567" s="180">
        <v>-0.27100000000000002</v>
      </c>
      <c r="BD567" s="191">
        <v>42907</v>
      </c>
      <c r="BE567" s="192">
        <v>0.14499999999999999</v>
      </c>
      <c r="BH567" s="94">
        <v>42906</v>
      </c>
      <c r="BI567" s="95">
        <v>0.15</v>
      </c>
      <c r="BJ567" s="96">
        <v>9.58</v>
      </c>
    </row>
    <row r="568" spans="54:62" ht="13.8" x14ac:dyDescent="0.25">
      <c r="BB568" s="187">
        <v>42908</v>
      </c>
      <c r="BC568" s="180">
        <v>-0.27200000000000002</v>
      </c>
      <c r="BD568" s="191">
        <v>42908</v>
      </c>
      <c r="BE568" s="192">
        <v>0.14099999999999999</v>
      </c>
      <c r="BH568" s="94">
        <v>42907</v>
      </c>
      <c r="BI568" s="95">
        <v>0.14499999999999999</v>
      </c>
      <c r="BJ568" s="96">
        <v>9.58</v>
      </c>
    </row>
    <row r="569" spans="54:62" ht="13.8" x14ac:dyDescent="0.25">
      <c r="BB569" s="187">
        <v>42909</v>
      </c>
      <c r="BC569" s="180">
        <v>-0.27300000000000002</v>
      </c>
      <c r="BD569" s="191">
        <v>42909</v>
      </c>
      <c r="BE569" s="192">
        <v>0.13600000000000001</v>
      </c>
      <c r="BH569" s="94">
        <v>42908</v>
      </c>
      <c r="BI569" s="95">
        <v>0.14099999999999999</v>
      </c>
      <c r="BJ569" s="96">
        <v>9.58</v>
      </c>
    </row>
    <row r="570" spans="54:62" ht="13.8" x14ac:dyDescent="0.25">
      <c r="BB570" s="187">
        <v>42912</v>
      </c>
      <c r="BC570" s="180">
        <v>-0.27300000000000002</v>
      </c>
      <c r="BD570" s="191">
        <v>42912</v>
      </c>
      <c r="BE570" s="192">
        <v>0.13100000000000001</v>
      </c>
      <c r="BH570" s="94">
        <v>42909</v>
      </c>
      <c r="BI570" s="95">
        <v>0.13600000000000001</v>
      </c>
      <c r="BJ570" s="96">
        <v>9.57</v>
      </c>
    </row>
    <row r="571" spans="54:62" ht="13.8" x14ac:dyDescent="0.25">
      <c r="BB571" s="187">
        <v>42913</v>
      </c>
      <c r="BC571" s="180">
        <v>-0.27300000000000002</v>
      </c>
      <c r="BD571" s="191">
        <v>42913</v>
      </c>
      <c r="BE571" s="192">
        <v>0.13200000000000001</v>
      </c>
      <c r="BH571" s="94">
        <v>42912</v>
      </c>
      <c r="BI571" s="95">
        <v>0.13100000000000001</v>
      </c>
      <c r="BJ571" s="96">
        <v>9.56</v>
      </c>
    </row>
    <row r="572" spans="54:62" ht="13.8" x14ac:dyDescent="0.25">
      <c r="BB572" s="187">
        <v>42914</v>
      </c>
      <c r="BC572" s="180">
        <v>-0.27100000000000002</v>
      </c>
      <c r="BD572" s="191">
        <v>42914</v>
      </c>
      <c r="BE572" s="192">
        <v>0.13500000000000001</v>
      </c>
      <c r="BH572" s="94">
        <v>42913</v>
      </c>
      <c r="BI572" s="95">
        <v>0.13200000000000001</v>
      </c>
      <c r="BJ572" s="96">
        <v>9.56</v>
      </c>
    </row>
    <row r="573" spans="54:62" ht="13.8" x14ac:dyDescent="0.25">
      <c r="BB573" s="187">
        <v>42915</v>
      </c>
      <c r="BC573" s="180">
        <v>-0.27</v>
      </c>
      <c r="BD573" s="191">
        <v>42915</v>
      </c>
      <c r="BE573" s="192">
        <v>0.14099999999999999</v>
      </c>
      <c r="BH573" s="94">
        <v>42914</v>
      </c>
      <c r="BI573" s="95">
        <v>0.13500000000000001</v>
      </c>
      <c r="BJ573" s="96">
        <v>9.56</v>
      </c>
    </row>
    <row r="574" spans="54:62" ht="13.8" x14ac:dyDescent="0.25">
      <c r="BB574" s="187">
        <v>42916</v>
      </c>
      <c r="BC574" s="180">
        <v>-0.27100000000000002</v>
      </c>
      <c r="BD574" s="191">
        <v>42916</v>
      </c>
      <c r="BE574" s="192">
        <v>0.14899999999999999</v>
      </c>
      <c r="BH574" s="94">
        <v>42915</v>
      </c>
      <c r="BI574" s="95">
        <v>0.14099999999999999</v>
      </c>
      <c r="BJ574" s="96">
        <v>9.56</v>
      </c>
    </row>
    <row r="575" spans="54:62" ht="13.8" x14ac:dyDescent="0.25">
      <c r="BB575" s="187">
        <v>42919</v>
      </c>
      <c r="BC575" s="180">
        <v>-0.27100000000000002</v>
      </c>
      <c r="BD575" s="191">
        <v>42919</v>
      </c>
      <c r="BE575" s="192">
        <v>0.155</v>
      </c>
      <c r="BH575" s="94">
        <v>42916</v>
      </c>
      <c r="BI575" s="95">
        <v>0.14899999999999999</v>
      </c>
      <c r="BJ575" s="96">
        <v>9.5500000000000007</v>
      </c>
    </row>
    <row r="576" spans="54:62" ht="13.8" x14ac:dyDescent="0.25">
      <c r="BB576" s="187">
        <v>42920</v>
      </c>
      <c r="BC576" s="180">
        <v>-0.27200000000000002</v>
      </c>
      <c r="BD576" s="191">
        <v>42920</v>
      </c>
      <c r="BE576" s="192">
        <v>0.16200000000000001</v>
      </c>
      <c r="BH576" s="94">
        <v>42919</v>
      </c>
      <c r="BI576" s="95">
        <v>0.155</v>
      </c>
      <c r="BJ576" s="96">
        <v>9.5500000000000007</v>
      </c>
    </row>
    <row r="577" spans="54:62" ht="13.8" x14ac:dyDescent="0.25">
      <c r="BB577" s="187">
        <v>42921</v>
      </c>
      <c r="BC577" s="180">
        <v>-0.27400000000000002</v>
      </c>
      <c r="BD577" s="191">
        <v>42921</v>
      </c>
      <c r="BE577" s="192">
        <v>0.17</v>
      </c>
      <c r="BH577" s="94">
        <v>42920</v>
      </c>
      <c r="BI577" s="95">
        <v>0.16200000000000001</v>
      </c>
      <c r="BJ577" s="96">
        <v>9.5399999999999991</v>
      </c>
    </row>
    <row r="578" spans="54:62" ht="13.8" x14ac:dyDescent="0.25">
      <c r="BB578" s="187">
        <v>42922</v>
      </c>
      <c r="BC578" s="180">
        <v>-0.27300000000000002</v>
      </c>
      <c r="BD578" s="191">
        <v>42922</v>
      </c>
      <c r="BE578" s="192">
        <v>0.185</v>
      </c>
      <c r="BH578" s="94">
        <v>42921</v>
      </c>
      <c r="BI578" s="95">
        <v>0.17</v>
      </c>
      <c r="BJ578" s="96">
        <v>9.5399999999999991</v>
      </c>
    </row>
    <row r="579" spans="54:62" ht="13.8" x14ac:dyDescent="0.25">
      <c r="BB579" s="187">
        <v>42923</v>
      </c>
      <c r="BC579" s="180">
        <v>-0.27200000000000002</v>
      </c>
      <c r="BD579" s="191">
        <v>42923</v>
      </c>
      <c r="BE579" s="192">
        <v>0.19600000000000001</v>
      </c>
      <c r="BH579" s="94">
        <v>42922</v>
      </c>
      <c r="BI579" s="95">
        <v>0.185</v>
      </c>
      <c r="BJ579" s="96">
        <v>9.6</v>
      </c>
    </row>
    <row r="580" spans="54:62" ht="13.8" x14ac:dyDescent="0.25">
      <c r="BB580" s="187">
        <v>42926</v>
      </c>
      <c r="BC580" s="180">
        <v>-0.27300000000000002</v>
      </c>
      <c r="BD580" s="191">
        <v>42926</v>
      </c>
      <c r="BE580" s="192">
        <v>0.20699999999999999</v>
      </c>
      <c r="BH580" s="94">
        <v>42923</v>
      </c>
      <c r="BI580" s="95">
        <v>0.19600000000000001</v>
      </c>
      <c r="BJ580" s="96">
        <v>9.6</v>
      </c>
    </row>
    <row r="581" spans="54:62" ht="13.8" x14ac:dyDescent="0.25">
      <c r="BB581" s="187">
        <v>42927</v>
      </c>
      <c r="BC581" s="180">
        <v>-0.27300000000000002</v>
      </c>
      <c r="BD581" s="191">
        <v>42927</v>
      </c>
      <c r="BE581" s="192">
        <v>0.218</v>
      </c>
      <c r="BH581" s="94">
        <v>42926</v>
      </c>
      <c r="BI581" s="95">
        <v>0.20699999999999999</v>
      </c>
      <c r="BJ581" s="96">
        <v>9.59</v>
      </c>
    </row>
    <row r="582" spans="54:62" ht="13.8" x14ac:dyDescent="0.25">
      <c r="BB582" s="187">
        <v>42928</v>
      </c>
      <c r="BC582" s="180">
        <v>-0.27300000000000002</v>
      </c>
      <c r="BD582" s="191">
        <v>42928</v>
      </c>
      <c r="BE582" s="192">
        <v>0.22700000000000001</v>
      </c>
      <c r="BH582" s="94">
        <v>42927</v>
      </c>
      <c r="BI582" s="95">
        <v>0.218</v>
      </c>
      <c r="BJ582" s="96">
        <v>9.59</v>
      </c>
    </row>
    <row r="583" spans="54:62" ht="13.8" x14ac:dyDescent="0.25">
      <c r="BB583" s="187">
        <v>42929</v>
      </c>
      <c r="BC583" s="180">
        <v>-0.27300000000000002</v>
      </c>
      <c r="BD583" s="191">
        <v>42929</v>
      </c>
      <c r="BE583" s="192">
        <v>0.23599999999999999</v>
      </c>
      <c r="BH583" s="94">
        <v>42928</v>
      </c>
      <c r="BI583" s="95">
        <v>0.22700000000000001</v>
      </c>
      <c r="BJ583" s="96">
        <v>9.58</v>
      </c>
    </row>
    <row r="584" spans="54:62" ht="13.8" x14ac:dyDescent="0.25">
      <c r="BB584" s="187">
        <v>42930</v>
      </c>
      <c r="BC584" s="180">
        <v>-0.27300000000000002</v>
      </c>
      <c r="BD584" s="191">
        <v>42930</v>
      </c>
      <c r="BE584" s="192">
        <v>0.24299999999999999</v>
      </c>
      <c r="BH584" s="94">
        <v>42929</v>
      </c>
      <c r="BI584" s="95">
        <v>0.23599999999999999</v>
      </c>
      <c r="BJ584" s="96">
        <v>9.58</v>
      </c>
    </row>
    <row r="585" spans="54:62" ht="13.8" x14ac:dyDescent="0.25">
      <c r="BB585" s="187">
        <v>42933</v>
      </c>
      <c r="BC585" s="180">
        <v>-0.27400000000000002</v>
      </c>
      <c r="BD585" s="191">
        <v>42933</v>
      </c>
      <c r="BE585" s="192">
        <v>0.25</v>
      </c>
      <c r="BH585" s="94">
        <v>42930</v>
      </c>
      <c r="BI585" s="95">
        <v>0.24299999999999999</v>
      </c>
      <c r="BJ585" s="96">
        <v>9.58</v>
      </c>
    </row>
    <row r="586" spans="54:62" ht="13.8" x14ac:dyDescent="0.25">
      <c r="BB586" s="187">
        <v>42934</v>
      </c>
      <c r="BC586" s="180">
        <v>-0.27400000000000002</v>
      </c>
      <c r="BD586" s="191">
        <v>42934</v>
      </c>
      <c r="BE586" s="192">
        <v>0.25700000000000001</v>
      </c>
      <c r="BH586" s="94">
        <v>42933</v>
      </c>
      <c r="BI586" s="95">
        <v>0.25</v>
      </c>
      <c r="BJ586" s="96">
        <v>9.57</v>
      </c>
    </row>
    <row r="587" spans="54:62" ht="13.8" x14ac:dyDescent="0.25">
      <c r="BB587" s="187">
        <v>42935</v>
      </c>
      <c r="BC587" s="180">
        <v>-0.27400000000000002</v>
      </c>
      <c r="BD587" s="191">
        <v>42935</v>
      </c>
      <c r="BE587" s="192">
        <v>0.26500000000000001</v>
      </c>
      <c r="BH587" s="94">
        <v>42934</v>
      </c>
      <c r="BI587" s="95">
        <v>0.25700000000000001</v>
      </c>
      <c r="BJ587" s="96">
        <v>9.57</v>
      </c>
    </row>
    <row r="588" spans="54:62" ht="13.8" x14ac:dyDescent="0.25">
      <c r="BB588" s="187">
        <v>42936</v>
      </c>
      <c r="BC588" s="180">
        <v>-0.27400000000000002</v>
      </c>
      <c r="BD588" s="191">
        <v>42936</v>
      </c>
      <c r="BE588" s="192">
        <v>0.27100000000000002</v>
      </c>
      <c r="BH588" s="94">
        <v>42935</v>
      </c>
      <c r="BI588" s="95">
        <v>0.26500000000000001</v>
      </c>
      <c r="BJ588" s="96">
        <v>9.56</v>
      </c>
    </row>
    <row r="589" spans="54:62" ht="13.8" x14ac:dyDescent="0.25">
      <c r="BB589" s="187">
        <v>42937</v>
      </c>
      <c r="BC589" s="180">
        <v>-0.27200000000000002</v>
      </c>
      <c r="BD589" s="191">
        <v>42937</v>
      </c>
      <c r="BE589" s="192">
        <v>0.27500000000000002</v>
      </c>
      <c r="BH589" s="94">
        <v>42936</v>
      </c>
      <c r="BI589" s="95">
        <v>0.27100000000000002</v>
      </c>
      <c r="BJ589" s="96">
        <v>9.56</v>
      </c>
    </row>
    <row r="590" spans="54:62" ht="13.8" x14ac:dyDescent="0.25">
      <c r="BB590" s="187">
        <v>42940</v>
      </c>
      <c r="BC590" s="180">
        <v>-0.27100000000000002</v>
      </c>
      <c r="BD590" s="191">
        <v>42940</v>
      </c>
      <c r="BE590" s="192">
        <v>0.28000000000000003</v>
      </c>
      <c r="BH590" s="94">
        <v>42937</v>
      </c>
      <c r="BI590" s="95">
        <v>0.27500000000000002</v>
      </c>
      <c r="BJ590" s="96">
        <v>9.56</v>
      </c>
    </row>
    <row r="591" spans="54:62" ht="13.8" x14ac:dyDescent="0.25">
      <c r="BB591" s="187">
        <v>42941</v>
      </c>
      <c r="BC591" s="180">
        <v>-0.27200000000000002</v>
      </c>
      <c r="BD591" s="191">
        <v>42941</v>
      </c>
      <c r="BE591" s="192">
        <v>0.28299999999999997</v>
      </c>
      <c r="BH591" s="94">
        <v>42940</v>
      </c>
      <c r="BI591" s="95">
        <v>0.28000000000000003</v>
      </c>
      <c r="BJ591" s="96">
        <v>9.5500000000000007</v>
      </c>
    </row>
    <row r="592" spans="54:62" ht="13.8" x14ac:dyDescent="0.25">
      <c r="BB592" s="187">
        <v>42942</v>
      </c>
      <c r="BC592" s="180">
        <v>-0.27200000000000002</v>
      </c>
      <c r="BD592" s="191">
        <v>42942</v>
      </c>
      <c r="BE592" s="192">
        <v>0.28399999999999997</v>
      </c>
      <c r="BH592" s="94">
        <v>42941</v>
      </c>
      <c r="BI592" s="95">
        <v>0.28299999999999997</v>
      </c>
      <c r="BJ592" s="96">
        <v>9.5500000000000007</v>
      </c>
    </row>
    <row r="593" spans="54:62" ht="13.8" x14ac:dyDescent="0.25">
      <c r="BB593" s="187">
        <v>42943</v>
      </c>
      <c r="BC593" s="180">
        <v>-0.27200000000000002</v>
      </c>
      <c r="BD593" s="191">
        <v>42943</v>
      </c>
      <c r="BE593" s="192">
        <v>0.28199999999999997</v>
      </c>
      <c r="BH593" s="94">
        <v>42942</v>
      </c>
      <c r="BI593" s="95">
        <v>0.28399999999999997</v>
      </c>
      <c r="BJ593" s="96">
        <v>9.5500000000000007</v>
      </c>
    </row>
    <row r="594" spans="54:62" ht="13.8" x14ac:dyDescent="0.25">
      <c r="BB594" s="187">
        <v>42944</v>
      </c>
      <c r="BC594" s="180">
        <v>-0.27200000000000002</v>
      </c>
      <c r="BD594" s="191">
        <v>42944</v>
      </c>
      <c r="BE594" s="192">
        <v>0.28100000000000003</v>
      </c>
      <c r="BH594" s="94">
        <v>42943</v>
      </c>
      <c r="BI594" s="95">
        <v>0.28199999999999997</v>
      </c>
      <c r="BJ594" s="96">
        <v>9.5399999999999991</v>
      </c>
    </row>
    <row r="595" spans="54:62" ht="13.8" x14ac:dyDescent="0.25">
      <c r="BB595" s="187">
        <v>42947</v>
      </c>
      <c r="BC595" s="180">
        <v>-0.27100000000000002</v>
      </c>
      <c r="BD595" s="191">
        <v>42947</v>
      </c>
      <c r="BE595" s="192">
        <v>0.27900000000000003</v>
      </c>
      <c r="BH595" s="94">
        <v>42944</v>
      </c>
      <c r="BI595" s="95">
        <v>0.28100000000000003</v>
      </c>
      <c r="BJ595" s="96">
        <v>9.5399999999999991</v>
      </c>
    </row>
    <row r="596" spans="54:62" ht="13.8" x14ac:dyDescent="0.25">
      <c r="BB596" s="187">
        <v>42948</v>
      </c>
      <c r="BC596" s="180">
        <v>-0.27200000000000002</v>
      </c>
      <c r="BD596" s="191">
        <v>42948</v>
      </c>
      <c r="BE596" s="192">
        <v>0.27700000000000002</v>
      </c>
      <c r="BH596" s="94">
        <v>42947</v>
      </c>
      <c r="BI596" s="95">
        <v>0.27900000000000003</v>
      </c>
      <c r="BJ596" s="96">
        <v>9.5299999999999994</v>
      </c>
    </row>
    <row r="597" spans="54:62" ht="13.8" x14ac:dyDescent="0.25">
      <c r="BB597" s="187">
        <v>42949</v>
      </c>
      <c r="BC597" s="180">
        <v>-0.27300000000000002</v>
      </c>
      <c r="BD597" s="191">
        <v>42949</v>
      </c>
      <c r="BE597" s="192">
        <v>0.27300000000000002</v>
      </c>
      <c r="BH597" s="94">
        <v>42948</v>
      </c>
      <c r="BI597" s="95">
        <v>0.27700000000000002</v>
      </c>
      <c r="BJ597" s="96">
        <v>9.5299999999999994</v>
      </c>
    </row>
    <row r="598" spans="54:62" ht="13.8" x14ac:dyDescent="0.25">
      <c r="BB598" s="187">
        <v>42950</v>
      </c>
      <c r="BC598" s="180">
        <v>-0.27200000000000002</v>
      </c>
      <c r="BD598" s="191">
        <v>42950</v>
      </c>
      <c r="BE598" s="192">
        <v>0.26700000000000002</v>
      </c>
      <c r="BH598" s="94">
        <v>42949</v>
      </c>
      <c r="BI598" s="95">
        <v>0.27300000000000002</v>
      </c>
      <c r="BJ598" s="96">
        <v>9.5299999999999994</v>
      </c>
    </row>
    <row r="599" spans="54:62" ht="13.8" x14ac:dyDescent="0.25">
      <c r="BB599" s="187">
        <v>42951</v>
      </c>
      <c r="BC599" s="180">
        <v>-0.27100000000000002</v>
      </c>
      <c r="BD599" s="191">
        <v>42951</v>
      </c>
      <c r="BE599" s="192">
        <v>0.26</v>
      </c>
      <c r="BH599" s="94">
        <v>42950</v>
      </c>
      <c r="BI599" s="95">
        <v>0.26700000000000002</v>
      </c>
      <c r="BJ599" s="96">
        <v>9.52</v>
      </c>
    </row>
    <row r="600" spans="54:62" ht="13.8" x14ac:dyDescent="0.25">
      <c r="BB600" s="187">
        <v>42954</v>
      </c>
      <c r="BC600" s="180">
        <v>-0.27</v>
      </c>
      <c r="BD600" s="191">
        <v>42954</v>
      </c>
      <c r="BE600" s="192">
        <v>0.253</v>
      </c>
      <c r="BH600" s="94">
        <v>42951</v>
      </c>
      <c r="BI600" s="95">
        <v>0.26</v>
      </c>
      <c r="BJ600" s="96">
        <v>9.52</v>
      </c>
    </row>
    <row r="601" spans="54:62" ht="13.8" x14ac:dyDescent="0.25">
      <c r="BB601" s="187">
        <v>42955</v>
      </c>
      <c r="BC601" s="180">
        <v>-0.26900000000000002</v>
      </c>
      <c r="BD601" s="191">
        <v>42955</v>
      </c>
      <c r="BE601" s="192">
        <v>0.246</v>
      </c>
      <c r="BH601" s="94">
        <v>42954</v>
      </c>
      <c r="BI601" s="95">
        <v>0.253</v>
      </c>
      <c r="BJ601" s="96">
        <v>9.51</v>
      </c>
    </row>
    <row r="602" spans="54:62" ht="13.8" x14ac:dyDescent="0.25">
      <c r="BB602" s="187">
        <v>42956</v>
      </c>
      <c r="BC602" s="180">
        <v>-0.27100000000000002</v>
      </c>
      <c r="BD602" s="191">
        <v>42956</v>
      </c>
      <c r="BE602" s="192">
        <v>0.24</v>
      </c>
      <c r="BH602" s="94">
        <v>42955</v>
      </c>
      <c r="BI602" s="95">
        <v>0.246</v>
      </c>
      <c r="BJ602" s="96">
        <v>9.51</v>
      </c>
    </row>
    <row r="603" spans="54:62" ht="13.8" x14ac:dyDescent="0.25">
      <c r="BB603" s="187">
        <v>42957</v>
      </c>
      <c r="BC603" s="180">
        <v>-0.27100000000000002</v>
      </c>
      <c r="BD603" s="191">
        <v>42957</v>
      </c>
      <c r="BE603" s="192">
        <v>0.23499999999999999</v>
      </c>
      <c r="BH603" s="94">
        <v>42956</v>
      </c>
      <c r="BI603" s="95">
        <v>0.24</v>
      </c>
      <c r="BJ603" s="96">
        <v>9.51</v>
      </c>
    </row>
    <row r="604" spans="54:62" ht="13.8" x14ac:dyDescent="0.25">
      <c r="BB604" s="187">
        <v>42958</v>
      </c>
      <c r="BC604" s="180">
        <v>-0.27100000000000002</v>
      </c>
      <c r="BD604" s="191">
        <v>42958</v>
      </c>
      <c r="BE604" s="192">
        <v>0.22700000000000001</v>
      </c>
      <c r="BH604" s="94">
        <v>42957</v>
      </c>
      <c r="BI604" s="95">
        <v>0.23499999999999999</v>
      </c>
      <c r="BJ604" s="96">
        <v>9.5299999999999994</v>
      </c>
    </row>
    <row r="605" spans="54:62" ht="13.8" x14ac:dyDescent="0.25">
      <c r="BB605" s="187">
        <v>42961</v>
      </c>
      <c r="BC605" s="180">
        <v>-0.27100000000000002</v>
      </c>
      <c r="BD605" s="191">
        <v>42961</v>
      </c>
      <c r="BE605" s="192">
        <v>0.221</v>
      </c>
      <c r="BH605" s="94">
        <v>42958</v>
      </c>
      <c r="BI605" s="95">
        <v>0.22700000000000001</v>
      </c>
      <c r="BJ605" s="96">
        <v>9.5299999999999994</v>
      </c>
    </row>
    <row r="606" spans="54:62" ht="13.8" x14ac:dyDescent="0.25">
      <c r="BB606" s="187">
        <v>42962</v>
      </c>
      <c r="BC606" s="180">
        <v>-0.27100000000000002</v>
      </c>
      <c r="BD606" s="191"/>
      <c r="BE606" s="193">
        <f>+BE605</f>
        <v>0.221</v>
      </c>
      <c r="BH606" s="94">
        <v>42961</v>
      </c>
      <c r="BI606" s="95">
        <v>0.221</v>
      </c>
      <c r="BJ606" s="96">
        <v>9.52</v>
      </c>
    </row>
    <row r="607" spans="54:62" ht="13.8" x14ac:dyDescent="0.25">
      <c r="BB607" s="187">
        <v>42963</v>
      </c>
      <c r="BC607" s="180">
        <v>-0.27100000000000002</v>
      </c>
      <c r="BD607" s="191">
        <v>42963</v>
      </c>
      <c r="BE607" s="192">
        <v>0.22</v>
      </c>
      <c r="BH607" s="94">
        <v>42963</v>
      </c>
      <c r="BI607" s="95">
        <v>0.22</v>
      </c>
      <c r="BJ607" s="96">
        <v>9.65</v>
      </c>
    </row>
    <row r="608" spans="54:62" ht="13.8" x14ac:dyDescent="0.25">
      <c r="BB608" s="187">
        <v>42964</v>
      </c>
      <c r="BC608" s="180">
        <v>-0.27100000000000002</v>
      </c>
      <c r="BD608" s="191">
        <v>42964</v>
      </c>
      <c r="BE608" s="192">
        <v>0.216</v>
      </c>
      <c r="BH608" s="94">
        <v>42964</v>
      </c>
      <c r="BI608" s="95">
        <v>0.216</v>
      </c>
      <c r="BJ608" s="96">
        <v>9.65</v>
      </c>
    </row>
    <row r="609" spans="54:62" ht="13.8" x14ac:dyDescent="0.25">
      <c r="BB609" s="187">
        <v>42965</v>
      </c>
      <c r="BC609" s="180">
        <v>-0.27100000000000002</v>
      </c>
      <c r="BD609" s="191">
        <v>42965</v>
      </c>
      <c r="BE609" s="192">
        <v>0.21099999999999999</v>
      </c>
      <c r="BH609" s="94">
        <v>42965</v>
      </c>
      <c r="BI609" s="95">
        <v>0.21099999999999999</v>
      </c>
      <c r="BJ609" s="96">
        <v>9.65</v>
      </c>
    </row>
    <row r="610" spans="54:62" ht="13.8" x14ac:dyDescent="0.25">
      <c r="BB610" s="187">
        <v>42968</v>
      </c>
      <c r="BC610" s="180">
        <v>-0.27100000000000002</v>
      </c>
      <c r="BD610" s="191">
        <v>42968</v>
      </c>
      <c r="BE610" s="192">
        <v>0.20799999999999999</v>
      </c>
      <c r="BH610" s="94">
        <v>42968</v>
      </c>
      <c r="BI610" s="95">
        <v>0.20799999999999999</v>
      </c>
      <c r="BJ610" s="96">
        <v>9.64</v>
      </c>
    </row>
    <row r="611" spans="54:62" ht="13.8" x14ac:dyDescent="0.25">
      <c r="BB611" s="187">
        <v>42969</v>
      </c>
      <c r="BC611" s="180">
        <v>-0.27300000000000002</v>
      </c>
      <c r="BD611" s="191">
        <v>42969</v>
      </c>
      <c r="BE611" s="192">
        <v>0.20499999999999999</v>
      </c>
      <c r="BH611" s="94">
        <v>42969</v>
      </c>
      <c r="BI611" s="95">
        <v>0.20499999999999999</v>
      </c>
      <c r="BJ611" s="96">
        <v>9.64</v>
      </c>
    </row>
    <row r="612" spans="54:62" ht="13.8" x14ac:dyDescent="0.25">
      <c r="BB612" s="187">
        <v>42970</v>
      </c>
      <c r="BC612" s="180">
        <v>-0.27300000000000002</v>
      </c>
      <c r="BD612" s="191">
        <v>42970</v>
      </c>
      <c r="BE612" s="192">
        <v>0.20100000000000001</v>
      </c>
      <c r="BH612" s="94">
        <v>42970</v>
      </c>
      <c r="BI612" s="95">
        <v>0.20100000000000001</v>
      </c>
      <c r="BJ612" s="96">
        <v>9.6300000000000008</v>
      </c>
    </row>
    <row r="613" spans="54:62" ht="13.8" x14ac:dyDescent="0.25">
      <c r="BB613" s="187">
        <v>42971</v>
      </c>
      <c r="BC613" s="180">
        <v>-0.27200000000000002</v>
      </c>
      <c r="BD613" s="191">
        <v>42971</v>
      </c>
      <c r="BE613" s="192">
        <v>0.19600000000000001</v>
      </c>
      <c r="BH613" s="94">
        <v>42971</v>
      </c>
      <c r="BI613" s="95">
        <v>0.19600000000000001</v>
      </c>
      <c r="BJ613" s="96">
        <v>9.6300000000000008</v>
      </c>
    </row>
    <row r="614" spans="54:62" ht="13.8" x14ac:dyDescent="0.25">
      <c r="BB614" s="187">
        <v>42972</v>
      </c>
      <c r="BC614" s="180">
        <v>-0.27200000000000002</v>
      </c>
      <c r="BD614" s="191">
        <v>42972</v>
      </c>
      <c r="BE614" s="192">
        <v>0.192</v>
      </c>
      <c r="BH614" s="94">
        <v>42972</v>
      </c>
      <c r="BI614" s="95">
        <v>0.192</v>
      </c>
      <c r="BJ614" s="96">
        <v>9.6300000000000008</v>
      </c>
    </row>
    <row r="615" spans="54:62" ht="13.8" x14ac:dyDescent="0.25">
      <c r="BB615" s="187">
        <v>42975</v>
      </c>
      <c r="BC615" s="180">
        <v>-0.27300000000000002</v>
      </c>
      <c r="BD615" s="191">
        <v>42975</v>
      </c>
      <c r="BE615" s="192">
        <v>0.187</v>
      </c>
      <c r="BH615" s="94">
        <v>42975</v>
      </c>
      <c r="BI615" s="95">
        <v>0.187</v>
      </c>
      <c r="BJ615" s="96">
        <v>9.6199999999999992</v>
      </c>
    </row>
    <row r="616" spans="54:62" ht="13.8" x14ac:dyDescent="0.25">
      <c r="BB616" s="187">
        <v>42976</v>
      </c>
      <c r="BC616" s="180">
        <v>-0.27300000000000002</v>
      </c>
      <c r="BD616" s="191">
        <v>42976</v>
      </c>
      <c r="BE616" s="192">
        <v>0.18099999999999999</v>
      </c>
      <c r="BH616" s="94">
        <v>42976</v>
      </c>
      <c r="BI616" s="95">
        <v>0.18099999999999999</v>
      </c>
      <c r="BJ616" s="96">
        <v>9.6199999999999992</v>
      </c>
    </row>
    <row r="617" spans="54:62" ht="13.8" x14ac:dyDescent="0.25">
      <c r="BB617" s="187">
        <v>42977</v>
      </c>
      <c r="BC617" s="180">
        <v>-0.27300000000000002</v>
      </c>
      <c r="BD617" s="191">
        <v>42977</v>
      </c>
      <c r="BE617" s="192">
        <v>0.17599999999999999</v>
      </c>
      <c r="BH617" s="94">
        <v>42977</v>
      </c>
      <c r="BI617" s="95">
        <v>0.17599999999999999</v>
      </c>
      <c r="BJ617" s="96">
        <v>9.61</v>
      </c>
    </row>
    <row r="618" spans="54:62" ht="13.8" x14ac:dyDescent="0.25">
      <c r="BB618" s="187">
        <v>42978</v>
      </c>
      <c r="BC618" s="180">
        <v>-0.27300000000000002</v>
      </c>
      <c r="BD618" s="191">
        <v>42978</v>
      </c>
      <c r="BE618" s="192">
        <v>0.17299999999999999</v>
      </c>
      <c r="BH618" s="94">
        <v>42978</v>
      </c>
      <c r="BI618" s="95">
        <v>0.17299999999999999</v>
      </c>
      <c r="BJ618" s="96">
        <v>9.61</v>
      </c>
    </row>
    <row r="619" spans="54:62" ht="13.8" x14ac:dyDescent="0.25">
      <c r="BB619" s="187">
        <v>42979</v>
      </c>
      <c r="BC619" s="180">
        <v>-0.27300000000000002</v>
      </c>
      <c r="BD619" s="191">
        <v>42979</v>
      </c>
      <c r="BE619" s="192">
        <v>0.17</v>
      </c>
      <c r="BH619" s="94">
        <v>42979</v>
      </c>
      <c r="BI619" s="95">
        <v>0.17</v>
      </c>
      <c r="BJ619" s="96">
        <v>9.61</v>
      </c>
    </row>
    <row r="620" spans="54:62" ht="13.8" x14ac:dyDescent="0.25">
      <c r="BB620" s="187">
        <v>42982</v>
      </c>
      <c r="BC620" s="180">
        <v>-0.27400000000000002</v>
      </c>
      <c r="BD620" s="191">
        <v>42982</v>
      </c>
      <c r="BE620" s="192">
        <v>0.16700000000000001</v>
      </c>
      <c r="BH620" s="94">
        <v>42982</v>
      </c>
      <c r="BI620" s="95">
        <v>0.16700000000000001</v>
      </c>
      <c r="BJ620" s="96">
        <v>9.6</v>
      </c>
    </row>
    <row r="621" spans="54:62" ht="13.8" x14ac:dyDescent="0.25">
      <c r="BB621" s="187">
        <v>42983</v>
      </c>
      <c r="BC621" s="180">
        <v>-0.27400000000000002</v>
      </c>
      <c r="BD621" s="191">
        <v>42983</v>
      </c>
      <c r="BE621" s="192">
        <v>0.16400000000000001</v>
      </c>
      <c r="BH621" s="94">
        <v>42983</v>
      </c>
      <c r="BI621" s="95">
        <v>0.16400000000000001</v>
      </c>
      <c r="BJ621" s="96">
        <v>9.6</v>
      </c>
    </row>
    <row r="622" spans="54:62" ht="13.8" x14ac:dyDescent="0.25">
      <c r="BB622" s="187">
        <v>42984</v>
      </c>
      <c r="BC622" s="180">
        <v>-0.27400000000000002</v>
      </c>
      <c r="BD622" s="191">
        <v>42984</v>
      </c>
      <c r="BE622" s="192">
        <v>0.159</v>
      </c>
      <c r="BH622" s="94">
        <v>42984</v>
      </c>
      <c r="BI622" s="95">
        <v>0.159</v>
      </c>
      <c r="BJ622" s="96">
        <v>9.59</v>
      </c>
    </row>
    <row r="623" spans="54:62" ht="13.8" x14ac:dyDescent="0.25">
      <c r="BB623" s="187">
        <v>42985</v>
      </c>
      <c r="BC623" s="180">
        <v>-0.27300000000000002</v>
      </c>
      <c r="BD623" s="191">
        <v>42985</v>
      </c>
      <c r="BE623" s="192">
        <v>0.16200000000000001</v>
      </c>
      <c r="BH623" s="94">
        <v>42985</v>
      </c>
      <c r="BI623" s="95">
        <v>0.16200000000000001</v>
      </c>
      <c r="BJ623" s="96">
        <v>9.6300000000000008</v>
      </c>
    </row>
    <row r="624" spans="54:62" ht="13.8" x14ac:dyDescent="0.25">
      <c r="BB624" s="187">
        <v>42986</v>
      </c>
      <c r="BC624" s="180">
        <v>-0.27500000000000002</v>
      </c>
      <c r="BD624" s="191">
        <v>42986</v>
      </c>
      <c r="BE624" s="192">
        <v>0.159</v>
      </c>
      <c r="BH624" s="94">
        <v>42986</v>
      </c>
      <c r="BI624" s="95">
        <v>0.159</v>
      </c>
      <c r="BJ624" s="96">
        <v>9.6199999999999992</v>
      </c>
    </row>
    <row r="625" spans="54:62" ht="13.8" x14ac:dyDescent="0.25">
      <c r="BB625" s="187">
        <v>42989</v>
      </c>
      <c r="BC625" s="180">
        <v>-0.27400000000000002</v>
      </c>
      <c r="BD625" s="191">
        <v>42989</v>
      </c>
      <c r="BE625" s="192">
        <v>0.157</v>
      </c>
      <c r="BH625" s="94">
        <v>42989</v>
      </c>
      <c r="BI625" s="95">
        <v>0.157</v>
      </c>
      <c r="BJ625" s="96">
        <v>9.61</v>
      </c>
    </row>
    <row r="626" spans="54:62" ht="13.8" x14ac:dyDescent="0.25">
      <c r="BB626" s="187">
        <v>42990</v>
      </c>
      <c r="BC626" s="180">
        <v>-0.27200000000000002</v>
      </c>
      <c r="BD626" s="191">
        <v>42990</v>
      </c>
      <c r="BE626" s="192">
        <v>0.157</v>
      </c>
      <c r="BH626" s="94">
        <v>42990</v>
      </c>
      <c r="BI626" s="95">
        <v>0.157</v>
      </c>
      <c r="BJ626" s="96">
        <v>9.61</v>
      </c>
    </row>
    <row r="627" spans="54:62" ht="13.8" x14ac:dyDescent="0.25">
      <c r="BB627" s="187">
        <v>42991</v>
      </c>
      <c r="BC627" s="180">
        <v>-0.27200000000000002</v>
      </c>
      <c r="BD627" s="191">
        <v>42991</v>
      </c>
      <c r="BE627" s="192">
        <v>0.156</v>
      </c>
      <c r="BH627" s="94">
        <v>42991</v>
      </c>
      <c r="BI627" s="95">
        <v>0.156</v>
      </c>
      <c r="BJ627" s="96">
        <v>9.61</v>
      </c>
    </row>
    <row r="628" spans="54:62" ht="13.8" x14ac:dyDescent="0.25">
      <c r="BB628" s="187">
        <v>42992</v>
      </c>
      <c r="BC628" s="180">
        <v>-0.27200000000000002</v>
      </c>
      <c r="BD628" s="191">
        <v>42992</v>
      </c>
      <c r="BE628" s="192">
        <v>0.155</v>
      </c>
      <c r="BH628" s="94">
        <v>42992</v>
      </c>
      <c r="BI628" s="95">
        <v>0.155</v>
      </c>
      <c r="BJ628" s="96">
        <v>9.61</v>
      </c>
    </row>
    <row r="629" spans="54:62" ht="13.8" x14ac:dyDescent="0.25">
      <c r="BB629" s="187">
        <v>42993</v>
      </c>
      <c r="BC629" s="180">
        <v>-0.27100000000000002</v>
      </c>
      <c r="BD629" s="191">
        <v>42993</v>
      </c>
      <c r="BE629" s="192">
        <v>0.156</v>
      </c>
      <c r="BH629" s="94">
        <v>42993</v>
      </c>
      <c r="BI629" s="95">
        <v>0.156</v>
      </c>
      <c r="BJ629" s="96">
        <v>9.6</v>
      </c>
    </row>
    <row r="630" spans="54:62" ht="13.8" x14ac:dyDescent="0.25">
      <c r="BB630" s="187">
        <v>42996</v>
      </c>
      <c r="BC630" s="180">
        <v>-0.27100000000000002</v>
      </c>
      <c r="BD630" s="191">
        <v>42996</v>
      </c>
      <c r="BE630" s="192">
        <v>0.157</v>
      </c>
      <c r="BH630" s="94">
        <v>42996</v>
      </c>
      <c r="BI630" s="95">
        <v>0.157</v>
      </c>
      <c r="BJ630" s="96">
        <v>9.6</v>
      </c>
    </row>
    <row r="631" spans="54:62" ht="13.8" x14ac:dyDescent="0.25">
      <c r="BB631" s="187">
        <v>42997</v>
      </c>
      <c r="BC631" s="180">
        <v>-0.27200000000000002</v>
      </c>
      <c r="BD631" s="191">
        <v>42997</v>
      </c>
      <c r="BE631" s="192">
        <v>0.159</v>
      </c>
      <c r="BH631" s="94">
        <v>42997</v>
      </c>
      <c r="BI631" s="95">
        <v>0.159</v>
      </c>
      <c r="BJ631" s="96">
        <v>9.59</v>
      </c>
    </row>
    <row r="632" spans="54:62" ht="13.8" x14ac:dyDescent="0.25">
      <c r="BB632" s="187">
        <v>42998</v>
      </c>
      <c r="BC632" s="180">
        <v>-0.27100000000000002</v>
      </c>
      <c r="BD632" s="191">
        <v>42998</v>
      </c>
      <c r="BE632" s="192">
        <v>0.187</v>
      </c>
      <c r="BH632" s="94">
        <v>42998</v>
      </c>
      <c r="BI632" s="95">
        <v>0.187</v>
      </c>
      <c r="BJ632" s="96">
        <v>11.08</v>
      </c>
    </row>
    <row r="633" spans="54:62" ht="13.8" x14ac:dyDescent="0.25">
      <c r="BB633" s="187">
        <v>42999</v>
      </c>
      <c r="BC633" s="180">
        <v>-0.27200000000000002</v>
      </c>
      <c r="BD633" s="191">
        <v>42999</v>
      </c>
      <c r="BE633" s="192">
        <v>0.19</v>
      </c>
      <c r="BH633" s="94">
        <v>42999</v>
      </c>
      <c r="BI633" s="95">
        <v>0.19</v>
      </c>
      <c r="BJ633" s="96">
        <v>11.08</v>
      </c>
    </row>
    <row r="634" spans="54:62" ht="13.8" x14ac:dyDescent="0.25">
      <c r="BB634" s="187">
        <v>43000</v>
      </c>
      <c r="BC634" s="180">
        <v>-0.27100000000000002</v>
      </c>
      <c r="BD634" s="191">
        <v>43000</v>
      </c>
      <c r="BE634" s="192">
        <v>0.192</v>
      </c>
      <c r="BH634" s="94">
        <v>43000</v>
      </c>
      <c r="BI634" s="95">
        <v>0.192</v>
      </c>
      <c r="BJ634" s="96">
        <v>11.07</v>
      </c>
    </row>
    <row r="635" spans="54:62" ht="13.8" x14ac:dyDescent="0.25">
      <c r="BB635" s="187">
        <v>43003</v>
      </c>
      <c r="BC635" s="180">
        <v>-0.27200000000000002</v>
      </c>
      <c r="BD635" s="191">
        <v>43003</v>
      </c>
      <c r="BE635" s="192">
        <v>0.192</v>
      </c>
      <c r="BH635" s="94">
        <v>43003</v>
      </c>
      <c r="BI635" s="95">
        <v>0.192</v>
      </c>
      <c r="BJ635" s="96">
        <v>11.07</v>
      </c>
    </row>
    <row r="636" spans="54:62" ht="13.8" x14ac:dyDescent="0.25">
      <c r="BB636" s="187">
        <v>43004</v>
      </c>
      <c r="BC636" s="180">
        <v>-0.27300000000000002</v>
      </c>
      <c r="BD636" s="191">
        <v>43004</v>
      </c>
      <c r="BE636" s="192">
        <v>0.193</v>
      </c>
      <c r="BH636" s="94">
        <v>43004</v>
      </c>
      <c r="BI636" s="95">
        <v>0.193</v>
      </c>
      <c r="BJ636" s="96">
        <v>11.06</v>
      </c>
    </row>
    <row r="637" spans="54:62" ht="13.8" x14ac:dyDescent="0.25">
      <c r="BB637" s="187">
        <v>43005</v>
      </c>
      <c r="BC637" s="180">
        <v>-0.27300000000000002</v>
      </c>
      <c r="BD637" s="191">
        <v>43005</v>
      </c>
      <c r="BE637" s="192">
        <v>0.19600000000000001</v>
      </c>
      <c r="BH637" s="94">
        <v>43005</v>
      </c>
      <c r="BI637" s="95">
        <v>0.19600000000000001</v>
      </c>
      <c r="BJ637" s="96">
        <v>11.06</v>
      </c>
    </row>
    <row r="638" spans="54:62" ht="13.8" x14ac:dyDescent="0.25">
      <c r="BB638" s="187">
        <v>43006</v>
      </c>
      <c r="BC638" s="180">
        <v>-0.27300000000000002</v>
      </c>
      <c r="BD638" s="191">
        <v>43006</v>
      </c>
      <c r="BE638" s="192">
        <v>0.2</v>
      </c>
      <c r="BH638" s="94">
        <v>43006</v>
      </c>
      <c r="BI638" s="95">
        <v>0.2</v>
      </c>
      <c r="BJ638" s="96">
        <v>11.06</v>
      </c>
    </row>
    <row r="639" spans="54:62" ht="13.8" x14ac:dyDescent="0.25">
      <c r="BB639" s="187">
        <v>43007</v>
      </c>
      <c r="BC639" s="180">
        <v>-0.27300000000000002</v>
      </c>
      <c r="BD639" s="191">
        <v>43007</v>
      </c>
      <c r="BE639" s="192">
        <v>0.20200000000000001</v>
      </c>
      <c r="BH639" s="94">
        <v>43007</v>
      </c>
      <c r="BI639" s="95">
        <v>0.20200000000000001</v>
      </c>
      <c r="BJ639" s="96">
        <v>11.05</v>
      </c>
    </row>
    <row r="640" spans="54:62" ht="13.8" x14ac:dyDescent="0.25">
      <c r="BB640" s="187">
        <v>43010</v>
      </c>
      <c r="BC640" s="180">
        <v>-0.27200000000000002</v>
      </c>
      <c r="BD640" s="191">
        <v>43010</v>
      </c>
      <c r="BE640" s="192">
        <v>0.20300000000000001</v>
      </c>
      <c r="BH640" s="94">
        <v>43010</v>
      </c>
      <c r="BI640" s="95">
        <v>0.20300000000000001</v>
      </c>
      <c r="BJ640" s="96">
        <v>11.05</v>
      </c>
    </row>
    <row r="641" spans="54:62" ht="13.8" x14ac:dyDescent="0.25">
      <c r="BB641" s="187">
        <v>43011</v>
      </c>
      <c r="BC641" s="180">
        <v>-0.27300000000000002</v>
      </c>
      <c r="BD641" s="191">
        <v>43011</v>
      </c>
      <c r="BE641" s="192">
        <v>0.20599999999999999</v>
      </c>
      <c r="BH641" s="94">
        <v>43011</v>
      </c>
      <c r="BI641" s="95">
        <v>0.20599999999999999</v>
      </c>
      <c r="BJ641" s="96">
        <v>11.04</v>
      </c>
    </row>
    <row r="642" spans="54:62" ht="13.8" x14ac:dyDescent="0.25">
      <c r="BB642" s="187">
        <v>43012</v>
      </c>
      <c r="BC642" s="180">
        <v>-0.27300000000000002</v>
      </c>
      <c r="BD642" s="191">
        <v>43012</v>
      </c>
      <c r="BE642" s="192">
        <v>0.20899999999999999</v>
      </c>
      <c r="BH642" s="94">
        <v>43012</v>
      </c>
      <c r="BI642" s="95">
        <v>0.20899999999999999</v>
      </c>
      <c r="BJ642" s="96">
        <v>11.04</v>
      </c>
    </row>
    <row r="643" spans="54:62" ht="13.8" x14ac:dyDescent="0.25">
      <c r="BB643" s="187">
        <v>43013</v>
      </c>
      <c r="BC643" s="180">
        <v>-0.27200000000000002</v>
      </c>
      <c r="BD643" s="191">
        <v>43013</v>
      </c>
      <c r="BE643" s="192">
        <v>0.21199999999999999</v>
      </c>
      <c r="BH643" s="94">
        <v>43013</v>
      </c>
      <c r="BI643" s="95">
        <v>0.21199999999999999</v>
      </c>
      <c r="BJ643" s="96">
        <v>11.04</v>
      </c>
    </row>
    <row r="644" spans="54:62" ht="13.8" x14ac:dyDescent="0.25">
      <c r="BB644" s="187">
        <v>43014</v>
      </c>
      <c r="BC644" s="180">
        <v>-0.27300000000000002</v>
      </c>
      <c r="BD644" s="191">
        <v>43014</v>
      </c>
      <c r="BE644" s="192">
        <v>0.217</v>
      </c>
      <c r="BH644" s="94">
        <v>43014</v>
      </c>
      <c r="BI644" s="95">
        <v>0.217</v>
      </c>
      <c r="BJ644" s="96">
        <v>11.04</v>
      </c>
    </row>
    <row r="645" spans="54:62" ht="13.8" x14ac:dyDescent="0.25">
      <c r="BB645" s="187">
        <v>43017</v>
      </c>
      <c r="BC645" s="180">
        <v>-0.27400000000000002</v>
      </c>
      <c r="BD645" s="191">
        <v>43017</v>
      </c>
      <c r="BE645" s="192">
        <v>0.221</v>
      </c>
      <c r="BH645" s="94">
        <v>43017</v>
      </c>
      <c r="BI645" s="95">
        <v>0.221</v>
      </c>
      <c r="BJ645" s="96">
        <v>11.03</v>
      </c>
    </row>
    <row r="646" spans="54:62" ht="13.8" x14ac:dyDescent="0.25">
      <c r="BB646" s="187">
        <v>43018</v>
      </c>
      <c r="BC646" s="180">
        <v>-0.27400000000000002</v>
      </c>
      <c r="BD646" s="191">
        <v>43018</v>
      </c>
      <c r="BE646" s="192">
        <v>0.222</v>
      </c>
      <c r="BH646" s="94">
        <v>43018</v>
      </c>
      <c r="BI646" s="95">
        <v>0.222</v>
      </c>
      <c r="BJ646" s="96">
        <v>11.02</v>
      </c>
    </row>
    <row r="647" spans="54:62" ht="13.8" x14ac:dyDescent="0.25">
      <c r="BB647" s="187">
        <v>43019</v>
      </c>
      <c r="BC647" s="180">
        <v>-0.27400000000000002</v>
      </c>
      <c r="BD647" s="191">
        <v>43019</v>
      </c>
      <c r="BE647" s="192">
        <v>0.223</v>
      </c>
      <c r="BH647" s="94">
        <v>43019</v>
      </c>
      <c r="BI647" s="95">
        <v>0.223</v>
      </c>
      <c r="BJ647" s="96">
        <v>11.02</v>
      </c>
    </row>
    <row r="648" spans="54:62" ht="13.8" x14ac:dyDescent="0.25">
      <c r="BB648" s="187">
        <v>43020</v>
      </c>
      <c r="BC648" s="180">
        <v>-0.27400000000000002</v>
      </c>
      <c r="BD648" s="191">
        <v>43020</v>
      </c>
      <c r="BE648" s="192">
        <v>0.22500000000000001</v>
      </c>
      <c r="BH648" s="94">
        <v>43020</v>
      </c>
      <c r="BI648" s="95">
        <v>0.22500000000000001</v>
      </c>
      <c r="BJ648" s="96">
        <v>11.02</v>
      </c>
    </row>
    <row r="649" spans="54:62" ht="13.8" x14ac:dyDescent="0.25">
      <c r="BB649" s="187">
        <v>43021</v>
      </c>
      <c r="BC649" s="180">
        <v>-0.27400000000000002</v>
      </c>
      <c r="BD649" s="191">
        <v>43021</v>
      </c>
      <c r="BE649" s="192">
        <v>0.223</v>
      </c>
      <c r="BH649" s="94">
        <v>43021</v>
      </c>
      <c r="BI649" s="95">
        <v>0.223</v>
      </c>
      <c r="BJ649" s="96">
        <v>11.02</v>
      </c>
    </row>
    <row r="650" spans="54:62" ht="13.8" x14ac:dyDescent="0.25">
      <c r="BB650" s="187">
        <v>43024</v>
      </c>
      <c r="BC650" s="180">
        <v>-0.27400000000000002</v>
      </c>
      <c r="BD650" s="191">
        <v>43024</v>
      </c>
      <c r="BE650" s="192">
        <v>0.22</v>
      </c>
      <c r="BH650" s="94">
        <v>43024</v>
      </c>
      <c r="BI650" s="95">
        <v>0.22</v>
      </c>
      <c r="BJ650" s="96">
        <v>11.01</v>
      </c>
    </row>
    <row r="651" spans="54:62" ht="13.8" x14ac:dyDescent="0.25">
      <c r="BB651" s="187">
        <v>43025</v>
      </c>
      <c r="BC651" s="180">
        <v>-0.27400000000000002</v>
      </c>
      <c r="BD651" s="191">
        <v>43025</v>
      </c>
      <c r="BE651" s="192">
        <v>0.216</v>
      </c>
      <c r="BH651" s="94">
        <v>43025</v>
      </c>
      <c r="BI651" s="95">
        <v>0.216</v>
      </c>
      <c r="BJ651" s="96">
        <v>11.01</v>
      </c>
    </row>
    <row r="652" spans="54:62" ht="13.8" x14ac:dyDescent="0.25">
      <c r="BB652" s="187">
        <v>43026</v>
      </c>
      <c r="BC652" s="180">
        <v>-0.27400000000000002</v>
      </c>
      <c r="BD652" s="191">
        <v>43026</v>
      </c>
      <c r="BE652" s="192">
        <v>0.214</v>
      </c>
      <c r="BH652" s="94">
        <v>43026</v>
      </c>
      <c r="BI652" s="95">
        <v>0.214</v>
      </c>
      <c r="BJ652" s="96">
        <v>11</v>
      </c>
    </row>
    <row r="653" spans="54:62" ht="13.8" x14ac:dyDescent="0.25">
      <c r="BB653" s="187">
        <v>43027</v>
      </c>
      <c r="BC653" s="180">
        <v>-0.27400000000000002</v>
      </c>
      <c r="BD653" s="191">
        <v>43027</v>
      </c>
      <c r="BE653" s="192">
        <v>0.24099999999999999</v>
      </c>
      <c r="BH653" s="94">
        <v>43027</v>
      </c>
      <c r="BI653" s="95">
        <v>0.24099999999999999</v>
      </c>
      <c r="BJ653" s="96">
        <v>11.37</v>
      </c>
    </row>
    <row r="654" spans="54:62" ht="13.8" x14ac:dyDescent="0.25">
      <c r="BB654" s="187">
        <v>43028</v>
      </c>
      <c r="BC654" s="180">
        <v>-0.27400000000000002</v>
      </c>
      <c r="BD654" s="191">
        <v>43028</v>
      </c>
      <c r="BE654" s="192">
        <v>0.24</v>
      </c>
      <c r="BH654" s="94">
        <v>43028</v>
      </c>
      <c r="BI654" s="95">
        <v>0.24</v>
      </c>
      <c r="BJ654" s="96">
        <v>11.36</v>
      </c>
    </row>
    <row r="655" spans="54:62" ht="13.8" x14ac:dyDescent="0.25">
      <c r="BB655" s="187">
        <v>43031</v>
      </c>
      <c r="BC655" s="180">
        <v>-0.27400000000000002</v>
      </c>
      <c r="BD655" s="191">
        <v>43031</v>
      </c>
      <c r="BE655" s="192">
        <v>0.24</v>
      </c>
      <c r="BH655" s="94">
        <v>43031</v>
      </c>
      <c r="BI655" s="95">
        <v>0.24</v>
      </c>
      <c r="BJ655" s="96">
        <v>11.36</v>
      </c>
    </row>
    <row r="656" spans="54:62" ht="13.8" x14ac:dyDescent="0.25">
      <c r="BB656" s="187">
        <v>43032</v>
      </c>
      <c r="BC656" s="180">
        <v>-0.27400000000000002</v>
      </c>
      <c r="BD656" s="191">
        <v>43032</v>
      </c>
      <c r="BE656" s="192">
        <v>0.24099999999999999</v>
      </c>
      <c r="BH656" s="94">
        <v>43032</v>
      </c>
      <c r="BI656" s="95">
        <v>0.24099999999999999</v>
      </c>
      <c r="BJ656" s="96">
        <v>11.35</v>
      </c>
    </row>
    <row r="657" spans="54:62" ht="13.8" x14ac:dyDescent="0.25">
      <c r="BB657" s="187">
        <v>43033</v>
      </c>
      <c r="BC657" s="180">
        <v>-0.27400000000000002</v>
      </c>
      <c r="BD657" s="191">
        <v>43033</v>
      </c>
      <c r="BE657" s="192">
        <v>0.24199999999999999</v>
      </c>
      <c r="BH657" s="94">
        <v>43033</v>
      </c>
      <c r="BI657" s="95">
        <v>0.24199999999999999</v>
      </c>
      <c r="BJ657" s="96">
        <v>11.35</v>
      </c>
    </row>
    <row r="658" spans="54:62" ht="13.8" x14ac:dyDescent="0.25">
      <c r="BB658" s="187">
        <v>43034</v>
      </c>
      <c r="BC658" s="180">
        <v>-0.27400000000000002</v>
      </c>
      <c r="BD658" s="191"/>
      <c r="BE658" s="193">
        <f>+BE657</f>
        <v>0.24199999999999999</v>
      </c>
      <c r="BH658" s="94">
        <v>43035</v>
      </c>
      <c r="BI658" s="95">
        <v>0.23799999999999999</v>
      </c>
      <c r="BJ658" s="96">
        <v>11.34</v>
      </c>
    </row>
    <row r="659" spans="54:62" ht="13.8" x14ac:dyDescent="0.25">
      <c r="BB659" s="187">
        <v>43035</v>
      </c>
      <c r="BC659" s="180">
        <v>-0.27500000000000002</v>
      </c>
      <c r="BD659" s="191">
        <v>43035</v>
      </c>
      <c r="BE659" s="192">
        <v>0.23799999999999999</v>
      </c>
      <c r="BH659" s="94">
        <v>43038</v>
      </c>
      <c r="BI659" s="95">
        <v>0.23499999999999999</v>
      </c>
      <c r="BJ659" s="96">
        <v>11.34</v>
      </c>
    </row>
    <row r="660" spans="54:62" ht="13.8" x14ac:dyDescent="0.25">
      <c r="BB660" s="187">
        <v>43038</v>
      </c>
      <c r="BC660" s="180">
        <v>-0.27600000000000002</v>
      </c>
      <c r="BD660" s="191">
        <v>43038</v>
      </c>
      <c r="BE660" s="192">
        <v>0.23499999999999999</v>
      </c>
      <c r="BH660" s="94">
        <v>43039</v>
      </c>
      <c r="BI660" s="95">
        <v>0.23200000000000001</v>
      </c>
      <c r="BJ660" s="96">
        <v>11.33</v>
      </c>
    </row>
    <row r="661" spans="54:62" ht="13.8" x14ac:dyDescent="0.25">
      <c r="BB661" s="187">
        <v>43039</v>
      </c>
      <c r="BC661" s="180">
        <v>-0.27600000000000002</v>
      </c>
      <c r="BD661" s="191">
        <v>43039</v>
      </c>
      <c r="BE661" s="192">
        <v>0.23200000000000001</v>
      </c>
      <c r="BH661" s="94">
        <v>43041</v>
      </c>
      <c r="BI661" s="95">
        <v>0.22800000000000001</v>
      </c>
      <c r="BJ661" s="96">
        <v>11.33</v>
      </c>
    </row>
    <row r="662" spans="54:62" ht="13.8" x14ac:dyDescent="0.25">
      <c r="BB662" s="187">
        <v>43040</v>
      </c>
      <c r="BC662" s="180">
        <v>-0.27600000000000002</v>
      </c>
      <c r="BD662" s="191"/>
      <c r="BE662" s="193">
        <f>+BE661</f>
        <v>0.23200000000000001</v>
      </c>
      <c r="BF662" s="111">
        <f>+(BC662+BE662)/2+0.37</f>
        <v>0.34799999999999998</v>
      </c>
      <c r="BH662" s="94">
        <v>43042</v>
      </c>
      <c r="BI662" s="95">
        <v>0.22600000000000001</v>
      </c>
      <c r="BJ662" s="96">
        <v>11.33</v>
      </c>
    </row>
    <row r="663" spans="54:62" ht="13.8" x14ac:dyDescent="0.25">
      <c r="BB663" s="187">
        <v>43041</v>
      </c>
      <c r="BC663" s="180">
        <v>-0.27600000000000002</v>
      </c>
      <c r="BD663" s="191">
        <v>43041</v>
      </c>
      <c r="BE663" s="192">
        <v>0.22800000000000001</v>
      </c>
      <c r="BH663" s="94">
        <v>43045</v>
      </c>
      <c r="BI663" s="95">
        <v>0.22</v>
      </c>
      <c r="BJ663" s="96">
        <v>11.32</v>
      </c>
    </row>
    <row r="664" spans="54:62" ht="13.8" x14ac:dyDescent="0.25">
      <c r="BB664" s="187">
        <v>43042</v>
      </c>
      <c r="BC664" s="180">
        <v>-0.27600000000000002</v>
      </c>
      <c r="BD664" s="191">
        <v>43042</v>
      </c>
      <c r="BE664" s="192">
        <v>0.22600000000000001</v>
      </c>
      <c r="BH664" s="94">
        <v>43046</v>
      </c>
      <c r="BI664" s="95">
        <v>0.214</v>
      </c>
      <c r="BJ664" s="96">
        <v>11.31</v>
      </c>
    </row>
    <row r="665" spans="54:62" ht="13.8" x14ac:dyDescent="0.25">
      <c r="BB665" s="187">
        <v>43045</v>
      </c>
      <c r="BC665" s="180">
        <v>-0.27600000000000002</v>
      </c>
      <c r="BD665" s="191">
        <v>43045</v>
      </c>
      <c r="BE665" s="192">
        <v>0.22</v>
      </c>
      <c r="BH665" s="94">
        <v>43047</v>
      </c>
      <c r="BI665" s="95">
        <v>0.20699999999999999</v>
      </c>
      <c r="BJ665" s="96">
        <v>11.31</v>
      </c>
    </row>
    <row r="666" spans="54:62" ht="13.8" x14ac:dyDescent="0.25">
      <c r="BB666" s="187">
        <v>43046</v>
      </c>
      <c r="BC666" s="180">
        <v>-0.27500000000000002</v>
      </c>
      <c r="BD666" s="191">
        <v>43046</v>
      </c>
      <c r="BE666" s="192">
        <v>0.214</v>
      </c>
      <c r="BH666" s="94">
        <v>43048</v>
      </c>
      <c r="BI666" s="95">
        <v>0.20300000000000001</v>
      </c>
      <c r="BJ666" s="96">
        <v>11.31</v>
      </c>
    </row>
    <row r="667" spans="54:62" ht="13.8" x14ac:dyDescent="0.25">
      <c r="BB667" s="187">
        <v>43047</v>
      </c>
      <c r="BC667" s="180">
        <v>-0.27600000000000002</v>
      </c>
      <c r="BD667" s="191">
        <v>43047</v>
      </c>
      <c r="BE667" s="192">
        <v>0.20699999999999999</v>
      </c>
      <c r="BH667" s="94">
        <v>43049</v>
      </c>
      <c r="BI667" s="95">
        <v>0.19900000000000001</v>
      </c>
      <c r="BJ667" s="96">
        <v>11.31</v>
      </c>
    </row>
    <row r="668" spans="54:62" ht="13.8" x14ac:dyDescent="0.25">
      <c r="BB668" s="187">
        <v>43048</v>
      </c>
      <c r="BC668" s="180">
        <v>-0.27600000000000002</v>
      </c>
      <c r="BD668" s="191">
        <v>43048</v>
      </c>
      <c r="BE668" s="192">
        <v>0.20300000000000001</v>
      </c>
      <c r="BH668" s="94">
        <v>43052</v>
      </c>
      <c r="BI668" s="95">
        <v>0.19600000000000001</v>
      </c>
      <c r="BJ668" s="96">
        <v>11.3</v>
      </c>
    </row>
    <row r="669" spans="54:62" ht="13.8" x14ac:dyDescent="0.25">
      <c r="BB669" s="187">
        <v>43049</v>
      </c>
      <c r="BC669" s="180">
        <v>-0.27500000000000002</v>
      </c>
      <c r="BD669" s="191">
        <v>43049</v>
      </c>
      <c r="BE669" s="192">
        <v>0.19900000000000001</v>
      </c>
      <c r="BH669" s="94">
        <v>43053</v>
      </c>
      <c r="BI669" s="95">
        <v>0.19400000000000001</v>
      </c>
      <c r="BJ669" s="96">
        <v>11.3</v>
      </c>
    </row>
    <row r="670" spans="54:62" ht="13.8" x14ac:dyDescent="0.25">
      <c r="BB670" s="187">
        <v>43052</v>
      </c>
      <c r="BC670" s="180">
        <v>-0.27500000000000002</v>
      </c>
      <c r="BD670" s="191">
        <v>43052</v>
      </c>
      <c r="BE670" s="192">
        <v>0.19600000000000001</v>
      </c>
      <c r="BH670" s="94">
        <v>43054</v>
      </c>
      <c r="BI670" s="95">
        <v>0.192</v>
      </c>
      <c r="BJ670" s="96">
        <v>11.3</v>
      </c>
    </row>
    <row r="671" spans="54:62" ht="13.8" x14ac:dyDescent="0.25">
      <c r="BB671" s="187">
        <v>43053</v>
      </c>
      <c r="BC671" s="180">
        <v>-0.27500000000000002</v>
      </c>
      <c r="BD671" s="191">
        <v>43053</v>
      </c>
      <c r="BE671" s="192">
        <v>0.19400000000000001</v>
      </c>
      <c r="BH671" s="94">
        <v>43055</v>
      </c>
      <c r="BI671" s="95">
        <v>0.192</v>
      </c>
      <c r="BJ671" s="96">
        <v>11.29</v>
      </c>
    </row>
    <row r="672" spans="54:62" ht="13.8" x14ac:dyDescent="0.25">
      <c r="BB672" s="187">
        <v>43054</v>
      </c>
      <c r="BC672" s="180">
        <v>-0.27500000000000002</v>
      </c>
      <c r="BD672" s="191">
        <v>43054</v>
      </c>
      <c r="BE672" s="192">
        <v>0.192</v>
      </c>
      <c r="BH672" s="94">
        <v>43056</v>
      </c>
      <c r="BI672" s="95">
        <v>0.19</v>
      </c>
      <c r="BJ672" s="96">
        <v>11.29</v>
      </c>
    </row>
    <row r="673" spans="54:62" ht="13.8" x14ac:dyDescent="0.25">
      <c r="BB673" s="187">
        <v>43055</v>
      </c>
      <c r="BC673" s="180">
        <v>-0.27500000000000002</v>
      </c>
      <c r="BD673" s="191">
        <v>43055</v>
      </c>
      <c r="BE673" s="192">
        <v>0.192</v>
      </c>
      <c r="BH673" s="94">
        <v>43059</v>
      </c>
      <c r="BI673" s="95">
        <v>0.187</v>
      </c>
      <c r="BJ673" s="96">
        <v>11.28</v>
      </c>
    </row>
    <row r="674" spans="54:62" ht="13.8" x14ac:dyDescent="0.25">
      <c r="BB674" s="187">
        <v>43056</v>
      </c>
      <c r="BC674" s="180">
        <v>-0.27400000000000002</v>
      </c>
      <c r="BD674" s="191">
        <v>43056</v>
      </c>
      <c r="BE674" s="192">
        <v>0.19</v>
      </c>
      <c r="BH674" s="94">
        <v>43060</v>
      </c>
      <c r="BI674" s="95">
        <v>0.182</v>
      </c>
      <c r="BJ674" s="96">
        <v>11.28</v>
      </c>
    </row>
    <row r="675" spans="54:62" ht="13.8" x14ac:dyDescent="0.25">
      <c r="BB675" s="187">
        <v>43059</v>
      </c>
      <c r="BC675" s="180">
        <v>-0.27400000000000002</v>
      </c>
      <c r="BD675" s="191">
        <v>43059</v>
      </c>
      <c r="BE675" s="192">
        <v>0.187</v>
      </c>
      <c r="BH675" s="94">
        <v>43061</v>
      </c>
      <c r="BI675" s="95">
        <v>0.17899999999999999</v>
      </c>
      <c r="BJ675" s="96">
        <v>11.28</v>
      </c>
    </row>
    <row r="676" spans="54:62" ht="13.8" x14ac:dyDescent="0.25">
      <c r="BB676" s="187">
        <v>43060</v>
      </c>
      <c r="BC676" s="180">
        <v>-0.27300000000000002</v>
      </c>
      <c r="BD676" s="191">
        <v>43060</v>
      </c>
      <c r="BE676" s="192">
        <v>0.182</v>
      </c>
      <c r="BH676" s="94">
        <v>43062</v>
      </c>
      <c r="BI676" s="95">
        <v>0.17399999999999999</v>
      </c>
      <c r="BJ676" s="96">
        <v>11.27</v>
      </c>
    </row>
    <row r="677" spans="54:62" ht="13.8" x14ac:dyDescent="0.25">
      <c r="BB677" s="187">
        <v>43061</v>
      </c>
      <c r="BC677" s="180">
        <v>-0.27200000000000002</v>
      </c>
      <c r="BD677" s="191">
        <v>43061</v>
      </c>
      <c r="BE677" s="192">
        <v>0.17899999999999999</v>
      </c>
      <c r="BH677" s="94">
        <v>43063</v>
      </c>
      <c r="BI677" s="95">
        <v>0.16700000000000001</v>
      </c>
      <c r="BJ677" s="96">
        <v>11.26</v>
      </c>
    </row>
    <row r="678" spans="54:62" ht="13.8" x14ac:dyDescent="0.25">
      <c r="BB678" s="187">
        <v>43062</v>
      </c>
      <c r="BC678" s="180">
        <v>-0.27100000000000002</v>
      </c>
      <c r="BD678" s="191">
        <v>43062</v>
      </c>
      <c r="BE678" s="192">
        <v>0.17399999999999999</v>
      </c>
      <c r="BH678" s="94">
        <v>43066</v>
      </c>
      <c r="BI678" s="95">
        <v>0.16400000000000001</v>
      </c>
      <c r="BJ678" s="96">
        <v>11.25</v>
      </c>
    </row>
    <row r="679" spans="54:62" ht="13.8" x14ac:dyDescent="0.25">
      <c r="BB679" s="187">
        <v>43063</v>
      </c>
      <c r="BC679" s="180">
        <v>-0.27200000000000002</v>
      </c>
      <c r="BD679" s="191">
        <v>43063</v>
      </c>
      <c r="BE679" s="192">
        <v>0.16700000000000001</v>
      </c>
      <c r="BH679" s="94">
        <v>43067</v>
      </c>
      <c r="BI679" s="95">
        <v>0.16200000000000001</v>
      </c>
      <c r="BJ679" s="96">
        <v>11.25</v>
      </c>
    </row>
    <row r="680" spans="54:62" ht="13.8" x14ac:dyDescent="0.25">
      <c r="BB680" s="187">
        <v>43066</v>
      </c>
      <c r="BC680" s="180">
        <v>-0.27200000000000002</v>
      </c>
      <c r="BD680" s="191">
        <v>43066</v>
      </c>
      <c r="BE680" s="192">
        <v>0.16400000000000001</v>
      </c>
      <c r="BH680" s="94">
        <v>43068</v>
      </c>
      <c r="BI680" s="95">
        <v>0.16200000000000001</v>
      </c>
      <c r="BJ680" s="96">
        <v>11.24</v>
      </c>
    </row>
    <row r="681" spans="54:62" ht="13.8" x14ac:dyDescent="0.25">
      <c r="BB681" s="187">
        <v>43067</v>
      </c>
      <c r="BC681" s="180">
        <v>-0.27400000000000002</v>
      </c>
      <c r="BD681" s="191">
        <v>43067</v>
      </c>
      <c r="BE681" s="192">
        <v>0.16200000000000001</v>
      </c>
      <c r="BH681" s="94">
        <v>43069</v>
      </c>
      <c r="BI681" s="95">
        <v>0.161</v>
      </c>
      <c r="BJ681" s="96">
        <v>11.24</v>
      </c>
    </row>
    <row r="682" spans="54:62" ht="13.8" x14ac:dyDescent="0.25">
      <c r="BB682" s="187">
        <v>43068</v>
      </c>
      <c r="BC682" s="180">
        <v>-0.27400000000000002</v>
      </c>
      <c r="BD682" s="191">
        <v>43068</v>
      </c>
      <c r="BE682" s="192">
        <v>0.16200000000000001</v>
      </c>
      <c r="BH682" s="94">
        <v>43070</v>
      </c>
      <c r="BI682" s="95">
        <v>0.159</v>
      </c>
      <c r="BJ682" s="96">
        <v>11.24</v>
      </c>
    </row>
    <row r="683" spans="54:62" ht="13.8" x14ac:dyDescent="0.25">
      <c r="BB683" s="187">
        <v>43069</v>
      </c>
      <c r="BC683" s="180">
        <v>-0.27200000000000002</v>
      </c>
      <c r="BD683" s="191">
        <v>43069</v>
      </c>
      <c r="BE683" s="192">
        <v>0.161</v>
      </c>
      <c r="BH683" s="94">
        <v>43073</v>
      </c>
      <c r="BI683" s="95">
        <v>0.158</v>
      </c>
      <c r="BJ683" s="96">
        <v>11.23</v>
      </c>
    </row>
    <row r="684" spans="54:62" ht="13.8" x14ac:dyDescent="0.25">
      <c r="BB684" s="187">
        <v>43070</v>
      </c>
      <c r="BC684" s="180">
        <v>-0.27100000000000002</v>
      </c>
      <c r="BD684" s="191">
        <v>43070</v>
      </c>
      <c r="BE684" s="192">
        <v>0.159</v>
      </c>
      <c r="BH684" s="94">
        <v>43074</v>
      </c>
      <c r="BI684" s="95">
        <v>0.157</v>
      </c>
      <c r="BJ684" s="96">
        <v>11.23</v>
      </c>
    </row>
    <row r="685" spans="54:62" ht="13.8" x14ac:dyDescent="0.25">
      <c r="BB685" s="187">
        <v>43073</v>
      </c>
      <c r="BC685" s="180">
        <v>-0.27200000000000002</v>
      </c>
      <c r="BD685" s="191">
        <v>43073</v>
      </c>
      <c r="BE685" s="192">
        <v>0.158</v>
      </c>
      <c r="BH685" s="94">
        <v>43075</v>
      </c>
      <c r="BI685" s="95">
        <v>0.155</v>
      </c>
      <c r="BJ685" s="96">
        <v>11.22</v>
      </c>
    </row>
    <row r="686" spans="54:62" ht="13.8" x14ac:dyDescent="0.25">
      <c r="BB686" s="187">
        <v>43074</v>
      </c>
      <c r="BC686" s="180">
        <v>-0.27100000000000002</v>
      </c>
      <c r="BD686" s="191">
        <v>43074</v>
      </c>
      <c r="BE686" s="192">
        <v>0.157</v>
      </c>
      <c r="BH686" s="94">
        <v>43076</v>
      </c>
      <c r="BI686" s="95">
        <v>0.152</v>
      </c>
      <c r="BJ686" s="96">
        <v>11.22</v>
      </c>
    </row>
    <row r="687" spans="54:62" ht="13.8" x14ac:dyDescent="0.25">
      <c r="BB687" s="187">
        <v>43075</v>
      </c>
      <c r="BC687" s="180">
        <v>-0.27100000000000002</v>
      </c>
      <c r="BD687" s="191">
        <v>43075</v>
      </c>
      <c r="BE687" s="192">
        <v>0.155</v>
      </c>
      <c r="BH687" s="94">
        <v>43080</v>
      </c>
      <c r="BI687" s="95">
        <v>0.14799999999999999</v>
      </c>
      <c r="BJ687" s="96">
        <v>11.21</v>
      </c>
    </row>
    <row r="688" spans="54:62" ht="13.8" x14ac:dyDescent="0.25">
      <c r="BB688" s="187">
        <v>43076</v>
      </c>
      <c r="BC688" s="180">
        <v>-0.27100000000000002</v>
      </c>
      <c r="BD688" s="191">
        <v>43076</v>
      </c>
      <c r="BE688" s="192">
        <v>0.152</v>
      </c>
      <c r="BH688" s="94">
        <v>43081</v>
      </c>
      <c r="BI688" s="95">
        <v>0.14499999999999999</v>
      </c>
      <c r="BJ688" s="96">
        <v>11.21</v>
      </c>
    </row>
    <row r="689" spans="54:62" ht="13.8" x14ac:dyDescent="0.25">
      <c r="BB689" s="187">
        <v>43077</v>
      </c>
      <c r="BC689" s="180">
        <v>-0.27100000000000002</v>
      </c>
      <c r="BD689" s="191"/>
      <c r="BE689" s="193">
        <f>+BE688</f>
        <v>0.152</v>
      </c>
      <c r="BH689" s="94">
        <v>43082</v>
      </c>
      <c r="BI689" s="95">
        <v>0.14199999999999999</v>
      </c>
      <c r="BJ689" s="96">
        <v>11.21</v>
      </c>
    </row>
    <row r="690" spans="54:62" ht="13.8" x14ac:dyDescent="0.25">
      <c r="BB690" s="187">
        <v>43080</v>
      </c>
      <c r="BC690" s="180">
        <v>-0.27100000000000002</v>
      </c>
      <c r="BD690" s="191">
        <v>43080</v>
      </c>
      <c r="BE690" s="192">
        <v>0.14799999999999999</v>
      </c>
      <c r="BH690" s="94">
        <v>43083</v>
      </c>
      <c r="BI690" s="95">
        <v>0.14199999999999999</v>
      </c>
      <c r="BJ690" s="96">
        <v>11.2</v>
      </c>
    </row>
    <row r="691" spans="54:62" ht="13.8" x14ac:dyDescent="0.25">
      <c r="BB691" s="187">
        <v>43081</v>
      </c>
      <c r="BC691" s="180">
        <v>-0.27100000000000002</v>
      </c>
      <c r="BD691" s="191">
        <v>43081</v>
      </c>
      <c r="BE691" s="192">
        <v>0.14499999999999999</v>
      </c>
      <c r="BH691" s="94">
        <v>43084</v>
      </c>
      <c r="BI691" s="95">
        <v>0.14000000000000001</v>
      </c>
      <c r="BJ691" s="96">
        <v>11.2</v>
      </c>
    </row>
    <row r="692" spans="54:62" ht="13.8" x14ac:dyDescent="0.25">
      <c r="BB692" s="187">
        <v>43082</v>
      </c>
      <c r="BC692" s="180">
        <v>-0.27300000000000002</v>
      </c>
      <c r="BD692" s="191">
        <v>43082</v>
      </c>
      <c r="BE692" s="192">
        <v>0.14199999999999999</v>
      </c>
      <c r="BH692" s="94">
        <v>43087</v>
      </c>
      <c r="BI692" s="95">
        <v>0.13900000000000001</v>
      </c>
      <c r="BJ692" s="96">
        <v>11.19</v>
      </c>
    </row>
    <row r="693" spans="54:62" ht="13.8" x14ac:dyDescent="0.25">
      <c r="BB693" s="187">
        <v>43083</v>
      </c>
      <c r="BC693" s="180">
        <v>-0.27100000000000002</v>
      </c>
      <c r="BD693" s="191">
        <v>43083</v>
      </c>
      <c r="BE693" s="192">
        <v>0.14199999999999999</v>
      </c>
      <c r="BH693" s="94">
        <v>43088</v>
      </c>
      <c r="BI693" s="95">
        <v>0.14000000000000001</v>
      </c>
      <c r="BJ693" s="96">
        <v>11.19</v>
      </c>
    </row>
    <row r="694" spans="54:62" ht="13.8" x14ac:dyDescent="0.25">
      <c r="BB694" s="187">
        <v>43084</v>
      </c>
      <c r="BC694" s="180">
        <v>-0.27200000000000002</v>
      </c>
      <c r="BD694" s="191">
        <v>43084</v>
      </c>
      <c r="BE694" s="192">
        <v>0.14000000000000001</v>
      </c>
      <c r="BH694" s="94">
        <v>43089</v>
      </c>
      <c r="BI694" s="95">
        <v>0.14299999999999999</v>
      </c>
      <c r="BJ694" s="96">
        <v>11.19</v>
      </c>
    </row>
    <row r="695" spans="54:62" ht="13.8" x14ac:dyDescent="0.25">
      <c r="BB695" s="187">
        <v>43087</v>
      </c>
      <c r="BC695" s="180">
        <v>-0.27100000000000002</v>
      </c>
      <c r="BD695" s="191">
        <v>43087</v>
      </c>
      <c r="BE695" s="192">
        <v>0.13900000000000001</v>
      </c>
      <c r="BH695" s="94">
        <v>43090</v>
      </c>
      <c r="BI695" s="95">
        <v>0.14699999999999999</v>
      </c>
      <c r="BJ695" s="96">
        <v>11.18</v>
      </c>
    </row>
    <row r="696" spans="54:62" ht="13.8" x14ac:dyDescent="0.25">
      <c r="BB696" s="187">
        <v>43088</v>
      </c>
      <c r="BC696" s="180">
        <v>-0.27400000000000002</v>
      </c>
      <c r="BD696" s="191">
        <v>43088</v>
      </c>
      <c r="BE696" s="192">
        <v>0.14000000000000001</v>
      </c>
      <c r="BH696" s="94">
        <v>43091</v>
      </c>
      <c r="BI696" s="95">
        <v>0.14599999999999999</v>
      </c>
      <c r="BJ696" s="96">
        <v>11.18</v>
      </c>
    </row>
    <row r="697" spans="54:62" ht="13.8" x14ac:dyDescent="0.25">
      <c r="BB697" s="187">
        <v>43089</v>
      </c>
      <c r="BC697" s="180">
        <v>-0.27100000000000002</v>
      </c>
      <c r="BD697" s="191">
        <v>43089</v>
      </c>
      <c r="BE697" s="192">
        <v>0.14299999999999999</v>
      </c>
      <c r="BH697" s="94">
        <v>43096</v>
      </c>
      <c r="BI697" s="95">
        <v>0.14899999999999999</v>
      </c>
      <c r="BJ697" s="96">
        <v>11.17</v>
      </c>
    </row>
    <row r="698" spans="54:62" ht="13.8" x14ac:dyDescent="0.25">
      <c r="BB698" s="187">
        <v>43090</v>
      </c>
      <c r="BC698" s="180">
        <v>-0.27100000000000002</v>
      </c>
      <c r="BD698" s="191">
        <v>43090</v>
      </c>
      <c r="BE698" s="192">
        <v>0.14699999999999999</v>
      </c>
      <c r="BH698" s="94">
        <v>43097</v>
      </c>
      <c r="BI698" s="95">
        <v>0.153</v>
      </c>
      <c r="BJ698" s="96">
        <v>11.16</v>
      </c>
    </row>
    <row r="699" spans="54:62" ht="13.8" x14ac:dyDescent="0.25">
      <c r="BB699" s="187">
        <v>43091</v>
      </c>
      <c r="BC699" s="180">
        <v>-0.27100000000000002</v>
      </c>
      <c r="BD699" s="191">
        <v>43091</v>
      </c>
      <c r="BE699" s="192">
        <v>0.14599999999999999</v>
      </c>
      <c r="BH699" s="94">
        <v>43098</v>
      </c>
      <c r="BI699" s="95">
        <v>0.158</v>
      </c>
      <c r="BJ699" s="96">
        <v>11.16</v>
      </c>
    </row>
    <row r="700" spans="54:62" ht="13.8" x14ac:dyDescent="0.25">
      <c r="BB700" s="187">
        <v>43094</v>
      </c>
      <c r="BC700" s="180">
        <v>-0.27100000000000002</v>
      </c>
      <c r="BD700" s="191"/>
      <c r="BE700" s="193">
        <f>+BE699</f>
        <v>0.14599999999999999</v>
      </c>
      <c r="BH700" s="94">
        <v>43102</v>
      </c>
      <c r="BI700" s="95">
        <v>0.16200000000000001</v>
      </c>
      <c r="BJ700" s="96">
        <v>11.15</v>
      </c>
    </row>
    <row r="701" spans="54:62" ht="13.8" x14ac:dyDescent="0.25">
      <c r="BB701" s="187">
        <v>43095</v>
      </c>
      <c r="BC701" s="180">
        <v>-0.27100000000000002</v>
      </c>
      <c r="BD701" s="191"/>
      <c r="BE701" s="193">
        <f>+BE700</f>
        <v>0.14599999999999999</v>
      </c>
      <c r="BH701" s="94">
        <v>43103</v>
      </c>
      <c r="BI701" s="95">
        <v>0.16600000000000001</v>
      </c>
      <c r="BJ701" s="96">
        <v>11.15</v>
      </c>
    </row>
    <row r="702" spans="54:62" ht="13.8" x14ac:dyDescent="0.25">
      <c r="BB702" s="187">
        <v>43096</v>
      </c>
      <c r="BC702" s="180">
        <v>-0.27100000000000002</v>
      </c>
      <c r="BD702" s="191">
        <v>43096</v>
      </c>
      <c r="BE702" s="192">
        <v>0.14899999999999999</v>
      </c>
      <c r="BH702" s="94">
        <v>43104</v>
      </c>
      <c r="BI702" s="95">
        <v>0.17100000000000001</v>
      </c>
      <c r="BJ702" s="96">
        <v>11.15</v>
      </c>
    </row>
    <row r="703" spans="54:62" ht="13.8" x14ac:dyDescent="0.25">
      <c r="BB703" s="187">
        <v>43097</v>
      </c>
      <c r="BC703" s="180">
        <v>-0.27100000000000002</v>
      </c>
      <c r="BD703" s="191">
        <v>43097</v>
      </c>
      <c r="BE703" s="192">
        <v>0.153</v>
      </c>
      <c r="BH703" s="94">
        <v>43105</v>
      </c>
      <c r="BI703" s="95">
        <v>0.17699999999999999</v>
      </c>
      <c r="BJ703" s="96">
        <v>11.14</v>
      </c>
    </row>
    <row r="704" spans="54:62" ht="13.8" x14ac:dyDescent="0.25">
      <c r="BB704" s="187">
        <v>43098</v>
      </c>
      <c r="BC704" s="180">
        <v>-0.27100000000000002</v>
      </c>
      <c r="BD704" s="191">
        <v>43098</v>
      </c>
      <c r="BE704" s="192">
        <v>0.158</v>
      </c>
      <c r="BH704" s="94">
        <v>43108</v>
      </c>
      <c r="BI704" s="95">
        <v>0.183</v>
      </c>
      <c r="BJ704" s="96">
        <v>11.13</v>
      </c>
    </row>
    <row r="705" spans="54:62" ht="13.8" x14ac:dyDescent="0.25">
      <c r="BB705" s="187">
        <v>43101</v>
      </c>
      <c r="BC705" s="180">
        <v>-0.27100000000000002</v>
      </c>
      <c r="BD705" s="191"/>
      <c r="BE705" s="193">
        <f>+BE704</f>
        <v>0.158</v>
      </c>
      <c r="BH705" s="94">
        <v>43109</v>
      </c>
      <c r="BI705" s="95">
        <v>0.191</v>
      </c>
      <c r="BJ705" s="96">
        <v>11.13</v>
      </c>
    </row>
    <row r="706" spans="54:62" ht="13.8" x14ac:dyDescent="0.25">
      <c r="BB706" s="187">
        <v>43102</v>
      </c>
      <c r="BC706" s="180">
        <v>-0.27100000000000002</v>
      </c>
      <c r="BD706" s="191">
        <v>43102</v>
      </c>
      <c r="BE706" s="192">
        <v>0.16200000000000001</v>
      </c>
      <c r="BH706" s="94">
        <v>43110</v>
      </c>
      <c r="BI706" s="95">
        <v>0.2</v>
      </c>
      <c r="BJ706" s="96">
        <v>11.13</v>
      </c>
    </row>
    <row r="707" spans="54:62" ht="13.8" x14ac:dyDescent="0.25">
      <c r="BB707" s="187">
        <v>43103</v>
      </c>
      <c r="BC707" s="180">
        <v>-0.27100000000000002</v>
      </c>
      <c r="BD707" s="191">
        <v>43103</v>
      </c>
      <c r="BE707" s="192">
        <v>0.16600000000000001</v>
      </c>
      <c r="BH707" s="94">
        <v>43111</v>
      </c>
      <c r="BI707" s="95">
        <v>0.215</v>
      </c>
      <c r="BJ707" s="96">
        <v>11.17</v>
      </c>
    </row>
    <row r="708" spans="54:62" ht="13.8" x14ac:dyDescent="0.25">
      <c r="BB708" s="187">
        <v>43104</v>
      </c>
      <c r="BC708" s="180">
        <v>-0.27100000000000002</v>
      </c>
      <c r="BD708" s="191">
        <v>43104</v>
      </c>
      <c r="BE708" s="192">
        <v>0.17100000000000001</v>
      </c>
      <c r="BH708" s="94">
        <v>43112</v>
      </c>
      <c r="BI708" s="95">
        <v>0.22600000000000001</v>
      </c>
      <c r="BJ708" s="96">
        <v>11.16</v>
      </c>
    </row>
    <row r="709" spans="54:62" ht="13.8" x14ac:dyDescent="0.25">
      <c r="BB709" s="187">
        <v>43105</v>
      </c>
      <c r="BC709" s="180">
        <v>-0.27100000000000002</v>
      </c>
      <c r="BD709" s="191">
        <v>43105</v>
      </c>
      <c r="BE709" s="192">
        <v>0.17699999999999999</v>
      </c>
      <c r="BH709" s="94">
        <v>43115</v>
      </c>
      <c r="BI709" s="95">
        <v>0.23499999999999999</v>
      </c>
      <c r="BJ709" s="96">
        <v>11.15</v>
      </c>
    </row>
    <row r="710" spans="54:62" ht="13.8" x14ac:dyDescent="0.25">
      <c r="BB710" s="187">
        <v>43108</v>
      </c>
      <c r="BC710" s="180">
        <v>-0.27100000000000002</v>
      </c>
      <c r="BD710" s="191">
        <v>43108</v>
      </c>
      <c r="BE710" s="192">
        <v>0.183</v>
      </c>
      <c r="BH710" s="94">
        <v>43116</v>
      </c>
      <c r="BI710" s="95">
        <v>0.24299999999999999</v>
      </c>
      <c r="BJ710" s="96">
        <v>11.15</v>
      </c>
    </row>
    <row r="711" spans="54:62" ht="13.8" x14ac:dyDescent="0.25">
      <c r="BB711" s="187">
        <v>43109</v>
      </c>
      <c r="BC711" s="180">
        <v>-0.27100000000000002</v>
      </c>
      <c r="BD711" s="191">
        <v>43109</v>
      </c>
      <c r="BE711" s="192">
        <v>0.191</v>
      </c>
      <c r="BH711" s="94">
        <v>43117</v>
      </c>
      <c r="BI711" s="95">
        <v>0.251</v>
      </c>
      <c r="BJ711" s="96">
        <v>11.15</v>
      </c>
    </row>
    <row r="712" spans="54:62" ht="13.8" x14ac:dyDescent="0.25">
      <c r="BB712" s="187">
        <v>43110</v>
      </c>
      <c r="BC712" s="180">
        <v>-0.27100000000000002</v>
      </c>
      <c r="BD712" s="191">
        <v>43110</v>
      </c>
      <c r="BE712" s="192">
        <v>0.2</v>
      </c>
      <c r="BH712" s="94">
        <v>43118</v>
      </c>
      <c r="BI712" s="95">
        <v>0.26100000000000001</v>
      </c>
      <c r="BJ712" s="96">
        <v>11.15</v>
      </c>
    </row>
    <row r="713" spans="54:62" ht="13.8" x14ac:dyDescent="0.25">
      <c r="BB713" s="187">
        <v>43111</v>
      </c>
      <c r="BC713" s="180">
        <v>-0.27100000000000002</v>
      </c>
      <c r="BD713" s="191">
        <v>43111</v>
      </c>
      <c r="BE713" s="192">
        <v>0.215</v>
      </c>
      <c r="BH713" s="94">
        <v>43119</v>
      </c>
      <c r="BI713" s="95">
        <v>0.26900000000000002</v>
      </c>
      <c r="BJ713" s="96">
        <v>11.14</v>
      </c>
    </row>
    <row r="714" spans="54:62" ht="13.8" x14ac:dyDescent="0.25">
      <c r="BB714" s="187">
        <v>43112</v>
      </c>
      <c r="BC714" s="180">
        <v>-0.27100000000000002</v>
      </c>
      <c r="BD714" s="191">
        <v>43112</v>
      </c>
      <c r="BE714" s="192">
        <v>0.22600000000000001</v>
      </c>
      <c r="BH714" s="94">
        <v>43122</v>
      </c>
      <c r="BI714" s="95">
        <v>0.27400000000000002</v>
      </c>
      <c r="BJ714" s="96">
        <v>11.14</v>
      </c>
    </row>
    <row r="715" spans="54:62" ht="13.8" x14ac:dyDescent="0.25">
      <c r="BB715" s="187">
        <v>43115</v>
      </c>
      <c r="BC715" s="180">
        <v>-0.27400000000000002</v>
      </c>
      <c r="BD715" s="191">
        <v>43115</v>
      </c>
      <c r="BE715" s="192">
        <v>0.23499999999999999</v>
      </c>
      <c r="BH715" s="94">
        <v>43123</v>
      </c>
      <c r="BI715" s="95">
        <v>0.27800000000000002</v>
      </c>
      <c r="BJ715" s="96">
        <v>11.13</v>
      </c>
    </row>
    <row r="716" spans="54:62" ht="13.8" x14ac:dyDescent="0.25">
      <c r="BB716" s="187">
        <v>43116</v>
      </c>
      <c r="BC716" s="180">
        <v>-0.27200000000000002</v>
      </c>
      <c r="BD716" s="191">
        <v>43116</v>
      </c>
      <c r="BE716" s="192">
        <v>0.24299999999999999</v>
      </c>
      <c r="BH716" s="94">
        <v>43124</v>
      </c>
      <c r="BI716" s="95">
        <v>0.28100000000000003</v>
      </c>
      <c r="BJ716" s="96">
        <v>11.13</v>
      </c>
    </row>
    <row r="717" spans="54:62" ht="13.8" x14ac:dyDescent="0.25">
      <c r="BB717" s="187">
        <v>43117</v>
      </c>
      <c r="BC717" s="180">
        <v>-0.27400000000000002</v>
      </c>
      <c r="BD717" s="191">
        <v>43117</v>
      </c>
      <c r="BE717" s="192">
        <v>0.251</v>
      </c>
      <c r="BH717" s="94">
        <v>43125</v>
      </c>
      <c r="BI717" s="95">
        <v>0.29899999999999999</v>
      </c>
      <c r="BJ717" s="96">
        <v>11.11</v>
      </c>
    </row>
    <row r="718" spans="54:62" ht="13.8" x14ac:dyDescent="0.25">
      <c r="BB718" s="187">
        <v>43118</v>
      </c>
      <c r="BC718" s="180">
        <v>-0.27500000000000002</v>
      </c>
      <c r="BD718" s="191">
        <v>43118</v>
      </c>
      <c r="BE718" s="192">
        <v>0.26100000000000001</v>
      </c>
      <c r="BH718" s="94">
        <v>43126</v>
      </c>
      <c r="BI718" s="95">
        <v>0.307</v>
      </c>
      <c r="BJ718" s="96">
        <v>11.09</v>
      </c>
    </row>
    <row r="719" spans="54:62" ht="13.8" x14ac:dyDescent="0.25">
      <c r="BB719" s="187">
        <v>43119</v>
      </c>
      <c r="BC719" s="180">
        <v>-0.27600000000000002</v>
      </c>
      <c r="BD719" s="191">
        <v>43119</v>
      </c>
      <c r="BE719" s="192">
        <v>0.26900000000000002</v>
      </c>
      <c r="BH719" s="94">
        <v>43129</v>
      </c>
      <c r="BI719" s="95">
        <v>0.315</v>
      </c>
      <c r="BJ719" s="96">
        <v>11.08</v>
      </c>
    </row>
    <row r="720" spans="54:62" ht="13.8" x14ac:dyDescent="0.25">
      <c r="BB720" s="187">
        <v>43122</v>
      </c>
      <c r="BC720" s="180">
        <v>-0.27700000000000002</v>
      </c>
      <c r="BD720" s="191">
        <v>43122</v>
      </c>
      <c r="BE720" s="192">
        <v>0.27400000000000002</v>
      </c>
      <c r="BH720" s="94">
        <v>43130</v>
      </c>
      <c r="BI720" s="95">
        <v>0.32300000000000001</v>
      </c>
      <c r="BJ720" s="96">
        <v>11.08</v>
      </c>
    </row>
    <row r="721" spans="54:62" ht="13.8" x14ac:dyDescent="0.25">
      <c r="BB721" s="187">
        <v>43123</v>
      </c>
      <c r="BC721" s="180">
        <v>-0.27600000000000002</v>
      </c>
      <c r="BD721" s="191">
        <v>43123</v>
      </c>
      <c r="BE721" s="192">
        <v>0.27800000000000002</v>
      </c>
      <c r="BH721" s="94">
        <v>43131</v>
      </c>
      <c r="BI721" s="95">
        <v>0.33200000000000002</v>
      </c>
      <c r="BJ721" s="96">
        <v>11.07</v>
      </c>
    </row>
    <row r="722" spans="54:62" ht="13.8" x14ac:dyDescent="0.25">
      <c r="BB722" s="187">
        <v>43124</v>
      </c>
      <c r="BC722" s="180">
        <v>-0.27800000000000002</v>
      </c>
      <c r="BD722" s="191">
        <v>43124</v>
      </c>
      <c r="BE722" s="192">
        <v>0.28100000000000003</v>
      </c>
      <c r="BH722" s="94">
        <v>43132</v>
      </c>
      <c r="BI722" s="95">
        <v>0.34100000000000003</v>
      </c>
      <c r="BJ722" s="96">
        <v>11.07</v>
      </c>
    </row>
    <row r="723" spans="54:62" ht="13.8" x14ac:dyDescent="0.25">
      <c r="BB723" s="187">
        <v>43125</v>
      </c>
      <c r="BC723" s="180">
        <v>-0.27800000000000002</v>
      </c>
      <c r="BD723" s="191">
        <v>43125</v>
      </c>
      <c r="BE723" s="192">
        <v>0.29899999999999999</v>
      </c>
      <c r="BH723" s="94">
        <v>43133</v>
      </c>
      <c r="BI723" s="95">
        <v>0.35099999999999998</v>
      </c>
      <c r="BJ723" s="96">
        <v>11.07</v>
      </c>
    </row>
    <row r="724" spans="54:62" ht="13.8" x14ac:dyDescent="0.25">
      <c r="BB724" s="187">
        <v>43126</v>
      </c>
      <c r="BC724" s="180">
        <v>-0.27800000000000002</v>
      </c>
      <c r="BD724" s="191">
        <v>43126</v>
      </c>
      <c r="BE724" s="192">
        <v>0.307</v>
      </c>
      <c r="BH724" s="94">
        <v>43136</v>
      </c>
      <c r="BI724" s="95">
        <v>0.36</v>
      </c>
      <c r="BJ724" s="96">
        <v>11.06</v>
      </c>
    </row>
    <row r="725" spans="54:62" ht="13.8" x14ac:dyDescent="0.25">
      <c r="BB725" s="187">
        <v>43129</v>
      </c>
      <c r="BC725" s="180">
        <v>-0.27800000000000002</v>
      </c>
      <c r="BD725" s="191">
        <v>43129</v>
      </c>
      <c r="BE725" s="192">
        <v>0.315</v>
      </c>
      <c r="BH725" s="94">
        <v>43137</v>
      </c>
      <c r="BI725" s="95">
        <v>0.36699999999999999</v>
      </c>
      <c r="BJ725" s="96">
        <v>11.06</v>
      </c>
    </row>
    <row r="726" spans="54:62" ht="13.8" x14ac:dyDescent="0.25">
      <c r="BB726" s="187">
        <v>43130</v>
      </c>
      <c r="BC726" s="180">
        <v>-0.27800000000000002</v>
      </c>
      <c r="BD726" s="191">
        <v>43130</v>
      </c>
      <c r="BE726" s="192">
        <v>0.32300000000000001</v>
      </c>
      <c r="BH726" s="94">
        <v>43138</v>
      </c>
      <c r="BI726" s="95">
        <v>0.374</v>
      </c>
      <c r="BJ726" s="96">
        <v>11.05</v>
      </c>
    </row>
    <row r="727" spans="54:62" ht="13.8" x14ac:dyDescent="0.25">
      <c r="BB727" s="187">
        <v>43131</v>
      </c>
      <c r="BC727" s="180">
        <v>-0.27900000000000003</v>
      </c>
      <c r="BD727" s="191">
        <v>43131</v>
      </c>
      <c r="BE727" s="192">
        <v>0.33200000000000002</v>
      </c>
      <c r="BH727" s="94">
        <v>43139</v>
      </c>
      <c r="BI727" s="95">
        <v>0.38100000000000001</v>
      </c>
      <c r="BJ727" s="96">
        <v>11.03</v>
      </c>
    </row>
    <row r="728" spans="54:62" ht="13.8" x14ac:dyDescent="0.25">
      <c r="BB728" s="187">
        <v>43132</v>
      </c>
      <c r="BC728" s="180">
        <v>-0.27800000000000002</v>
      </c>
      <c r="BD728" s="191">
        <v>43132</v>
      </c>
      <c r="BE728" s="192">
        <v>0.34100000000000003</v>
      </c>
      <c r="BH728" s="94">
        <v>43140</v>
      </c>
      <c r="BI728" s="95">
        <v>0.38600000000000001</v>
      </c>
      <c r="BJ728" s="96">
        <v>11.02</v>
      </c>
    </row>
    <row r="729" spans="54:62" ht="13.8" x14ac:dyDescent="0.25">
      <c r="BB729" s="187">
        <v>43133</v>
      </c>
      <c r="BC729" s="180">
        <v>-0.27800000000000002</v>
      </c>
      <c r="BD729" s="191">
        <v>43133</v>
      </c>
      <c r="BE729" s="192">
        <v>0.35099999999999998</v>
      </c>
      <c r="BH729" s="94">
        <v>43143</v>
      </c>
      <c r="BI729" s="95">
        <v>0.39100000000000001</v>
      </c>
      <c r="BJ729" s="96">
        <v>11.02</v>
      </c>
    </row>
    <row r="730" spans="54:62" ht="13.8" x14ac:dyDescent="0.25">
      <c r="BB730" s="187">
        <v>43136</v>
      </c>
      <c r="BC730" s="180">
        <v>-0.27800000000000002</v>
      </c>
      <c r="BD730" s="191">
        <v>43136</v>
      </c>
      <c r="BE730" s="192">
        <v>0.36</v>
      </c>
      <c r="BH730" s="94">
        <v>43144</v>
      </c>
      <c r="BI730" s="95">
        <v>0.39600000000000002</v>
      </c>
      <c r="BJ730" s="96">
        <v>11.01</v>
      </c>
    </row>
    <row r="731" spans="54:62" ht="13.8" x14ac:dyDescent="0.25">
      <c r="BB731" s="187">
        <v>43137</v>
      </c>
      <c r="BC731" s="180">
        <v>-0.27900000000000003</v>
      </c>
      <c r="BD731" s="191">
        <v>43137</v>
      </c>
      <c r="BE731" s="192">
        <v>0.36699999999999999</v>
      </c>
      <c r="BH731" s="94">
        <v>43145</v>
      </c>
      <c r="BI731" s="95">
        <v>0.40200000000000002</v>
      </c>
      <c r="BJ731" s="96">
        <v>11.01</v>
      </c>
    </row>
    <row r="732" spans="54:62" ht="13.8" x14ac:dyDescent="0.25">
      <c r="BB732" s="187">
        <v>43138</v>
      </c>
      <c r="BC732" s="180">
        <v>-0.27800000000000002</v>
      </c>
      <c r="BD732" s="191">
        <v>43138</v>
      </c>
      <c r="BE732" s="192">
        <v>0.374</v>
      </c>
      <c r="BH732" s="94">
        <v>43146</v>
      </c>
      <c r="BI732" s="95">
        <v>0.40899999999999997</v>
      </c>
      <c r="BJ732" s="96">
        <v>11.01</v>
      </c>
    </row>
    <row r="733" spans="54:62" ht="13.8" x14ac:dyDescent="0.25">
      <c r="BB733" s="187">
        <v>43139</v>
      </c>
      <c r="BC733" s="180">
        <v>-0.27800000000000002</v>
      </c>
      <c r="BD733" s="191">
        <v>43139</v>
      </c>
      <c r="BE733" s="192">
        <v>0.38100000000000001</v>
      </c>
      <c r="BH733" s="94">
        <v>43147</v>
      </c>
      <c r="BI733" s="95">
        <v>0.41299999999999998</v>
      </c>
      <c r="BJ733" s="96">
        <v>11</v>
      </c>
    </row>
    <row r="734" spans="54:62" ht="13.8" x14ac:dyDescent="0.25">
      <c r="BB734" s="187">
        <v>43140</v>
      </c>
      <c r="BC734" s="180">
        <v>-0.27800000000000002</v>
      </c>
      <c r="BD734" s="191">
        <v>43140</v>
      </c>
      <c r="BE734" s="192">
        <v>0.38600000000000001</v>
      </c>
      <c r="BH734" s="94">
        <v>43150</v>
      </c>
      <c r="BI734" s="95">
        <v>0.41899999999999998</v>
      </c>
      <c r="BJ734" s="96">
        <v>11</v>
      </c>
    </row>
    <row r="735" spans="54:62" ht="13.8" x14ac:dyDescent="0.25">
      <c r="BB735" s="187">
        <v>43143</v>
      </c>
      <c r="BC735" s="180">
        <v>-0.27800000000000002</v>
      </c>
      <c r="BD735" s="191">
        <v>43143</v>
      </c>
      <c r="BE735" s="192">
        <v>0.39100000000000001</v>
      </c>
      <c r="BH735" s="94">
        <v>43151</v>
      </c>
      <c r="BI735" s="95">
        <v>0.42499999999999999</v>
      </c>
      <c r="BJ735" s="96">
        <v>10.99</v>
      </c>
    </row>
    <row r="736" spans="54:62" ht="13.8" x14ac:dyDescent="0.25">
      <c r="BB736" s="187">
        <v>43144</v>
      </c>
      <c r="BC736" s="180">
        <v>-0.27600000000000002</v>
      </c>
      <c r="BD736" s="191">
        <v>43144</v>
      </c>
      <c r="BE736" s="192">
        <v>0.39600000000000002</v>
      </c>
      <c r="BH736" s="94">
        <v>43152</v>
      </c>
      <c r="BI736" s="95">
        <v>0.42899999999999999</v>
      </c>
      <c r="BJ736" s="96">
        <v>10.99</v>
      </c>
    </row>
    <row r="737" spans="54:62" ht="13.8" x14ac:dyDescent="0.25">
      <c r="BB737" s="187">
        <v>43145</v>
      </c>
      <c r="BC737" s="180">
        <v>-0.27600000000000002</v>
      </c>
      <c r="BD737" s="191">
        <v>43145</v>
      </c>
      <c r="BE737" s="192">
        <v>0.40200000000000002</v>
      </c>
      <c r="BH737" s="94">
        <v>43153</v>
      </c>
      <c r="BI737" s="95">
        <v>0.432</v>
      </c>
      <c r="BJ737" s="96">
        <v>10.99</v>
      </c>
    </row>
    <row r="738" spans="54:62" ht="13.8" x14ac:dyDescent="0.25">
      <c r="BB738" s="187">
        <v>43146</v>
      </c>
      <c r="BC738" s="180">
        <v>-0.27600000000000002</v>
      </c>
      <c r="BD738" s="191">
        <v>43146</v>
      </c>
      <c r="BE738" s="192">
        <v>0.40899999999999997</v>
      </c>
      <c r="BH738" s="94">
        <v>43154</v>
      </c>
      <c r="BI738" s="95">
        <v>0.433</v>
      </c>
      <c r="BJ738" s="96">
        <v>10.98</v>
      </c>
    </row>
    <row r="739" spans="54:62" ht="13.8" x14ac:dyDescent="0.25">
      <c r="BB739" s="187">
        <v>43147</v>
      </c>
      <c r="BC739" s="180">
        <v>-0.27400000000000002</v>
      </c>
      <c r="BD739" s="191">
        <v>43147</v>
      </c>
      <c r="BE739" s="192">
        <v>0.41299999999999998</v>
      </c>
      <c r="BH739" s="94">
        <v>43157</v>
      </c>
      <c r="BI739" s="95">
        <v>0.43099999999999999</v>
      </c>
      <c r="BJ739" s="96">
        <v>10.98</v>
      </c>
    </row>
    <row r="740" spans="54:62" ht="13.8" x14ac:dyDescent="0.25">
      <c r="BB740" s="187">
        <v>43150</v>
      </c>
      <c r="BC740" s="180">
        <v>-0.27400000000000002</v>
      </c>
      <c r="BD740" s="191">
        <v>43150</v>
      </c>
      <c r="BE740" s="192">
        <v>0.41899999999999998</v>
      </c>
      <c r="BH740" s="94">
        <v>43158</v>
      </c>
      <c r="BI740" s="95">
        <v>0.43</v>
      </c>
      <c r="BJ740" s="96">
        <v>10.97</v>
      </c>
    </row>
    <row r="741" spans="54:62" ht="13.8" x14ac:dyDescent="0.25">
      <c r="BB741" s="187">
        <v>43151</v>
      </c>
      <c r="BC741" s="180">
        <v>-0.27300000000000002</v>
      </c>
      <c r="BD741" s="191">
        <v>43151</v>
      </c>
      <c r="BE741" s="192">
        <v>0.42499999999999999</v>
      </c>
      <c r="BH741" s="94">
        <v>43159</v>
      </c>
      <c r="BI741" s="95">
        <v>0.42799999999999999</v>
      </c>
      <c r="BJ741" s="96">
        <v>10.97</v>
      </c>
    </row>
    <row r="742" spans="54:62" ht="13.8" x14ac:dyDescent="0.25">
      <c r="BB742" s="187">
        <v>43152</v>
      </c>
      <c r="BC742" s="180">
        <v>-0.27100000000000002</v>
      </c>
      <c r="BD742" s="191">
        <v>43152</v>
      </c>
      <c r="BE742" s="192">
        <v>0.42899999999999999</v>
      </c>
      <c r="BH742" s="94">
        <v>43160</v>
      </c>
      <c r="BI742" s="95">
        <v>0.42499999999999999</v>
      </c>
      <c r="BJ742" s="96">
        <v>10.97</v>
      </c>
    </row>
    <row r="743" spans="54:62" ht="13.8" x14ac:dyDescent="0.25">
      <c r="BB743" s="187">
        <v>43153</v>
      </c>
      <c r="BC743" s="180">
        <v>-0.27</v>
      </c>
      <c r="BD743" s="191">
        <v>43153</v>
      </c>
      <c r="BE743" s="192">
        <v>0.432</v>
      </c>
      <c r="BH743" s="94">
        <v>43161</v>
      </c>
      <c r="BI743" s="95">
        <v>0.42</v>
      </c>
      <c r="BJ743" s="96">
        <v>10.97</v>
      </c>
    </row>
    <row r="744" spans="54:62" ht="13.8" x14ac:dyDescent="0.25">
      <c r="BB744" s="187">
        <v>43154</v>
      </c>
      <c r="BC744" s="180">
        <v>-0.27100000000000002</v>
      </c>
      <c r="BD744" s="191">
        <v>43154</v>
      </c>
      <c r="BE744" s="192">
        <v>0.433</v>
      </c>
      <c r="BH744" s="94">
        <v>43164</v>
      </c>
      <c r="BI744" s="95">
        <v>0.41599999999999998</v>
      </c>
      <c r="BJ744" s="96">
        <v>10.96</v>
      </c>
    </row>
    <row r="745" spans="54:62" ht="13.8" x14ac:dyDescent="0.25">
      <c r="BB745" s="187">
        <v>43157</v>
      </c>
      <c r="BC745" s="180">
        <v>-0.27100000000000002</v>
      </c>
      <c r="BD745" s="191">
        <v>43157</v>
      </c>
      <c r="BE745" s="192">
        <v>0.43099999999999999</v>
      </c>
      <c r="BH745" s="94">
        <v>43165</v>
      </c>
      <c r="BI745" s="95">
        <v>0.41599999999999998</v>
      </c>
      <c r="BJ745" s="96">
        <v>10.95</v>
      </c>
    </row>
    <row r="746" spans="54:62" ht="13.8" x14ac:dyDescent="0.25">
      <c r="BB746" s="187">
        <v>43158</v>
      </c>
      <c r="BC746" s="180">
        <v>-0.27100000000000002</v>
      </c>
      <c r="BD746" s="191">
        <v>43158</v>
      </c>
      <c r="BE746" s="192">
        <v>0.43</v>
      </c>
      <c r="BH746" s="94">
        <v>43166</v>
      </c>
      <c r="BI746" s="95">
        <v>0.41499999999999998</v>
      </c>
      <c r="BJ746" s="96">
        <v>10.95</v>
      </c>
    </row>
    <row r="747" spans="54:62" ht="13.8" x14ac:dyDescent="0.25">
      <c r="BB747" s="187">
        <v>43159</v>
      </c>
      <c r="BC747" s="180">
        <v>-0.27</v>
      </c>
      <c r="BD747" s="191">
        <v>43159</v>
      </c>
      <c r="BE747" s="192">
        <v>0.42799999999999999</v>
      </c>
      <c r="BH747" s="94">
        <v>43167</v>
      </c>
      <c r="BI747" s="95">
        <v>0.41199999999999998</v>
      </c>
      <c r="BJ747" s="96">
        <v>10.93</v>
      </c>
    </row>
    <row r="748" spans="54:62" ht="13.8" x14ac:dyDescent="0.25">
      <c r="BB748" s="187">
        <v>43160</v>
      </c>
      <c r="BC748" s="180">
        <v>-0.27100000000000002</v>
      </c>
      <c r="BD748" s="191">
        <v>43160</v>
      </c>
      <c r="BE748" s="192">
        <v>0.42499999999999999</v>
      </c>
      <c r="BH748" s="94">
        <v>43168</v>
      </c>
      <c r="BI748" s="95">
        <v>0.40899999999999997</v>
      </c>
      <c r="BJ748" s="96">
        <v>10.92</v>
      </c>
    </row>
    <row r="749" spans="54:62" ht="13.8" x14ac:dyDescent="0.25">
      <c r="BB749" s="187">
        <v>43161</v>
      </c>
      <c r="BC749" s="180">
        <v>-0.27100000000000002</v>
      </c>
      <c r="BD749" s="191">
        <v>43161</v>
      </c>
      <c r="BE749" s="192">
        <v>0.42</v>
      </c>
      <c r="BH749" s="94">
        <v>43171</v>
      </c>
      <c r="BI749" s="95">
        <v>0.40500000000000003</v>
      </c>
      <c r="BJ749" s="96">
        <v>10.91</v>
      </c>
    </row>
    <row r="750" spans="54:62" ht="13.8" x14ac:dyDescent="0.25">
      <c r="BB750" s="187">
        <v>43164</v>
      </c>
      <c r="BC750" s="180">
        <v>-0.27200000000000002</v>
      </c>
      <c r="BD750" s="191">
        <v>43164</v>
      </c>
      <c r="BE750" s="192">
        <v>0.41599999999999998</v>
      </c>
      <c r="BH750" s="94">
        <v>43172</v>
      </c>
      <c r="BI750" s="95">
        <v>0.40100000000000002</v>
      </c>
      <c r="BJ750" s="96">
        <v>10.91</v>
      </c>
    </row>
    <row r="751" spans="54:62" ht="13.8" x14ac:dyDescent="0.25">
      <c r="BB751" s="187">
        <v>43165</v>
      </c>
      <c r="BC751" s="180">
        <v>-0.27100000000000002</v>
      </c>
      <c r="BD751" s="191">
        <v>43165</v>
      </c>
      <c r="BE751" s="192">
        <v>0.41599999999999998</v>
      </c>
      <c r="BH751" s="94">
        <v>43173</v>
      </c>
      <c r="BI751" s="95">
        <v>0.39700000000000002</v>
      </c>
      <c r="BJ751" s="96">
        <v>10.91</v>
      </c>
    </row>
    <row r="752" spans="54:62" ht="13.8" x14ac:dyDescent="0.25">
      <c r="BB752" s="187">
        <v>43166</v>
      </c>
      <c r="BC752" s="180">
        <v>-0.27200000000000002</v>
      </c>
      <c r="BD752" s="191">
        <v>43166</v>
      </c>
      <c r="BE752" s="192">
        <v>0.41499999999999998</v>
      </c>
      <c r="BH752" s="94">
        <v>43174</v>
      </c>
      <c r="BI752" s="95">
        <v>0.44500000000000001</v>
      </c>
      <c r="BJ752" s="96">
        <v>11.49</v>
      </c>
    </row>
    <row r="753" spans="54:62" ht="13.8" x14ac:dyDescent="0.25">
      <c r="BB753" s="187">
        <v>43167</v>
      </c>
      <c r="BC753" s="180">
        <v>-0.27200000000000002</v>
      </c>
      <c r="BD753" s="191">
        <v>43167</v>
      </c>
      <c r="BE753" s="192">
        <v>0.41199999999999998</v>
      </c>
      <c r="BH753" s="94">
        <v>43175</v>
      </c>
      <c r="BI753" s="95">
        <v>0.439</v>
      </c>
      <c r="BJ753" s="96">
        <v>11.48</v>
      </c>
    </row>
    <row r="754" spans="54:62" ht="13.8" x14ac:dyDescent="0.25">
      <c r="BB754" s="187">
        <v>43168</v>
      </c>
      <c r="BC754" s="180">
        <v>-0.27100000000000002</v>
      </c>
      <c r="BD754" s="191">
        <v>43168</v>
      </c>
      <c r="BE754" s="192">
        <v>0.40899999999999997</v>
      </c>
      <c r="BH754" s="94">
        <v>43178</v>
      </c>
      <c r="BI754" s="95">
        <v>0.434</v>
      </c>
      <c r="BJ754" s="96">
        <v>11.47</v>
      </c>
    </row>
    <row r="755" spans="54:62" ht="13.8" x14ac:dyDescent="0.25">
      <c r="BB755" s="187">
        <v>43171</v>
      </c>
      <c r="BC755" s="180">
        <v>-0.27100000000000002</v>
      </c>
      <c r="BD755" s="191">
        <v>43171</v>
      </c>
      <c r="BE755" s="192">
        <v>0.40500000000000003</v>
      </c>
      <c r="BH755" s="94">
        <v>43179</v>
      </c>
      <c r="BI755" s="95">
        <v>0.42799999999999999</v>
      </c>
      <c r="BJ755" s="96">
        <v>11.47</v>
      </c>
    </row>
    <row r="756" spans="54:62" ht="13.8" x14ac:dyDescent="0.25">
      <c r="BB756" s="187">
        <v>43172</v>
      </c>
      <c r="BC756" s="180">
        <v>-0.27100000000000002</v>
      </c>
      <c r="BD756" s="191">
        <v>43172</v>
      </c>
      <c r="BE756" s="192">
        <v>0.40100000000000002</v>
      </c>
      <c r="BH756" s="94">
        <v>43180</v>
      </c>
      <c r="BI756" s="95">
        <v>0.42299999999999999</v>
      </c>
      <c r="BJ756" s="96">
        <v>11.47</v>
      </c>
    </row>
    <row r="757" spans="54:62" ht="13.8" x14ac:dyDescent="0.25">
      <c r="BB757" s="187">
        <v>43173</v>
      </c>
      <c r="BC757" s="180">
        <v>-0.27100000000000002</v>
      </c>
      <c r="BD757" s="191">
        <v>43173</v>
      </c>
      <c r="BE757" s="192">
        <v>0.39700000000000002</v>
      </c>
      <c r="BH757" s="94">
        <v>43181</v>
      </c>
      <c r="BI757" s="95">
        <v>0.41599999999999998</v>
      </c>
      <c r="BJ757" s="96">
        <v>11.47</v>
      </c>
    </row>
    <row r="758" spans="54:62" ht="13.8" x14ac:dyDescent="0.25">
      <c r="BB758" s="187">
        <v>43174</v>
      </c>
      <c r="BC758" s="180">
        <v>-0.27100000000000002</v>
      </c>
      <c r="BD758" s="191">
        <v>43174</v>
      </c>
      <c r="BE758" s="192">
        <v>0.44500000000000001</v>
      </c>
      <c r="BH758" s="94">
        <v>43182</v>
      </c>
      <c r="BI758" s="95">
        <v>0.41</v>
      </c>
      <c r="BJ758" s="96">
        <v>11.46</v>
      </c>
    </row>
    <row r="759" spans="54:62" ht="13.8" x14ac:dyDescent="0.25">
      <c r="BB759" s="187">
        <v>43175</v>
      </c>
      <c r="BC759" s="180">
        <v>-0.27200000000000002</v>
      </c>
      <c r="BD759" s="191">
        <v>43175</v>
      </c>
      <c r="BE759" s="192">
        <v>0.439</v>
      </c>
      <c r="BH759" s="94">
        <v>43185</v>
      </c>
      <c r="BI759" s="95">
        <v>0.40500000000000003</v>
      </c>
      <c r="BJ759" s="96">
        <v>11.45</v>
      </c>
    </row>
    <row r="760" spans="54:62" ht="13.8" x14ac:dyDescent="0.25">
      <c r="BB760" s="187">
        <v>43178</v>
      </c>
      <c r="BC760" s="180">
        <v>-0.27200000000000002</v>
      </c>
      <c r="BD760" s="191">
        <v>43178</v>
      </c>
      <c r="BE760" s="192">
        <v>0.434</v>
      </c>
      <c r="BH760" s="94">
        <v>43186</v>
      </c>
      <c r="BI760" s="95">
        <v>0.39900000000000002</v>
      </c>
      <c r="BJ760" s="96">
        <v>11.45</v>
      </c>
    </row>
    <row r="761" spans="54:62" ht="13.8" x14ac:dyDescent="0.25">
      <c r="BB761" s="187">
        <v>43179</v>
      </c>
      <c r="BC761" s="180">
        <v>-0.27300000000000002</v>
      </c>
      <c r="BD761" s="191">
        <v>43179</v>
      </c>
      <c r="BE761" s="192">
        <v>0.42799999999999999</v>
      </c>
      <c r="BH761" s="94">
        <v>43187</v>
      </c>
      <c r="BI761" s="95">
        <v>0.39300000000000002</v>
      </c>
      <c r="BJ761" s="96">
        <v>11.45</v>
      </c>
    </row>
    <row r="762" spans="54:62" ht="13.8" x14ac:dyDescent="0.25">
      <c r="BB762" s="187">
        <v>43180</v>
      </c>
      <c r="BC762" s="180">
        <v>-0.27200000000000002</v>
      </c>
      <c r="BD762" s="191">
        <v>43180</v>
      </c>
      <c r="BE762" s="192">
        <v>0.42299999999999999</v>
      </c>
      <c r="BH762" s="94">
        <v>43188</v>
      </c>
      <c r="BI762" s="95">
        <v>0.38800000000000001</v>
      </c>
      <c r="BJ762" s="96">
        <v>11.45</v>
      </c>
    </row>
    <row r="763" spans="54:62" ht="13.8" x14ac:dyDescent="0.25">
      <c r="BB763" s="187">
        <v>43181</v>
      </c>
      <c r="BC763" s="180">
        <v>-0.27100000000000002</v>
      </c>
      <c r="BD763" s="191">
        <v>43181</v>
      </c>
      <c r="BE763" s="192">
        <v>0.41599999999999998</v>
      </c>
      <c r="BH763" s="94">
        <v>43189</v>
      </c>
      <c r="BI763" s="95">
        <v>0.38600000000000001</v>
      </c>
      <c r="BJ763" s="96">
        <v>11.44</v>
      </c>
    </row>
    <row r="764" spans="54:62" ht="13.8" x14ac:dyDescent="0.25">
      <c r="BB764" s="187">
        <v>43182</v>
      </c>
      <c r="BC764" s="180">
        <v>-0.27</v>
      </c>
      <c r="BD764" s="191">
        <v>43182</v>
      </c>
      <c r="BE764" s="192">
        <v>0.41</v>
      </c>
      <c r="BH764" s="94">
        <v>43193</v>
      </c>
      <c r="BI764" s="95">
        <v>0.38100000000000001</v>
      </c>
      <c r="BJ764" s="96">
        <v>11.43</v>
      </c>
    </row>
    <row r="765" spans="54:62" ht="13.8" x14ac:dyDescent="0.25">
      <c r="BB765" s="187">
        <v>43185</v>
      </c>
      <c r="BC765" s="180">
        <v>-0.27100000000000002</v>
      </c>
      <c r="BD765" s="191">
        <v>43185</v>
      </c>
      <c r="BE765" s="192">
        <v>0.40500000000000003</v>
      </c>
      <c r="BH765" s="94">
        <v>43194</v>
      </c>
      <c r="BI765" s="95">
        <v>0.374</v>
      </c>
      <c r="BJ765" s="96">
        <v>11.43</v>
      </c>
    </row>
    <row r="766" spans="54:62" ht="13.8" x14ac:dyDescent="0.25">
      <c r="BB766" s="187">
        <v>43186</v>
      </c>
      <c r="BC766" s="180">
        <v>-0.27100000000000002</v>
      </c>
      <c r="BD766" s="191">
        <v>43186</v>
      </c>
      <c r="BE766" s="192">
        <v>0.39900000000000002</v>
      </c>
      <c r="BH766" s="94">
        <v>43195</v>
      </c>
      <c r="BI766" s="95">
        <v>0.36899999999999999</v>
      </c>
      <c r="BJ766" s="96">
        <v>11.43</v>
      </c>
    </row>
    <row r="767" spans="54:62" ht="13.8" x14ac:dyDescent="0.25">
      <c r="BB767" s="187">
        <v>43187</v>
      </c>
      <c r="BC767" s="180">
        <v>-0.27100000000000002</v>
      </c>
      <c r="BD767" s="191">
        <v>43187</v>
      </c>
      <c r="BE767" s="192">
        <v>0.39300000000000002</v>
      </c>
      <c r="BH767" s="94">
        <v>43196</v>
      </c>
      <c r="BI767" s="95">
        <v>0.36299999999999999</v>
      </c>
      <c r="BJ767" s="96">
        <v>11.42</v>
      </c>
    </row>
    <row r="768" spans="54:62" ht="13.8" x14ac:dyDescent="0.25">
      <c r="BB768" s="187">
        <v>43188</v>
      </c>
      <c r="BC768" s="180">
        <v>-0.27100000000000002</v>
      </c>
      <c r="BD768" s="191">
        <v>43188</v>
      </c>
      <c r="BE768" s="192">
        <v>0.38800000000000001</v>
      </c>
      <c r="BH768" s="94">
        <v>43199</v>
      </c>
      <c r="BI768" s="95">
        <v>0.35799999999999998</v>
      </c>
      <c r="BJ768" s="96">
        <v>11.42</v>
      </c>
    </row>
    <row r="769" spans="54:62" ht="13.8" x14ac:dyDescent="0.25">
      <c r="BB769" s="187">
        <v>43189</v>
      </c>
      <c r="BC769" s="180">
        <v>-0.27100000000000002</v>
      </c>
      <c r="BD769" s="191">
        <v>43189</v>
      </c>
      <c r="BE769" s="192">
        <v>0.38600000000000001</v>
      </c>
      <c r="BH769" s="94">
        <v>43200</v>
      </c>
      <c r="BI769" s="95">
        <v>0.35399999999999998</v>
      </c>
      <c r="BJ769" s="96">
        <v>11.41</v>
      </c>
    </row>
    <row r="770" spans="54:62" ht="13.8" x14ac:dyDescent="0.25">
      <c r="BB770" s="187">
        <v>43192</v>
      </c>
      <c r="BC770" s="180">
        <v>-0.27100000000000002</v>
      </c>
      <c r="BD770" s="191"/>
      <c r="BE770" s="193">
        <f>+BE769</f>
        <v>0.38600000000000001</v>
      </c>
      <c r="BH770" s="94">
        <v>43201</v>
      </c>
      <c r="BI770" s="95">
        <v>0.35</v>
      </c>
      <c r="BJ770" s="96">
        <v>11.41</v>
      </c>
    </row>
    <row r="771" spans="54:62" ht="13.8" x14ac:dyDescent="0.25">
      <c r="BB771" s="187">
        <v>43193</v>
      </c>
      <c r="BC771" s="180">
        <v>-0.27</v>
      </c>
      <c r="BD771" s="191">
        <v>43193</v>
      </c>
      <c r="BE771" s="192">
        <v>0.38100000000000001</v>
      </c>
      <c r="BH771" s="94">
        <v>43202</v>
      </c>
      <c r="BI771" s="95">
        <v>0.35</v>
      </c>
      <c r="BJ771" s="96">
        <v>11.42</v>
      </c>
    </row>
    <row r="772" spans="54:62" ht="13.8" x14ac:dyDescent="0.25">
      <c r="BB772" s="187">
        <v>43194</v>
      </c>
      <c r="BC772" s="180">
        <v>-0.27100000000000002</v>
      </c>
      <c r="BD772" s="191">
        <v>43194</v>
      </c>
      <c r="BE772" s="192">
        <v>0.374</v>
      </c>
      <c r="BH772" s="94">
        <v>43203</v>
      </c>
      <c r="BI772" s="95">
        <v>0.34699999999999998</v>
      </c>
      <c r="BJ772" s="96">
        <v>11.42</v>
      </c>
    </row>
    <row r="773" spans="54:62" ht="13.8" x14ac:dyDescent="0.25">
      <c r="BB773" s="187">
        <v>43195</v>
      </c>
      <c r="BC773" s="180">
        <v>-0.27100000000000002</v>
      </c>
      <c r="BD773" s="191">
        <v>43195</v>
      </c>
      <c r="BE773" s="192">
        <v>0.36899999999999999</v>
      </c>
      <c r="BH773" s="94">
        <v>43206</v>
      </c>
      <c r="BI773" s="95">
        <v>0.34599999999999997</v>
      </c>
      <c r="BJ773" s="96">
        <v>11.41</v>
      </c>
    </row>
    <row r="774" spans="54:62" ht="13.8" x14ac:dyDescent="0.25">
      <c r="BB774" s="187">
        <v>43196</v>
      </c>
      <c r="BC774" s="180">
        <v>-0.27</v>
      </c>
      <c r="BD774" s="191">
        <v>43196</v>
      </c>
      <c r="BE774" s="192">
        <v>0.36299999999999999</v>
      </c>
      <c r="BH774" s="94">
        <v>43207</v>
      </c>
      <c r="BI774" s="95">
        <v>0.34499999999999997</v>
      </c>
      <c r="BJ774" s="96">
        <v>11.4</v>
      </c>
    </row>
    <row r="775" spans="54:62" ht="13.8" x14ac:dyDescent="0.25">
      <c r="BB775" s="187">
        <v>43199</v>
      </c>
      <c r="BC775" s="180">
        <v>-0.27</v>
      </c>
      <c r="BD775" s="191">
        <v>43199</v>
      </c>
      <c r="BE775" s="192">
        <v>0.35799999999999998</v>
      </c>
      <c r="BH775" s="94">
        <v>43208</v>
      </c>
      <c r="BI775" s="95">
        <v>0.34200000000000003</v>
      </c>
      <c r="BJ775" s="96">
        <v>11.4</v>
      </c>
    </row>
    <row r="776" spans="54:62" ht="13.8" x14ac:dyDescent="0.25">
      <c r="BB776" s="187">
        <v>43200</v>
      </c>
      <c r="BC776" s="180">
        <v>-0.27100000000000002</v>
      </c>
      <c r="BD776" s="191">
        <v>43200</v>
      </c>
      <c r="BE776" s="192">
        <v>0.35399999999999998</v>
      </c>
      <c r="BH776" s="94">
        <v>43209</v>
      </c>
      <c r="BI776" s="95">
        <v>0.34200000000000003</v>
      </c>
      <c r="BJ776" s="96">
        <v>11.4</v>
      </c>
    </row>
    <row r="777" spans="54:62" ht="13.8" x14ac:dyDescent="0.25">
      <c r="BB777" s="187">
        <v>43201</v>
      </c>
      <c r="BC777" s="180">
        <v>-0.27</v>
      </c>
      <c r="BD777" s="191">
        <v>43201</v>
      </c>
      <c r="BE777" s="192">
        <v>0.35</v>
      </c>
      <c r="BH777" s="94">
        <v>43210</v>
      </c>
      <c r="BI777" s="95">
        <v>0.34499999999999997</v>
      </c>
      <c r="BJ777" s="96">
        <v>11.4</v>
      </c>
    </row>
    <row r="778" spans="54:62" ht="13.8" x14ac:dyDescent="0.25">
      <c r="BB778" s="187">
        <v>43202</v>
      </c>
      <c r="BC778" s="180">
        <v>-0.27100000000000002</v>
      </c>
      <c r="BD778" s="191">
        <v>43202</v>
      </c>
      <c r="BE778" s="192">
        <v>0.35</v>
      </c>
      <c r="BH778" s="94">
        <v>43213</v>
      </c>
      <c r="BI778" s="95">
        <v>0.34799999999999998</v>
      </c>
      <c r="BJ778" s="96">
        <v>11.39</v>
      </c>
    </row>
    <row r="779" spans="54:62" ht="13.8" x14ac:dyDescent="0.25">
      <c r="BB779" s="187">
        <v>43203</v>
      </c>
      <c r="BC779" s="180">
        <v>-0.27100000000000002</v>
      </c>
      <c r="BD779" s="191">
        <v>43203</v>
      </c>
      <c r="BE779" s="192">
        <v>0.34699999999999998</v>
      </c>
      <c r="BH779" s="94">
        <v>43214</v>
      </c>
      <c r="BI779" s="95">
        <v>0.35199999999999998</v>
      </c>
      <c r="BJ779" s="96">
        <v>11.39</v>
      </c>
    </row>
    <row r="780" spans="54:62" ht="13.8" x14ac:dyDescent="0.25">
      <c r="BB780" s="187">
        <v>43206</v>
      </c>
      <c r="BC780" s="180">
        <v>-0.27</v>
      </c>
      <c r="BD780" s="191">
        <v>43206</v>
      </c>
      <c r="BE780" s="192">
        <v>0.34599999999999997</v>
      </c>
      <c r="BH780" s="94">
        <v>43215</v>
      </c>
      <c r="BI780" s="95">
        <v>0.35599999999999998</v>
      </c>
      <c r="BJ780" s="96">
        <v>11.38</v>
      </c>
    </row>
    <row r="781" spans="54:62" ht="13.8" x14ac:dyDescent="0.25">
      <c r="BB781" s="187">
        <v>43207</v>
      </c>
      <c r="BC781" s="180">
        <v>-0.27</v>
      </c>
      <c r="BD781" s="191">
        <v>43207</v>
      </c>
      <c r="BE781" s="192">
        <v>0.34499999999999997</v>
      </c>
      <c r="BH781" s="94">
        <v>43216</v>
      </c>
      <c r="BI781" s="95">
        <v>0.36</v>
      </c>
      <c r="BJ781" s="96">
        <v>11.38</v>
      </c>
    </row>
    <row r="782" spans="54:62" ht="13.8" x14ac:dyDescent="0.25">
      <c r="BB782" s="187">
        <v>43208</v>
      </c>
      <c r="BC782" s="180">
        <v>-0.27100000000000002</v>
      </c>
      <c r="BD782" s="191">
        <v>43208</v>
      </c>
      <c r="BE782" s="192">
        <v>0.34200000000000003</v>
      </c>
      <c r="BH782" s="94">
        <v>43217</v>
      </c>
      <c r="BI782" s="95">
        <v>0.36299999999999999</v>
      </c>
      <c r="BJ782" s="96">
        <v>11.38</v>
      </c>
    </row>
    <row r="783" spans="54:62" ht="13.8" x14ac:dyDescent="0.25">
      <c r="BB783" s="187">
        <v>43209</v>
      </c>
      <c r="BC783" s="180">
        <v>-0.27</v>
      </c>
      <c r="BD783" s="191">
        <v>43209</v>
      </c>
      <c r="BE783" s="192">
        <v>0.34200000000000003</v>
      </c>
      <c r="BH783" s="94">
        <v>43220</v>
      </c>
      <c r="BI783" s="95">
        <v>0.36299999999999999</v>
      </c>
      <c r="BJ783" s="96">
        <v>11.37</v>
      </c>
    </row>
    <row r="784" spans="54:62" ht="13.8" x14ac:dyDescent="0.25">
      <c r="BB784" s="187">
        <v>43210</v>
      </c>
      <c r="BC784" s="180">
        <v>-0.27100000000000002</v>
      </c>
      <c r="BD784" s="191">
        <v>43210</v>
      </c>
      <c r="BE784" s="192">
        <v>0.34499999999999997</v>
      </c>
      <c r="BH784" s="94">
        <v>43222</v>
      </c>
      <c r="BI784" s="95">
        <v>0.36499999999999999</v>
      </c>
      <c r="BJ784" s="96">
        <v>11.36</v>
      </c>
    </row>
    <row r="785" spans="54:62" ht="13.8" x14ac:dyDescent="0.25">
      <c r="BB785" s="187">
        <v>43213</v>
      </c>
      <c r="BC785" s="180">
        <v>-0.27</v>
      </c>
      <c r="BD785" s="191">
        <v>43213</v>
      </c>
      <c r="BE785" s="192">
        <v>0.34799999999999998</v>
      </c>
      <c r="BH785" s="94">
        <v>43223</v>
      </c>
      <c r="BI785" s="95">
        <v>0.36699999999999999</v>
      </c>
      <c r="BJ785" s="96">
        <v>11.36</v>
      </c>
    </row>
    <row r="786" spans="54:62" ht="13.8" x14ac:dyDescent="0.25">
      <c r="BB786" s="187">
        <v>43214</v>
      </c>
      <c r="BC786" s="180">
        <v>-0.27</v>
      </c>
      <c r="BD786" s="191">
        <v>43214</v>
      </c>
      <c r="BE786" s="192">
        <v>0.35199999999999998</v>
      </c>
      <c r="BH786" s="94">
        <v>43224</v>
      </c>
      <c r="BI786" s="95">
        <v>0.36799999999999999</v>
      </c>
      <c r="BJ786" s="96">
        <v>11.36</v>
      </c>
    </row>
    <row r="787" spans="54:62" ht="13.8" x14ac:dyDescent="0.25">
      <c r="BB787" s="187">
        <v>43215</v>
      </c>
      <c r="BC787" s="180">
        <v>-0.27</v>
      </c>
      <c r="BD787" s="191">
        <v>43215</v>
      </c>
      <c r="BE787" s="192">
        <v>0.35599999999999998</v>
      </c>
      <c r="BH787" s="94">
        <v>43227</v>
      </c>
      <c r="BI787" s="95">
        <v>0.36799999999999999</v>
      </c>
      <c r="BJ787" s="96">
        <v>11.35</v>
      </c>
    </row>
    <row r="788" spans="54:62" ht="13.8" x14ac:dyDescent="0.25">
      <c r="BB788" s="187">
        <v>43216</v>
      </c>
      <c r="BC788" s="180">
        <v>-0.26900000000000002</v>
      </c>
      <c r="BD788" s="191">
        <v>43216</v>
      </c>
      <c r="BE788" s="192">
        <v>0.36</v>
      </c>
      <c r="BH788" s="94">
        <v>43228</v>
      </c>
      <c r="BI788" s="95">
        <v>0.36899999999999999</v>
      </c>
      <c r="BJ788" s="96">
        <v>11.35</v>
      </c>
    </row>
    <row r="789" spans="54:62" ht="13.8" x14ac:dyDescent="0.25">
      <c r="BB789" s="187">
        <v>43217</v>
      </c>
      <c r="BC789" s="180">
        <v>-0.26900000000000002</v>
      </c>
      <c r="BD789" s="191">
        <v>43217</v>
      </c>
      <c r="BE789" s="192">
        <v>0.36299999999999999</v>
      </c>
      <c r="BH789" s="94">
        <v>43229</v>
      </c>
      <c r="BI789" s="95">
        <v>0.372</v>
      </c>
      <c r="BJ789" s="96">
        <v>11.34</v>
      </c>
    </row>
    <row r="790" spans="54:62" ht="13.8" x14ac:dyDescent="0.25">
      <c r="BB790" s="187">
        <v>43220</v>
      </c>
      <c r="BC790" s="180">
        <v>-0.26900000000000002</v>
      </c>
      <c r="BD790" s="191">
        <v>43220</v>
      </c>
      <c r="BE790" s="192">
        <v>0.36299999999999999</v>
      </c>
      <c r="BH790" s="94">
        <v>43231</v>
      </c>
      <c r="BI790" s="95">
        <v>0.377</v>
      </c>
      <c r="BJ790" s="96">
        <v>11.37</v>
      </c>
    </row>
    <row r="791" spans="54:62" ht="13.8" x14ac:dyDescent="0.25">
      <c r="BB791" s="187">
        <v>43221</v>
      </c>
      <c r="BC791" s="180">
        <v>-0.26900000000000002</v>
      </c>
      <c r="BD791" s="191"/>
      <c r="BE791" s="193">
        <f>+BE790</f>
        <v>0.36299999999999999</v>
      </c>
      <c r="BF791" s="111">
        <f>+(BC791+BE791)/2+0.37</f>
        <v>0.41699999999999998</v>
      </c>
      <c r="BH791" s="94">
        <v>43234</v>
      </c>
      <c r="BI791" s="95">
        <v>0.38</v>
      </c>
      <c r="BJ791" s="96">
        <v>11.36</v>
      </c>
    </row>
    <row r="792" spans="54:62" ht="13.8" x14ac:dyDescent="0.25">
      <c r="BB792" s="187">
        <v>43222</v>
      </c>
      <c r="BC792" s="180">
        <v>-0.26900000000000002</v>
      </c>
      <c r="BD792" s="191">
        <v>43222</v>
      </c>
      <c r="BE792" s="192">
        <v>0.36499999999999999</v>
      </c>
      <c r="BH792" s="94">
        <v>43235</v>
      </c>
      <c r="BI792" s="95">
        <v>0.38500000000000001</v>
      </c>
      <c r="BJ792" s="96">
        <v>11.36</v>
      </c>
    </row>
    <row r="793" spans="54:62" ht="13.8" x14ac:dyDescent="0.25">
      <c r="BB793" s="187">
        <v>43223</v>
      </c>
      <c r="BC793" s="180">
        <v>-0.26900000000000002</v>
      </c>
      <c r="BD793" s="191">
        <v>43223</v>
      </c>
      <c r="BE793" s="192">
        <v>0.36699999999999999</v>
      </c>
      <c r="BH793" s="94">
        <v>43236</v>
      </c>
      <c r="BI793" s="95">
        <v>0.38700000000000001</v>
      </c>
      <c r="BJ793" s="96">
        <v>11.35</v>
      </c>
    </row>
    <row r="794" spans="54:62" ht="13.8" x14ac:dyDescent="0.25">
      <c r="BB794" s="187">
        <v>43224</v>
      </c>
      <c r="BC794" s="180">
        <v>-0.26900000000000002</v>
      </c>
      <c r="BD794" s="191">
        <v>43224</v>
      </c>
      <c r="BE794" s="192">
        <v>0.36799999999999999</v>
      </c>
      <c r="BH794" s="94">
        <v>43237</v>
      </c>
      <c r="BI794" s="95">
        <v>0.39100000000000001</v>
      </c>
      <c r="BJ794" s="96">
        <v>11.35</v>
      </c>
    </row>
    <row r="795" spans="54:62" ht="13.8" x14ac:dyDescent="0.25">
      <c r="BB795" s="187">
        <v>43227</v>
      </c>
      <c r="BC795" s="180">
        <v>-0.26900000000000002</v>
      </c>
      <c r="BD795" s="191">
        <v>43227</v>
      </c>
      <c r="BE795" s="192">
        <v>0.36799999999999999</v>
      </c>
      <c r="BH795" s="94">
        <v>43238</v>
      </c>
      <c r="BI795" s="95">
        <v>0.39500000000000002</v>
      </c>
      <c r="BJ795" s="96">
        <v>11.35</v>
      </c>
    </row>
    <row r="796" spans="54:62" ht="13.8" x14ac:dyDescent="0.25">
      <c r="BB796" s="187">
        <v>43228</v>
      </c>
      <c r="BC796" s="180">
        <v>-0.26900000000000002</v>
      </c>
      <c r="BD796" s="191">
        <v>43228</v>
      </c>
      <c r="BE796" s="192">
        <v>0.36899999999999999</v>
      </c>
      <c r="BH796" s="94">
        <v>43242</v>
      </c>
      <c r="BI796" s="95">
        <v>0.39500000000000002</v>
      </c>
      <c r="BJ796" s="96">
        <v>11.34</v>
      </c>
    </row>
    <row r="797" spans="54:62" ht="13.8" x14ac:dyDescent="0.25">
      <c r="BB797" s="187">
        <v>43229</v>
      </c>
      <c r="BC797" s="180">
        <v>-0.26900000000000002</v>
      </c>
      <c r="BD797" s="191">
        <v>43229</v>
      </c>
      <c r="BE797" s="192">
        <v>0.372</v>
      </c>
      <c r="BH797" s="94">
        <v>43243</v>
      </c>
      <c r="BI797" s="95">
        <v>0.39200000000000002</v>
      </c>
      <c r="BJ797" s="96">
        <v>11.34</v>
      </c>
    </row>
    <row r="798" spans="54:62" ht="13.8" x14ac:dyDescent="0.25">
      <c r="BB798" s="187">
        <v>43230</v>
      </c>
      <c r="BC798" s="180">
        <v>-0.27100000000000002</v>
      </c>
      <c r="BD798" s="191"/>
      <c r="BE798" s="193">
        <f>+BE797</f>
        <v>0.372</v>
      </c>
      <c r="BH798" s="94">
        <v>43244</v>
      </c>
      <c r="BI798" s="95">
        <v>0.39</v>
      </c>
      <c r="BJ798" s="96">
        <v>11.33</v>
      </c>
    </row>
    <row r="799" spans="54:62" ht="13.8" x14ac:dyDescent="0.25">
      <c r="BB799" s="187">
        <v>43231</v>
      </c>
      <c r="BC799" s="180">
        <v>-0.27100000000000002</v>
      </c>
      <c r="BD799" s="191">
        <v>43231</v>
      </c>
      <c r="BE799" s="192">
        <v>0.377</v>
      </c>
      <c r="BH799" s="94">
        <v>43245</v>
      </c>
      <c r="BI799" s="95">
        <v>0.38500000000000001</v>
      </c>
      <c r="BJ799" s="96">
        <v>11.33</v>
      </c>
    </row>
    <row r="800" spans="54:62" ht="13.8" x14ac:dyDescent="0.25">
      <c r="BB800" s="187">
        <v>43234</v>
      </c>
      <c r="BC800" s="180">
        <v>-0.27100000000000002</v>
      </c>
      <c r="BD800" s="191">
        <v>43234</v>
      </c>
      <c r="BE800" s="192">
        <v>0.38</v>
      </c>
      <c r="BH800" s="94">
        <v>43248</v>
      </c>
      <c r="BI800" s="95">
        <v>0.378</v>
      </c>
      <c r="BJ800" s="96">
        <v>11.32</v>
      </c>
    </row>
    <row r="801" spans="54:62" ht="13.8" x14ac:dyDescent="0.25">
      <c r="BB801" s="187">
        <v>43235</v>
      </c>
      <c r="BC801" s="180">
        <v>-0.27100000000000002</v>
      </c>
      <c r="BD801" s="191">
        <v>43235</v>
      </c>
      <c r="BE801" s="192">
        <v>0.38500000000000001</v>
      </c>
      <c r="BH801" s="94">
        <v>43249</v>
      </c>
      <c r="BI801" s="95">
        <v>0.37</v>
      </c>
      <c r="BJ801" s="96">
        <v>11.32</v>
      </c>
    </row>
    <row r="802" spans="54:62" ht="13.8" x14ac:dyDescent="0.25">
      <c r="BB802" s="187">
        <v>43236</v>
      </c>
      <c r="BC802" s="180">
        <v>-0.27200000000000002</v>
      </c>
      <c r="BD802" s="191">
        <v>43236</v>
      </c>
      <c r="BE802" s="192">
        <v>0.38700000000000001</v>
      </c>
      <c r="BH802" s="94">
        <v>43250</v>
      </c>
      <c r="BI802" s="95">
        <v>0.36599999999999999</v>
      </c>
      <c r="BJ802" s="96">
        <v>11.32</v>
      </c>
    </row>
    <row r="803" spans="54:62" ht="13.8" x14ac:dyDescent="0.25">
      <c r="BB803" s="187">
        <v>43237</v>
      </c>
      <c r="BC803" s="180">
        <v>-0.27</v>
      </c>
      <c r="BD803" s="191">
        <v>43237</v>
      </c>
      <c r="BE803" s="192">
        <v>0.39100000000000001</v>
      </c>
      <c r="BH803" s="94">
        <v>43252</v>
      </c>
      <c r="BI803" s="95">
        <v>0.36199999999999999</v>
      </c>
      <c r="BJ803" s="96">
        <v>11.31</v>
      </c>
    </row>
    <row r="804" spans="54:62" ht="13.8" x14ac:dyDescent="0.25">
      <c r="BB804" s="187">
        <v>43238</v>
      </c>
      <c r="BC804" s="180">
        <v>-0.27100000000000002</v>
      </c>
      <c r="BD804" s="191">
        <v>43238</v>
      </c>
      <c r="BE804" s="192">
        <v>0.39500000000000002</v>
      </c>
      <c r="BH804" s="94">
        <v>43255</v>
      </c>
      <c r="BI804" s="95">
        <v>0.35799999999999998</v>
      </c>
      <c r="BJ804" s="96">
        <v>11.3</v>
      </c>
    </row>
    <row r="805" spans="54:62" ht="13.8" x14ac:dyDescent="0.25">
      <c r="BB805" s="187">
        <v>43241</v>
      </c>
      <c r="BC805" s="180">
        <v>-0.27</v>
      </c>
      <c r="BD805" s="191"/>
      <c r="BE805" s="193">
        <f>+BE804</f>
        <v>0.39500000000000002</v>
      </c>
      <c r="BH805" s="94">
        <v>43256</v>
      </c>
      <c r="BI805" s="95">
        <v>0.35399999999999998</v>
      </c>
      <c r="BJ805" s="96">
        <v>11.3</v>
      </c>
    </row>
    <row r="806" spans="54:62" ht="13.8" x14ac:dyDescent="0.25">
      <c r="BB806" s="187">
        <v>43242</v>
      </c>
      <c r="BC806" s="180">
        <v>-0.27100000000000002</v>
      </c>
      <c r="BD806" s="191">
        <v>43242</v>
      </c>
      <c r="BE806" s="192">
        <v>0.39500000000000002</v>
      </c>
      <c r="BH806" s="94">
        <v>43257</v>
      </c>
      <c r="BI806" s="95">
        <v>0.35299999999999998</v>
      </c>
      <c r="BJ806" s="96">
        <v>11.3</v>
      </c>
    </row>
    <row r="807" spans="54:62" ht="13.8" x14ac:dyDescent="0.25">
      <c r="BB807" s="187">
        <v>43243</v>
      </c>
      <c r="BC807" s="180">
        <v>-0.27</v>
      </c>
      <c r="BD807" s="191">
        <v>43243</v>
      </c>
      <c r="BE807" s="192">
        <v>0.39200000000000002</v>
      </c>
      <c r="BH807" s="94">
        <v>43258</v>
      </c>
      <c r="BI807" s="95">
        <v>0.35399999999999998</v>
      </c>
      <c r="BJ807" s="96">
        <v>11.27</v>
      </c>
    </row>
    <row r="808" spans="54:62" ht="13.8" x14ac:dyDescent="0.25">
      <c r="BB808" s="187">
        <v>43244</v>
      </c>
      <c r="BC808" s="180">
        <v>-0.27100000000000002</v>
      </c>
      <c r="BD808" s="191">
        <v>43244</v>
      </c>
      <c r="BE808" s="192">
        <v>0.39</v>
      </c>
      <c r="BH808" s="94">
        <v>43259</v>
      </c>
      <c r="BI808" s="95">
        <v>0.35199999999999998</v>
      </c>
      <c r="BJ808" s="96">
        <v>11.27</v>
      </c>
    </row>
    <row r="809" spans="54:62" ht="13.8" x14ac:dyDescent="0.25">
      <c r="BB809" s="187">
        <v>43245</v>
      </c>
      <c r="BC809" s="180">
        <v>-0.27100000000000002</v>
      </c>
      <c r="BD809" s="191">
        <v>43245</v>
      </c>
      <c r="BE809" s="192">
        <v>0.38500000000000001</v>
      </c>
      <c r="BH809" s="94">
        <v>43262</v>
      </c>
      <c r="BI809" s="95">
        <v>0.35099999999999998</v>
      </c>
      <c r="BJ809" s="96">
        <v>11.26</v>
      </c>
    </row>
    <row r="810" spans="54:62" ht="13.8" x14ac:dyDescent="0.25">
      <c r="BB810" s="187">
        <v>43248</v>
      </c>
      <c r="BC810" s="180">
        <v>-0.26900000000000002</v>
      </c>
      <c r="BD810" s="191">
        <v>43248</v>
      </c>
      <c r="BE810" s="192">
        <v>0.378</v>
      </c>
      <c r="BH810" s="94">
        <v>43263</v>
      </c>
      <c r="BI810" s="95">
        <v>0.35199999999999998</v>
      </c>
      <c r="BJ810" s="96">
        <v>11.26</v>
      </c>
    </row>
    <row r="811" spans="54:62" ht="13.8" x14ac:dyDescent="0.25">
      <c r="BB811" s="187">
        <v>43249</v>
      </c>
      <c r="BC811" s="180">
        <v>-0.26900000000000002</v>
      </c>
      <c r="BD811" s="191">
        <v>43249</v>
      </c>
      <c r="BE811" s="192">
        <v>0.37</v>
      </c>
      <c r="BH811" s="94">
        <v>43264</v>
      </c>
      <c r="BI811" s="95">
        <v>0.34899999999999998</v>
      </c>
      <c r="BJ811" s="96">
        <v>11.26</v>
      </c>
    </row>
    <row r="812" spans="54:62" ht="13.8" x14ac:dyDescent="0.25">
      <c r="BB812" s="187">
        <v>43250</v>
      </c>
      <c r="BC812" s="180">
        <v>-0.26900000000000002</v>
      </c>
      <c r="BD812" s="191">
        <v>43250</v>
      </c>
      <c r="BE812" s="192">
        <v>0.36599999999999999</v>
      </c>
      <c r="BH812" s="94">
        <v>43265</v>
      </c>
      <c r="BI812" s="95">
        <v>0.34399999999999997</v>
      </c>
      <c r="BJ812" s="96">
        <v>11.25</v>
      </c>
    </row>
    <row r="813" spans="54:62" ht="13.8" x14ac:dyDescent="0.25">
      <c r="BB813" s="187">
        <v>43251</v>
      </c>
      <c r="BC813" s="180">
        <v>-0.26900000000000002</v>
      </c>
      <c r="BD813" s="191"/>
      <c r="BE813" s="193">
        <f>+BE812</f>
        <v>0.36599999999999999</v>
      </c>
      <c r="BH813" s="94">
        <v>43266</v>
      </c>
      <c r="BI813" s="95">
        <v>0.33700000000000002</v>
      </c>
      <c r="BJ813" s="96">
        <v>11.25</v>
      </c>
    </row>
    <row r="814" spans="54:62" ht="13.8" x14ac:dyDescent="0.25">
      <c r="BB814" s="187">
        <v>43252</v>
      </c>
      <c r="BC814" s="180">
        <v>-0.26900000000000002</v>
      </c>
      <c r="BD814" s="191">
        <v>43252</v>
      </c>
      <c r="BE814" s="192">
        <v>0.36199999999999999</v>
      </c>
      <c r="BH814" s="94">
        <v>43269</v>
      </c>
      <c r="BI814" s="95">
        <v>0.36199999999999999</v>
      </c>
      <c r="BJ814" s="96">
        <v>11.63</v>
      </c>
    </row>
    <row r="815" spans="54:62" ht="13.8" x14ac:dyDescent="0.25">
      <c r="BB815" s="187">
        <v>43255</v>
      </c>
      <c r="BC815" s="180">
        <v>-0.26900000000000002</v>
      </c>
      <c r="BD815" s="191">
        <v>43255</v>
      </c>
      <c r="BE815" s="192">
        <v>0.35799999999999998</v>
      </c>
      <c r="BH815" s="94">
        <v>43270</v>
      </c>
      <c r="BI815" s="95">
        <v>0.35299999999999998</v>
      </c>
      <c r="BJ815" s="96">
        <v>11.63</v>
      </c>
    </row>
    <row r="816" spans="54:62" ht="13.8" x14ac:dyDescent="0.25">
      <c r="BB816" s="187">
        <v>43256</v>
      </c>
      <c r="BC816" s="180">
        <v>-0.26900000000000002</v>
      </c>
      <c r="BD816" s="191">
        <v>43256</v>
      </c>
      <c r="BE816" s="192">
        <v>0.35399999999999998</v>
      </c>
      <c r="BH816" s="94">
        <v>43271</v>
      </c>
      <c r="BI816" s="95">
        <v>0.34699999999999998</v>
      </c>
      <c r="BJ816" s="96">
        <v>11.63</v>
      </c>
    </row>
    <row r="817" spans="54:62" ht="13.8" x14ac:dyDescent="0.25">
      <c r="BB817" s="187">
        <v>43257</v>
      </c>
      <c r="BC817" s="180">
        <v>-0.26900000000000002</v>
      </c>
      <c r="BD817" s="191">
        <v>43257</v>
      </c>
      <c r="BE817" s="192">
        <v>0.35299999999999998</v>
      </c>
      <c r="BH817" s="94">
        <v>43272</v>
      </c>
      <c r="BI817" s="95">
        <v>0.34</v>
      </c>
      <c r="BJ817" s="96">
        <v>11.63</v>
      </c>
    </row>
    <row r="818" spans="54:62" ht="13.8" x14ac:dyDescent="0.25">
      <c r="BB818" s="187">
        <v>43258</v>
      </c>
      <c r="BC818" s="180">
        <v>-0.26900000000000002</v>
      </c>
      <c r="BD818" s="191">
        <v>43258</v>
      </c>
      <c r="BE818" s="192">
        <v>0.35399999999999998</v>
      </c>
      <c r="BH818" s="94">
        <v>43273</v>
      </c>
      <c r="BI818" s="95">
        <v>0.33400000000000002</v>
      </c>
      <c r="BJ818" s="96">
        <v>11.62</v>
      </c>
    </row>
    <row r="819" spans="54:62" ht="13.8" x14ac:dyDescent="0.25">
      <c r="BB819" s="187">
        <v>43259</v>
      </c>
      <c r="BC819" s="180">
        <v>-0.26700000000000002</v>
      </c>
      <c r="BD819" s="191">
        <v>43259</v>
      </c>
      <c r="BE819" s="192">
        <v>0.35199999999999998</v>
      </c>
      <c r="BH819" s="94">
        <v>43276</v>
      </c>
      <c r="BI819" s="95">
        <v>0.33</v>
      </c>
      <c r="BJ819" s="96">
        <v>11.61</v>
      </c>
    </row>
    <row r="820" spans="54:62" ht="13.8" x14ac:dyDescent="0.25">
      <c r="BB820" s="187">
        <v>43262</v>
      </c>
      <c r="BC820" s="180">
        <v>-0.26700000000000002</v>
      </c>
      <c r="BD820" s="191">
        <v>43262</v>
      </c>
      <c r="BE820" s="192">
        <v>0.35099999999999998</v>
      </c>
      <c r="BH820" s="94">
        <v>43277</v>
      </c>
      <c r="BI820" s="95">
        <v>0.32700000000000001</v>
      </c>
      <c r="BJ820" s="96">
        <v>11.61</v>
      </c>
    </row>
    <row r="821" spans="54:62" ht="13.8" x14ac:dyDescent="0.25">
      <c r="BB821" s="187">
        <v>43263</v>
      </c>
      <c r="BC821" s="180">
        <v>-0.26700000000000002</v>
      </c>
      <c r="BD821" s="191">
        <v>43263</v>
      </c>
      <c r="BE821" s="192">
        <v>0.35199999999999998</v>
      </c>
      <c r="BH821" s="94">
        <v>43278</v>
      </c>
      <c r="BI821" s="95">
        <v>0.32600000000000001</v>
      </c>
      <c r="BJ821" s="96">
        <v>11.61</v>
      </c>
    </row>
    <row r="822" spans="54:62" ht="13.8" x14ac:dyDescent="0.25">
      <c r="BB822" s="187">
        <v>43264</v>
      </c>
      <c r="BC822" s="180">
        <v>-0.26800000000000002</v>
      </c>
      <c r="BD822" s="191">
        <v>43264</v>
      </c>
      <c r="BE822" s="192">
        <v>0.34899999999999998</v>
      </c>
      <c r="BH822" s="94">
        <v>43279</v>
      </c>
      <c r="BI822" s="95">
        <v>0.32700000000000001</v>
      </c>
      <c r="BJ822" s="96">
        <v>11.84</v>
      </c>
    </row>
    <row r="823" spans="54:62" ht="13.8" x14ac:dyDescent="0.25">
      <c r="BB823" s="187">
        <v>43265</v>
      </c>
      <c r="BC823" s="180">
        <v>-0.26800000000000002</v>
      </c>
      <c r="BD823" s="191">
        <v>43265</v>
      </c>
      <c r="BE823" s="192">
        <v>0.34399999999999997</v>
      </c>
      <c r="BH823" s="94">
        <v>43280</v>
      </c>
      <c r="BI823" s="95">
        <v>0.32200000000000001</v>
      </c>
      <c r="BJ823" s="96">
        <v>11.83</v>
      </c>
    </row>
    <row r="824" spans="54:62" ht="13.8" x14ac:dyDescent="0.25">
      <c r="BB824" s="187">
        <v>43266</v>
      </c>
      <c r="BC824" s="180">
        <v>-0.26800000000000002</v>
      </c>
      <c r="BD824" s="191">
        <v>43266</v>
      </c>
      <c r="BE824" s="192">
        <v>0.33700000000000002</v>
      </c>
      <c r="BH824" s="94">
        <v>43283</v>
      </c>
      <c r="BI824" s="95">
        <v>0.317</v>
      </c>
      <c r="BJ824" s="96">
        <v>11.83</v>
      </c>
    </row>
    <row r="825" spans="54:62" ht="13.8" x14ac:dyDescent="0.25">
      <c r="BB825" s="187">
        <v>43269</v>
      </c>
      <c r="BC825" s="180">
        <v>-0.26800000000000002</v>
      </c>
      <c r="BD825" s="191">
        <v>43269</v>
      </c>
      <c r="BE825" s="192">
        <v>0.36199999999999999</v>
      </c>
      <c r="BH825" s="94">
        <v>43284</v>
      </c>
      <c r="BI825" s="95">
        <v>0.312</v>
      </c>
      <c r="BJ825" s="96">
        <v>11.82</v>
      </c>
    </row>
    <row r="826" spans="54:62" ht="13.8" x14ac:dyDescent="0.25">
      <c r="BB826" s="187">
        <v>43270</v>
      </c>
      <c r="BC826" s="180">
        <v>-0.26800000000000002</v>
      </c>
      <c r="BD826" s="191">
        <v>43270</v>
      </c>
      <c r="BE826" s="192">
        <v>0.35299999999999998</v>
      </c>
      <c r="BH826" s="94">
        <v>43285</v>
      </c>
      <c r="BI826" s="95">
        <v>0.30399999999999999</v>
      </c>
      <c r="BJ826" s="96">
        <v>11.82</v>
      </c>
    </row>
    <row r="827" spans="54:62" ht="13.8" x14ac:dyDescent="0.25">
      <c r="BB827" s="187">
        <v>43271</v>
      </c>
      <c r="BC827" s="180">
        <v>-0.26800000000000002</v>
      </c>
      <c r="BD827" s="191">
        <v>43271</v>
      </c>
      <c r="BE827" s="192">
        <v>0.34699999999999998</v>
      </c>
      <c r="BH827" s="94">
        <v>43286</v>
      </c>
      <c r="BI827" s="95">
        <v>0.29899999999999999</v>
      </c>
      <c r="BJ827" s="96">
        <v>11.83</v>
      </c>
    </row>
    <row r="828" spans="54:62" ht="13.8" x14ac:dyDescent="0.25">
      <c r="BB828" s="187">
        <v>43272</v>
      </c>
      <c r="BC828" s="180">
        <v>-0.26800000000000002</v>
      </c>
      <c r="BD828" s="191">
        <v>43272</v>
      </c>
      <c r="BE828" s="192">
        <v>0.34</v>
      </c>
      <c r="BH828" s="94">
        <v>43287</v>
      </c>
      <c r="BI828" s="95">
        <v>0.29199999999999998</v>
      </c>
      <c r="BJ828" s="96">
        <v>11.83</v>
      </c>
    </row>
    <row r="829" spans="54:62" ht="13.8" x14ac:dyDescent="0.25">
      <c r="BB829" s="187">
        <v>43273</v>
      </c>
      <c r="BC829" s="180">
        <v>-0.26800000000000002</v>
      </c>
      <c r="BD829" s="191">
        <v>43273</v>
      </c>
      <c r="BE829" s="192">
        <v>0.33400000000000002</v>
      </c>
      <c r="BH829" s="94">
        <v>43290</v>
      </c>
      <c r="BI829" s="95">
        <v>0.28299999999999997</v>
      </c>
      <c r="BJ829" s="96">
        <v>11.82</v>
      </c>
    </row>
    <row r="830" spans="54:62" ht="13.8" x14ac:dyDescent="0.25">
      <c r="BB830" s="187">
        <v>43276</v>
      </c>
      <c r="BC830" s="180">
        <v>-0.26900000000000002</v>
      </c>
      <c r="BD830" s="191">
        <v>43276</v>
      </c>
      <c r="BE830" s="192">
        <v>0.33</v>
      </c>
      <c r="BH830" s="94">
        <v>43291</v>
      </c>
      <c r="BI830" s="95">
        <v>0.27400000000000002</v>
      </c>
      <c r="BJ830" s="96">
        <v>11.82</v>
      </c>
    </row>
    <row r="831" spans="54:62" ht="13.8" x14ac:dyDescent="0.25">
      <c r="BB831" s="187">
        <v>43277</v>
      </c>
      <c r="BC831" s="180">
        <v>-0.27</v>
      </c>
      <c r="BD831" s="191">
        <v>43277</v>
      </c>
      <c r="BE831" s="192">
        <v>0.32700000000000001</v>
      </c>
      <c r="BH831" s="94">
        <v>43292</v>
      </c>
      <c r="BI831" s="95">
        <v>0.26600000000000001</v>
      </c>
      <c r="BJ831" s="96">
        <v>11.82</v>
      </c>
    </row>
    <row r="832" spans="54:62" ht="13.8" x14ac:dyDescent="0.25">
      <c r="BB832" s="187">
        <v>43278</v>
      </c>
      <c r="BC832" s="180">
        <v>-0.27</v>
      </c>
      <c r="BD832" s="191">
        <v>43278</v>
      </c>
      <c r="BE832" s="192">
        <v>0.32600000000000001</v>
      </c>
      <c r="BH832" s="94">
        <v>43293</v>
      </c>
      <c r="BI832" s="95">
        <v>0.26200000000000001</v>
      </c>
      <c r="BJ832" s="96">
        <v>11.93</v>
      </c>
    </row>
    <row r="833" spans="54:62" ht="13.8" x14ac:dyDescent="0.25">
      <c r="BB833" s="187">
        <v>43279</v>
      </c>
      <c r="BC833" s="180">
        <v>-0.27</v>
      </c>
      <c r="BD833" s="191">
        <v>43279</v>
      </c>
      <c r="BE833" s="192">
        <v>0.32700000000000001</v>
      </c>
      <c r="BH833" s="94">
        <v>43294</v>
      </c>
      <c r="BI833" s="95">
        <v>0.25600000000000001</v>
      </c>
      <c r="BJ833" s="96">
        <v>11.92</v>
      </c>
    </row>
    <row r="834" spans="54:62" ht="13.8" x14ac:dyDescent="0.25">
      <c r="BB834" s="187">
        <v>43280</v>
      </c>
      <c r="BC834" s="180">
        <v>-0.27</v>
      </c>
      <c r="BD834" s="191">
        <v>43280</v>
      </c>
      <c r="BE834" s="192">
        <v>0.32200000000000001</v>
      </c>
      <c r="BH834" s="94">
        <v>43297</v>
      </c>
      <c r="BI834" s="95">
        <v>0.252</v>
      </c>
      <c r="BJ834" s="96">
        <v>11.92</v>
      </c>
    </row>
    <row r="835" spans="54:62" ht="13.8" x14ac:dyDescent="0.25">
      <c r="BB835" s="187">
        <v>43283</v>
      </c>
      <c r="BC835" s="180">
        <v>-0.26900000000000002</v>
      </c>
      <c r="BD835" s="191">
        <v>43283</v>
      </c>
      <c r="BE835" s="192">
        <v>0.317</v>
      </c>
      <c r="BH835" s="94">
        <v>43298</v>
      </c>
      <c r="BI835" s="95">
        <v>0.25</v>
      </c>
      <c r="BJ835" s="96">
        <v>11.91</v>
      </c>
    </row>
    <row r="836" spans="54:62" ht="13.8" x14ac:dyDescent="0.25">
      <c r="BB836" s="187">
        <v>43284</v>
      </c>
      <c r="BC836" s="180">
        <v>-0.27</v>
      </c>
      <c r="BD836" s="191">
        <v>43284</v>
      </c>
      <c r="BE836" s="192">
        <v>0.312</v>
      </c>
      <c r="BH836" s="94">
        <v>43299</v>
      </c>
      <c r="BI836" s="95">
        <v>0.246</v>
      </c>
      <c r="BJ836" s="96">
        <v>11.91</v>
      </c>
    </row>
    <row r="837" spans="54:62" ht="13.8" x14ac:dyDescent="0.25">
      <c r="BB837" s="187">
        <v>43285</v>
      </c>
      <c r="BC837" s="180">
        <v>-0.26900000000000002</v>
      </c>
      <c r="BD837" s="191">
        <v>43285</v>
      </c>
      <c r="BE837" s="192">
        <v>0.30399999999999999</v>
      </c>
      <c r="BH837" s="94">
        <v>43300</v>
      </c>
      <c r="BI837" s="95">
        <v>0.24399999999999999</v>
      </c>
      <c r="BJ837" s="96">
        <v>11.91</v>
      </c>
    </row>
    <row r="838" spans="54:62" ht="13.8" x14ac:dyDescent="0.25">
      <c r="BB838" s="187">
        <v>43286</v>
      </c>
      <c r="BC838" s="180">
        <v>-0.26900000000000002</v>
      </c>
      <c r="BD838" s="191">
        <v>43286</v>
      </c>
      <c r="BE838" s="192">
        <v>0.29899999999999999</v>
      </c>
      <c r="BH838" s="94">
        <v>43301</v>
      </c>
      <c r="BI838" s="95">
        <v>0.24199999999999999</v>
      </c>
      <c r="BJ838" s="96">
        <v>11.9</v>
      </c>
    </row>
    <row r="839" spans="54:62" ht="13.8" x14ac:dyDescent="0.25">
      <c r="BB839" s="187">
        <v>43287</v>
      </c>
      <c r="BC839" s="180">
        <v>-0.27</v>
      </c>
      <c r="BD839" s="191">
        <v>43287</v>
      </c>
      <c r="BE839" s="192">
        <v>0.29199999999999998</v>
      </c>
      <c r="BH839" s="94">
        <v>43304</v>
      </c>
      <c r="BI839" s="95">
        <v>0.24199999999999999</v>
      </c>
      <c r="BJ839" s="96">
        <v>11.9</v>
      </c>
    </row>
    <row r="840" spans="54:62" ht="13.8" x14ac:dyDescent="0.25">
      <c r="BB840" s="187">
        <v>43290</v>
      </c>
      <c r="BC840" s="180">
        <v>-0.27</v>
      </c>
      <c r="BD840" s="191">
        <v>43290</v>
      </c>
      <c r="BE840" s="192">
        <v>0.28299999999999997</v>
      </c>
      <c r="BH840" s="94">
        <v>43305</v>
      </c>
      <c r="BI840" s="95">
        <v>0.24199999999999999</v>
      </c>
      <c r="BJ840" s="96">
        <v>11.89</v>
      </c>
    </row>
    <row r="841" spans="54:62" ht="13.8" x14ac:dyDescent="0.25">
      <c r="BB841" s="187">
        <v>43291</v>
      </c>
      <c r="BC841" s="180">
        <v>-0.26900000000000002</v>
      </c>
      <c r="BD841" s="191">
        <v>43291</v>
      </c>
      <c r="BE841" s="192">
        <v>0.27400000000000002</v>
      </c>
      <c r="BH841" s="94">
        <v>43306</v>
      </c>
      <c r="BI841" s="95">
        <v>0.24199999999999999</v>
      </c>
      <c r="BJ841" s="96">
        <v>11.89</v>
      </c>
    </row>
    <row r="842" spans="54:62" ht="13.8" x14ac:dyDescent="0.25">
      <c r="BB842" s="187">
        <v>43292</v>
      </c>
      <c r="BC842" s="180">
        <v>-0.27100000000000002</v>
      </c>
      <c r="BD842" s="191">
        <v>43292</v>
      </c>
      <c r="BE842" s="192">
        <v>0.26600000000000001</v>
      </c>
      <c r="BH842" s="94">
        <v>43307</v>
      </c>
      <c r="BI842" s="95">
        <v>0.24299999999999999</v>
      </c>
      <c r="BJ842" s="96">
        <v>11.89</v>
      </c>
    </row>
    <row r="843" spans="54:62" ht="13.8" x14ac:dyDescent="0.25">
      <c r="BB843" s="187">
        <v>43293</v>
      </c>
      <c r="BC843" s="180">
        <v>-0.27100000000000002</v>
      </c>
      <c r="BD843" s="191">
        <v>43293</v>
      </c>
      <c r="BE843" s="192">
        <v>0.26200000000000001</v>
      </c>
      <c r="BH843" s="94">
        <v>43308</v>
      </c>
      <c r="BI843" s="95">
        <v>0.24399999999999999</v>
      </c>
      <c r="BJ843" s="96">
        <v>11.89</v>
      </c>
    </row>
    <row r="844" spans="54:62" ht="13.8" x14ac:dyDescent="0.25">
      <c r="BB844" s="187">
        <v>43294</v>
      </c>
      <c r="BC844" s="180">
        <v>-0.26800000000000002</v>
      </c>
      <c r="BD844" s="191">
        <v>43294</v>
      </c>
      <c r="BE844" s="192">
        <v>0.25600000000000001</v>
      </c>
      <c r="BH844" s="94">
        <v>43311</v>
      </c>
      <c r="BI844" s="95">
        <v>0.248</v>
      </c>
      <c r="BJ844" s="96">
        <v>11.88</v>
      </c>
    </row>
    <row r="845" spans="54:62" ht="13.8" x14ac:dyDescent="0.25">
      <c r="BB845" s="187">
        <v>43297</v>
      </c>
      <c r="BC845" s="180">
        <v>-0.26900000000000002</v>
      </c>
      <c r="BD845" s="191">
        <v>43297</v>
      </c>
      <c r="BE845" s="192">
        <v>0.252</v>
      </c>
      <c r="BH845" s="94">
        <v>43312</v>
      </c>
      <c r="BI845" s="95">
        <v>0.252</v>
      </c>
      <c r="BJ845" s="96">
        <v>11.87</v>
      </c>
    </row>
    <row r="846" spans="54:62" ht="13.8" x14ac:dyDescent="0.25">
      <c r="BB846" s="187">
        <v>43298</v>
      </c>
      <c r="BC846" s="180">
        <v>-0.26900000000000002</v>
      </c>
      <c r="BD846" s="191">
        <v>43298</v>
      </c>
      <c r="BE846" s="192">
        <v>0.25</v>
      </c>
      <c r="BH846" s="94">
        <v>43313</v>
      </c>
      <c r="BI846" s="95">
        <v>0.25700000000000001</v>
      </c>
      <c r="BJ846" s="96">
        <v>11.87</v>
      </c>
    </row>
    <row r="847" spans="54:62" ht="13.8" x14ac:dyDescent="0.25">
      <c r="BB847" s="187">
        <v>43299</v>
      </c>
      <c r="BC847" s="180">
        <v>-0.26900000000000002</v>
      </c>
      <c r="BD847" s="191">
        <v>43299</v>
      </c>
      <c r="BE847" s="192">
        <v>0.246</v>
      </c>
      <c r="BH847" s="94">
        <v>43314</v>
      </c>
      <c r="BI847" s="95">
        <v>0.26200000000000001</v>
      </c>
      <c r="BJ847" s="96">
        <v>11.87</v>
      </c>
    </row>
    <row r="848" spans="54:62" ht="13.8" x14ac:dyDescent="0.25">
      <c r="BB848" s="187">
        <v>43300</v>
      </c>
      <c r="BC848" s="180">
        <v>-0.26900000000000002</v>
      </c>
      <c r="BD848" s="191">
        <v>43300</v>
      </c>
      <c r="BE848" s="192">
        <v>0.24399999999999999</v>
      </c>
      <c r="BH848" s="94">
        <v>43315</v>
      </c>
      <c r="BI848" s="95">
        <v>0.26500000000000001</v>
      </c>
      <c r="BJ848" s="96">
        <v>11.87</v>
      </c>
    </row>
    <row r="849" spans="54:62" ht="13.8" x14ac:dyDescent="0.25">
      <c r="BB849" s="187">
        <v>43301</v>
      </c>
      <c r="BC849" s="180">
        <v>-0.26900000000000002</v>
      </c>
      <c r="BD849" s="191">
        <v>43301</v>
      </c>
      <c r="BE849" s="192">
        <v>0.24199999999999999</v>
      </c>
      <c r="BH849" s="94">
        <v>43318</v>
      </c>
      <c r="BI849" s="95">
        <v>0.26800000000000002</v>
      </c>
      <c r="BJ849" s="96">
        <v>11.86</v>
      </c>
    </row>
    <row r="850" spans="54:62" ht="13.8" x14ac:dyDescent="0.25">
      <c r="BB850" s="187">
        <v>43304</v>
      </c>
      <c r="BC850" s="180">
        <v>-0.26900000000000002</v>
      </c>
      <c r="BD850" s="191">
        <v>43304</v>
      </c>
      <c r="BE850" s="192">
        <v>0.24199999999999999</v>
      </c>
      <c r="BH850" s="94">
        <v>43319</v>
      </c>
      <c r="BI850" s="95">
        <v>0.26900000000000002</v>
      </c>
      <c r="BJ850" s="96">
        <v>11.86</v>
      </c>
    </row>
    <row r="851" spans="54:62" ht="13.8" x14ac:dyDescent="0.25">
      <c r="BB851" s="187">
        <v>43305</v>
      </c>
      <c r="BC851" s="180">
        <v>-0.26900000000000002</v>
      </c>
      <c r="BD851" s="191">
        <v>43305</v>
      </c>
      <c r="BE851" s="192">
        <v>0.24199999999999999</v>
      </c>
      <c r="BH851" s="94">
        <v>43320</v>
      </c>
      <c r="BI851" s="95">
        <v>0.27200000000000002</v>
      </c>
      <c r="BJ851" s="96">
        <v>11.85</v>
      </c>
    </row>
    <row r="852" spans="54:62" ht="13.8" x14ac:dyDescent="0.25">
      <c r="BB852" s="187">
        <v>43306</v>
      </c>
      <c r="BC852" s="180">
        <v>-0.26900000000000002</v>
      </c>
      <c r="BD852" s="191">
        <v>43306</v>
      </c>
      <c r="BE852" s="192">
        <v>0.24199999999999999</v>
      </c>
      <c r="BH852" s="94">
        <v>43321</v>
      </c>
      <c r="BI852" s="95">
        <v>0.27400000000000002</v>
      </c>
      <c r="BJ852" s="96">
        <v>11.85</v>
      </c>
    </row>
    <row r="853" spans="54:62" ht="13.8" x14ac:dyDescent="0.25">
      <c r="BB853" s="187">
        <v>43307</v>
      </c>
      <c r="BC853" s="180">
        <v>-0.26900000000000002</v>
      </c>
      <c r="BD853" s="191">
        <v>43307</v>
      </c>
      <c r="BE853" s="192">
        <v>0.24299999999999999</v>
      </c>
      <c r="BH853" s="94">
        <v>43322</v>
      </c>
      <c r="BI853" s="95">
        <v>0.27500000000000002</v>
      </c>
      <c r="BJ853" s="96">
        <v>11.85</v>
      </c>
    </row>
    <row r="854" spans="54:62" ht="13.8" x14ac:dyDescent="0.25">
      <c r="BB854" s="187">
        <v>43308</v>
      </c>
      <c r="BC854" s="180">
        <v>-0.26900000000000002</v>
      </c>
      <c r="BD854" s="191">
        <v>43308</v>
      </c>
      <c r="BE854" s="192">
        <v>0.24399999999999999</v>
      </c>
      <c r="BH854" s="94">
        <v>43325</v>
      </c>
      <c r="BI854" s="95">
        <v>0.27400000000000002</v>
      </c>
      <c r="BJ854" s="96">
        <v>11.84</v>
      </c>
    </row>
    <row r="855" spans="54:62" ht="13.8" x14ac:dyDescent="0.25">
      <c r="BB855" s="187">
        <v>43311</v>
      </c>
      <c r="BC855" s="180">
        <v>-0.26800000000000002</v>
      </c>
      <c r="BD855" s="191">
        <v>43311</v>
      </c>
      <c r="BE855" s="192">
        <v>0.248</v>
      </c>
      <c r="BH855" s="94">
        <v>43326</v>
      </c>
      <c r="BI855" s="95">
        <v>0.27400000000000002</v>
      </c>
      <c r="BJ855" s="96">
        <v>11.84</v>
      </c>
    </row>
    <row r="856" spans="54:62" ht="13.8" x14ac:dyDescent="0.25">
      <c r="BB856" s="187">
        <v>43312</v>
      </c>
      <c r="BC856" s="180">
        <v>-0.26800000000000002</v>
      </c>
      <c r="BD856" s="191">
        <v>43312</v>
      </c>
      <c r="BE856" s="192">
        <v>0.252</v>
      </c>
      <c r="BH856" s="94">
        <v>43328</v>
      </c>
      <c r="BI856" s="95">
        <v>0.27400000000000002</v>
      </c>
      <c r="BJ856" s="96">
        <v>11.83</v>
      </c>
    </row>
    <row r="857" spans="54:62" ht="13.8" x14ac:dyDescent="0.25">
      <c r="BB857" s="187">
        <v>43313</v>
      </c>
      <c r="BC857" s="180">
        <v>-0.26900000000000002</v>
      </c>
      <c r="BD857" s="191">
        <v>43313</v>
      </c>
      <c r="BE857" s="192">
        <v>0.25700000000000001</v>
      </c>
      <c r="BH857" s="94">
        <v>43329</v>
      </c>
      <c r="BI857" s="95">
        <v>0.27400000000000002</v>
      </c>
      <c r="BJ857" s="96">
        <v>11.83</v>
      </c>
    </row>
    <row r="858" spans="54:62" ht="13.8" x14ac:dyDescent="0.25">
      <c r="BB858" s="187">
        <v>43314</v>
      </c>
      <c r="BC858" s="180">
        <v>-0.26900000000000002</v>
      </c>
      <c r="BD858" s="191">
        <v>43314</v>
      </c>
      <c r="BE858" s="192">
        <v>0.26200000000000001</v>
      </c>
      <c r="BH858" s="94">
        <v>43332</v>
      </c>
      <c r="BI858" s="95">
        <v>0.27300000000000002</v>
      </c>
      <c r="BJ858" s="96">
        <v>11.82</v>
      </c>
    </row>
    <row r="859" spans="54:62" ht="13.8" x14ac:dyDescent="0.25">
      <c r="BB859" s="187">
        <v>43315</v>
      </c>
      <c r="BC859" s="180">
        <v>-0.26800000000000002</v>
      </c>
      <c r="BD859" s="191">
        <v>43315</v>
      </c>
      <c r="BE859" s="192">
        <v>0.26500000000000001</v>
      </c>
      <c r="BH859" s="94">
        <v>43333</v>
      </c>
      <c r="BI859" s="95">
        <v>0.27</v>
      </c>
      <c r="BJ859" s="96">
        <v>11.82</v>
      </c>
    </row>
    <row r="860" spans="54:62" ht="13.8" x14ac:dyDescent="0.25">
      <c r="BB860" s="187">
        <v>43318</v>
      </c>
      <c r="BC860" s="180">
        <v>-0.26800000000000002</v>
      </c>
      <c r="BD860" s="191">
        <v>43318</v>
      </c>
      <c r="BE860" s="192">
        <v>0.26800000000000002</v>
      </c>
      <c r="BH860" s="94">
        <v>43334</v>
      </c>
      <c r="BI860" s="95">
        <v>0.26900000000000002</v>
      </c>
      <c r="BJ860" s="96">
        <v>11.81</v>
      </c>
    </row>
    <row r="861" spans="54:62" ht="13.8" x14ac:dyDescent="0.25">
      <c r="BB861" s="187">
        <v>43319</v>
      </c>
      <c r="BC861" s="180">
        <v>-0.26800000000000002</v>
      </c>
      <c r="BD861" s="191">
        <v>43319</v>
      </c>
      <c r="BE861" s="192">
        <v>0.26900000000000002</v>
      </c>
      <c r="BH861" s="94">
        <v>43335</v>
      </c>
      <c r="BI861" s="95">
        <v>0.26800000000000002</v>
      </c>
      <c r="BJ861" s="96">
        <v>11.81</v>
      </c>
    </row>
    <row r="862" spans="54:62" ht="13.8" x14ac:dyDescent="0.25">
      <c r="BB862" s="187">
        <v>43320</v>
      </c>
      <c r="BC862" s="180">
        <v>-0.26800000000000002</v>
      </c>
      <c r="BD862" s="191">
        <v>43320</v>
      </c>
      <c r="BE862" s="192">
        <v>0.27200000000000002</v>
      </c>
      <c r="BH862" s="94">
        <v>43336</v>
      </c>
      <c r="BI862" s="95">
        <v>0.26700000000000002</v>
      </c>
      <c r="BJ862" s="96">
        <v>11.81</v>
      </c>
    </row>
    <row r="863" spans="54:62" ht="13.8" x14ac:dyDescent="0.25">
      <c r="BB863" s="187">
        <v>43321</v>
      </c>
      <c r="BC863" s="180">
        <v>-0.26600000000000001</v>
      </c>
      <c r="BD863" s="191">
        <v>43321</v>
      </c>
      <c r="BE863" s="192">
        <v>0.27400000000000002</v>
      </c>
      <c r="BH863" s="94">
        <v>43339</v>
      </c>
      <c r="BI863" s="95">
        <v>0.26600000000000001</v>
      </c>
      <c r="BJ863" s="96">
        <v>11.8</v>
      </c>
    </row>
    <row r="864" spans="54:62" ht="13.8" x14ac:dyDescent="0.25">
      <c r="BB864" s="187">
        <v>43322</v>
      </c>
      <c r="BC864" s="180">
        <v>-0.26700000000000002</v>
      </c>
      <c r="BD864" s="191">
        <v>43322</v>
      </c>
      <c r="BE864" s="192">
        <v>0.27500000000000002</v>
      </c>
      <c r="BH864" s="94">
        <v>43340</v>
      </c>
      <c r="BI864" s="95">
        <v>0.26600000000000001</v>
      </c>
      <c r="BJ864" s="96">
        <v>11.8</v>
      </c>
    </row>
    <row r="865" spans="54:62" ht="13.8" x14ac:dyDescent="0.25">
      <c r="BB865" s="187">
        <v>43325</v>
      </c>
      <c r="BC865" s="180">
        <v>-0.26600000000000001</v>
      </c>
      <c r="BD865" s="191">
        <v>43325</v>
      </c>
      <c r="BE865" s="192">
        <v>0.27400000000000002</v>
      </c>
      <c r="BH865" s="94">
        <v>43341</v>
      </c>
      <c r="BI865" s="95">
        <v>0.26500000000000001</v>
      </c>
      <c r="BJ865" s="96">
        <v>11.8</v>
      </c>
    </row>
    <row r="866" spans="54:62" ht="13.8" x14ac:dyDescent="0.25">
      <c r="BB866" s="187">
        <v>43326</v>
      </c>
      <c r="BC866" s="180">
        <v>-0.26600000000000001</v>
      </c>
      <c r="BD866" s="191">
        <v>43326</v>
      </c>
      <c r="BE866" s="192">
        <v>0.27400000000000002</v>
      </c>
      <c r="BH866" s="94">
        <v>43342</v>
      </c>
      <c r="BI866" s="95">
        <v>0.26300000000000001</v>
      </c>
      <c r="BJ866" s="96">
        <v>11.79</v>
      </c>
    </row>
    <row r="867" spans="54:62" ht="13.8" x14ac:dyDescent="0.25">
      <c r="BB867" s="187">
        <v>43327</v>
      </c>
      <c r="BC867" s="180">
        <v>-0.26600000000000001</v>
      </c>
      <c r="BD867" s="191"/>
      <c r="BE867" s="193">
        <f>+BE866</f>
        <v>0.27400000000000002</v>
      </c>
      <c r="BH867" s="94">
        <v>43343</v>
      </c>
      <c r="BI867" s="95">
        <v>0.26</v>
      </c>
      <c r="BJ867" s="96">
        <v>11.79</v>
      </c>
    </row>
    <row r="868" spans="54:62" ht="13.8" x14ac:dyDescent="0.25">
      <c r="BB868" s="187">
        <v>43328</v>
      </c>
      <c r="BC868" s="180">
        <v>-0.26600000000000001</v>
      </c>
      <c r="BD868" s="191">
        <v>43328</v>
      </c>
      <c r="BE868" s="192">
        <v>0.27400000000000002</v>
      </c>
      <c r="BH868" s="94">
        <v>43346</v>
      </c>
      <c r="BI868" s="95">
        <v>0.25800000000000001</v>
      </c>
      <c r="BJ868" s="96">
        <v>11.78</v>
      </c>
    </row>
    <row r="869" spans="54:62" ht="13.8" x14ac:dyDescent="0.25">
      <c r="BB869" s="187">
        <v>43329</v>
      </c>
      <c r="BC869" s="180">
        <v>-0.26600000000000001</v>
      </c>
      <c r="BD869" s="191">
        <v>43329</v>
      </c>
      <c r="BE869" s="192">
        <v>0.27400000000000002</v>
      </c>
      <c r="BH869" s="94">
        <v>43347</v>
      </c>
      <c r="BI869" s="95">
        <v>0.25700000000000001</v>
      </c>
      <c r="BJ869" s="96">
        <v>11.78</v>
      </c>
    </row>
    <row r="870" spans="54:62" ht="13.8" x14ac:dyDescent="0.25">
      <c r="BB870" s="187">
        <v>43332</v>
      </c>
      <c r="BC870" s="180">
        <v>-0.26600000000000001</v>
      </c>
      <c r="BD870" s="191">
        <v>43332</v>
      </c>
      <c r="BE870" s="192">
        <v>0.27300000000000002</v>
      </c>
      <c r="BH870" s="94">
        <v>43348</v>
      </c>
      <c r="BI870" s="95">
        <v>0.25700000000000001</v>
      </c>
      <c r="BJ870" s="96">
        <v>11.78</v>
      </c>
    </row>
    <row r="871" spans="54:62" ht="13.8" x14ac:dyDescent="0.25">
      <c r="BB871" s="187">
        <v>43333</v>
      </c>
      <c r="BC871" s="180">
        <v>-0.26600000000000001</v>
      </c>
      <c r="BD871" s="191">
        <v>43333</v>
      </c>
      <c r="BE871" s="192">
        <v>0.27</v>
      </c>
      <c r="BH871" s="94">
        <v>43349</v>
      </c>
      <c r="BI871" s="95">
        <v>0.255</v>
      </c>
      <c r="BJ871" s="96">
        <v>11.74</v>
      </c>
    </row>
    <row r="872" spans="54:62" ht="13.8" x14ac:dyDescent="0.25">
      <c r="BB872" s="187">
        <v>43334</v>
      </c>
      <c r="BC872" s="180">
        <v>-0.26600000000000001</v>
      </c>
      <c r="BD872" s="191">
        <v>43334</v>
      </c>
      <c r="BE872" s="192">
        <v>0.26900000000000002</v>
      </c>
      <c r="BH872" s="94">
        <v>43350</v>
      </c>
      <c r="BI872" s="95">
        <v>0.25600000000000001</v>
      </c>
      <c r="BJ872" s="96">
        <v>11.74</v>
      </c>
    </row>
    <row r="873" spans="54:62" ht="13.8" x14ac:dyDescent="0.25">
      <c r="BB873" s="187">
        <v>43335</v>
      </c>
      <c r="BC873" s="180">
        <v>-0.26600000000000001</v>
      </c>
      <c r="BD873" s="191">
        <v>43335</v>
      </c>
      <c r="BE873" s="192">
        <v>0.26800000000000002</v>
      </c>
      <c r="BH873" s="94">
        <v>43353</v>
      </c>
      <c r="BI873" s="95">
        <v>0.25900000000000001</v>
      </c>
      <c r="BJ873" s="96">
        <v>11.73</v>
      </c>
    </row>
    <row r="874" spans="54:62" ht="13.8" x14ac:dyDescent="0.25">
      <c r="BB874" s="187">
        <v>43336</v>
      </c>
      <c r="BC874" s="180">
        <v>-0.26600000000000001</v>
      </c>
      <c r="BD874" s="191">
        <v>43336</v>
      </c>
      <c r="BE874" s="192">
        <v>0.26700000000000002</v>
      </c>
      <c r="BH874" s="94">
        <v>43354</v>
      </c>
      <c r="BI874" s="95">
        <v>0.26400000000000001</v>
      </c>
      <c r="BJ874" s="96">
        <v>11.72</v>
      </c>
    </row>
    <row r="875" spans="54:62" ht="13.8" x14ac:dyDescent="0.25">
      <c r="BB875" s="187">
        <v>43339</v>
      </c>
      <c r="BC875" s="180">
        <v>-0.26500000000000001</v>
      </c>
      <c r="BD875" s="191">
        <v>43339</v>
      </c>
      <c r="BE875" s="192">
        <v>0.26600000000000001</v>
      </c>
      <c r="BH875" s="94">
        <v>43355</v>
      </c>
      <c r="BI875" s="95">
        <v>0.26800000000000002</v>
      </c>
      <c r="BJ875" s="96">
        <v>11.72</v>
      </c>
    </row>
    <row r="876" spans="54:62" ht="13.8" x14ac:dyDescent="0.25">
      <c r="BB876" s="187">
        <v>43340</v>
      </c>
      <c r="BC876" s="180">
        <v>-0.26600000000000001</v>
      </c>
      <c r="BD876" s="191">
        <v>43340</v>
      </c>
      <c r="BE876" s="192">
        <v>0.26600000000000001</v>
      </c>
      <c r="BH876" s="94">
        <v>43356</v>
      </c>
      <c r="BI876" s="95">
        <v>0.27200000000000002</v>
      </c>
      <c r="BJ876" s="96">
        <v>11.72</v>
      </c>
    </row>
    <row r="877" spans="54:62" ht="13.8" x14ac:dyDescent="0.25">
      <c r="BB877" s="187">
        <v>43341</v>
      </c>
      <c r="BC877" s="180">
        <v>-0.26600000000000001</v>
      </c>
      <c r="BD877" s="191">
        <v>43341</v>
      </c>
      <c r="BE877" s="192">
        <v>0.26500000000000001</v>
      </c>
      <c r="BH877" s="94">
        <v>43357</v>
      </c>
      <c r="BI877" s="95">
        <v>0.27700000000000002</v>
      </c>
      <c r="BJ877" s="96">
        <v>11.72</v>
      </c>
    </row>
    <row r="878" spans="54:62" ht="13.8" x14ac:dyDescent="0.25">
      <c r="BB878" s="187">
        <v>43342</v>
      </c>
      <c r="BC878" s="180">
        <v>-0.26800000000000002</v>
      </c>
      <c r="BD878" s="191">
        <v>43342</v>
      </c>
      <c r="BE878" s="192">
        <v>0.26300000000000001</v>
      </c>
      <c r="BH878" s="94">
        <v>43360</v>
      </c>
      <c r="BI878" s="95">
        <v>0.28299999999999997</v>
      </c>
      <c r="BJ878" s="96">
        <v>11.71</v>
      </c>
    </row>
    <row r="879" spans="54:62" ht="13.8" x14ac:dyDescent="0.25">
      <c r="BB879" s="187">
        <v>43343</v>
      </c>
      <c r="BC879" s="180">
        <v>-0.26800000000000002</v>
      </c>
      <c r="BD879" s="191">
        <v>43343</v>
      </c>
      <c r="BE879" s="192">
        <v>0.26</v>
      </c>
      <c r="BH879" s="94">
        <v>43361</v>
      </c>
      <c r="BI879" s="95">
        <v>0.28899999999999998</v>
      </c>
      <c r="BJ879" s="96">
        <v>11.71</v>
      </c>
    </row>
    <row r="880" spans="54:62" ht="13.8" x14ac:dyDescent="0.25">
      <c r="BB880" s="187">
        <v>43346</v>
      </c>
      <c r="BC880" s="180">
        <v>-0.26800000000000002</v>
      </c>
      <c r="BD880" s="191">
        <v>43346</v>
      </c>
      <c r="BE880" s="192">
        <v>0.25800000000000001</v>
      </c>
      <c r="BH880" s="94">
        <v>43362</v>
      </c>
      <c r="BI880" s="95">
        <v>0.29399999999999998</v>
      </c>
      <c r="BJ880" s="96">
        <v>11.7</v>
      </c>
    </row>
    <row r="881" spans="54:62" ht="13.8" x14ac:dyDescent="0.25">
      <c r="BB881" s="187">
        <v>43347</v>
      </c>
      <c r="BC881" s="180">
        <v>-0.26900000000000002</v>
      </c>
      <c r="BD881" s="191">
        <v>43347</v>
      </c>
      <c r="BE881" s="192">
        <v>0.25700000000000001</v>
      </c>
      <c r="BH881" s="94">
        <v>43363</v>
      </c>
      <c r="BI881" s="95">
        <v>0.29899999999999999</v>
      </c>
      <c r="BJ881" s="96">
        <v>11.7</v>
      </c>
    </row>
    <row r="882" spans="54:62" ht="13.8" x14ac:dyDescent="0.25">
      <c r="BB882" s="187">
        <v>43348</v>
      </c>
      <c r="BC882" s="180">
        <v>-0.26900000000000002</v>
      </c>
      <c r="BD882" s="191">
        <v>43348</v>
      </c>
      <c r="BE882" s="192">
        <v>0.25700000000000001</v>
      </c>
      <c r="BH882" s="94">
        <v>43364</v>
      </c>
      <c r="BI882" s="95">
        <v>0.30399999999999999</v>
      </c>
      <c r="BJ882" s="96">
        <v>11.7</v>
      </c>
    </row>
    <row r="883" spans="54:62" ht="13.8" x14ac:dyDescent="0.25">
      <c r="BB883" s="187">
        <v>43349</v>
      </c>
      <c r="BC883" s="180">
        <v>-0.26900000000000002</v>
      </c>
      <c r="BD883" s="191">
        <v>43349</v>
      </c>
      <c r="BE883" s="192">
        <v>0.255</v>
      </c>
      <c r="BH883" s="94">
        <v>43367</v>
      </c>
      <c r="BI883" s="95">
        <v>0.308</v>
      </c>
      <c r="BJ883" s="96">
        <v>11.69</v>
      </c>
    </row>
    <row r="884" spans="54:62" ht="13.8" x14ac:dyDescent="0.25">
      <c r="BB884" s="187">
        <v>43350</v>
      </c>
      <c r="BC884" s="180">
        <v>-0.26900000000000002</v>
      </c>
      <c r="BD884" s="191">
        <v>43350</v>
      </c>
      <c r="BE884" s="192">
        <v>0.25600000000000001</v>
      </c>
      <c r="BH884" s="94">
        <v>43368</v>
      </c>
      <c r="BI884" s="95">
        <v>0.314</v>
      </c>
      <c r="BJ884" s="96">
        <v>11.69</v>
      </c>
    </row>
    <row r="885" spans="54:62" ht="13.8" x14ac:dyDescent="0.25">
      <c r="BB885" s="187">
        <v>43353</v>
      </c>
      <c r="BC885" s="180">
        <v>-0.26900000000000002</v>
      </c>
      <c r="BD885" s="191">
        <v>43353</v>
      </c>
      <c r="BE885" s="192">
        <v>0.25900000000000001</v>
      </c>
      <c r="BH885" s="94">
        <v>43369</v>
      </c>
      <c r="BI885" s="95">
        <v>0.31900000000000001</v>
      </c>
      <c r="BJ885" s="96">
        <v>11.68</v>
      </c>
    </row>
    <row r="886" spans="54:62" ht="13.8" x14ac:dyDescent="0.25">
      <c r="BB886" s="187">
        <v>43354</v>
      </c>
      <c r="BC886" s="180">
        <v>-0.26900000000000002</v>
      </c>
      <c r="BD886" s="191">
        <v>43354</v>
      </c>
      <c r="BE886" s="192">
        <v>0.26400000000000001</v>
      </c>
      <c r="BH886" s="94">
        <v>43370</v>
      </c>
      <c r="BI886" s="95">
        <v>0.32400000000000001</v>
      </c>
      <c r="BJ886" s="96">
        <v>11.68</v>
      </c>
    </row>
    <row r="887" spans="54:62" ht="13.8" x14ac:dyDescent="0.25">
      <c r="BB887" s="187">
        <v>43355</v>
      </c>
      <c r="BC887" s="180">
        <v>-0.26900000000000002</v>
      </c>
      <c r="BD887" s="191">
        <v>43355</v>
      </c>
      <c r="BE887" s="192">
        <v>0.26800000000000002</v>
      </c>
      <c r="BH887" s="94">
        <v>43371</v>
      </c>
      <c r="BI887" s="95">
        <v>0.32900000000000001</v>
      </c>
      <c r="BJ887" s="96">
        <v>11.68</v>
      </c>
    </row>
    <row r="888" spans="54:62" ht="13.8" x14ac:dyDescent="0.25">
      <c r="BB888" s="187">
        <v>43356</v>
      </c>
      <c r="BC888" s="180">
        <v>-0.26900000000000002</v>
      </c>
      <c r="BD888" s="191">
        <v>43356</v>
      </c>
      <c r="BE888" s="192">
        <v>0.27200000000000002</v>
      </c>
      <c r="BH888" s="94">
        <v>43374</v>
      </c>
      <c r="BI888" s="95">
        <v>0.33500000000000002</v>
      </c>
      <c r="BJ888" s="96">
        <v>11.67</v>
      </c>
    </row>
    <row r="889" spans="54:62" ht="13.8" x14ac:dyDescent="0.25">
      <c r="BB889" s="187">
        <v>43357</v>
      </c>
      <c r="BC889" s="180">
        <v>-0.26900000000000002</v>
      </c>
      <c r="BD889" s="191">
        <v>43357</v>
      </c>
      <c r="BE889" s="192">
        <v>0.27700000000000002</v>
      </c>
      <c r="BH889" s="94">
        <v>43375</v>
      </c>
      <c r="BI889" s="95">
        <v>0.33800000000000002</v>
      </c>
      <c r="BJ889" s="96">
        <v>11.67</v>
      </c>
    </row>
    <row r="890" spans="54:62" ht="13.8" x14ac:dyDescent="0.25">
      <c r="BB890" s="187">
        <v>43360</v>
      </c>
      <c r="BC890" s="180">
        <v>-0.26800000000000002</v>
      </c>
      <c r="BD890" s="191">
        <v>43360</v>
      </c>
      <c r="BE890" s="192">
        <v>0.28299999999999997</v>
      </c>
      <c r="BH890" s="94">
        <v>43376</v>
      </c>
      <c r="BI890" s="95">
        <v>0.34100000000000003</v>
      </c>
      <c r="BJ890" s="96">
        <v>11.66</v>
      </c>
    </row>
    <row r="891" spans="54:62" ht="13.8" x14ac:dyDescent="0.25">
      <c r="BB891" s="187">
        <v>43361</v>
      </c>
      <c r="BC891" s="180">
        <v>-0.26800000000000002</v>
      </c>
      <c r="BD891" s="191">
        <v>43361</v>
      </c>
      <c r="BE891" s="192">
        <v>0.28899999999999998</v>
      </c>
      <c r="BH891" s="94">
        <v>43377</v>
      </c>
      <c r="BI891" s="95">
        <v>0.34599999999999997</v>
      </c>
      <c r="BJ891" s="96">
        <v>11.63</v>
      </c>
    </row>
    <row r="892" spans="54:62" ht="13.8" x14ac:dyDescent="0.25">
      <c r="BB892" s="187">
        <v>43362</v>
      </c>
      <c r="BC892" s="180">
        <v>-0.26700000000000002</v>
      </c>
      <c r="BD892" s="191">
        <v>43362</v>
      </c>
      <c r="BE892" s="192">
        <v>0.29399999999999998</v>
      </c>
      <c r="BH892" s="94">
        <v>43378</v>
      </c>
      <c r="BI892" s="95">
        <v>0.35199999999999998</v>
      </c>
      <c r="BJ892" s="96">
        <v>11.63</v>
      </c>
    </row>
    <row r="893" spans="54:62" ht="13.8" x14ac:dyDescent="0.25">
      <c r="BB893" s="187">
        <v>43363</v>
      </c>
      <c r="BC893" s="180">
        <v>-0.26800000000000002</v>
      </c>
      <c r="BD893" s="191">
        <v>43363</v>
      </c>
      <c r="BE893" s="192">
        <v>0.29899999999999999</v>
      </c>
      <c r="BH893" s="94">
        <v>43381</v>
      </c>
      <c r="BI893" s="95">
        <v>0.35699999999999998</v>
      </c>
      <c r="BJ893" s="96">
        <v>11.62</v>
      </c>
    </row>
    <row r="894" spans="54:62" ht="13.8" x14ac:dyDescent="0.25">
      <c r="BB894" s="187">
        <v>43364</v>
      </c>
      <c r="BC894" s="180">
        <v>-0.26800000000000002</v>
      </c>
      <c r="BD894" s="191">
        <v>43364</v>
      </c>
      <c r="BE894" s="192">
        <v>0.30399999999999999</v>
      </c>
      <c r="BH894" s="94">
        <v>43382</v>
      </c>
      <c r="BI894" s="95">
        <v>0.36099999999999999</v>
      </c>
      <c r="BJ894" s="96">
        <v>11.62</v>
      </c>
    </row>
    <row r="895" spans="54:62" ht="13.8" x14ac:dyDescent="0.25">
      <c r="BB895" s="187">
        <v>43367</v>
      </c>
      <c r="BC895" s="180">
        <v>-0.26700000000000002</v>
      </c>
      <c r="BD895" s="191">
        <v>43367</v>
      </c>
      <c r="BE895" s="192">
        <v>0.308</v>
      </c>
      <c r="BH895" s="94">
        <v>43383</v>
      </c>
      <c r="BI895" s="95">
        <v>0.36599999999999999</v>
      </c>
      <c r="BJ895" s="96">
        <v>11.62</v>
      </c>
    </row>
    <row r="896" spans="54:62" ht="13.8" x14ac:dyDescent="0.25">
      <c r="BB896" s="187">
        <v>43368</v>
      </c>
      <c r="BC896" s="180">
        <v>-0.26700000000000002</v>
      </c>
      <c r="BD896" s="191">
        <v>43368</v>
      </c>
      <c r="BE896" s="192">
        <v>0.314</v>
      </c>
      <c r="BH896" s="94">
        <v>43384</v>
      </c>
      <c r="BI896" s="95">
        <v>0.36899999999999999</v>
      </c>
      <c r="BJ896" s="96">
        <v>11.61</v>
      </c>
    </row>
    <row r="897" spans="54:62" ht="13.8" x14ac:dyDescent="0.25">
      <c r="BB897" s="187">
        <v>43369</v>
      </c>
      <c r="BC897" s="180">
        <v>-0.26700000000000002</v>
      </c>
      <c r="BD897" s="191">
        <v>43369</v>
      </c>
      <c r="BE897" s="192">
        <v>0.31900000000000001</v>
      </c>
      <c r="BH897" s="94">
        <v>43385</v>
      </c>
      <c r="BI897" s="95">
        <v>0.372</v>
      </c>
      <c r="BJ897" s="96">
        <v>11.61</v>
      </c>
    </row>
    <row r="898" spans="54:62" ht="13.8" x14ac:dyDescent="0.25">
      <c r="BB898" s="187">
        <v>43370</v>
      </c>
      <c r="BC898" s="180">
        <v>-0.26800000000000002</v>
      </c>
      <c r="BD898" s="191">
        <v>43370</v>
      </c>
      <c r="BE898" s="192">
        <v>0.32400000000000001</v>
      </c>
      <c r="BH898" s="94">
        <v>43388</v>
      </c>
      <c r="BI898" s="95">
        <v>0.373</v>
      </c>
      <c r="BJ898" s="96">
        <v>11.6</v>
      </c>
    </row>
    <row r="899" spans="54:62" ht="13.8" x14ac:dyDescent="0.25">
      <c r="BB899" s="187">
        <v>43371</v>
      </c>
      <c r="BC899" s="180">
        <v>-0.26800000000000002</v>
      </c>
      <c r="BD899" s="191">
        <v>43371</v>
      </c>
      <c r="BE899" s="192">
        <v>0.32900000000000001</v>
      </c>
      <c r="BH899" s="94">
        <v>43389</v>
      </c>
      <c r="BI899" s="95">
        <v>0.374</v>
      </c>
      <c r="BJ899" s="96">
        <v>11.6</v>
      </c>
    </row>
    <row r="900" spans="54:62" ht="13.8" x14ac:dyDescent="0.25">
      <c r="BB900" s="187">
        <v>43374</v>
      </c>
      <c r="BC900" s="180">
        <v>-0.26800000000000002</v>
      </c>
      <c r="BD900" s="191">
        <v>43374</v>
      </c>
      <c r="BE900" s="192">
        <v>0.33500000000000002</v>
      </c>
      <c r="BH900" s="94">
        <v>43390</v>
      </c>
      <c r="BI900" s="95">
        <v>0.372</v>
      </c>
      <c r="BJ900" s="96">
        <v>11.6</v>
      </c>
    </row>
    <row r="901" spans="54:62" ht="13.8" x14ac:dyDescent="0.25">
      <c r="BB901" s="187">
        <v>43375</v>
      </c>
      <c r="BC901" s="180">
        <v>-0.26800000000000002</v>
      </c>
      <c r="BD901" s="191">
        <v>43375</v>
      </c>
      <c r="BE901" s="192">
        <v>0.33800000000000002</v>
      </c>
      <c r="BH901" s="94">
        <v>43391</v>
      </c>
      <c r="BI901" s="95">
        <v>0.40500000000000003</v>
      </c>
      <c r="BJ901" s="96">
        <v>12</v>
      </c>
    </row>
    <row r="902" spans="54:62" ht="13.8" x14ac:dyDescent="0.25">
      <c r="BB902" s="187">
        <v>43376</v>
      </c>
      <c r="BC902" s="180">
        <v>-0.26700000000000002</v>
      </c>
      <c r="BD902" s="191">
        <v>43376</v>
      </c>
      <c r="BE902" s="192">
        <v>0.34100000000000003</v>
      </c>
      <c r="BH902" s="94">
        <v>43392</v>
      </c>
      <c r="BI902" s="95">
        <v>0.40300000000000002</v>
      </c>
      <c r="BJ902" s="96">
        <v>12</v>
      </c>
    </row>
    <row r="903" spans="54:62" ht="13.8" x14ac:dyDescent="0.25">
      <c r="BB903" s="187">
        <v>43377</v>
      </c>
      <c r="BC903" s="180">
        <v>-0.26800000000000002</v>
      </c>
      <c r="BD903" s="191">
        <v>43377</v>
      </c>
      <c r="BE903" s="192">
        <v>0.34599999999999997</v>
      </c>
      <c r="BH903" s="94">
        <v>43395</v>
      </c>
      <c r="BI903" s="95">
        <v>0.40200000000000002</v>
      </c>
      <c r="BJ903" s="96">
        <v>11.99</v>
      </c>
    </row>
    <row r="904" spans="54:62" ht="13.8" x14ac:dyDescent="0.25">
      <c r="BB904" s="187">
        <v>43378</v>
      </c>
      <c r="BC904" s="180">
        <v>-0.26700000000000002</v>
      </c>
      <c r="BD904" s="191">
        <v>43378</v>
      </c>
      <c r="BE904" s="192">
        <v>0.35199999999999998</v>
      </c>
      <c r="BH904" s="94">
        <v>43396</v>
      </c>
      <c r="BI904" s="95">
        <v>0.39700000000000002</v>
      </c>
      <c r="BJ904" s="96">
        <v>11.99</v>
      </c>
    </row>
    <row r="905" spans="54:62" ht="13.8" x14ac:dyDescent="0.25">
      <c r="BB905" s="187">
        <v>43381</v>
      </c>
      <c r="BC905" s="180">
        <v>-0.26700000000000002</v>
      </c>
      <c r="BD905" s="191">
        <v>43381</v>
      </c>
      <c r="BE905" s="192">
        <v>0.35699999999999998</v>
      </c>
      <c r="BH905" s="94">
        <v>43397</v>
      </c>
      <c r="BI905" s="95">
        <v>0.39200000000000002</v>
      </c>
      <c r="BJ905" s="96">
        <v>11.98</v>
      </c>
    </row>
    <row r="906" spans="54:62" ht="13.8" x14ac:dyDescent="0.25">
      <c r="BB906" s="187">
        <v>43382</v>
      </c>
      <c r="BC906" s="180">
        <v>-0.26800000000000002</v>
      </c>
      <c r="BD906" s="191">
        <v>43382</v>
      </c>
      <c r="BE906" s="192">
        <v>0.36099999999999999</v>
      </c>
      <c r="BH906" s="94">
        <v>43398</v>
      </c>
      <c r="BI906" s="95">
        <v>0.38700000000000001</v>
      </c>
      <c r="BJ906" s="96">
        <v>11.98</v>
      </c>
    </row>
    <row r="907" spans="54:62" ht="13.8" x14ac:dyDescent="0.25">
      <c r="BB907" s="187">
        <v>43383</v>
      </c>
      <c r="BC907" s="180">
        <v>-0.26800000000000002</v>
      </c>
      <c r="BD907" s="191">
        <v>43383</v>
      </c>
      <c r="BE907" s="192">
        <v>0.36599999999999999</v>
      </c>
      <c r="BH907" s="94">
        <v>43402</v>
      </c>
      <c r="BI907" s="95">
        <v>0.38300000000000001</v>
      </c>
      <c r="BJ907" s="96">
        <v>11.97</v>
      </c>
    </row>
    <row r="908" spans="54:62" ht="13.8" x14ac:dyDescent="0.25">
      <c r="BB908" s="187">
        <v>43384</v>
      </c>
      <c r="BC908" s="180">
        <v>-0.26700000000000002</v>
      </c>
      <c r="BD908" s="191">
        <v>43384</v>
      </c>
      <c r="BE908" s="192">
        <v>0.36899999999999999</v>
      </c>
      <c r="BH908" s="94">
        <v>43403</v>
      </c>
      <c r="BI908" s="95">
        <v>0.378</v>
      </c>
      <c r="BJ908" s="96">
        <v>11.97</v>
      </c>
    </row>
    <row r="909" spans="54:62" ht="13.8" x14ac:dyDescent="0.25">
      <c r="BB909" s="187">
        <v>43385</v>
      </c>
      <c r="BC909" s="180">
        <v>-0.26700000000000002</v>
      </c>
      <c r="BD909" s="191">
        <v>43385</v>
      </c>
      <c r="BE909" s="192">
        <v>0.372</v>
      </c>
      <c r="BH909" s="94">
        <v>43404</v>
      </c>
      <c r="BI909" s="95">
        <v>0.375</v>
      </c>
      <c r="BJ909" s="96">
        <v>11.96</v>
      </c>
    </row>
    <row r="910" spans="54:62" ht="13.8" x14ac:dyDescent="0.25">
      <c r="BB910" s="187">
        <v>43388</v>
      </c>
      <c r="BC910" s="180">
        <v>-0.26600000000000001</v>
      </c>
      <c r="BD910" s="191">
        <v>43388</v>
      </c>
      <c r="BE910" s="192">
        <v>0.373</v>
      </c>
      <c r="BH910" s="94">
        <v>43406</v>
      </c>
      <c r="BI910" s="95">
        <v>0.373</v>
      </c>
      <c r="BJ910" s="96">
        <v>11.96</v>
      </c>
    </row>
    <row r="911" spans="54:62" ht="13.8" x14ac:dyDescent="0.25">
      <c r="BB911" s="187">
        <v>43389</v>
      </c>
      <c r="BC911" s="180">
        <v>-0.26500000000000001</v>
      </c>
      <c r="BD911" s="191">
        <v>43389</v>
      </c>
      <c r="BE911" s="192">
        <v>0.374</v>
      </c>
      <c r="BH911" s="94">
        <v>43409</v>
      </c>
      <c r="BI911" s="95">
        <v>0.36899999999999999</v>
      </c>
      <c r="BJ911" s="96">
        <v>11.95</v>
      </c>
    </row>
    <row r="912" spans="54:62" ht="13.8" x14ac:dyDescent="0.25">
      <c r="BB912" s="187">
        <v>43390</v>
      </c>
      <c r="BC912" s="180">
        <v>-0.26600000000000001</v>
      </c>
      <c r="BD912" s="191">
        <v>43390</v>
      </c>
      <c r="BE912" s="192">
        <v>0.372</v>
      </c>
      <c r="BH912" s="94">
        <v>43410</v>
      </c>
      <c r="BI912" s="95">
        <v>0.36299999999999999</v>
      </c>
      <c r="BJ912" s="96">
        <v>11.95</v>
      </c>
    </row>
    <row r="913" spans="54:62" ht="13.8" x14ac:dyDescent="0.25">
      <c r="BB913" s="187">
        <v>43391</v>
      </c>
      <c r="BC913" s="180">
        <v>-0.26500000000000001</v>
      </c>
      <c r="BD913" s="191">
        <v>43391</v>
      </c>
      <c r="BE913" s="192">
        <v>0.40500000000000003</v>
      </c>
      <c r="BH913" s="94">
        <v>43411</v>
      </c>
      <c r="BI913" s="95">
        <v>0.35899999999999999</v>
      </c>
      <c r="BJ913" s="96">
        <v>11.95</v>
      </c>
    </row>
    <row r="914" spans="54:62" ht="13.8" x14ac:dyDescent="0.25">
      <c r="BB914" s="187">
        <v>43392</v>
      </c>
      <c r="BC914" s="180">
        <v>-0.26200000000000001</v>
      </c>
      <c r="BD914" s="191">
        <v>43392</v>
      </c>
      <c r="BE914" s="192">
        <v>0.40300000000000002</v>
      </c>
      <c r="BH914" s="94">
        <v>43412</v>
      </c>
      <c r="BI914" s="95">
        <v>0.35499999999999998</v>
      </c>
      <c r="BJ914" s="96">
        <v>11.94</v>
      </c>
    </row>
    <row r="915" spans="54:62" ht="13.8" x14ac:dyDescent="0.25">
      <c r="BB915" s="187">
        <v>43395</v>
      </c>
      <c r="BC915" s="180">
        <v>-0.26100000000000001</v>
      </c>
      <c r="BD915" s="191">
        <v>43395</v>
      </c>
      <c r="BE915" s="192">
        <v>0.40200000000000002</v>
      </c>
      <c r="BH915" s="94">
        <v>43413</v>
      </c>
      <c r="BI915" s="95">
        <v>0.34899999999999998</v>
      </c>
      <c r="BJ915" s="96">
        <v>11.94</v>
      </c>
    </row>
    <row r="916" spans="54:62" ht="13.8" x14ac:dyDescent="0.25">
      <c r="BB916" s="187">
        <v>43396</v>
      </c>
      <c r="BC916" s="180">
        <v>-0.25900000000000001</v>
      </c>
      <c r="BD916" s="191">
        <v>43396</v>
      </c>
      <c r="BE916" s="192">
        <v>0.39700000000000002</v>
      </c>
      <c r="BH916" s="94">
        <v>43416</v>
      </c>
      <c r="BI916" s="95">
        <v>0.34399999999999997</v>
      </c>
      <c r="BJ916" s="96">
        <v>11.93</v>
      </c>
    </row>
    <row r="917" spans="54:62" ht="13.8" x14ac:dyDescent="0.25">
      <c r="BB917" s="187">
        <v>43397</v>
      </c>
      <c r="BC917" s="180">
        <v>-0.25900000000000001</v>
      </c>
      <c r="BD917" s="191">
        <v>43397</v>
      </c>
      <c r="BE917" s="192">
        <v>0.39200000000000002</v>
      </c>
      <c r="BH917" s="94">
        <v>43417</v>
      </c>
      <c r="BI917" s="95">
        <v>0.34</v>
      </c>
      <c r="BJ917" s="96">
        <v>11.93</v>
      </c>
    </row>
    <row r="918" spans="54:62" ht="13.8" x14ac:dyDescent="0.25">
      <c r="BB918" s="187">
        <v>43398</v>
      </c>
      <c r="BC918" s="180">
        <v>-0.25900000000000001</v>
      </c>
      <c r="BD918" s="191">
        <v>43398</v>
      </c>
      <c r="BE918" s="192">
        <v>0.38700000000000001</v>
      </c>
      <c r="BH918" s="94">
        <v>43418</v>
      </c>
      <c r="BI918" s="95">
        <v>0.33700000000000002</v>
      </c>
      <c r="BJ918" s="96">
        <v>11.93</v>
      </c>
    </row>
    <row r="919" spans="54:62" ht="13.8" x14ac:dyDescent="0.25">
      <c r="BB919" s="187">
        <v>43399</v>
      </c>
      <c r="BC919" s="180">
        <v>-0.25900000000000001</v>
      </c>
      <c r="BD919" s="191"/>
      <c r="BE919" s="193">
        <f>+BE918</f>
        <v>0.38700000000000001</v>
      </c>
      <c r="BH919" s="94">
        <v>43419</v>
      </c>
      <c r="BI919" s="95">
        <v>0.33300000000000002</v>
      </c>
      <c r="BJ919" s="96">
        <v>11.92</v>
      </c>
    </row>
    <row r="920" spans="54:62" ht="13.8" x14ac:dyDescent="0.25">
      <c r="BB920" s="187">
        <v>43402</v>
      </c>
      <c r="BC920" s="180">
        <v>-0.25900000000000001</v>
      </c>
      <c r="BD920" s="191">
        <v>43402</v>
      </c>
      <c r="BE920" s="192">
        <v>0.38300000000000001</v>
      </c>
      <c r="BH920" s="94">
        <v>43420</v>
      </c>
      <c r="BI920" s="95">
        <v>0.33</v>
      </c>
      <c r="BJ920" s="96">
        <v>11.92</v>
      </c>
    </row>
    <row r="921" spans="54:62" ht="13.8" x14ac:dyDescent="0.25">
      <c r="BB921" s="187">
        <v>43403</v>
      </c>
      <c r="BC921" s="180">
        <v>-0.25900000000000001</v>
      </c>
      <c r="BD921" s="191">
        <v>43403</v>
      </c>
      <c r="BE921" s="192">
        <v>0.378</v>
      </c>
      <c r="BH921" s="94">
        <v>43423</v>
      </c>
      <c r="BI921" s="95">
        <v>0.32800000000000001</v>
      </c>
      <c r="BJ921" s="96">
        <v>11.91</v>
      </c>
    </row>
    <row r="922" spans="54:62" ht="13.8" x14ac:dyDescent="0.25">
      <c r="BB922" s="187">
        <v>43404</v>
      </c>
      <c r="BC922" s="180">
        <v>-0.25900000000000001</v>
      </c>
      <c r="BD922" s="191">
        <v>43404</v>
      </c>
      <c r="BE922" s="192">
        <v>0.375</v>
      </c>
      <c r="BH922" s="94">
        <v>43424</v>
      </c>
      <c r="BI922" s="95">
        <v>0.32700000000000001</v>
      </c>
      <c r="BJ922" s="96">
        <v>11.91</v>
      </c>
    </row>
    <row r="923" spans="54:62" ht="13.8" x14ac:dyDescent="0.25">
      <c r="BB923" s="187">
        <v>43405</v>
      </c>
      <c r="BC923" s="180">
        <v>-0.25800000000000001</v>
      </c>
      <c r="BD923" s="191"/>
      <c r="BE923" s="193">
        <f>+BE922</f>
        <v>0.375</v>
      </c>
      <c r="BF923" s="111">
        <f>+(BC923+BE923)/2+0.37</f>
        <v>0.42849999999999999</v>
      </c>
      <c r="BH923" s="94">
        <v>43425</v>
      </c>
      <c r="BI923" s="95">
        <v>0.32400000000000001</v>
      </c>
      <c r="BJ923" s="96">
        <v>11.91</v>
      </c>
    </row>
    <row r="924" spans="54:62" ht="13.8" x14ac:dyDescent="0.25">
      <c r="BB924" s="187">
        <v>43406</v>
      </c>
      <c r="BC924" s="180">
        <v>-0.25800000000000001</v>
      </c>
      <c r="BD924" s="191">
        <v>43406</v>
      </c>
      <c r="BE924" s="192">
        <v>0.373</v>
      </c>
      <c r="BH924" s="94">
        <v>43426</v>
      </c>
      <c r="BI924" s="95">
        <v>0.32600000000000001</v>
      </c>
      <c r="BJ924" s="96">
        <v>12.04</v>
      </c>
    </row>
    <row r="925" spans="54:62" ht="13.8" x14ac:dyDescent="0.25">
      <c r="BB925" s="187">
        <v>43409</v>
      </c>
      <c r="BC925" s="180">
        <v>-0.25700000000000001</v>
      </c>
      <c r="BD925" s="191">
        <v>43409</v>
      </c>
      <c r="BE925" s="192">
        <v>0.36899999999999999</v>
      </c>
      <c r="BH925" s="94">
        <v>43427</v>
      </c>
      <c r="BI925" s="95">
        <v>0.32500000000000001</v>
      </c>
      <c r="BJ925" s="96">
        <v>12.04</v>
      </c>
    </row>
    <row r="926" spans="54:62" ht="13.8" x14ac:dyDescent="0.25">
      <c r="BB926" s="187">
        <v>43410</v>
      </c>
      <c r="BC926" s="180">
        <v>-0.25800000000000001</v>
      </c>
      <c r="BD926" s="191">
        <v>43410</v>
      </c>
      <c r="BE926" s="192">
        <v>0.36299999999999999</v>
      </c>
      <c r="BH926" s="94">
        <v>43430</v>
      </c>
      <c r="BI926" s="95">
        <v>0.32500000000000001</v>
      </c>
      <c r="BJ926" s="96">
        <v>12.03</v>
      </c>
    </row>
    <row r="927" spans="54:62" ht="13.8" x14ac:dyDescent="0.25">
      <c r="BB927" s="187">
        <v>43411</v>
      </c>
      <c r="BC927" s="180">
        <v>-0.25800000000000001</v>
      </c>
      <c r="BD927" s="191">
        <v>43411</v>
      </c>
      <c r="BE927" s="192">
        <v>0.35899999999999999</v>
      </c>
      <c r="BH927" s="94">
        <v>43431</v>
      </c>
      <c r="BI927" s="95">
        <v>0.32500000000000001</v>
      </c>
      <c r="BJ927" s="96">
        <v>12.03</v>
      </c>
    </row>
    <row r="928" spans="54:62" ht="13.8" x14ac:dyDescent="0.25">
      <c r="BB928" s="187">
        <v>43412</v>
      </c>
      <c r="BC928" s="180">
        <v>-0.25700000000000001</v>
      </c>
      <c r="BD928" s="191">
        <v>43412</v>
      </c>
      <c r="BE928" s="192">
        <v>0.35499999999999998</v>
      </c>
      <c r="BH928" s="94">
        <v>43432</v>
      </c>
      <c r="BI928" s="95">
        <v>0.32600000000000001</v>
      </c>
      <c r="BJ928" s="96">
        <v>12.03</v>
      </c>
    </row>
    <row r="929" spans="54:62" ht="13.8" x14ac:dyDescent="0.25">
      <c r="BB929" s="187">
        <v>43413</v>
      </c>
      <c r="BC929" s="180">
        <v>-0.25700000000000001</v>
      </c>
      <c r="BD929" s="191">
        <v>43413</v>
      </c>
      <c r="BE929" s="192">
        <v>0.34899999999999998</v>
      </c>
      <c r="BH929" s="94">
        <v>43433</v>
      </c>
      <c r="BI929" s="95">
        <v>0.32500000000000001</v>
      </c>
      <c r="BJ929" s="96">
        <v>12.02</v>
      </c>
    </row>
    <row r="930" spans="54:62" ht="13.8" x14ac:dyDescent="0.25">
      <c r="BB930" s="187">
        <v>43416</v>
      </c>
      <c r="BC930" s="180">
        <v>-0.25700000000000001</v>
      </c>
      <c r="BD930" s="191">
        <v>43416</v>
      </c>
      <c r="BE930" s="192">
        <v>0.34399999999999997</v>
      </c>
      <c r="BH930" s="94">
        <v>43434</v>
      </c>
      <c r="BI930" s="95">
        <v>0.32200000000000001</v>
      </c>
      <c r="BJ930" s="96">
        <v>12.02</v>
      </c>
    </row>
    <row r="931" spans="54:62" ht="13.8" x14ac:dyDescent="0.25">
      <c r="BB931" s="187">
        <v>43417</v>
      </c>
      <c r="BC931" s="180">
        <v>-0.25700000000000001</v>
      </c>
      <c r="BD931" s="191">
        <v>43417</v>
      </c>
      <c r="BE931" s="192">
        <v>0.34</v>
      </c>
      <c r="BH931" s="94">
        <v>43437</v>
      </c>
      <c r="BI931" s="95">
        <v>0.32</v>
      </c>
      <c r="BJ931" s="96">
        <v>12.01</v>
      </c>
    </row>
    <row r="932" spans="54:62" ht="13.8" x14ac:dyDescent="0.25">
      <c r="BB932" s="187">
        <v>43418</v>
      </c>
      <c r="BC932" s="180">
        <v>-0.25700000000000001</v>
      </c>
      <c r="BD932" s="191">
        <v>43418</v>
      </c>
      <c r="BE932" s="192">
        <v>0.33700000000000002</v>
      </c>
      <c r="BH932" s="94">
        <v>43438</v>
      </c>
      <c r="BI932" s="95">
        <v>0.316</v>
      </c>
      <c r="BJ932" s="96">
        <v>12.01</v>
      </c>
    </row>
    <row r="933" spans="54:62" ht="13.8" x14ac:dyDescent="0.25">
      <c r="BB933" s="187">
        <v>43419</v>
      </c>
      <c r="BC933" s="180">
        <v>-0.25700000000000001</v>
      </c>
      <c r="BD933" s="191">
        <v>43419</v>
      </c>
      <c r="BE933" s="192">
        <v>0.33300000000000002</v>
      </c>
      <c r="BH933" s="94">
        <v>43439</v>
      </c>
      <c r="BI933" s="95">
        <v>0.311</v>
      </c>
      <c r="BJ933" s="96">
        <v>12.01</v>
      </c>
    </row>
    <row r="934" spans="54:62" ht="13.8" x14ac:dyDescent="0.25">
      <c r="BB934" s="187">
        <v>43420</v>
      </c>
      <c r="BC934" s="180">
        <v>-0.25700000000000001</v>
      </c>
      <c r="BD934" s="191">
        <v>43420</v>
      </c>
      <c r="BE934" s="192">
        <v>0.33</v>
      </c>
      <c r="BH934" s="94">
        <v>43440</v>
      </c>
      <c r="BI934" s="95">
        <v>0.30399999999999999</v>
      </c>
      <c r="BJ934" s="96">
        <v>12.01</v>
      </c>
    </row>
    <row r="935" spans="54:62" ht="13.8" x14ac:dyDescent="0.25">
      <c r="BB935" s="187">
        <v>43423</v>
      </c>
      <c r="BC935" s="180">
        <v>-0.25700000000000001</v>
      </c>
      <c r="BD935" s="191">
        <v>43423</v>
      </c>
      <c r="BE935" s="192">
        <v>0.32800000000000001</v>
      </c>
      <c r="BH935" s="94">
        <v>43441</v>
      </c>
      <c r="BI935" s="95">
        <v>0.3</v>
      </c>
      <c r="BJ935" s="96">
        <v>12</v>
      </c>
    </row>
    <row r="936" spans="54:62" ht="13.8" x14ac:dyDescent="0.25">
      <c r="BB936" s="187">
        <v>43424</v>
      </c>
      <c r="BC936" s="180">
        <v>-0.25700000000000001</v>
      </c>
      <c r="BD936" s="191">
        <v>43424</v>
      </c>
      <c r="BE936" s="192">
        <v>0.32700000000000001</v>
      </c>
      <c r="BH936" s="94">
        <v>43444</v>
      </c>
      <c r="BI936" s="95">
        <v>0.29599999999999999</v>
      </c>
      <c r="BJ936" s="96">
        <v>11.99</v>
      </c>
    </row>
    <row r="937" spans="54:62" ht="13.8" x14ac:dyDescent="0.25">
      <c r="BB937" s="187">
        <v>43425</v>
      </c>
      <c r="BC937" s="180">
        <v>-0.25700000000000001</v>
      </c>
      <c r="BD937" s="191">
        <v>43425</v>
      </c>
      <c r="BE937" s="192">
        <v>0.32400000000000001</v>
      </c>
      <c r="BH937" s="94">
        <v>43445</v>
      </c>
      <c r="BI937" s="95">
        <v>0.29299999999999998</v>
      </c>
      <c r="BJ937" s="96">
        <v>11.99</v>
      </c>
    </row>
    <row r="938" spans="54:62" ht="13.8" x14ac:dyDescent="0.25">
      <c r="BB938" s="187">
        <v>43426</v>
      </c>
      <c r="BC938" s="180">
        <v>-0.25700000000000001</v>
      </c>
      <c r="BD938" s="191">
        <v>43426</v>
      </c>
      <c r="BE938" s="192">
        <v>0.32600000000000001</v>
      </c>
      <c r="BH938" s="94">
        <v>43446</v>
      </c>
      <c r="BI938" s="95">
        <v>0.28899999999999998</v>
      </c>
      <c r="BJ938" s="96">
        <v>11.99</v>
      </c>
    </row>
    <row r="939" spans="54:62" ht="13.8" x14ac:dyDescent="0.25">
      <c r="BB939" s="187">
        <v>43427</v>
      </c>
      <c r="BC939" s="180">
        <v>-0.25700000000000001</v>
      </c>
      <c r="BD939" s="191">
        <v>43427</v>
      </c>
      <c r="BE939" s="192">
        <v>0.32500000000000001</v>
      </c>
      <c r="BH939" s="94">
        <v>43447</v>
      </c>
      <c r="BI939" s="95">
        <v>0.28799999999999998</v>
      </c>
      <c r="BJ939" s="96">
        <v>11.99</v>
      </c>
    </row>
    <row r="940" spans="54:62" ht="13.8" x14ac:dyDescent="0.25">
      <c r="BB940" s="187">
        <v>43430</v>
      </c>
      <c r="BC940" s="180">
        <v>-0.25600000000000001</v>
      </c>
      <c r="BD940" s="191">
        <v>43430</v>
      </c>
      <c r="BE940" s="192">
        <v>0.32500000000000001</v>
      </c>
      <c r="BH940" s="94">
        <v>43448</v>
      </c>
      <c r="BI940" s="95">
        <v>0.28499999999999998</v>
      </c>
      <c r="BJ940" s="96">
        <v>11.98</v>
      </c>
    </row>
    <row r="941" spans="54:62" ht="13.8" x14ac:dyDescent="0.25">
      <c r="BB941" s="187">
        <v>43431</v>
      </c>
      <c r="BC941" s="180">
        <v>-0.25600000000000001</v>
      </c>
      <c r="BD941" s="191">
        <v>43431</v>
      </c>
      <c r="BE941" s="192">
        <v>0.32500000000000001</v>
      </c>
      <c r="BH941" s="94">
        <v>43451</v>
      </c>
      <c r="BI941" s="95">
        <v>0.28100000000000003</v>
      </c>
      <c r="BJ941" s="96">
        <v>11.98</v>
      </c>
    </row>
    <row r="942" spans="54:62" ht="13.8" x14ac:dyDescent="0.25">
      <c r="BB942" s="187">
        <v>43432</v>
      </c>
      <c r="BC942" s="180">
        <v>-0.25600000000000001</v>
      </c>
      <c r="BD942" s="191">
        <v>43432</v>
      </c>
      <c r="BE942" s="192">
        <v>0.32600000000000001</v>
      </c>
      <c r="BH942" s="94">
        <v>43452</v>
      </c>
      <c r="BI942" s="95">
        <v>0.27700000000000002</v>
      </c>
      <c r="BJ942" s="96">
        <v>11.97</v>
      </c>
    </row>
    <row r="943" spans="54:62" ht="13.8" x14ac:dyDescent="0.25">
      <c r="BB943" s="187">
        <v>43433</v>
      </c>
      <c r="BC943" s="180">
        <v>-0.253</v>
      </c>
      <c r="BD943" s="191">
        <v>43433</v>
      </c>
      <c r="BE943" s="192">
        <v>0.32500000000000001</v>
      </c>
      <c r="BH943" s="94">
        <v>43453</v>
      </c>
      <c r="BI943" s="95">
        <v>0.27300000000000002</v>
      </c>
      <c r="BJ943" s="96">
        <v>11.97</v>
      </c>
    </row>
    <row r="944" spans="54:62" ht="13.8" x14ac:dyDescent="0.25">
      <c r="BB944" s="187">
        <v>43434</v>
      </c>
      <c r="BC944" s="180">
        <v>-0.251</v>
      </c>
      <c r="BD944" s="191">
        <v>43434</v>
      </c>
      <c r="BE944" s="192">
        <v>0.32200000000000001</v>
      </c>
      <c r="BH944" s="94">
        <v>43454</v>
      </c>
      <c r="BI944" s="95">
        <v>0.26800000000000002</v>
      </c>
      <c r="BJ944" s="96">
        <v>11.97</v>
      </c>
    </row>
    <row r="945" spans="54:62" ht="13.8" x14ac:dyDescent="0.25">
      <c r="BB945" s="187">
        <v>43437</v>
      </c>
      <c r="BC945" s="180">
        <v>-0.248</v>
      </c>
      <c r="BD945" s="191">
        <v>43437</v>
      </c>
      <c r="BE945" s="192">
        <v>0.32</v>
      </c>
      <c r="BH945" s="94">
        <v>43455</v>
      </c>
      <c r="BI945" s="95">
        <v>0.26400000000000001</v>
      </c>
      <c r="BJ945" s="96">
        <v>11.96</v>
      </c>
    </row>
    <row r="946" spans="54:62" ht="13.8" x14ac:dyDescent="0.25">
      <c r="BB946" s="187">
        <v>43438</v>
      </c>
      <c r="BC946" s="180">
        <v>-0.247</v>
      </c>
      <c r="BD946" s="191">
        <v>43438</v>
      </c>
      <c r="BE946" s="192">
        <v>0.316</v>
      </c>
      <c r="BH946" s="94">
        <v>43461</v>
      </c>
      <c r="BI946" s="95">
        <v>0.25900000000000001</v>
      </c>
      <c r="BJ946" s="96">
        <v>11.95</v>
      </c>
    </row>
    <row r="947" spans="54:62" ht="13.8" x14ac:dyDescent="0.25">
      <c r="BB947" s="187">
        <v>43439</v>
      </c>
      <c r="BC947" s="180">
        <v>-0.246</v>
      </c>
      <c r="BD947" s="191">
        <v>43439</v>
      </c>
      <c r="BE947" s="192">
        <v>0.311</v>
      </c>
      <c r="BH947" s="94">
        <v>43462</v>
      </c>
      <c r="BI947" s="95">
        <v>0.255</v>
      </c>
      <c r="BJ947" s="96">
        <v>11.95</v>
      </c>
    </row>
    <row r="948" spans="54:62" ht="13.8" x14ac:dyDescent="0.25">
      <c r="BB948" s="187">
        <v>43440</v>
      </c>
      <c r="BC948" s="180">
        <v>-0.246</v>
      </c>
      <c r="BD948" s="191">
        <v>43440</v>
      </c>
      <c r="BE948" s="192">
        <v>0.30399999999999999</v>
      </c>
      <c r="BH948" s="94">
        <v>43465</v>
      </c>
      <c r="BI948" s="95">
        <v>0.251</v>
      </c>
      <c r="BJ948" s="96">
        <v>11.94</v>
      </c>
    </row>
    <row r="949" spans="54:62" ht="13.8" x14ac:dyDescent="0.25">
      <c r="BB949" s="187">
        <v>43441</v>
      </c>
      <c r="BC949" s="180">
        <v>-0.246</v>
      </c>
      <c r="BD949" s="191">
        <v>43441</v>
      </c>
      <c r="BE949" s="192">
        <v>0.3</v>
      </c>
      <c r="BH949" s="94">
        <v>43467</v>
      </c>
      <c r="BI949" s="95">
        <v>0.245</v>
      </c>
      <c r="BJ949" s="96">
        <v>11.93</v>
      </c>
    </row>
    <row r="950" spans="54:62" ht="13.8" x14ac:dyDescent="0.25">
      <c r="BB950" s="187">
        <v>43444</v>
      </c>
      <c r="BC950" s="180">
        <v>-0.245</v>
      </c>
      <c r="BD950" s="191">
        <v>43444</v>
      </c>
      <c r="BE950" s="192">
        <v>0.29599999999999999</v>
      </c>
      <c r="BH950" s="94">
        <v>43468</v>
      </c>
      <c r="BI950" s="95">
        <v>0.24</v>
      </c>
      <c r="BJ950" s="96">
        <v>11.93</v>
      </c>
    </row>
    <row r="951" spans="54:62" ht="13.8" x14ac:dyDescent="0.25">
      <c r="BB951" s="187">
        <v>43445</v>
      </c>
      <c r="BC951" s="180">
        <v>-0.24399999999999999</v>
      </c>
      <c r="BD951" s="191">
        <v>43445</v>
      </c>
      <c r="BE951" s="192">
        <v>0.29299999999999998</v>
      </c>
      <c r="BH951" s="94">
        <v>43469</v>
      </c>
      <c r="BI951" s="95">
        <v>0.23599999999999999</v>
      </c>
      <c r="BJ951" s="96">
        <v>11.93</v>
      </c>
    </row>
    <row r="952" spans="54:62" ht="13.8" x14ac:dyDescent="0.25">
      <c r="BB952" s="187">
        <v>43446</v>
      </c>
      <c r="BC952" s="180">
        <v>-0.24099999999999999</v>
      </c>
      <c r="BD952" s="191">
        <v>43446</v>
      </c>
      <c r="BE952" s="192">
        <v>0.28899999999999998</v>
      </c>
      <c r="BH952" s="94">
        <v>43472</v>
      </c>
      <c r="BI952" s="95">
        <v>0.23400000000000001</v>
      </c>
      <c r="BJ952" s="96">
        <v>11.92</v>
      </c>
    </row>
    <row r="953" spans="54:62" ht="13.8" x14ac:dyDescent="0.25">
      <c r="BB953" s="187">
        <v>43447</v>
      </c>
      <c r="BC953" s="180">
        <v>-0.23899999999999999</v>
      </c>
      <c r="BD953" s="191">
        <v>43447</v>
      </c>
      <c r="BE953" s="192">
        <v>0.28799999999999998</v>
      </c>
      <c r="BH953" s="94">
        <v>43473</v>
      </c>
      <c r="BI953" s="95">
        <v>0.23499999999999999</v>
      </c>
      <c r="BJ953" s="96">
        <v>11.91</v>
      </c>
    </row>
    <row r="954" spans="54:62" ht="13.8" x14ac:dyDescent="0.25">
      <c r="BB954" s="187">
        <v>43448</v>
      </c>
      <c r="BC954" s="180">
        <v>-0.23799999999999999</v>
      </c>
      <c r="BD954" s="191">
        <v>43448</v>
      </c>
      <c r="BE954" s="192">
        <v>0.28499999999999998</v>
      </c>
      <c r="BH954" s="94">
        <v>43474</v>
      </c>
      <c r="BI954" s="95">
        <v>0.23499999999999999</v>
      </c>
      <c r="BJ954" s="96">
        <v>11.91</v>
      </c>
    </row>
    <row r="955" spans="54:62" ht="13.8" x14ac:dyDescent="0.25">
      <c r="BB955" s="187">
        <v>43451</v>
      </c>
      <c r="BC955" s="180">
        <v>-0.23699999999999999</v>
      </c>
      <c r="BD955" s="191">
        <v>43451</v>
      </c>
      <c r="BE955" s="192">
        <v>0.28100000000000003</v>
      </c>
      <c r="BH955" s="94">
        <v>43475</v>
      </c>
      <c r="BI955" s="95">
        <v>0.23899999999999999</v>
      </c>
      <c r="BJ955" s="96">
        <v>11.95</v>
      </c>
    </row>
    <row r="956" spans="54:62" ht="13.8" x14ac:dyDescent="0.25">
      <c r="BB956" s="187">
        <v>43452</v>
      </c>
      <c r="BC956" s="180">
        <v>-0.23799999999999999</v>
      </c>
      <c r="BD956" s="191">
        <v>43452</v>
      </c>
      <c r="BE956" s="192">
        <v>0.27700000000000002</v>
      </c>
      <c r="BH956" s="94">
        <v>43476</v>
      </c>
      <c r="BI956" s="95">
        <v>0.23699999999999999</v>
      </c>
      <c r="BJ956" s="96">
        <v>11.95</v>
      </c>
    </row>
    <row r="957" spans="54:62" ht="13.8" x14ac:dyDescent="0.25">
      <c r="BB957" s="187">
        <v>43453</v>
      </c>
      <c r="BC957" s="180">
        <v>-0.23799999999999999</v>
      </c>
      <c r="BD957" s="191">
        <v>43453</v>
      </c>
      <c r="BE957" s="192">
        <v>0.27300000000000002</v>
      </c>
      <c r="BH957" s="94">
        <v>43479</v>
      </c>
      <c r="BI957" s="95">
        <v>0.23400000000000001</v>
      </c>
      <c r="BJ957" s="96">
        <v>11.94</v>
      </c>
    </row>
    <row r="958" spans="54:62" ht="13.8" x14ac:dyDescent="0.25">
      <c r="BB958" s="187">
        <v>43454</v>
      </c>
      <c r="BC958" s="180">
        <v>-0.23799999999999999</v>
      </c>
      <c r="BD958" s="191">
        <v>43454</v>
      </c>
      <c r="BE958" s="192">
        <v>0.26800000000000002</v>
      </c>
      <c r="BH958" s="94">
        <v>43480</v>
      </c>
      <c r="BI958" s="95">
        <v>0.23</v>
      </c>
      <c r="BJ958" s="96">
        <v>11.93</v>
      </c>
    </row>
    <row r="959" spans="54:62" ht="13.8" x14ac:dyDescent="0.25">
      <c r="BB959" s="187">
        <v>43455</v>
      </c>
      <c r="BC959" s="180">
        <v>-0.23799999999999999</v>
      </c>
      <c r="BD959" s="191">
        <v>43455</v>
      </c>
      <c r="BE959" s="192">
        <v>0.26400000000000001</v>
      </c>
      <c r="BH959" s="94">
        <v>43481</v>
      </c>
      <c r="BI959" s="95">
        <v>0.22600000000000001</v>
      </c>
      <c r="BJ959" s="96">
        <v>11.93</v>
      </c>
    </row>
    <row r="960" spans="54:62" ht="13.8" x14ac:dyDescent="0.25">
      <c r="BB960" s="187">
        <v>43458</v>
      </c>
      <c r="BC960" s="180">
        <v>-0.23699999999999999</v>
      </c>
      <c r="BD960" s="191"/>
      <c r="BE960" s="193">
        <f>+BE959</f>
        <v>0.26400000000000001</v>
      </c>
      <c r="BH960" s="94">
        <v>43482</v>
      </c>
      <c r="BI960" s="95">
        <v>0.224</v>
      </c>
      <c r="BJ960" s="96">
        <v>11.93</v>
      </c>
    </row>
    <row r="961" spans="54:62" ht="13.8" x14ac:dyDescent="0.25">
      <c r="BB961" s="187">
        <v>43459</v>
      </c>
      <c r="BC961" s="180">
        <v>-0.23699999999999999</v>
      </c>
      <c r="BD961" s="191"/>
      <c r="BE961" s="193">
        <f>+BE960</f>
        <v>0.26400000000000001</v>
      </c>
      <c r="BH961" s="94">
        <v>43483</v>
      </c>
      <c r="BI961" s="95">
        <v>0.223</v>
      </c>
      <c r="BJ961" s="96">
        <v>11.93</v>
      </c>
    </row>
    <row r="962" spans="54:62" ht="13.8" x14ac:dyDescent="0.25">
      <c r="BB962" s="187">
        <v>43460</v>
      </c>
      <c r="BC962" s="180">
        <v>-0.23699999999999999</v>
      </c>
      <c r="BD962" s="191"/>
      <c r="BE962" s="193">
        <f>+BE961</f>
        <v>0.26400000000000001</v>
      </c>
      <c r="BH962" s="94">
        <v>43486</v>
      </c>
      <c r="BI962" s="95">
        <v>0.222</v>
      </c>
      <c r="BJ962" s="96">
        <v>11.92</v>
      </c>
    </row>
    <row r="963" spans="54:62" ht="13.8" x14ac:dyDescent="0.25">
      <c r="BB963" s="187">
        <v>43461</v>
      </c>
      <c r="BC963" s="180">
        <v>-0.23699999999999999</v>
      </c>
      <c r="BD963" s="191">
        <v>43461</v>
      </c>
      <c r="BE963" s="192">
        <v>0.25900000000000001</v>
      </c>
      <c r="BH963" s="94">
        <v>43487</v>
      </c>
      <c r="BI963" s="95">
        <v>0.221</v>
      </c>
      <c r="BJ963" s="96">
        <v>11.92</v>
      </c>
    </row>
    <row r="964" spans="54:62" ht="13.8" x14ac:dyDescent="0.25">
      <c r="BB964" s="187">
        <v>43462</v>
      </c>
      <c r="BC964" s="180">
        <v>-0.23599999999999999</v>
      </c>
      <c r="BD964" s="191">
        <v>43462</v>
      </c>
      <c r="BE964" s="192">
        <v>0.255</v>
      </c>
      <c r="BH964" s="94">
        <v>43488</v>
      </c>
      <c r="BI964" s="95">
        <v>0.22</v>
      </c>
      <c r="BJ964" s="96">
        <v>11.91</v>
      </c>
    </row>
    <row r="965" spans="54:62" ht="13.8" x14ac:dyDescent="0.25">
      <c r="BB965" s="187">
        <v>43465</v>
      </c>
      <c r="BC965" s="180">
        <v>-0.23699999999999999</v>
      </c>
      <c r="BD965" s="191">
        <v>43465</v>
      </c>
      <c r="BE965" s="192">
        <v>0.251</v>
      </c>
      <c r="BH965" s="94">
        <v>43489</v>
      </c>
      <c r="BI965" s="95">
        <v>0.217</v>
      </c>
      <c r="BJ965" s="96">
        <v>11.91</v>
      </c>
    </row>
    <row r="966" spans="54:62" ht="13.8" x14ac:dyDescent="0.25">
      <c r="BB966" s="187">
        <v>43466</v>
      </c>
      <c r="BC966" s="180">
        <v>-0.23699999999999999</v>
      </c>
      <c r="BD966" s="191"/>
      <c r="BE966" s="193">
        <f>+BE965</f>
        <v>0.251</v>
      </c>
      <c r="BH966" s="94">
        <v>43490</v>
      </c>
      <c r="BI966" s="95">
        <v>0.216</v>
      </c>
      <c r="BJ966" s="96">
        <v>11.91</v>
      </c>
    </row>
    <row r="967" spans="54:62" ht="13.8" x14ac:dyDescent="0.25">
      <c r="BB967" s="187">
        <v>43467</v>
      </c>
      <c r="BC967" s="180">
        <v>-0.23799999999999999</v>
      </c>
      <c r="BD967" s="191">
        <v>43467</v>
      </c>
      <c r="BE967" s="192">
        <v>0.245</v>
      </c>
      <c r="BH967" s="94">
        <v>43493</v>
      </c>
      <c r="BI967" s="95">
        <v>0.214</v>
      </c>
      <c r="BJ967" s="96">
        <v>11.9</v>
      </c>
    </row>
    <row r="968" spans="54:62" ht="13.8" x14ac:dyDescent="0.25">
      <c r="BB968" s="187">
        <v>43468</v>
      </c>
      <c r="BC968" s="180">
        <v>-0.23699999999999999</v>
      </c>
      <c r="BD968" s="191">
        <v>43468</v>
      </c>
      <c r="BE968" s="192">
        <v>0.24</v>
      </c>
      <c r="BH968" s="94">
        <v>43494</v>
      </c>
      <c r="BI968" s="95">
        <v>0.21299999999999999</v>
      </c>
      <c r="BJ968" s="96">
        <v>11.9</v>
      </c>
    </row>
    <row r="969" spans="54:62" ht="13.8" x14ac:dyDescent="0.25">
      <c r="BB969" s="187">
        <v>43469</v>
      </c>
      <c r="BC969" s="180">
        <v>-0.23699999999999999</v>
      </c>
      <c r="BD969" s="191">
        <v>43469</v>
      </c>
      <c r="BE969" s="192">
        <v>0.23599999999999999</v>
      </c>
      <c r="BH969" s="94">
        <v>43495</v>
      </c>
      <c r="BI969" s="95">
        <v>0.214</v>
      </c>
      <c r="BJ969" s="96">
        <v>11.89</v>
      </c>
    </row>
    <row r="970" spans="54:62" ht="13.8" x14ac:dyDescent="0.25">
      <c r="BB970" s="187">
        <v>43472</v>
      </c>
      <c r="BC970" s="180">
        <v>-0.23599999999999999</v>
      </c>
      <c r="BD970" s="191">
        <v>43472</v>
      </c>
      <c r="BE970" s="192">
        <v>0.23400000000000001</v>
      </c>
      <c r="BH970" s="94">
        <v>43496</v>
      </c>
      <c r="BI970" s="95">
        <v>0.214</v>
      </c>
      <c r="BJ970" s="96">
        <v>11.89</v>
      </c>
    </row>
    <row r="971" spans="54:62" ht="13.8" x14ac:dyDescent="0.25">
      <c r="BB971" s="187">
        <v>43473</v>
      </c>
      <c r="BC971" s="180">
        <v>-0.23599999999999999</v>
      </c>
      <c r="BD971" s="191">
        <v>43473</v>
      </c>
      <c r="BE971" s="192">
        <v>0.23499999999999999</v>
      </c>
      <c r="BH971" s="94">
        <v>43497</v>
      </c>
      <c r="BI971" s="95">
        <v>0.21199999999999999</v>
      </c>
      <c r="BJ971" s="96">
        <v>11.89</v>
      </c>
    </row>
    <row r="972" spans="54:62" ht="13.8" x14ac:dyDescent="0.25">
      <c r="BB972" s="187">
        <v>43474</v>
      </c>
      <c r="BC972" s="180">
        <v>-0.23599999999999999</v>
      </c>
      <c r="BD972" s="191">
        <v>43474</v>
      </c>
      <c r="BE972" s="192">
        <v>0.23499999999999999</v>
      </c>
      <c r="BH972" s="94">
        <v>43500</v>
      </c>
      <c r="BI972" s="95">
        <v>0.20899999999999999</v>
      </c>
      <c r="BJ972" s="96">
        <v>11.88</v>
      </c>
    </row>
    <row r="973" spans="54:62" ht="13.8" x14ac:dyDescent="0.25">
      <c r="BB973" s="187">
        <v>43475</v>
      </c>
      <c r="BC973" s="180">
        <v>-0.23599999999999999</v>
      </c>
      <c r="BD973" s="191">
        <v>43475</v>
      </c>
      <c r="BE973" s="192">
        <v>0.23899999999999999</v>
      </c>
      <c r="BH973" s="94">
        <v>43501</v>
      </c>
      <c r="BI973" s="95">
        <v>0.215</v>
      </c>
      <c r="BJ973" s="96">
        <v>11.83</v>
      </c>
    </row>
    <row r="974" spans="54:62" ht="13.8" x14ac:dyDescent="0.25">
      <c r="BB974" s="187">
        <v>43476</v>
      </c>
      <c r="BC974" s="180">
        <v>-0.23599999999999999</v>
      </c>
      <c r="BD974" s="191">
        <v>43476</v>
      </c>
      <c r="BE974" s="192">
        <v>0.23699999999999999</v>
      </c>
      <c r="BH974" s="94">
        <v>43502</v>
      </c>
      <c r="BI974" s="95">
        <v>0.21199999999999999</v>
      </c>
      <c r="BJ974" s="96">
        <v>11.83</v>
      </c>
    </row>
    <row r="975" spans="54:62" ht="13.8" x14ac:dyDescent="0.25">
      <c r="BB975" s="187">
        <v>43479</v>
      </c>
      <c r="BC975" s="180">
        <v>-0.23599999999999999</v>
      </c>
      <c r="BD975" s="191">
        <v>43479</v>
      </c>
      <c r="BE975" s="192">
        <v>0.23400000000000001</v>
      </c>
      <c r="BH975" s="94">
        <v>43503</v>
      </c>
      <c r="BI975" s="95">
        <v>0.20799999999999999</v>
      </c>
      <c r="BJ975" s="96">
        <v>11.82</v>
      </c>
    </row>
    <row r="976" spans="54:62" ht="13.8" x14ac:dyDescent="0.25">
      <c r="BB976" s="187">
        <v>43480</v>
      </c>
      <c r="BC976" s="180">
        <v>-0.23599999999999999</v>
      </c>
      <c r="BD976" s="191">
        <v>43480</v>
      </c>
      <c r="BE976" s="192">
        <v>0.23</v>
      </c>
      <c r="BH976" s="94">
        <v>43504</v>
      </c>
      <c r="BI976" s="95">
        <v>0.20399999999999999</v>
      </c>
      <c r="BJ976" s="96">
        <v>11.82</v>
      </c>
    </row>
    <row r="977" spans="54:62" ht="13.8" x14ac:dyDescent="0.25">
      <c r="BB977" s="187">
        <v>43481</v>
      </c>
      <c r="BC977" s="180">
        <v>-0.23599999999999999</v>
      </c>
      <c r="BD977" s="191">
        <v>43481</v>
      </c>
      <c r="BE977" s="192">
        <v>0.22600000000000001</v>
      </c>
      <c r="BH977" s="94">
        <v>43507</v>
      </c>
      <c r="BI977" s="95">
        <v>0.20200000000000001</v>
      </c>
      <c r="BJ977" s="96">
        <v>11.81</v>
      </c>
    </row>
    <row r="978" spans="54:62" ht="13.8" x14ac:dyDescent="0.25">
      <c r="BB978" s="187">
        <v>43482</v>
      </c>
      <c r="BC978" s="180">
        <v>-0.23599999999999999</v>
      </c>
      <c r="BD978" s="191">
        <v>43482</v>
      </c>
      <c r="BE978" s="192">
        <v>0.224</v>
      </c>
      <c r="BH978" s="94">
        <v>43508</v>
      </c>
      <c r="BI978" s="95">
        <v>0.2</v>
      </c>
      <c r="BJ978" s="96">
        <v>11.81</v>
      </c>
    </row>
    <row r="979" spans="54:62" ht="13.8" x14ac:dyDescent="0.25">
      <c r="BB979" s="187">
        <v>43483</v>
      </c>
      <c r="BC979" s="180">
        <v>-0.23499999999999999</v>
      </c>
      <c r="BD979" s="191">
        <v>43483</v>
      </c>
      <c r="BE979" s="192">
        <v>0.223</v>
      </c>
      <c r="BH979" s="94">
        <v>43509</v>
      </c>
      <c r="BI979" s="95">
        <v>0.19900000000000001</v>
      </c>
      <c r="BJ979" s="96">
        <v>11.81</v>
      </c>
    </row>
    <row r="980" spans="54:62" ht="13.8" x14ac:dyDescent="0.25">
      <c r="BB980" s="187">
        <v>43486</v>
      </c>
      <c r="BC980" s="180">
        <v>-0.23599999999999999</v>
      </c>
      <c r="BD980" s="191">
        <v>43486</v>
      </c>
      <c r="BE980" s="192">
        <v>0.222</v>
      </c>
      <c r="BH980" s="94">
        <v>43510</v>
      </c>
      <c r="BI980" s="95">
        <v>0.19600000000000001</v>
      </c>
      <c r="BJ980" s="96">
        <v>11.81</v>
      </c>
    </row>
    <row r="981" spans="54:62" ht="13.8" x14ac:dyDescent="0.25">
      <c r="BB981" s="187">
        <v>43487</v>
      </c>
      <c r="BC981" s="180">
        <v>-0.23699999999999999</v>
      </c>
      <c r="BD981" s="191">
        <v>43487</v>
      </c>
      <c r="BE981" s="192">
        <v>0.221</v>
      </c>
      <c r="BH981" s="94">
        <v>43511</v>
      </c>
      <c r="BI981" s="95">
        <v>0.192</v>
      </c>
      <c r="BJ981" s="96">
        <v>11.8</v>
      </c>
    </row>
    <row r="982" spans="54:62" ht="13.8" x14ac:dyDescent="0.25">
      <c r="BB982" s="187">
        <v>43488</v>
      </c>
      <c r="BC982" s="180">
        <v>-0.23699999999999999</v>
      </c>
      <c r="BD982" s="191">
        <v>43488</v>
      </c>
      <c r="BE982" s="192">
        <v>0.22</v>
      </c>
      <c r="BH982" s="94">
        <v>43514</v>
      </c>
      <c r="BI982" s="95">
        <v>0.189</v>
      </c>
      <c r="BJ982" s="96">
        <v>11.79</v>
      </c>
    </row>
    <row r="983" spans="54:62" ht="13.8" x14ac:dyDescent="0.25">
      <c r="BB983" s="187">
        <v>43489</v>
      </c>
      <c r="BC983" s="180">
        <v>-0.23599999999999999</v>
      </c>
      <c r="BD983" s="191">
        <v>43489</v>
      </c>
      <c r="BE983" s="192">
        <v>0.217</v>
      </c>
      <c r="BH983" s="94">
        <v>43515</v>
      </c>
      <c r="BI983" s="95">
        <v>0.185</v>
      </c>
      <c r="BJ983" s="96">
        <v>11.79</v>
      </c>
    </row>
    <row r="984" spans="54:62" ht="13.8" x14ac:dyDescent="0.25">
      <c r="BB984" s="187">
        <v>43490</v>
      </c>
      <c r="BC984" s="180">
        <v>-0.23699999999999999</v>
      </c>
      <c r="BD984" s="191">
        <v>43490</v>
      </c>
      <c r="BE984" s="192">
        <v>0.216</v>
      </c>
      <c r="BH984" s="94">
        <v>43516</v>
      </c>
      <c r="BI984" s="95">
        <v>0.182</v>
      </c>
      <c r="BJ984" s="96">
        <v>11.79</v>
      </c>
    </row>
    <row r="985" spans="54:62" ht="13.8" x14ac:dyDescent="0.25">
      <c r="BB985" s="187">
        <v>43493</v>
      </c>
      <c r="BC985" s="180">
        <v>-0.23699999999999999</v>
      </c>
      <c r="BD985" s="191">
        <v>43493</v>
      </c>
      <c r="BE985" s="192">
        <v>0.214</v>
      </c>
      <c r="BH985" s="94">
        <v>43517</v>
      </c>
      <c r="BI985" s="95">
        <v>0.18099999999999999</v>
      </c>
      <c r="BJ985" s="96">
        <v>11.79</v>
      </c>
    </row>
    <row r="986" spans="54:62" ht="13.8" x14ac:dyDescent="0.25">
      <c r="BB986" s="187">
        <v>43494</v>
      </c>
      <c r="BC986" s="180">
        <v>-0.23699999999999999</v>
      </c>
      <c r="BD986" s="191">
        <v>43494</v>
      </c>
      <c r="BE986" s="192">
        <v>0.21299999999999999</v>
      </c>
      <c r="BH986" s="94">
        <v>43518</v>
      </c>
      <c r="BI986" s="95">
        <v>0.17899999999999999</v>
      </c>
      <c r="BJ986" s="96">
        <v>11.78</v>
      </c>
    </row>
    <row r="987" spans="54:62" ht="13.8" x14ac:dyDescent="0.25">
      <c r="BB987" s="187">
        <v>43495</v>
      </c>
      <c r="BC987" s="180">
        <v>-0.23599999999999999</v>
      </c>
      <c r="BD987" s="191">
        <v>43495</v>
      </c>
      <c r="BE987" s="192">
        <v>0.214</v>
      </c>
      <c r="BH987" s="94">
        <v>43521</v>
      </c>
      <c r="BI987" s="95">
        <v>0.17699999999999999</v>
      </c>
      <c r="BJ987" s="96">
        <v>11.78</v>
      </c>
    </row>
    <row r="988" spans="54:62" ht="13.8" x14ac:dyDescent="0.25">
      <c r="BB988" s="187">
        <v>43496</v>
      </c>
      <c r="BC988" s="180">
        <v>-0.23599999999999999</v>
      </c>
      <c r="BD988" s="191">
        <v>43496</v>
      </c>
      <c r="BE988" s="192">
        <v>0.214</v>
      </c>
      <c r="BH988" s="94">
        <v>43522</v>
      </c>
      <c r="BI988" s="95">
        <v>0.17499999999999999</v>
      </c>
      <c r="BJ988" s="96">
        <v>11.77</v>
      </c>
    </row>
    <row r="989" spans="54:62" ht="13.8" x14ac:dyDescent="0.25">
      <c r="BB989" s="187">
        <v>43497</v>
      </c>
      <c r="BC989" s="180">
        <v>-0.23499999999999999</v>
      </c>
      <c r="BD989" s="191">
        <v>43497</v>
      </c>
      <c r="BE989" s="192">
        <v>0.21199999999999999</v>
      </c>
      <c r="BH989" s="94">
        <v>43523</v>
      </c>
      <c r="BI989" s="95">
        <v>0.17399999999999999</v>
      </c>
      <c r="BJ989" s="96">
        <v>11.77</v>
      </c>
    </row>
    <row r="990" spans="54:62" ht="13.8" x14ac:dyDescent="0.25">
      <c r="BB990" s="187">
        <v>43500</v>
      </c>
      <c r="BC990" s="180">
        <v>-0.23499999999999999</v>
      </c>
      <c r="BD990" s="191">
        <v>43500</v>
      </c>
      <c r="BE990" s="192">
        <v>0.20899999999999999</v>
      </c>
      <c r="BH990" s="94">
        <v>43524</v>
      </c>
      <c r="BI990" s="95">
        <v>0.17499999999999999</v>
      </c>
      <c r="BJ990" s="96">
        <v>11.77</v>
      </c>
    </row>
    <row r="991" spans="54:62" ht="13.8" x14ac:dyDescent="0.25">
      <c r="BB991" s="187">
        <v>43501</v>
      </c>
      <c r="BC991" s="180">
        <v>-0.23400000000000001</v>
      </c>
      <c r="BD991" s="191">
        <v>43501</v>
      </c>
      <c r="BE991" s="192">
        <v>0.215</v>
      </c>
      <c r="BH991" s="94">
        <v>43525</v>
      </c>
      <c r="BI991" s="95">
        <v>0.17799999999999999</v>
      </c>
      <c r="BJ991" s="96">
        <v>11.76</v>
      </c>
    </row>
    <row r="992" spans="54:62" ht="13.8" x14ac:dyDescent="0.25">
      <c r="BB992" s="187">
        <v>43502</v>
      </c>
      <c r="BC992" s="180">
        <v>-0.23400000000000001</v>
      </c>
      <c r="BD992" s="191">
        <v>43502</v>
      </c>
      <c r="BE992" s="192">
        <v>0.21199999999999999</v>
      </c>
      <c r="BH992" s="94">
        <v>43528</v>
      </c>
      <c r="BI992" s="95">
        <v>0.17899999999999999</v>
      </c>
      <c r="BJ992" s="96">
        <v>11.76</v>
      </c>
    </row>
    <row r="993" spans="54:62" ht="13.8" x14ac:dyDescent="0.25">
      <c r="BB993" s="187">
        <v>43503</v>
      </c>
      <c r="BC993" s="180">
        <v>-0.23300000000000001</v>
      </c>
      <c r="BD993" s="191">
        <v>43503</v>
      </c>
      <c r="BE993" s="192">
        <v>0.20799999999999999</v>
      </c>
      <c r="BH993" s="94">
        <v>43529</v>
      </c>
      <c r="BI993" s="95">
        <v>0.18</v>
      </c>
      <c r="BJ993" s="96">
        <v>11.75</v>
      </c>
    </row>
    <row r="994" spans="54:62" ht="13.8" x14ac:dyDescent="0.25">
      <c r="BB994" s="187">
        <v>43504</v>
      </c>
      <c r="BC994" s="180">
        <v>-0.23300000000000001</v>
      </c>
      <c r="BD994" s="191">
        <v>43504</v>
      </c>
      <c r="BE994" s="192">
        <v>0.20399999999999999</v>
      </c>
      <c r="BH994" s="94">
        <v>43530</v>
      </c>
      <c r="BI994" s="95">
        <v>0.17899999999999999</v>
      </c>
      <c r="BJ994" s="96">
        <v>11.75</v>
      </c>
    </row>
    <row r="995" spans="54:62" ht="13.8" x14ac:dyDescent="0.25">
      <c r="BB995" s="187">
        <v>43507</v>
      </c>
      <c r="BC995" s="180">
        <v>-0.23200000000000001</v>
      </c>
      <c r="BD995" s="191">
        <v>43507</v>
      </c>
      <c r="BE995" s="192">
        <v>0.20200000000000001</v>
      </c>
      <c r="BH995" s="94">
        <v>43531</v>
      </c>
      <c r="BI995" s="95">
        <v>0.18099999999999999</v>
      </c>
      <c r="BJ995" s="96">
        <v>11.77</v>
      </c>
    </row>
    <row r="996" spans="54:62" ht="13.8" x14ac:dyDescent="0.25">
      <c r="BB996" s="187">
        <v>43508</v>
      </c>
      <c r="BC996" s="180">
        <v>-0.23100000000000001</v>
      </c>
      <c r="BD996" s="191">
        <v>43508</v>
      </c>
      <c r="BE996" s="192">
        <v>0.2</v>
      </c>
      <c r="BH996" s="94">
        <v>43532</v>
      </c>
      <c r="BI996" s="95">
        <v>0.18</v>
      </c>
      <c r="BJ996" s="96">
        <v>11.77</v>
      </c>
    </row>
    <row r="997" spans="54:62" ht="13.8" x14ac:dyDescent="0.25">
      <c r="BB997" s="187">
        <v>43509</v>
      </c>
      <c r="BC997" s="180">
        <v>-0.23100000000000001</v>
      </c>
      <c r="BD997" s="191">
        <v>43509</v>
      </c>
      <c r="BE997" s="192">
        <v>0.19900000000000001</v>
      </c>
      <c r="BH997" s="94">
        <v>43535</v>
      </c>
      <c r="BI997" s="95">
        <v>0.17799999999999999</v>
      </c>
      <c r="BJ997" s="96">
        <v>11.76</v>
      </c>
    </row>
    <row r="998" spans="54:62" ht="13.8" x14ac:dyDescent="0.25">
      <c r="BB998" s="187">
        <v>43510</v>
      </c>
      <c r="BC998" s="180">
        <v>-0.23100000000000001</v>
      </c>
      <c r="BD998" s="191">
        <v>43510</v>
      </c>
      <c r="BE998" s="192">
        <v>0.19600000000000001</v>
      </c>
      <c r="BH998" s="94">
        <v>43536</v>
      </c>
      <c r="BI998" s="95">
        <v>0.17599999999999999</v>
      </c>
      <c r="BJ998" s="96">
        <v>11.76</v>
      </c>
    </row>
    <row r="999" spans="54:62" ht="13.8" x14ac:dyDescent="0.25">
      <c r="BB999" s="187">
        <v>43511</v>
      </c>
      <c r="BC999" s="180">
        <v>-0.23200000000000001</v>
      </c>
      <c r="BD999" s="191">
        <v>43511</v>
      </c>
      <c r="BE999" s="192">
        <v>0.192</v>
      </c>
      <c r="BH999" s="94">
        <v>43537</v>
      </c>
      <c r="BI999" s="95">
        <v>0.17299999999999999</v>
      </c>
      <c r="BJ999" s="96">
        <v>11.76</v>
      </c>
    </row>
    <row r="1000" spans="54:62" ht="13.8" x14ac:dyDescent="0.25">
      <c r="BB1000" s="187">
        <v>43514</v>
      </c>
      <c r="BC1000" s="180">
        <v>-0.23200000000000001</v>
      </c>
      <c r="BD1000" s="191">
        <v>43514</v>
      </c>
      <c r="BE1000" s="192">
        <v>0.189</v>
      </c>
      <c r="BH1000" s="94">
        <v>43538</v>
      </c>
      <c r="BI1000" s="95">
        <v>0.17100000000000001</v>
      </c>
      <c r="BJ1000" s="96">
        <v>11.75</v>
      </c>
    </row>
    <row r="1001" spans="54:62" ht="13.8" x14ac:dyDescent="0.25">
      <c r="BB1001" s="187">
        <v>43515</v>
      </c>
      <c r="BC1001" s="180">
        <v>-0.23200000000000001</v>
      </c>
      <c r="BD1001" s="191">
        <v>43515</v>
      </c>
      <c r="BE1001" s="192">
        <v>0.185</v>
      </c>
      <c r="BH1001" s="94">
        <v>43539</v>
      </c>
      <c r="BI1001" s="95">
        <v>0.16900000000000001</v>
      </c>
      <c r="BJ1001" s="96">
        <v>11.75</v>
      </c>
    </row>
    <row r="1002" spans="54:62" ht="13.8" x14ac:dyDescent="0.25">
      <c r="BB1002" s="187">
        <v>43516</v>
      </c>
      <c r="BC1002" s="180">
        <v>-0.23100000000000001</v>
      </c>
      <c r="BD1002" s="191">
        <v>43516</v>
      </c>
      <c r="BE1002" s="192">
        <v>0.182</v>
      </c>
      <c r="BH1002" s="94">
        <v>43542</v>
      </c>
      <c r="BI1002" s="95">
        <v>0.16800000000000001</v>
      </c>
      <c r="BJ1002" s="96">
        <v>11.74</v>
      </c>
    </row>
    <row r="1003" spans="54:62" ht="13.8" x14ac:dyDescent="0.25">
      <c r="BB1003" s="187">
        <v>43517</v>
      </c>
      <c r="BC1003" s="180">
        <v>-0.23100000000000001</v>
      </c>
      <c r="BD1003" s="191">
        <v>43517</v>
      </c>
      <c r="BE1003" s="192">
        <v>0.18099999999999999</v>
      </c>
      <c r="BH1003" s="94">
        <v>43543</v>
      </c>
      <c r="BI1003" s="95">
        <v>0.16600000000000001</v>
      </c>
      <c r="BJ1003" s="96">
        <v>11.74</v>
      </c>
    </row>
    <row r="1004" spans="54:62" ht="13.8" x14ac:dyDescent="0.25">
      <c r="BB1004" s="187">
        <v>43518</v>
      </c>
      <c r="BC1004" s="180">
        <v>-0.23100000000000001</v>
      </c>
      <c r="BD1004" s="191">
        <v>43518</v>
      </c>
      <c r="BE1004" s="192">
        <v>0.17899999999999999</v>
      </c>
      <c r="BH1004" s="94">
        <v>43544</v>
      </c>
      <c r="BI1004" s="95">
        <v>0.16500000000000001</v>
      </c>
      <c r="BJ1004" s="96">
        <v>11.74</v>
      </c>
    </row>
    <row r="1005" spans="54:62" ht="13.8" x14ac:dyDescent="0.25">
      <c r="BB1005" s="187">
        <v>43521</v>
      </c>
      <c r="BC1005" s="180">
        <v>-0.23</v>
      </c>
      <c r="BD1005" s="191">
        <v>43521</v>
      </c>
      <c r="BE1005" s="192">
        <v>0.17699999999999999</v>
      </c>
      <c r="BH1005" s="94">
        <v>43545</v>
      </c>
      <c r="BI1005" s="95">
        <v>0.161</v>
      </c>
      <c r="BJ1005" s="96">
        <v>11.73</v>
      </c>
    </row>
    <row r="1006" spans="54:62" ht="13.8" x14ac:dyDescent="0.25">
      <c r="BB1006" s="187">
        <v>43522</v>
      </c>
      <c r="BC1006" s="180">
        <v>-0.23</v>
      </c>
      <c r="BD1006" s="191">
        <v>43522</v>
      </c>
      <c r="BE1006" s="192">
        <v>0.17499999999999999</v>
      </c>
      <c r="BH1006" s="94">
        <v>43546</v>
      </c>
      <c r="BI1006" s="95">
        <v>0.155</v>
      </c>
      <c r="BJ1006" s="96">
        <v>11.73</v>
      </c>
    </row>
    <row r="1007" spans="54:62" ht="13.8" x14ac:dyDescent="0.25">
      <c r="BB1007" s="187">
        <v>43523</v>
      </c>
      <c r="BC1007" s="180">
        <v>-0.22900000000000001</v>
      </c>
      <c r="BD1007" s="191">
        <v>43523</v>
      </c>
      <c r="BE1007" s="192">
        <v>0.17399999999999999</v>
      </c>
      <c r="BH1007" s="94">
        <v>43549</v>
      </c>
      <c r="BI1007" s="95">
        <v>0.14899999999999999</v>
      </c>
      <c r="BJ1007" s="96">
        <v>11.72</v>
      </c>
    </row>
    <row r="1008" spans="54:62" ht="13.8" x14ac:dyDescent="0.25">
      <c r="BB1008" s="187">
        <v>43524</v>
      </c>
      <c r="BC1008" s="180">
        <v>-0.22900000000000001</v>
      </c>
      <c r="BD1008" s="191">
        <v>43524</v>
      </c>
      <c r="BE1008" s="192">
        <v>0.17499999999999999</v>
      </c>
      <c r="BH1008" s="94">
        <v>43550</v>
      </c>
      <c r="BI1008" s="95">
        <v>0.14199999999999999</v>
      </c>
      <c r="BJ1008" s="96">
        <v>11.72</v>
      </c>
    </row>
    <row r="1009" spans="54:62" ht="13.8" x14ac:dyDescent="0.25">
      <c r="BB1009" s="187">
        <v>43525</v>
      </c>
      <c r="BC1009" s="180">
        <v>-0.23</v>
      </c>
      <c r="BD1009" s="191">
        <v>43525</v>
      </c>
      <c r="BE1009" s="192">
        <v>0.17799999999999999</v>
      </c>
      <c r="BH1009" s="94">
        <v>43551</v>
      </c>
      <c r="BI1009" s="95">
        <v>0.13300000000000001</v>
      </c>
      <c r="BJ1009" s="96">
        <v>11.72</v>
      </c>
    </row>
    <row r="1010" spans="54:62" ht="13.8" x14ac:dyDescent="0.25">
      <c r="BB1010" s="187">
        <v>43528</v>
      </c>
      <c r="BC1010" s="180">
        <v>-0.23</v>
      </c>
      <c r="BD1010" s="191">
        <v>43528</v>
      </c>
      <c r="BE1010" s="192">
        <v>0.17899999999999999</v>
      </c>
      <c r="BH1010" s="94">
        <v>43552</v>
      </c>
      <c r="BI1010" s="95">
        <v>0.123</v>
      </c>
      <c r="BJ1010" s="96">
        <v>11.72</v>
      </c>
    </row>
    <row r="1011" spans="54:62" ht="13.8" x14ac:dyDescent="0.25">
      <c r="BB1011" s="187">
        <v>43529</v>
      </c>
      <c r="BC1011" s="180">
        <v>-0.23100000000000001</v>
      </c>
      <c r="BD1011" s="191">
        <v>43529</v>
      </c>
      <c r="BE1011" s="192">
        <v>0.18</v>
      </c>
      <c r="BH1011" s="94">
        <v>43553</v>
      </c>
      <c r="BI1011" s="95">
        <v>0.112</v>
      </c>
      <c r="BJ1011" s="96">
        <v>11.71</v>
      </c>
    </row>
    <row r="1012" spans="54:62" ht="13.8" x14ac:dyDescent="0.25">
      <c r="BB1012" s="187">
        <v>43530</v>
      </c>
      <c r="BC1012" s="180">
        <v>-0.23200000000000001</v>
      </c>
      <c r="BD1012" s="191">
        <v>43530</v>
      </c>
      <c r="BE1012" s="192">
        <v>0.17899999999999999</v>
      </c>
      <c r="BH1012" s="94">
        <v>43556</v>
      </c>
      <c r="BI1012" s="95">
        <v>0.10299999999999999</v>
      </c>
      <c r="BJ1012" s="96">
        <v>11.7</v>
      </c>
    </row>
    <row r="1013" spans="54:62" ht="13.8" x14ac:dyDescent="0.25">
      <c r="BB1013" s="187">
        <v>43531</v>
      </c>
      <c r="BC1013" s="180">
        <v>-0.23100000000000001</v>
      </c>
      <c r="BD1013" s="191">
        <v>43531</v>
      </c>
      <c r="BE1013" s="192">
        <v>0.18099999999999999</v>
      </c>
      <c r="BH1013" s="94">
        <v>43557</v>
      </c>
      <c r="BI1013" s="95">
        <v>9.2999999999999999E-2</v>
      </c>
      <c r="BJ1013" s="96">
        <v>11.7</v>
      </c>
    </row>
    <row r="1014" spans="54:62" ht="13.8" x14ac:dyDescent="0.25">
      <c r="BB1014" s="187">
        <v>43532</v>
      </c>
      <c r="BC1014" s="180">
        <v>-0.23200000000000001</v>
      </c>
      <c r="BD1014" s="191">
        <v>43532</v>
      </c>
      <c r="BE1014" s="192">
        <v>0.18</v>
      </c>
      <c r="BH1014" s="94">
        <v>43558</v>
      </c>
      <c r="BI1014" s="95">
        <v>8.6999999999999994E-2</v>
      </c>
      <c r="BJ1014" s="96">
        <v>11.7</v>
      </c>
    </row>
    <row r="1015" spans="54:62" ht="13.8" x14ac:dyDescent="0.25">
      <c r="BB1015" s="187">
        <v>43535</v>
      </c>
      <c r="BC1015" s="180">
        <v>-0.23200000000000001</v>
      </c>
      <c r="BD1015" s="191">
        <v>43535</v>
      </c>
      <c r="BE1015" s="192">
        <v>0.17799999999999999</v>
      </c>
      <c r="BH1015" s="94">
        <v>43559</v>
      </c>
      <c r="BI1015" s="95">
        <v>8.3000000000000004E-2</v>
      </c>
      <c r="BJ1015" s="96">
        <v>11.7</v>
      </c>
    </row>
    <row r="1016" spans="54:62" ht="13.8" x14ac:dyDescent="0.25">
      <c r="BB1016" s="187">
        <v>43536</v>
      </c>
      <c r="BC1016" s="180">
        <v>-0.23100000000000001</v>
      </c>
      <c r="BD1016" s="191">
        <v>43536</v>
      </c>
      <c r="BE1016" s="192">
        <v>0.17599999999999999</v>
      </c>
      <c r="BH1016" s="94">
        <v>43560</v>
      </c>
      <c r="BI1016" s="95">
        <v>0.08</v>
      </c>
      <c r="BJ1016" s="96">
        <v>11.69</v>
      </c>
    </row>
    <row r="1017" spans="54:62" ht="13.8" x14ac:dyDescent="0.25">
      <c r="BB1017" s="187">
        <v>43537</v>
      </c>
      <c r="BC1017" s="180">
        <v>-0.23200000000000001</v>
      </c>
      <c r="BD1017" s="191">
        <v>43537</v>
      </c>
      <c r="BE1017" s="192">
        <v>0.17299999999999999</v>
      </c>
      <c r="BH1017" s="94">
        <v>43563</v>
      </c>
      <c r="BI1017" s="95">
        <v>7.5999999999999998E-2</v>
      </c>
      <c r="BJ1017" s="96">
        <v>11.69</v>
      </c>
    </row>
    <row r="1018" spans="54:62" ht="13.8" x14ac:dyDescent="0.25">
      <c r="BB1018" s="187">
        <v>43538</v>
      </c>
      <c r="BC1018" s="180">
        <v>-0.23200000000000001</v>
      </c>
      <c r="BD1018" s="191">
        <v>43538</v>
      </c>
      <c r="BE1018" s="192">
        <v>0.17100000000000001</v>
      </c>
      <c r="BH1018" s="94">
        <v>43564</v>
      </c>
      <c r="BI1018" s="95">
        <v>7.1999999999999995E-2</v>
      </c>
      <c r="BJ1018" s="96">
        <v>11.68</v>
      </c>
    </row>
    <row r="1019" spans="54:62" ht="13.8" x14ac:dyDescent="0.25">
      <c r="BB1019" s="187">
        <v>43539</v>
      </c>
      <c r="BC1019" s="180">
        <v>-0.23200000000000001</v>
      </c>
      <c r="BD1019" s="191">
        <v>43539</v>
      </c>
      <c r="BE1019" s="192">
        <v>0.16900000000000001</v>
      </c>
      <c r="BH1019" s="94">
        <v>43565</v>
      </c>
      <c r="BI1019" s="95">
        <v>6.8000000000000005E-2</v>
      </c>
      <c r="BJ1019" s="96">
        <v>11.68</v>
      </c>
    </row>
    <row r="1020" spans="54:62" ht="13.8" x14ac:dyDescent="0.25">
      <c r="BB1020" s="187">
        <v>43542</v>
      </c>
      <c r="BC1020" s="180">
        <v>-0.23100000000000001</v>
      </c>
      <c r="BD1020" s="191">
        <v>43542</v>
      </c>
      <c r="BE1020" s="192">
        <v>0.16800000000000001</v>
      </c>
      <c r="BH1020" s="94">
        <v>43566</v>
      </c>
      <c r="BI1020" s="95">
        <v>6.3E-2</v>
      </c>
      <c r="BJ1020" s="96">
        <v>11.65</v>
      </c>
    </row>
    <row r="1021" spans="54:62" ht="13.8" x14ac:dyDescent="0.25">
      <c r="BB1021" s="187">
        <v>43543</v>
      </c>
      <c r="BC1021" s="180">
        <v>-0.23200000000000001</v>
      </c>
      <c r="BD1021" s="191">
        <v>43543</v>
      </c>
      <c r="BE1021" s="192">
        <v>0.16600000000000001</v>
      </c>
      <c r="BH1021" s="94">
        <v>43567</v>
      </c>
      <c r="BI1021" s="95">
        <v>0.06</v>
      </c>
      <c r="BJ1021" s="96">
        <v>11.65</v>
      </c>
    </row>
    <row r="1022" spans="54:62" ht="13.8" x14ac:dyDescent="0.25">
      <c r="BB1022" s="187">
        <v>43544</v>
      </c>
      <c r="BC1022" s="180">
        <v>-0.23100000000000001</v>
      </c>
      <c r="BD1022" s="191">
        <v>43544</v>
      </c>
      <c r="BE1022" s="192">
        <v>0.16500000000000001</v>
      </c>
      <c r="BH1022" s="94">
        <v>43570</v>
      </c>
      <c r="BI1022" s="95">
        <v>5.8000000000000003E-2</v>
      </c>
      <c r="BJ1022" s="96">
        <v>11.64</v>
      </c>
    </row>
    <row r="1023" spans="54:62" ht="13.8" x14ac:dyDescent="0.25">
      <c r="BB1023" s="187">
        <v>43545</v>
      </c>
      <c r="BC1023" s="180">
        <v>-0.22900000000000001</v>
      </c>
      <c r="BD1023" s="191">
        <v>43545</v>
      </c>
      <c r="BE1023" s="192">
        <v>0.161</v>
      </c>
      <c r="BH1023" s="94">
        <v>43571</v>
      </c>
      <c r="BI1023" s="95">
        <v>5.6000000000000001E-2</v>
      </c>
      <c r="BJ1023" s="96">
        <v>11.64</v>
      </c>
    </row>
    <row r="1024" spans="54:62" ht="13.8" x14ac:dyDescent="0.25">
      <c r="BB1024" s="187">
        <v>43546</v>
      </c>
      <c r="BC1024" s="180">
        <v>-0.22800000000000001</v>
      </c>
      <c r="BD1024" s="191">
        <v>43546</v>
      </c>
      <c r="BE1024" s="192">
        <v>0.155</v>
      </c>
      <c r="BH1024" s="94">
        <v>43572</v>
      </c>
      <c r="BI1024" s="95">
        <v>5.5E-2</v>
      </c>
      <c r="BJ1024" s="96">
        <v>11.63</v>
      </c>
    </row>
    <row r="1025" spans="54:62" ht="13.8" x14ac:dyDescent="0.25">
      <c r="BB1025" s="187">
        <v>43549</v>
      </c>
      <c r="BC1025" s="180">
        <v>-0.22800000000000001</v>
      </c>
      <c r="BD1025" s="191">
        <v>43549</v>
      </c>
      <c r="BE1025" s="192">
        <v>0.14899999999999999</v>
      </c>
      <c r="BH1025" s="94">
        <v>43573</v>
      </c>
      <c r="BI1025" s="95">
        <v>5.3999999999999999E-2</v>
      </c>
      <c r="BJ1025" s="96">
        <v>11.63</v>
      </c>
    </row>
    <row r="1026" spans="54:62" ht="13.8" x14ac:dyDescent="0.25">
      <c r="BB1026" s="187">
        <v>43550</v>
      </c>
      <c r="BC1026" s="180">
        <v>-0.22800000000000001</v>
      </c>
      <c r="BD1026" s="191">
        <v>43550</v>
      </c>
      <c r="BE1026" s="192">
        <v>0.14199999999999999</v>
      </c>
      <c r="BH1026" s="94">
        <v>43574</v>
      </c>
      <c r="BI1026" s="95">
        <v>5.5E-2</v>
      </c>
      <c r="BJ1026" s="96">
        <v>11.63</v>
      </c>
    </row>
    <row r="1027" spans="54:62" ht="13.8" x14ac:dyDescent="0.25">
      <c r="BB1027" s="187">
        <v>43551</v>
      </c>
      <c r="BC1027" s="180">
        <v>-0.22700000000000001</v>
      </c>
      <c r="BD1027" s="191">
        <v>43551</v>
      </c>
      <c r="BE1027" s="192">
        <v>0.13300000000000001</v>
      </c>
      <c r="BH1027" s="94">
        <v>43578</v>
      </c>
      <c r="BI1027" s="95">
        <v>5.7000000000000002E-2</v>
      </c>
      <c r="BJ1027" s="96">
        <v>11.62</v>
      </c>
    </row>
    <row r="1028" spans="54:62" ht="13.8" x14ac:dyDescent="0.25">
      <c r="BB1028" s="187">
        <v>43552</v>
      </c>
      <c r="BC1028" s="180">
        <v>-0.22800000000000001</v>
      </c>
      <c r="BD1028" s="191">
        <v>43552</v>
      </c>
      <c r="BE1028" s="192">
        <v>0.123</v>
      </c>
      <c r="BH1028" s="94">
        <v>43579</v>
      </c>
      <c r="BI1028" s="95">
        <v>5.7000000000000002E-2</v>
      </c>
      <c r="BJ1028" s="96">
        <v>11.61</v>
      </c>
    </row>
    <row r="1029" spans="54:62" ht="13.8" x14ac:dyDescent="0.25">
      <c r="BB1029" s="187">
        <v>43553</v>
      </c>
      <c r="BC1029" s="180">
        <v>-0.22800000000000001</v>
      </c>
      <c r="BD1029" s="191">
        <v>43553</v>
      </c>
      <c r="BE1029" s="192">
        <v>0.112</v>
      </c>
      <c r="BH1029" s="94">
        <v>43580</v>
      </c>
      <c r="BI1029" s="95">
        <v>5.8999999999999997E-2</v>
      </c>
      <c r="BJ1029" s="96">
        <v>11.61</v>
      </c>
    </row>
    <row r="1030" spans="54:62" ht="13.8" x14ac:dyDescent="0.25">
      <c r="BB1030" s="187">
        <v>43556</v>
      </c>
      <c r="BC1030" s="180">
        <v>-0.22800000000000001</v>
      </c>
      <c r="BD1030" s="191">
        <v>43556</v>
      </c>
      <c r="BE1030" s="192">
        <v>0.10299999999999999</v>
      </c>
      <c r="BH1030" s="94">
        <v>43581</v>
      </c>
      <c r="BI1030" s="95">
        <v>6.0999999999999999E-2</v>
      </c>
      <c r="BJ1030" s="96">
        <v>11.61</v>
      </c>
    </row>
    <row r="1031" spans="54:62" ht="13.8" x14ac:dyDescent="0.25">
      <c r="BB1031" s="187">
        <v>43557</v>
      </c>
      <c r="BC1031" s="180">
        <v>-0.23</v>
      </c>
      <c r="BD1031" s="191">
        <v>43557</v>
      </c>
      <c r="BE1031" s="192">
        <v>9.2999999999999999E-2</v>
      </c>
      <c r="BH1031" s="94">
        <v>43584</v>
      </c>
      <c r="BI1031" s="95">
        <v>6.3E-2</v>
      </c>
      <c r="BJ1031" s="96">
        <v>11.6</v>
      </c>
    </row>
    <row r="1032" spans="54:62" ht="13.8" x14ac:dyDescent="0.25">
      <c r="BB1032" s="187">
        <v>43558</v>
      </c>
      <c r="BC1032" s="180">
        <v>-0.23</v>
      </c>
      <c r="BD1032" s="191">
        <v>43558</v>
      </c>
      <c r="BE1032" s="192">
        <v>8.6999999999999994E-2</v>
      </c>
      <c r="BH1032" s="94">
        <v>43585</v>
      </c>
      <c r="BI1032" s="95">
        <v>6.5000000000000002E-2</v>
      </c>
      <c r="BJ1032" s="96">
        <v>11.6</v>
      </c>
    </row>
    <row r="1033" spans="54:62" ht="13.8" x14ac:dyDescent="0.25">
      <c r="BB1033" s="187">
        <v>43559</v>
      </c>
      <c r="BC1033" s="180">
        <v>-0.23</v>
      </c>
      <c r="BD1033" s="191">
        <v>43559</v>
      </c>
      <c r="BE1033" s="192">
        <v>8.3000000000000004E-2</v>
      </c>
      <c r="BH1033" s="94">
        <v>43587</v>
      </c>
      <c r="BI1033" s="95">
        <v>6.6000000000000003E-2</v>
      </c>
      <c r="BJ1033" s="96">
        <v>11.59</v>
      </c>
    </row>
    <row r="1034" spans="54:62" ht="13.8" x14ac:dyDescent="0.25">
      <c r="BB1034" s="187">
        <v>43560</v>
      </c>
      <c r="BC1034" s="180">
        <v>-0.23100000000000001</v>
      </c>
      <c r="BD1034" s="191">
        <v>43560</v>
      </c>
      <c r="BE1034" s="192">
        <v>0.08</v>
      </c>
      <c r="BH1034" s="94">
        <v>43588</v>
      </c>
      <c r="BI1034" s="95">
        <v>6.6000000000000003E-2</v>
      </c>
      <c r="BJ1034" s="96">
        <v>11.59</v>
      </c>
    </row>
    <row r="1035" spans="54:62" ht="13.8" x14ac:dyDescent="0.25">
      <c r="BB1035" s="187">
        <v>43563</v>
      </c>
      <c r="BC1035" s="180">
        <v>-0.23100000000000001</v>
      </c>
      <c r="BD1035" s="191">
        <v>43563</v>
      </c>
      <c r="BE1035" s="192">
        <v>7.5999999999999998E-2</v>
      </c>
      <c r="BH1035" s="94">
        <v>43591</v>
      </c>
      <c r="BI1035" s="95">
        <v>6.6000000000000003E-2</v>
      </c>
      <c r="BJ1035" s="96">
        <v>11.58</v>
      </c>
    </row>
    <row r="1036" spans="54:62" ht="13.8" x14ac:dyDescent="0.25">
      <c r="BB1036" s="187">
        <v>43564</v>
      </c>
      <c r="BC1036" s="180">
        <v>-0.23100000000000001</v>
      </c>
      <c r="BD1036" s="191">
        <v>43564</v>
      </c>
      <c r="BE1036" s="192">
        <v>7.1999999999999995E-2</v>
      </c>
      <c r="BH1036" s="94">
        <v>43592</v>
      </c>
      <c r="BI1036" s="95">
        <v>6.3E-2</v>
      </c>
      <c r="BJ1036" s="96">
        <v>11.58</v>
      </c>
    </row>
    <row r="1037" spans="54:62" ht="13.8" x14ac:dyDescent="0.25">
      <c r="BB1037" s="187">
        <v>43565</v>
      </c>
      <c r="BC1037" s="180">
        <v>-0.23100000000000001</v>
      </c>
      <c r="BD1037" s="191">
        <v>43565</v>
      </c>
      <c r="BE1037" s="192">
        <v>6.8000000000000005E-2</v>
      </c>
      <c r="BH1037" s="94">
        <v>43593</v>
      </c>
      <c r="BI1037" s="95">
        <v>6.0999999999999999E-2</v>
      </c>
      <c r="BJ1037" s="96">
        <v>11.58</v>
      </c>
    </row>
    <row r="1038" spans="54:62" ht="13.8" x14ac:dyDescent="0.25">
      <c r="BB1038" s="187">
        <v>43566</v>
      </c>
      <c r="BC1038" s="180">
        <v>-0.23200000000000001</v>
      </c>
      <c r="BD1038" s="191">
        <v>43566</v>
      </c>
      <c r="BE1038" s="192">
        <v>6.3E-2</v>
      </c>
      <c r="BH1038" s="94">
        <v>43594</v>
      </c>
      <c r="BI1038" s="95">
        <v>5.8999999999999997E-2</v>
      </c>
      <c r="BJ1038" s="96">
        <v>11.54</v>
      </c>
    </row>
    <row r="1039" spans="54:62" ht="13.8" x14ac:dyDescent="0.25">
      <c r="BB1039" s="187">
        <v>43567</v>
      </c>
      <c r="BC1039" s="180">
        <v>-0.23200000000000001</v>
      </c>
      <c r="BD1039" s="191">
        <v>43567</v>
      </c>
      <c r="BE1039" s="192">
        <v>0.06</v>
      </c>
      <c r="BH1039" s="94">
        <v>43595</v>
      </c>
      <c r="BI1039" s="95">
        <v>5.8000000000000003E-2</v>
      </c>
      <c r="BJ1039" s="96">
        <v>11.54</v>
      </c>
    </row>
    <row r="1040" spans="54:62" ht="13.8" x14ac:dyDescent="0.25">
      <c r="BB1040" s="187">
        <v>43570</v>
      </c>
      <c r="BC1040" s="180">
        <v>-0.23100000000000001</v>
      </c>
      <c r="BD1040" s="191">
        <v>43570</v>
      </c>
      <c r="BE1040" s="192">
        <v>5.8000000000000003E-2</v>
      </c>
      <c r="BH1040" s="94">
        <v>43598</v>
      </c>
      <c r="BI1040" s="95">
        <v>5.7000000000000002E-2</v>
      </c>
      <c r="BJ1040" s="96">
        <v>11.53</v>
      </c>
    </row>
    <row r="1041" spans="54:62" ht="13.8" x14ac:dyDescent="0.25">
      <c r="BB1041" s="187">
        <v>43571</v>
      </c>
      <c r="BC1041" s="180">
        <v>-0.23200000000000001</v>
      </c>
      <c r="BD1041" s="191">
        <v>43571</v>
      </c>
      <c r="BE1041" s="192">
        <v>5.6000000000000001E-2</v>
      </c>
      <c r="BH1041" s="94">
        <v>43599</v>
      </c>
      <c r="BI1041" s="95">
        <v>5.2999999999999999E-2</v>
      </c>
      <c r="BJ1041" s="96">
        <v>11.53</v>
      </c>
    </row>
    <row r="1042" spans="54:62" ht="13.8" x14ac:dyDescent="0.25">
      <c r="BB1042" s="187">
        <v>43572</v>
      </c>
      <c r="BC1042" s="180">
        <v>-0.23200000000000001</v>
      </c>
      <c r="BD1042" s="191">
        <v>43572</v>
      </c>
      <c r="BE1042" s="192">
        <v>5.5E-2</v>
      </c>
      <c r="BH1042" s="94">
        <v>43600</v>
      </c>
      <c r="BI1042" s="95">
        <v>4.7E-2</v>
      </c>
      <c r="BJ1042" s="96">
        <v>11.53</v>
      </c>
    </row>
    <row r="1043" spans="54:62" ht="13.8" x14ac:dyDescent="0.25">
      <c r="BB1043" s="187">
        <v>43573</v>
      </c>
      <c r="BC1043" s="180">
        <v>-0.23200000000000001</v>
      </c>
      <c r="BD1043" s="191">
        <v>43573</v>
      </c>
      <c r="BE1043" s="192">
        <v>5.3999999999999999E-2</v>
      </c>
      <c r="BH1043" s="94">
        <v>43601</v>
      </c>
      <c r="BI1043" s="95">
        <v>4.1000000000000002E-2</v>
      </c>
      <c r="BJ1043" s="96">
        <v>11.53</v>
      </c>
    </row>
    <row r="1044" spans="54:62" ht="13.8" x14ac:dyDescent="0.25">
      <c r="BB1044" s="187">
        <v>43574</v>
      </c>
      <c r="BC1044" s="180">
        <v>-0.23200000000000001</v>
      </c>
      <c r="BD1044" s="191">
        <v>43574</v>
      </c>
      <c r="BE1044" s="192">
        <v>5.5E-2</v>
      </c>
      <c r="BH1044" s="94">
        <v>43602</v>
      </c>
      <c r="BI1044" s="95">
        <v>3.4000000000000002E-2</v>
      </c>
      <c r="BJ1044" s="96">
        <v>11.52</v>
      </c>
    </row>
    <row r="1045" spans="54:62" ht="13.8" x14ac:dyDescent="0.25">
      <c r="BB1045" s="187">
        <v>43577</v>
      </c>
      <c r="BC1045" s="180">
        <v>-0.23200000000000001</v>
      </c>
      <c r="BD1045" s="191"/>
      <c r="BE1045" s="193">
        <f>+BE1044</f>
        <v>5.5E-2</v>
      </c>
      <c r="BH1045" s="94">
        <v>43605</v>
      </c>
      <c r="BI1045" s="95">
        <v>2.9000000000000001E-2</v>
      </c>
      <c r="BJ1045" s="96">
        <v>11.51</v>
      </c>
    </row>
    <row r="1046" spans="54:62" ht="13.8" x14ac:dyDescent="0.25">
      <c r="BB1046" s="187">
        <v>43578</v>
      </c>
      <c r="BC1046" s="180">
        <v>-0.23</v>
      </c>
      <c r="BD1046" s="191">
        <v>43578</v>
      </c>
      <c r="BE1046" s="192">
        <v>5.7000000000000002E-2</v>
      </c>
      <c r="BH1046" s="94">
        <v>43606</v>
      </c>
      <c r="BI1046" s="95">
        <v>2.8000000000000001E-2</v>
      </c>
      <c r="BJ1046" s="96">
        <v>11.51</v>
      </c>
    </row>
    <row r="1047" spans="54:62" ht="13.8" x14ac:dyDescent="0.25">
      <c r="BB1047" s="187">
        <v>43579</v>
      </c>
      <c r="BC1047" s="180">
        <v>-0.23100000000000001</v>
      </c>
      <c r="BD1047" s="191">
        <v>43579</v>
      </c>
      <c r="BE1047" s="192">
        <v>5.7000000000000002E-2</v>
      </c>
      <c r="BH1047" s="94">
        <v>43607</v>
      </c>
      <c r="BI1047" s="95">
        <v>2.5000000000000001E-2</v>
      </c>
      <c r="BJ1047" s="96">
        <v>11.51</v>
      </c>
    </row>
    <row r="1048" spans="54:62" ht="13.8" x14ac:dyDescent="0.25">
      <c r="BB1048" s="187">
        <v>43580</v>
      </c>
      <c r="BC1048" s="180">
        <v>-0.23</v>
      </c>
      <c r="BD1048" s="191">
        <v>43580</v>
      </c>
      <c r="BE1048" s="192">
        <v>5.8999999999999997E-2</v>
      </c>
      <c r="BH1048" s="94">
        <v>43608</v>
      </c>
      <c r="BI1048" s="95">
        <v>2.1000000000000001E-2</v>
      </c>
      <c r="BJ1048" s="96">
        <v>11.51</v>
      </c>
    </row>
    <row r="1049" spans="54:62" ht="13.8" x14ac:dyDescent="0.25">
      <c r="BB1049" s="187">
        <v>43581</v>
      </c>
      <c r="BC1049" s="180">
        <v>-0.22900000000000001</v>
      </c>
      <c r="BD1049" s="191">
        <v>43581</v>
      </c>
      <c r="BE1049" s="192">
        <v>6.0999999999999999E-2</v>
      </c>
      <c r="BH1049" s="94">
        <v>43609</v>
      </c>
      <c r="BI1049" s="95">
        <v>1.7999999999999999E-2</v>
      </c>
      <c r="BJ1049" s="96">
        <v>11.5</v>
      </c>
    </row>
    <row r="1050" spans="54:62" ht="13.8" x14ac:dyDescent="0.25">
      <c r="BB1050" s="187">
        <v>43584</v>
      </c>
      <c r="BC1050" s="180">
        <v>-0.23100000000000001</v>
      </c>
      <c r="BD1050" s="191">
        <v>43584</v>
      </c>
      <c r="BE1050" s="192">
        <v>6.3E-2</v>
      </c>
      <c r="BH1050" s="94">
        <v>43612</v>
      </c>
      <c r="BI1050" s="95">
        <v>1.4E-2</v>
      </c>
      <c r="BJ1050" s="96">
        <v>11.5</v>
      </c>
    </row>
    <row r="1051" spans="54:62" ht="13.8" x14ac:dyDescent="0.25">
      <c r="BB1051" s="187">
        <v>43585</v>
      </c>
      <c r="BC1051" s="180">
        <v>-0.23100000000000001</v>
      </c>
      <c r="BD1051" s="191">
        <v>43585</v>
      </c>
      <c r="BE1051" s="192">
        <v>6.5000000000000002E-2</v>
      </c>
      <c r="BH1051" s="94">
        <v>43613</v>
      </c>
      <c r="BI1051" s="95">
        <v>8.9999999999999993E-3</v>
      </c>
      <c r="BJ1051" s="96">
        <v>11.49</v>
      </c>
    </row>
    <row r="1052" spans="54:62" ht="13.8" x14ac:dyDescent="0.25">
      <c r="BB1052" s="187">
        <v>43586</v>
      </c>
      <c r="BC1052" s="180">
        <v>-0.23100000000000001</v>
      </c>
      <c r="BD1052" s="191"/>
      <c r="BE1052" s="193">
        <f>+BE1051</f>
        <v>6.5000000000000002E-2</v>
      </c>
      <c r="BF1052" s="111">
        <f>+(BC1052+BE1052)/2+0.37</f>
        <v>0.28699999999999998</v>
      </c>
      <c r="BH1052" s="94">
        <v>43614</v>
      </c>
      <c r="BI1052" s="95">
        <v>3.0000000000000001E-3</v>
      </c>
      <c r="BJ1052" s="96">
        <v>11.49</v>
      </c>
    </row>
    <row r="1053" spans="54:62" ht="13.8" x14ac:dyDescent="0.25">
      <c r="BB1053" s="187">
        <v>43587</v>
      </c>
      <c r="BC1053" s="180">
        <v>-0.23200000000000001</v>
      </c>
      <c r="BD1053" s="191">
        <v>43587</v>
      </c>
      <c r="BE1053" s="192">
        <v>6.6000000000000003E-2</v>
      </c>
      <c r="BH1053" s="94">
        <v>43616</v>
      </c>
      <c r="BI1053" s="95" t="s">
        <v>126</v>
      </c>
      <c r="BJ1053" s="96">
        <v>11.48</v>
      </c>
    </row>
    <row r="1054" spans="54:62" ht="13.8" x14ac:dyDescent="0.25">
      <c r="BB1054" s="187">
        <v>43588</v>
      </c>
      <c r="BC1054" s="180">
        <v>-0.23</v>
      </c>
      <c r="BD1054" s="191">
        <v>43588</v>
      </c>
      <c r="BE1054" s="192">
        <v>6.6000000000000003E-2</v>
      </c>
      <c r="BH1054" s="94">
        <v>43619</v>
      </c>
      <c r="BI1054" s="95" t="s">
        <v>127</v>
      </c>
      <c r="BJ1054" s="96">
        <v>11.48</v>
      </c>
    </row>
    <row r="1055" spans="54:62" ht="13.8" x14ac:dyDescent="0.25">
      <c r="BB1055" s="187">
        <v>43591</v>
      </c>
      <c r="BC1055" s="180">
        <v>-0.23</v>
      </c>
      <c r="BD1055" s="191">
        <v>43591</v>
      </c>
      <c r="BE1055" s="192">
        <v>6.6000000000000003E-2</v>
      </c>
      <c r="BH1055" s="94">
        <v>43620</v>
      </c>
      <c r="BI1055" s="95" t="s">
        <v>128</v>
      </c>
      <c r="BJ1055" s="96">
        <v>11.47</v>
      </c>
    </row>
    <row r="1056" spans="54:62" ht="13.8" x14ac:dyDescent="0.25">
      <c r="BB1056" s="187">
        <v>43592</v>
      </c>
      <c r="BC1056" s="180">
        <v>-0.22900000000000001</v>
      </c>
      <c r="BD1056" s="191">
        <v>43592</v>
      </c>
      <c r="BE1056" s="192">
        <v>6.3E-2</v>
      </c>
      <c r="BH1056" s="94">
        <v>43621</v>
      </c>
      <c r="BI1056" s="95" t="s">
        <v>129</v>
      </c>
      <c r="BJ1056" s="96">
        <v>11.47</v>
      </c>
    </row>
    <row r="1057" spans="54:62" ht="13.8" x14ac:dyDescent="0.25">
      <c r="BB1057" s="187">
        <v>43593</v>
      </c>
      <c r="BC1057" s="180">
        <v>-0.23</v>
      </c>
      <c r="BD1057" s="191">
        <v>43593</v>
      </c>
      <c r="BE1057" s="192">
        <v>6.0999999999999999E-2</v>
      </c>
      <c r="BH1057" s="94">
        <v>43622</v>
      </c>
      <c r="BI1057" s="95" t="s">
        <v>130</v>
      </c>
      <c r="BJ1057" s="96">
        <v>11.47</v>
      </c>
    </row>
    <row r="1058" spans="54:62" ht="13.8" x14ac:dyDescent="0.25">
      <c r="BB1058" s="187">
        <v>43594</v>
      </c>
      <c r="BC1058" s="180">
        <v>-0.23100000000000001</v>
      </c>
      <c r="BD1058" s="191">
        <v>43594</v>
      </c>
      <c r="BE1058" s="192">
        <v>5.8999999999999997E-2</v>
      </c>
      <c r="BH1058" s="94">
        <v>43623</v>
      </c>
      <c r="BI1058" s="95" t="s">
        <v>131</v>
      </c>
      <c r="BJ1058" s="96">
        <v>11.47</v>
      </c>
    </row>
    <row r="1059" spans="54:62" ht="13.8" x14ac:dyDescent="0.25">
      <c r="BB1059" s="187">
        <v>43595</v>
      </c>
      <c r="BC1059" s="180">
        <v>-0.23100000000000001</v>
      </c>
      <c r="BD1059" s="191">
        <v>43595</v>
      </c>
      <c r="BE1059" s="192">
        <v>5.8000000000000003E-2</v>
      </c>
      <c r="BH1059" s="94">
        <v>43627</v>
      </c>
      <c r="BI1059" s="95" t="s">
        <v>61</v>
      </c>
      <c r="BJ1059" s="96">
        <v>11.46</v>
      </c>
    </row>
    <row r="1060" spans="54:62" ht="13.8" x14ac:dyDescent="0.25">
      <c r="BB1060" s="187">
        <v>43598</v>
      </c>
      <c r="BC1060" s="180">
        <v>-0.23100000000000001</v>
      </c>
      <c r="BD1060" s="191">
        <v>43598</v>
      </c>
      <c r="BE1060" s="192">
        <v>5.7000000000000002E-2</v>
      </c>
      <c r="BH1060" s="94">
        <v>43628</v>
      </c>
      <c r="BI1060" s="95" t="s">
        <v>132</v>
      </c>
      <c r="BJ1060" s="96">
        <v>11.46</v>
      </c>
    </row>
    <row r="1061" spans="54:62" ht="13.8" x14ac:dyDescent="0.25">
      <c r="BB1061" s="187">
        <v>43599</v>
      </c>
      <c r="BC1061" s="180">
        <v>-0.23200000000000001</v>
      </c>
      <c r="BD1061" s="191">
        <v>43599</v>
      </c>
      <c r="BE1061" s="192">
        <v>5.2999999999999999E-2</v>
      </c>
      <c r="BH1061" s="94">
        <v>43629</v>
      </c>
      <c r="BI1061" s="95" t="s">
        <v>133</v>
      </c>
      <c r="BJ1061" s="96">
        <v>11.45</v>
      </c>
    </row>
    <row r="1062" spans="54:62" ht="13.8" x14ac:dyDescent="0.25">
      <c r="BB1062" s="187">
        <v>43600</v>
      </c>
      <c r="BC1062" s="180">
        <v>-0.23499999999999999</v>
      </c>
      <c r="BD1062" s="191">
        <v>43600</v>
      </c>
      <c r="BE1062" s="192">
        <v>4.7E-2</v>
      </c>
      <c r="BH1062" s="94">
        <v>43630</v>
      </c>
      <c r="BI1062" s="95" t="s">
        <v>118</v>
      </c>
      <c r="BJ1062" s="96">
        <v>11.45</v>
      </c>
    </row>
    <row r="1063" spans="54:62" ht="13.8" x14ac:dyDescent="0.25">
      <c r="BB1063" s="187">
        <v>43601</v>
      </c>
      <c r="BC1063" s="180">
        <v>-0.23699999999999999</v>
      </c>
      <c r="BD1063" s="191">
        <v>43601</v>
      </c>
      <c r="BE1063" s="192">
        <v>4.1000000000000002E-2</v>
      </c>
      <c r="BH1063" s="94">
        <v>43633</v>
      </c>
      <c r="BI1063" s="95" t="s">
        <v>134</v>
      </c>
      <c r="BJ1063" s="96">
        <v>11.44</v>
      </c>
    </row>
    <row r="1064" spans="54:62" ht="13.8" x14ac:dyDescent="0.25">
      <c r="BB1064" s="187">
        <v>43602</v>
      </c>
      <c r="BC1064" s="180">
        <v>-0.24</v>
      </c>
      <c r="BD1064" s="191">
        <v>43602</v>
      </c>
      <c r="BE1064" s="192">
        <v>3.4000000000000002E-2</v>
      </c>
      <c r="BH1064" s="94">
        <v>43634</v>
      </c>
      <c r="BI1064" s="95" t="s">
        <v>135</v>
      </c>
      <c r="BJ1064" s="96">
        <v>11.44</v>
      </c>
    </row>
    <row r="1065" spans="54:62" ht="13.8" x14ac:dyDescent="0.25">
      <c r="BB1065" s="187">
        <v>43605</v>
      </c>
      <c r="BC1065" s="180">
        <v>-0.24099999999999999</v>
      </c>
      <c r="BD1065" s="191">
        <v>43605</v>
      </c>
      <c r="BE1065" s="192">
        <v>2.9000000000000001E-2</v>
      </c>
      <c r="BH1065" s="94">
        <v>43635</v>
      </c>
      <c r="BI1065" s="95" t="s">
        <v>136</v>
      </c>
      <c r="BJ1065" s="96">
        <v>11.44</v>
      </c>
    </row>
    <row r="1066" spans="54:62" ht="13.8" x14ac:dyDescent="0.25">
      <c r="BB1066" s="187">
        <v>43606</v>
      </c>
      <c r="BC1066" s="180">
        <v>-0.24399999999999999</v>
      </c>
      <c r="BD1066" s="191">
        <v>43606</v>
      </c>
      <c r="BE1066" s="192">
        <v>2.8000000000000001E-2</v>
      </c>
      <c r="BH1066" s="94">
        <v>43637</v>
      </c>
      <c r="BI1066" s="95" t="s">
        <v>137</v>
      </c>
      <c r="BJ1066" s="96">
        <v>11.43</v>
      </c>
    </row>
    <row r="1067" spans="54:62" ht="13.8" x14ac:dyDescent="0.25">
      <c r="BB1067" s="187">
        <v>43607</v>
      </c>
      <c r="BC1067" s="180">
        <v>-0.24199999999999999</v>
      </c>
      <c r="BD1067" s="191">
        <v>43607</v>
      </c>
      <c r="BE1067" s="192">
        <v>2.5000000000000001E-2</v>
      </c>
      <c r="BH1067" s="94">
        <v>43640</v>
      </c>
      <c r="BI1067" s="95" t="s">
        <v>138</v>
      </c>
      <c r="BJ1067" s="96">
        <v>11.42</v>
      </c>
    </row>
    <row r="1068" spans="54:62" ht="13.8" x14ac:dyDescent="0.25">
      <c r="BB1068" s="187">
        <v>43608</v>
      </c>
      <c r="BC1068" s="180">
        <v>-0.24199999999999999</v>
      </c>
      <c r="BD1068" s="191">
        <v>43608</v>
      </c>
      <c r="BE1068" s="192">
        <v>2.1000000000000001E-2</v>
      </c>
      <c r="BH1068" s="94">
        <v>43641</v>
      </c>
      <c r="BI1068" s="95" t="s">
        <v>139</v>
      </c>
      <c r="BJ1068" s="96">
        <v>11.42</v>
      </c>
    </row>
    <row r="1069" spans="54:62" ht="13.8" x14ac:dyDescent="0.25">
      <c r="BB1069" s="187">
        <v>43609</v>
      </c>
      <c r="BC1069" s="180">
        <v>-0.24099999999999999</v>
      </c>
      <c r="BD1069" s="191">
        <v>43609</v>
      </c>
      <c r="BE1069" s="192">
        <v>1.7999999999999999E-2</v>
      </c>
      <c r="BH1069" s="94">
        <v>43642</v>
      </c>
      <c r="BI1069" s="95" t="s">
        <v>140</v>
      </c>
      <c r="BJ1069" s="96">
        <v>11.42</v>
      </c>
    </row>
    <row r="1070" spans="54:62" ht="13.8" x14ac:dyDescent="0.25">
      <c r="BB1070" s="187">
        <v>43612</v>
      </c>
      <c r="BC1070" s="180">
        <v>-0.24</v>
      </c>
      <c r="BD1070" s="191">
        <v>43612</v>
      </c>
      <c r="BE1070" s="192">
        <v>1.4E-2</v>
      </c>
      <c r="BH1070" s="94">
        <v>43643</v>
      </c>
      <c r="BI1070" s="95" t="s">
        <v>141</v>
      </c>
      <c r="BJ1070" s="96">
        <v>11.41</v>
      </c>
    </row>
    <row r="1071" spans="54:62" ht="13.8" x14ac:dyDescent="0.25">
      <c r="BB1071" s="187">
        <v>43613</v>
      </c>
      <c r="BC1071" s="180">
        <v>-0.24199999999999999</v>
      </c>
      <c r="BD1071" s="191">
        <v>43613</v>
      </c>
      <c r="BE1071" s="192">
        <v>8.9999999999999993E-3</v>
      </c>
      <c r="BH1071" s="94">
        <v>43644</v>
      </c>
      <c r="BI1071" s="95" t="s">
        <v>142</v>
      </c>
      <c r="BJ1071" s="96">
        <v>11.41</v>
      </c>
    </row>
    <row r="1072" spans="54:62" ht="13.8" x14ac:dyDescent="0.25">
      <c r="BB1072" s="187">
        <v>43614</v>
      </c>
      <c r="BC1072" s="180">
        <v>-0.245</v>
      </c>
      <c r="BD1072" s="191">
        <v>43614</v>
      </c>
      <c r="BE1072" s="192">
        <v>3.0000000000000001E-3</v>
      </c>
      <c r="BH1072" s="94">
        <v>43647</v>
      </c>
      <c r="BI1072" s="95" t="s">
        <v>143</v>
      </c>
      <c r="BJ1072" s="96">
        <v>11.4</v>
      </c>
    </row>
    <row r="1073" spans="54:62" ht="13.8" x14ac:dyDescent="0.25">
      <c r="BB1073" s="187">
        <v>43615</v>
      </c>
      <c r="BC1073" s="180">
        <v>-0.247</v>
      </c>
      <c r="BD1073" s="191"/>
      <c r="BE1073" s="193">
        <f>+BE1072</f>
        <v>3.0000000000000001E-3</v>
      </c>
      <c r="BH1073" s="94">
        <v>43648</v>
      </c>
      <c r="BI1073" s="95" t="s">
        <v>97</v>
      </c>
      <c r="BJ1073" s="96">
        <v>11.83</v>
      </c>
    </row>
    <row r="1074" spans="54:62" ht="13.8" x14ac:dyDescent="0.25">
      <c r="BB1074" s="187">
        <v>43616</v>
      </c>
      <c r="BC1074" s="180">
        <v>-0.25</v>
      </c>
      <c r="BD1074" s="191">
        <v>43616</v>
      </c>
      <c r="BE1074" s="192" t="s">
        <v>126</v>
      </c>
      <c r="BH1074" s="94">
        <v>43649</v>
      </c>
      <c r="BI1074" s="95" t="s">
        <v>79</v>
      </c>
      <c r="BJ1074" s="96">
        <v>11.83</v>
      </c>
    </row>
    <row r="1075" spans="54:62" ht="13.8" x14ac:dyDescent="0.25">
      <c r="BB1075" s="187">
        <v>43619</v>
      </c>
      <c r="BC1075" s="180">
        <v>-0.254</v>
      </c>
      <c r="BD1075" s="191">
        <v>43619</v>
      </c>
      <c r="BE1075" s="192" t="s">
        <v>127</v>
      </c>
      <c r="BH1075" s="94">
        <v>43650</v>
      </c>
      <c r="BI1075" s="95" t="s">
        <v>83</v>
      </c>
      <c r="BJ1075" s="96">
        <v>11.83</v>
      </c>
    </row>
    <row r="1076" spans="54:62" ht="13.8" x14ac:dyDescent="0.25">
      <c r="BB1076" s="187">
        <v>43620</v>
      </c>
      <c r="BC1076" s="180">
        <v>-0.254</v>
      </c>
      <c r="BD1076" s="191">
        <v>43620</v>
      </c>
      <c r="BE1076" s="192" t="s">
        <v>128</v>
      </c>
      <c r="BH1076" s="94">
        <v>43651</v>
      </c>
      <c r="BI1076" s="95" t="s">
        <v>86</v>
      </c>
      <c r="BJ1076" s="96">
        <v>11.82</v>
      </c>
    </row>
    <row r="1077" spans="54:62" ht="13.8" x14ac:dyDescent="0.25">
      <c r="BB1077" s="187">
        <v>43621</v>
      </c>
      <c r="BC1077" s="180">
        <v>-0.254</v>
      </c>
      <c r="BD1077" s="191">
        <v>43621</v>
      </c>
      <c r="BE1077" s="192" t="s">
        <v>129</v>
      </c>
      <c r="BH1077" s="94">
        <v>43654</v>
      </c>
      <c r="BI1077" s="95" t="s">
        <v>88</v>
      </c>
      <c r="BJ1077" s="96">
        <v>11.82</v>
      </c>
    </row>
    <row r="1078" spans="54:62" ht="13.8" x14ac:dyDescent="0.25">
      <c r="BB1078" s="187">
        <v>43622</v>
      </c>
      <c r="BC1078" s="180">
        <v>-0.25900000000000001</v>
      </c>
      <c r="BD1078" s="191">
        <v>43622</v>
      </c>
      <c r="BE1078" s="192" t="s">
        <v>130</v>
      </c>
      <c r="BH1078" s="94">
        <v>43655</v>
      </c>
      <c r="BI1078" s="95" t="s">
        <v>94</v>
      </c>
      <c r="BJ1078" s="96">
        <v>11.81</v>
      </c>
    </row>
    <row r="1079" spans="54:62" ht="13.8" x14ac:dyDescent="0.25">
      <c r="BB1079" s="187">
        <v>43623</v>
      </c>
      <c r="BC1079" s="180">
        <v>-0.25600000000000001</v>
      </c>
      <c r="BD1079" s="191">
        <v>43623</v>
      </c>
      <c r="BE1079" s="192" t="s">
        <v>131</v>
      </c>
      <c r="BH1079" s="94">
        <v>43656</v>
      </c>
      <c r="BI1079" s="95" t="s">
        <v>92</v>
      </c>
      <c r="BJ1079" s="96">
        <v>11.81</v>
      </c>
    </row>
    <row r="1080" spans="54:62" ht="13.8" x14ac:dyDescent="0.25">
      <c r="BB1080" s="187">
        <v>43626</v>
      </c>
      <c r="BC1080" s="180">
        <v>-0.25800000000000001</v>
      </c>
      <c r="BD1080" s="191"/>
      <c r="BE1080" s="193" t="str">
        <f>+BE1079</f>
        <v>−0,034</v>
      </c>
      <c r="BH1080" s="94">
        <v>43657</v>
      </c>
      <c r="BI1080" s="95" t="s">
        <v>144</v>
      </c>
      <c r="BJ1080" s="96">
        <v>11.81</v>
      </c>
    </row>
    <row r="1081" spans="54:62" ht="13.8" x14ac:dyDescent="0.25">
      <c r="BB1081" s="187">
        <v>43627</v>
      </c>
      <c r="BC1081" s="180">
        <v>-0.25800000000000001</v>
      </c>
      <c r="BD1081" s="191">
        <v>43627</v>
      </c>
      <c r="BE1081" s="192" t="s">
        <v>61</v>
      </c>
      <c r="BH1081" s="94">
        <v>43658</v>
      </c>
      <c r="BI1081" s="95" t="s">
        <v>145</v>
      </c>
      <c r="BJ1081" s="96">
        <v>11.81</v>
      </c>
    </row>
    <row r="1082" spans="54:62" ht="13.8" x14ac:dyDescent="0.25">
      <c r="BB1082" s="187">
        <v>43628</v>
      </c>
      <c r="BC1082" s="180">
        <v>-0.25900000000000001</v>
      </c>
      <c r="BD1082" s="191">
        <v>43628</v>
      </c>
      <c r="BE1082" s="192" t="s">
        <v>132</v>
      </c>
      <c r="BH1082" s="94">
        <v>43661</v>
      </c>
      <c r="BI1082" s="95" t="s">
        <v>84</v>
      </c>
      <c r="BJ1082" s="96">
        <v>12.64</v>
      </c>
    </row>
    <row r="1083" spans="54:62" ht="13.8" x14ac:dyDescent="0.25">
      <c r="BB1083" s="187">
        <v>43629</v>
      </c>
      <c r="BC1083" s="180">
        <v>-0.25900000000000001</v>
      </c>
      <c r="BD1083" s="191">
        <v>43629</v>
      </c>
      <c r="BE1083" s="192" t="s">
        <v>133</v>
      </c>
      <c r="BH1083" s="94">
        <v>43662</v>
      </c>
      <c r="BI1083" s="95" t="s">
        <v>146</v>
      </c>
      <c r="BJ1083" s="96">
        <v>12.64</v>
      </c>
    </row>
    <row r="1084" spans="54:62" ht="13.8" x14ac:dyDescent="0.25">
      <c r="BB1084" s="187">
        <v>43630</v>
      </c>
      <c r="BC1084" s="180">
        <v>-0.26100000000000001</v>
      </c>
      <c r="BD1084" s="191">
        <v>43630</v>
      </c>
      <c r="BE1084" s="192" t="s">
        <v>118</v>
      </c>
      <c r="BH1084" s="94">
        <v>43663</v>
      </c>
      <c r="BI1084" s="95" t="s">
        <v>86</v>
      </c>
      <c r="BJ1084" s="96">
        <v>12.64</v>
      </c>
    </row>
    <row r="1085" spans="54:62" ht="13.8" x14ac:dyDescent="0.25">
      <c r="BB1085" s="187">
        <v>43633</v>
      </c>
      <c r="BC1085" s="180">
        <v>-0.26800000000000002</v>
      </c>
      <c r="BD1085" s="191">
        <v>43633</v>
      </c>
      <c r="BE1085" s="192" t="s">
        <v>134</v>
      </c>
      <c r="BH1085" s="94">
        <v>43664</v>
      </c>
      <c r="BI1085" s="95" t="s">
        <v>87</v>
      </c>
      <c r="BJ1085" s="96">
        <v>12.63</v>
      </c>
    </row>
    <row r="1086" spans="54:62" ht="13.8" x14ac:dyDescent="0.25">
      <c r="BB1086" s="187">
        <v>43634</v>
      </c>
      <c r="BC1086" s="180">
        <v>-0.27600000000000002</v>
      </c>
      <c r="BD1086" s="191">
        <v>43634</v>
      </c>
      <c r="BE1086" s="192" t="s">
        <v>135</v>
      </c>
      <c r="BH1086" s="94">
        <v>43665</v>
      </c>
      <c r="BI1086" s="95" t="s">
        <v>88</v>
      </c>
      <c r="BJ1086" s="96">
        <v>12.63</v>
      </c>
    </row>
    <row r="1087" spans="54:62" ht="13.8" x14ac:dyDescent="0.25">
      <c r="BB1087" s="187">
        <v>43635</v>
      </c>
      <c r="BC1087" s="180">
        <v>-0.29899999999999999</v>
      </c>
      <c r="BD1087" s="191">
        <v>43635</v>
      </c>
      <c r="BE1087" s="192" t="s">
        <v>136</v>
      </c>
      <c r="BH1087" s="94">
        <v>43668</v>
      </c>
      <c r="BI1087" s="95" t="s">
        <v>89</v>
      </c>
      <c r="BJ1087" s="96">
        <v>12.62</v>
      </c>
    </row>
    <row r="1088" spans="54:62" ht="13.8" x14ac:dyDescent="0.25">
      <c r="BB1088" s="187">
        <v>43636</v>
      </c>
      <c r="BC1088" s="180">
        <v>-0.30299999999999999</v>
      </c>
      <c r="BD1088" s="191"/>
      <c r="BE1088" s="193" t="str">
        <f>+BE1087</f>
        <v>−0,086</v>
      </c>
      <c r="BH1088" s="94">
        <v>43669</v>
      </c>
      <c r="BI1088" s="95" t="s">
        <v>93</v>
      </c>
      <c r="BJ1088" s="96">
        <v>12.62</v>
      </c>
    </row>
    <row r="1089" spans="54:62" ht="13.8" x14ac:dyDescent="0.25">
      <c r="BB1089" s="187">
        <v>43637</v>
      </c>
      <c r="BC1089" s="180">
        <v>-0.308</v>
      </c>
      <c r="BD1089" s="191">
        <v>43637</v>
      </c>
      <c r="BE1089" s="192" t="s">
        <v>137</v>
      </c>
      <c r="BH1089" s="94">
        <v>43670</v>
      </c>
      <c r="BI1089" s="95" t="s">
        <v>144</v>
      </c>
      <c r="BJ1089" s="96">
        <v>12.62</v>
      </c>
    </row>
    <row r="1090" spans="54:62" ht="13.8" x14ac:dyDescent="0.25">
      <c r="BB1090" s="187">
        <v>43640</v>
      </c>
      <c r="BC1090" s="180">
        <v>-0.308</v>
      </c>
      <c r="BD1090" s="191">
        <v>43640</v>
      </c>
      <c r="BE1090" s="192" t="s">
        <v>138</v>
      </c>
      <c r="BH1090" s="94">
        <v>43671</v>
      </c>
      <c r="BI1090" s="95" t="s">
        <v>147</v>
      </c>
      <c r="BJ1090" s="96">
        <v>12.62</v>
      </c>
    </row>
    <row r="1091" spans="54:62" ht="13.8" x14ac:dyDescent="0.25">
      <c r="BB1091" s="187">
        <v>43641</v>
      </c>
      <c r="BC1091" s="180">
        <v>-0.311</v>
      </c>
      <c r="BD1091" s="191">
        <v>43641</v>
      </c>
      <c r="BE1091" s="192" t="s">
        <v>139</v>
      </c>
      <c r="BH1091" s="94">
        <v>43672</v>
      </c>
      <c r="BI1091" s="95" t="s">
        <v>148</v>
      </c>
      <c r="BJ1091" s="96">
        <v>12.61</v>
      </c>
    </row>
    <row r="1092" spans="54:62" ht="13.8" x14ac:dyDescent="0.25">
      <c r="BB1092" s="187">
        <v>43642</v>
      </c>
      <c r="BC1092" s="180">
        <v>-0.311</v>
      </c>
      <c r="BD1092" s="191">
        <v>43642</v>
      </c>
      <c r="BE1092" s="192" t="s">
        <v>140</v>
      </c>
      <c r="BH1092" s="94">
        <v>43675</v>
      </c>
      <c r="BI1092" s="95" t="s">
        <v>149</v>
      </c>
      <c r="BJ1092" s="96">
        <v>12.6</v>
      </c>
    </row>
    <row r="1093" spans="54:62" ht="13.8" x14ac:dyDescent="0.25">
      <c r="BB1093" s="187">
        <v>43643</v>
      </c>
      <c r="BC1093" s="180">
        <v>-0.313</v>
      </c>
      <c r="BD1093" s="191">
        <v>43643</v>
      </c>
      <c r="BE1093" s="192" t="s">
        <v>141</v>
      </c>
      <c r="BH1093" s="94">
        <v>43676</v>
      </c>
      <c r="BI1093" s="95" t="s">
        <v>150</v>
      </c>
      <c r="BJ1093" s="96">
        <v>12.6</v>
      </c>
    </row>
    <row r="1094" spans="54:62" ht="13.8" x14ac:dyDescent="0.25">
      <c r="BB1094" s="187">
        <v>43644</v>
      </c>
      <c r="BC1094" s="180">
        <v>-0.311</v>
      </c>
      <c r="BD1094" s="191">
        <v>43644</v>
      </c>
      <c r="BE1094" s="192" t="s">
        <v>142</v>
      </c>
      <c r="BH1094" s="94">
        <v>43677</v>
      </c>
      <c r="BI1094" s="95" t="s">
        <v>151</v>
      </c>
      <c r="BJ1094" s="96">
        <v>12.6</v>
      </c>
    </row>
    <row r="1095" spans="54:62" ht="13.8" x14ac:dyDescent="0.25">
      <c r="BB1095" s="187">
        <v>43647</v>
      </c>
      <c r="BC1095" s="180">
        <v>-0.313</v>
      </c>
      <c r="BD1095" s="191">
        <v>43647</v>
      </c>
      <c r="BE1095" s="192" t="s">
        <v>143</v>
      </c>
      <c r="BH1095" s="94">
        <v>43678</v>
      </c>
      <c r="BI1095" s="95" t="s">
        <v>152</v>
      </c>
      <c r="BJ1095" s="96">
        <v>12.6</v>
      </c>
    </row>
    <row r="1096" spans="54:62" ht="13.8" x14ac:dyDescent="0.25">
      <c r="BB1096" s="187">
        <v>43648</v>
      </c>
      <c r="BC1096" s="180">
        <v>-0.32700000000000001</v>
      </c>
      <c r="BD1096" s="191">
        <v>43648</v>
      </c>
      <c r="BE1096" s="192" t="s">
        <v>97</v>
      </c>
      <c r="BH1096" s="94">
        <v>43679</v>
      </c>
      <c r="BI1096" s="95" t="s">
        <v>153</v>
      </c>
      <c r="BJ1096" s="96">
        <v>12.59</v>
      </c>
    </row>
    <row r="1097" spans="54:62" ht="13.8" x14ac:dyDescent="0.25">
      <c r="BB1097" s="187">
        <v>43649</v>
      </c>
      <c r="BC1097" s="180">
        <v>-0.33500000000000002</v>
      </c>
      <c r="BD1097" s="191">
        <v>43649</v>
      </c>
      <c r="BE1097" s="192" t="s">
        <v>79</v>
      </c>
      <c r="BH1097" s="94">
        <v>43682</v>
      </c>
      <c r="BI1097" s="95" t="s">
        <v>154</v>
      </c>
      <c r="BJ1097" s="96">
        <v>12.59</v>
      </c>
    </row>
    <row r="1098" spans="54:62" ht="13.8" x14ac:dyDescent="0.25">
      <c r="BB1098" s="187">
        <v>43650</v>
      </c>
      <c r="BC1098" s="180">
        <v>-0.33800000000000002</v>
      </c>
      <c r="BD1098" s="191">
        <v>43650</v>
      </c>
      <c r="BE1098" s="192" t="s">
        <v>83</v>
      </c>
      <c r="BH1098" s="94">
        <v>43683</v>
      </c>
      <c r="BI1098" s="95" t="s">
        <v>155</v>
      </c>
      <c r="BJ1098" s="96">
        <v>12.58</v>
      </c>
    </row>
    <row r="1099" spans="54:62" ht="13.8" x14ac:dyDescent="0.25">
      <c r="BB1099" s="187">
        <v>43651</v>
      </c>
      <c r="BC1099" s="180">
        <v>-0.34399999999999997</v>
      </c>
      <c r="BD1099" s="191">
        <v>43651</v>
      </c>
      <c r="BE1099" s="192" t="s">
        <v>86</v>
      </c>
      <c r="BH1099" s="94">
        <v>43684</v>
      </c>
      <c r="BI1099" s="95" t="s">
        <v>156</v>
      </c>
      <c r="BJ1099" s="96">
        <v>12.58</v>
      </c>
    </row>
    <row r="1100" spans="54:62" ht="13.8" x14ac:dyDescent="0.25">
      <c r="BB1100" s="187">
        <v>43654</v>
      </c>
      <c r="BC1100" s="180">
        <v>-0.33800000000000002</v>
      </c>
      <c r="BD1100" s="191">
        <v>43654</v>
      </c>
      <c r="BE1100" s="192" t="s">
        <v>88</v>
      </c>
      <c r="BH1100" s="94">
        <v>43685</v>
      </c>
      <c r="BI1100" s="95" t="s">
        <v>157</v>
      </c>
      <c r="BJ1100" s="96">
        <v>12.58</v>
      </c>
    </row>
    <row r="1101" spans="54:62" ht="13.8" x14ac:dyDescent="0.25">
      <c r="BB1101" s="187">
        <v>43655</v>
      </c>
      <c r="BC1101" s="180">
        <v>-0.33600000000000002</v>
      </c>
      <c r="BD1101" s="191">
        <v>43655</v>
      </c>
      <c r="BE1101" s="192" t="s">
        <v>94</v>
      </c>
      <c r="BH1101" s="94">
        <v>43686</v>
      </c>
      <c r="BI1101" s="95" t="s">
        <v>158</v>
      </c>
      <c r="BJ1101" s="96">
        <v>12.57</v>
      </c>
    </row>
    <row r="1102" spans="54:62" ht="13.8" x14ac:dyDescent="0.25">
      <c r="BB1102" s="187">
        <v>43656</v>
      </c>
      <c r="BC1102" s="180">
        <v>-0.32900000000000001</v>
      </c>
      <c r="BD1102" s="191">
        <v>43656</v>
      </c>
      <c r="BE1102" s="192" t="s">
        <v>92</v>
      </c>
      <c r="BH1102" s="94">
        <v>43689</v>
      </c>
      <c r="BI1102" s="95" t="s">
        <v>159</v>
      </c>
      <c r="BJ1102" s="96">
        <v>12.57</v>
      </c>
    </row>
    <row r="1103" spans="54:62" ht="13.8" x14ac:dyDescent="0.25">
      <c r="BB1103" s="187">
        <v>43657</v>
      </c>
      <c r="BC1103" s="180">
        <v>-0.34200000000000003</v>
      </c>
      <c r="BD1103" s="191">
        <v>43657</v>
      </c>
      <c r="BE1103" s="192" t="s">
        <v>144</v>
      </c>
      <c r="BH1103" s="94">
        <v>43690</v>
      </c>
      <c r="BI1103" s="95" t="s">
        <v>160</v>
      </c>
      <c r="BJ1103" s="96">
        <v>12.56</v>
      </c>
    </row>
    <row r="1104" spans="54:62" ht="13.8" x14ac:dyDescent="0.25">
      <c r="BB1104" s="187">
        <v>43658</v>
      </c>
      <c r="BC1104" s="180">
        <v>-0.34200000000000003</v>
      </c>
      <c r="BD1104" s="191">
        <v>43658</v>
      </c>
      <c r="BE1104" s="192" t="s">
        <v>145</v>
      </c>
      <c r="BH1104" s="94">
        <v>43691</v>
      </c>
      <c r="BI1104" s="95" t="s">
        <v>161</v>
      </c>
      <c r="BJ1104" s="96">
        <v>12.56</v>
      </c>
    </row>
    <row r="1105" spans="54:62" ht="13.8" x14ac:dyDescent="0.25">
      <c r="BB1105" s="187">
        <v>43661</v>
      </c>
      <c r="BC1105" s="180">
        <v>-0.34300000000000003</v>
      </c>
      <c r="BD1105" s="191">
        <v>43661</v>
      </c>
      <c r="BE1105" s="192" t="s">
        <v>84</v>
      </c>
      <c r="BH1105" s="94">
        <v>43693</v>
      </c>
      <c r="BI1105" s="95" t="s">
        <v>162</v>
      </c>
      <c r="BJ1105" s="96">
        <v>12.56</v>
      </c>
    </row>
    <row r="1106" spans="54:62" ht="13.8" x14ac:dyDescent="0.25">
      <c r="BB1106" s="187">
        <v>43662</v>
      </c>
      <c r="BC1106" s="180">
        <v>-0.35</v>
      </c>
      <c r="BD1106" s="191">
        <v>43662</v>
      </c>
      <c r="BE1106" s="192" t="s">
        <v>146</v>
      </c>
      <c r="BH1106" s="94">
        <v>43696</v>
      </c>
      <c r="BI1106" s="95" t="s">
        <v>163</v>
      </c>
      <c r="BJ1106" s="96">
        <v>12.55</v>
      </c>
    </row>
    <row r="1107" spans="54:62" ht="13.8" x14ac:dyDescent="0.25">
      <c r="BB1107" s="187">
        <v>43663</v>
      </c>
      <c r="BC1107" s="180">
        <v>-0.35699999999999998</v>
      </c>
      <c r="BD1107" s="191">
        <v>43663</v>
      </c>
      <c r="BE1107" s="192" t="s">
        <v>86</v>
      </c>
      <c r="BH1107" s="94">
        <v>43697</v>
      </c>
      <c r="BI1107" s="95" t="s">
        <v>164</v>
      </c>
      <c r="BJ1107" s="96">
        <v>12.54</v>
      </c>
    </row>
    <row r="1108" spans="54:62" ht="13.8" x14ac:dyDescent="0.25">
      <c r="BB1108" s="187">
        <v>43664</v>
      </c>
      <c r="BC1108" s="180">
        <v>-0.35299999999999998</v>
      </c>
      <c r="BD1108" s="191">
        <v>43664</v>
      </c>
      <c r="BE1108" s="192" t="s">
        <v>87</v>
      </c>
      <c r="BH1108" s="94">
        <v>43698</v>
      </c>
      <c r="BI1108" s="95" t="s">
        <v>165</v>
      </c>
      <c r="BJ1108" s="96">
        <v>12.54</v>
      </c>
    </row>
    <row r="1109" spans="54:62" ht="13.8" x14ac:dyDescent="0.25">
      <c r="BB1109" s="187">
        <v>43665</v>
      </c>
      <c r="BC1109" s="180">
        <v>-0.35399999999999998</v>
      </c>
      <c r="BD1109" s="191">
        <v>43665</v>
      </c>
      <c r="BE1109" s="192" t="s">
        <v>88</v>
      </c>
      <c r="BH1109" s="94">
        <v>43699</v>
      </c>
      <c r="BI1109" s="95" t="s">
        <v>166</v>
      </c>
      <c r="BJ1109" s="96">
        <v>12.54</v>
      </c>
    </row>
    <row r="1110" spans="54:62" ht="13.8" x14ac:dyDescent="0.25">
      <c r="BB1110" s="187">
        <v>43668</v>
      </c>
      <c r="BC1110" s="180">
        <v>-0.36099999999999999</v>
      </c>
      <c r="BD1110" s="191">
        <v>43668</v>
      </c>
      <c r="BE1110" s="192" t="s">
        <v>89</v>
      </c>
      <c r="BH1110" s="94">
        <v>43700</v>
      </c>
      <c r="BI1110" s="95" t="s">
        <v>167</v>
      </c>
      <c r="BJ1110" s="96">
        <v>12.54</v>
      </c>
    </row>
    <row r="1111" spans="54:62" ht="13.8" x14ac:dyDescent="0.25">
      <c r="BB1111" s="187">
        <v>43669</v>
      </c>
      <c r="BC1111" s="180">
        <v>-0.36199999999999999</v>
      </c>
      <c r="BD1111" s="191">
        <v>43669</v>
      </c>
      <c r="BE1111" s="192" t="s">
        <v>93</v>
      </c>
      <c r="BH1111" s="94">
        <v>43703</v>
      </c>
      <c r="BI1111" s="95" t="s">
        <v>168</v>
      </c>
      <c r="BJ1111" s="96">
        <v>12.53</v>
      </c>
    </row>
    <row r="1112" spans="54:62" ht="13.8" x14ac:dyDescent="0.25">
      <c r="BB1112" s="187">
        <v>43670</v>
      </c>
      <c r="BC1112" s="180">
        <v>-0.36799999999999999</v>
      </c>
      <c r="BD1112" s="191">
        <v>43670</v>
      </c>
      <c r="BE1112" s="192" t="s">
        <v>144</v>
      </c>
      <c r="BH1112" s="94">
        <v>43704</v>
      </c>
      <c r="BI1112" s="95" t="s">
        <v>169</v>
      </c>
      <c r="BJ1112" s="96">
        <v>12.53</v>
      </c>
    </row>
    <row r="1113" spans="54:62" ht="13.8" x14ac:dyDescent="0.25">
      <c r="BB1113" s="187">
        <v>43671</v>
      </c>
      <c r="BC1113" s="180">
        <v>-0.36799999999999999</v>
      </c>
      <c r="BD1113" s="191">
        <v>43671</v>
      </c>
      <c r="BE1113" s="192" t="s">
        <v>147</v>
      </c>
      <c r="BH1113" s="94">
        <v>43705</v>
      </c>
      <c r="BI1113" s="95" t="s">
        <v>170</v>
      </c>
      <c r="BJ1113" s="96">
        <v>12.52</v>
      </c>
    </row>
    <row r="1114" spans="54:62" ht="13.8" x14ac:dyDescent="0.25">
      <c r="BB1114" s="187">
        <v>43672</v>
      </c>
      <c r="BC1114" s="180">
        <v>-0.36199999999999999</v>
      </c>
      <c r="BD1114" s="191">
        <v>43672</v>
      </c>
      <c r="BE1114" s="192" t="s">
        <v>148</v>
      </c>
      <c r="BH1114" s="94">
        <v>43706</v>
      </c>
      <c r="BI1114" s="95" t="s">
        <v>171</v>
      </c>
      <c r="BJ1114" s="96">
        <v>12.52</v>
      </c>
    </row>
    <row r="1115" spans="54:62" ht="13.8" x14ac:dyDescent="0.25">
      <c r="BB1115" s="187">
        <v>43675</v>
      </c>
      <c r="BC1115" s="180">
        <v>-0.35099999999999998</v>
      </c>
      <c r="BD1115" s="191">
        <v>43675</v>
      </c>
      <c r="BE1115" s="192" t="s">
        <v>149</v>
      </c>
      <c r="BH1115" s="94">
        <v>43707</v>
      </c>
      <c r="BI1115" s="95" t="s">
        <v>172</v>
      </c>
      <c r="BJ1115" s="96">
        <v>12.52</v>
      </c>
    </row>
    <row r="1116" spans="54:62" ht="13.8" x14ac:dyDescent="0.25">
      <c r="BB1116" s="187">
        <v>43676</v>
      </c>
      <c r="BC1116" s="180">
        <v>-0.35499999999999998</v>
      </c>
      <c r="BD1116" s="191">
        <v>43676</v>
      </c>
      <c r="BE1116" s="192" t="s">
        <v>150</v>
      </c>
      <c r="BH1116" s="94">
        <v>43710</v>
      </c>
      <c r="BI1116" s="95" t="s">
        <v>173</v>
      </c>
      <c r="BJ1116" s="96">
        <v>12.51</v>
      </c>
    </row>
    <row r="1117" spans="54:62" ht="13.8" x14ac:dyDescent="0.25">
      <c r="BB1117" s="187">
        <v>43677</v>
      </c>
      <c r="BC1117" s="180">
        <v>-0.36199999999999999</v>
      </c>
      <c r="BD1117" s="191">
        <v>43677</v>
      </c>
      <c r="BE1117" s="192" t="s">
        <v>151</v>
      </c>
      <c r="BH1117" s="94">
        <v>43711</v>
      </c>
      <c r="BI1117" s="95" t="s">
        <v>174</v>
      </c>
      <c r="BJ1117" s="96">
        <v>12.51</v>
      </c>
    </row>
    <row r="1118" spans="54:62" ht="13.8" x14ac:dyDescent="0.25">
      <c r="BB1118" s="187">
        <v>43678</v>
      </c>
      <c r="BC1118" s="180">
        <v>-0.36299999999999999</v>
      </c>
      <c r="BD1118" s="191">
        <v>43678</v>
      </c>
      <c r="BE1118" s="192" t="s">
        <v>152</v>
      </c>
      <c r="BH1118" s="94">
        <v>43712</v>
      </c>
      <c r="BI1118" s="95" t="s">
        <v>175</v>
      </c>
      <c r="BJ1118" s="96">
        <v>12.5</v>
      </c>
    </row>
    <row r="1119" spans="54:62" ht="13.8" x14ac:dyDescent="0.25">
      <c r="BB1119" s="187">
        <v>43679</v>
      </c>
      <c r="BC1119" s="180">
        <v>-0.36699999999999999</v>
      </c>
      <c r="BD1119" s="191">
        <v>43679</v>
      </c>
      <c r="BE1119" s="192" t="s">
        <v>153</v>
      </c>
      <c r="BH1119" s="94">
        <v>43713</v>
      </c>
      <c r="BI1119" s="95" t="s">
        <v>175</v>
      </c>
      <c r="BJ1119" s="96">
        <v>12.47</v>
      </c>
    </row>
    <row r="1120" spans="54:62" ht="13.8" x14ac:dyDescent="0.25">
      <c r="BB1120" s="187">
        <v>43682</v>
      </c>
      <c r="BC1120" s="180">
        <v>-0.36899999999999999</v>
      </c>
      <c r="BD1120" s="191">
        <v>43682</v>
      </c>
      <c r="BE1120" s="192" t="s">
        <v>154</v>
      </c>
      <c r="BH1120" s="94">
        <v>43714</v>
      </c>
      <c r="BI1120" s="95" t="s">
        <v>176</v>
      </c>
      <c r="BJ1120" s="96">
        <v>12.47</v>
      </c>
    </row>
    <row r="1121" spans="54:62" ht="13.8" x14ac:dyDescent="0.25">
      <c r="BB1121" s="187">
        <v>43683</v>
      </c>
      <c r="BC1121" s="180">
        <v>-0.38300000000000001</v>
      </c>
      <c r="BD1121" s="191">
        <v>43683</v>
      </c>
      <c r="BE1121" s="192" t="s">
        <v>155</v>
      </c>
      <c r="BH1121" s="94">
        <v>43717</v>
      </c>
      <c r="BI1121" s="95" t="s">
        <v>175</v>
      </c>
      <c r="BJ1121" s="96">
        <v>12.46</v>
      </c>
    </row>
    <row r="1122" spans="54:62" ht="13.8" x14ac:dyDescent="0.25">
      <c r="BB1122" s="187">
        <v>43684</v>
      </c>
      <c r="BC1122" s="180">
        <v>-0.38900000000000001</v>
      </c>
      <c r="BD1122" s="191">
        <v>43684</v>
      </c>
      <c r="BE1122" s="192" t="s">
        <v>156</v>
      </c>
      <c r="BH1122" s="94">
        <v>43718</v>
      </c>
      <c r="BI1122" s="95" t="s">
        <v>177</v>
      </c>
      <c r="BJ1122" s="96">
        <v>12.45</v>
      </c>
    </row>
    <row r="1123" spans="54:62" ht="13.8" x14ac:dyDescent="0.25">
      <c r="BB1123" s="187">
        <v>43685</v>
      </c>
      <c r="BC1123" s="180">
        <v>-0.39300000000000002</v>
      </c>
      <c r="BD1123" s="191">
        <v>43685</v>
      </c>
      <c r="BE1123" s="192" t="s">
        <v>157</v>
      </c>
      <c r="BH1123" s="94">
        <v>43719</v>
      </c>
      <c r="BI1123" s="95" t="s">
        <v>178</v>
      </c>
      <c r="BJ1123" s="96">
        <v>12.45</v>
      </c>
    </row>
    <row r="1124" spans="54:62" ht="13.8" x14ac:dyDescent="0.25">
      <c r="BB1124" s="187">
        <v>43686</v>
      </c>
      <c r="BC1124" s="180">
        <v>-0.39600000000000002</v>
      </c>
      <c r="BD1124" s="191">
        <v>43686</v>
      </c>
      <c r="BE1124" s="192" t="s">
        <v>158</v>
      </c>
      <c r="BH1124" s="94">
        <v>43720</v>
      </c>
      <c r="BI1124" s="95" t="s">
        <v>179</v>
      </c>
      <c r="BJ1124" s="96">
        <v>12.45</v>
      </c>
    </row>
    <row r="1125" spans="54:62" ht="13.8" x14ac:dyDescent="0.25">
      <c r="BB1125" s="187">
        <v>43689</v>
      </c>
      <c r="BC1125" s="180">
        <v>-0.4</v>
      </c>
      <c r="BD1125" s="191">
        <v>43689</v>
      </c>
      <c r="BE1125" s="192" t="s">
        <v>159</v>
      </c>
      <c r="BH1125" s="94">
        <v>43721</v>
      </c>
      <c r="BI1125" s="95" t="s">
        <v>180</v>
      </c>
      <c r="BJ1125" s="96">
        <v>12.45</v>
      </c>
    </row>
    <row r="1126" spans="54:62" ht="13.8" x14ac:dyDescent="0.25">
      <c r="BB1126" s="187">
        <v>43690</v>
      </c>
      <c r="BC1126" s="180">
        <v>-0.40100000000000002</v>
      </c>
      <c r="BD1126" s="191">
        <v>43690</v>
      </c>
      <c r="BE1126" s="192" t="s">
        <v>160</v>
      </c>
      <c r="BH1126" s="94">
        <v>43724</v>
      </c>
      <c r="BI1126" s="95" t="s">
        <v>171</v>
      </c>
      <c r="BJ1126" s="96">
        <v>12.44</v>
      </c>
    </row>
    <row r="1127" spans="54:62" ht="13.8" x14ac:dyDescent="0.25">
      <c r="BB1127" s="187">
        <v>43691</v>
      </c>
      <c r="BC1127" s="180">
        <v>-0.40600000000000003</v>
      </c>
      <c r="BD1127" s="191">
        <v>43691</v>
      </c>
      <c r="BE1127" s="192" t="s">
        <v>161</v>
      </c>
      <c r="BH1127" s="94">
        <v>43725</v>
      </c>
      <c r="BI1127" s="95" t="s">
        <v>170</v>
      </c>
      <c r="BJ1127" s="96">
        <v>12.44</v>
      </c>
    </row>
    <row r="1128" spans="54:62" ht="13.8" x14ac:dyDescent="0.25">
      <c r="BB1128" s="187">
        <v>43692</v>
      </c>
      <c r="BC1128" s="180">
        <v>-0.40899999999999997</v>
      </c>
      <c r="BD1128" s="191"/>
      <c r="BE1128" s="193" t="str">
        <f>+BE1127</f>
        <v>−0,324</v>
      </c>
      <c r="BH1128" s="94">
        <v>43726</v>
      </c>
      <c r="BI1128" s="95" t="s">
        <v>181</v>
      </c>
      <c r="BJ1128" s="96">
        <v>12.43</v>
      </c>
    </row>
    <row r="1129" spans="54:62" ht="13.8" x14ac:dyDescent="0.25">
      <c r="BB1129" s="187">
        <v>43693</v>
      </c>
      <c r="BC1129" s="180">
        <v>-0.42699999999999999</v>
      </c>
      <c r="BD1129" s="191">
        <v>43693</v>
      </c>
      <c r="BE1129" s="192" t="s">
        <v>162</v>
      </c>
      <c r="BH1129" s="94">
        <v>43727</v>
      </c>
      <c r="BI1129" s="95" t="s">
        <v>182</v>
      </c>
      <c r="BJ1129" s="96">
        <v>12.43</v>
      </c>
    </row>
    <row r="1130" spans="54:62" ht="13.8" x14ac:dyDescent="0.25">
      <c r="BB1130" s="187">
        <v>43696</v>
      </c>
      <c r="BC1130" s="180">
        <v>-0.42299999999999999</v>
      </c>
      <c r="BD1130" s="191">
        <v>43696</v>
      </c>
      <c r="BE1130" s="192" t="s">
        <v>163</v>
      </c>
      <c r="BH1130" s="94">
        <v>43728</v>
      </c>
      <c r="BI1130" s="95" t="s">
        <v>168</v>
      </c>
      <c r="BJ1130" s="96">
        <v>12.43</v>
      </c>
    </row>
    <row r="1131" spans="54:62" ht="13.8" x14ac:dyDescent="0.25">
      <c r="BB1131" s="187">
        <v>43697</v>
      </c>
      <c r="BC1131" s="180">
        <v>-0.42499999999999999</v>
      </c>
      <c r="BD1131" s="191">
        <v>43697</v>
      </c>
      <c r="BE1131" s="192" t="s">
        <v>164</v>
      </c>
      <c r="BH1131" s="94">
        <v>43731</v>
      </c>
      <c r="BI1131" s="95" t="s">
        <v>183</v>
      </c>
      <c r="BJ1131" s="96">
        <v>12.42</v>
      </c>
    </row>
    <row r="1132" spans="54:62" ht="13.8" x14ac:dyDescent="0.25">
      <c r="BB1132" s="187">
        <v>43698</v>
      </c>
      <c r="BC1132" s="180">
        <v>-0.42399999999999999</v>
      </c>
      <c r="BD1132" s="191">
        <v>43698</v>
      </c>
      <c r="BE1132" s="192" t="s">
        <v>165</v>
      </c>
      <c r="BH1132" s="94">
        <v>43732</v>
      </c>
      <c r="BI1132" s="95" t="s">
        <v>167</v>
      </c>
      <c r="BJ1132" s="96">
        <v>12.42</v>
      </c>
    </row>
    <row r="1133" spans="54:62" ht="13.8" x14ac:dyDescent="0.25">
      <c r="BB1133" s="187">
        <v>43699</v>
      </c>
      <c r="BC1133" s="180">
        <v>-0.41799999999999998</v>
      </c>
      <c r="BD1133" s="191">
        <v>43699</v>
      </c>
      <c r="BE1133" s="192" t="s">
        <v>166</v>
      </c>
      <c r="BH1133" s="94">
        <v>43733</v>
      </c>
      <c r="BI1133" s="95" t="s">
        <v>184</v>
      </c>
      <c r="BJ1133" s="96">
        <v>12.41</v>
      </c>
    </row>
    <row r="1134" spans="54:62" ht="13.8" x14ac:dyDescent="0.25">
      <c r="BB1134" s="187">
        <v>43700</v>
      </c>
      <c r="BC1134" s="180">
        <v>-0.40799999999999997</v>
      </c>
      <c r="BD1134" s="191">
        <v>43700</v>
      </c>
      <c r="BE1134" s="192" t="s">
        <v>167</v>
      </c>
      <c r="BH1134" s="94">
        <v>43734</v>
      </c>
      <c r="BI1134" s="95" t="s">
        <v>185</v>
      </c>
      <c r="BJ1134" s="96">
        <v>12.41</v>
      </c>
    </row>
    <row r="1135" spans="54:62" ht="13.8" x14ac:dyDescent="0.25">
      <c r="BB1135" s="187">
        <v>43703</v>
      </c>
      <c r="BC1135" s="180">
        <v>-0.41499999999999998</v>
      </c>
      <c r="BD1135" s="191">
        <v>43703</v>
      </c>
      <c r="BE1135" s="192" t="s">
        <v>168</v>
      </c>
      <c r="BH1135" s="94">
        <v>43735</v>
      </c>
      <c r="BI1135" s="95" t="s">
        <v>186</v>
      </c>
      <c r="BJ1135" s="96">
        <v>12.41</v>
      </c>
    </row>
    <row r="1136" spans="54:62" ht="13.8" x14ac:dyDescent="0.25">
      <c r="BB1136" s="187">
        <v>43704</v>
      </c>
      <c r="BC1136" s="180">
        <v>-0.41499999999999998</v>
      </c>
      <c r="BD1136" s="191">
        <v>43704</v>
      </c>
      <c r="BE1136" s="192" t="s">
        <v>169</v>
      </c>
      <c r="BH1136" s="94">
        <v>43738</v>
      </c>
      <c r="BI1136" s="95" t="s">
        <v>187</v>
      </c>
      <c r="BJ1136" s="96">
        <v>12.4</v>
      </c>
    </row>
    <row r="1137" spans="54:62" ht="13.8" x14ac:dyDescent="0.25">
      <c r="BB1137" s="187">
        <v>43705</v>
      </c>
      <c r="BC1137" s="180">
        <v>-0.42699999999999999</v>
      </c>
      <c r="BD1137" s="191">
        <v>43705</v>
      </c>
      <c r="BE1137" s="192" t="s">
        <v>170</v>
      </c>
      <c r="BH1137" s="94">
        <v>43739</v>
      </c>
      <c r="BI1137" s="95" t="s">
        <v>188</v>
      </c>
      <c r="BJ1137" s="96">
        <v>12.4</v>
      </c>
    </row>
    <row r="1138" spans="54:62" ht="13.8" x14ac:dyDescent="0.25">
      <c r="BB1138" s="187">
        <v>43706</v>
      </c>
      <c r="BC1138" s="180">
        <v>-0.42299999999999999</v>
      </c>
      <c r="BD1138" s="191">
        <v>43706</v>
      </c>
      <c r="BE1138" s="192" t="s">
        <v>171</v>
      </c>
      <c r="BH1138" s="94">
        <v>43740</v>
      </c>
      <c r="BI1138" s="95" t="s">
        <v>189</v>
      </c>
      <c r="BJ1138" s="96">
        <v>12.39</v>
      </c>
    </row>
    <row r="1139" spans="54:62" ht="13.8" x14ac:dyDescent="0.25">
      <c r="BB1139" s="187">
        <v>43707</v>
      </c>
      <c r="BC1139" s="180">
        <v>-0.42799999999999999</v>
      </c>
      <c r="BD1139" s="191">
        <v>43707</v>
      </c>
      <c r="BE1139" s="192" t="s">
        <v>172</v>
      </c>
      <c r="BH1139" s="94">
        <v>43741</v>
      </c>
      <c r="BI1139" s="95" t="s">
        <v>190</v>
      </c>
      <c r="BJ1139" s="96">
        <v>12.39</v>
      </c>
    </row>
    <row r="1140" spans="54:62" ht="13.8" x14ac:dyDescent="0.25">
      <c r="BB1140" s="187">
        <v>43710</v>
      </c>
      <c r="BC1140" s="180">
        <v>-0.439</v>
      </c>
      <c r="BD1140" s="191">
        <v>43710</v>
      </c>
      <c r="BE1140" s="192" t="s">
        <v>173</v>
      </c>
      <c r="BH1140" s="94">
        <v>43742</v>
      </c>
      <c r="BI1140" s="95" t="s">
        <v>191</v>
      </c>
      <c r="BJ1140" s="96">
        <v>12.39</v>
      </c>
    </row>
    <row r="1141" spans="54:62" ht="13.8" x14ac:dyDescent="0.25">
      <c r="BB1141" s="187">
        <v>43711</v>
      </c>
      <c r="BC1141" s="180">
        <v>-0.44800000000000001</v>
      </c>
      <c r="BD1141" s="191">
        <v>43711</v>
      </c>
      <c r="BE1141" s="192" t="s">
        <v>174</v>
      </c>
      <c r="BH1141" s="94">
        <v>43745</v>
      </c>
      <c r="BI1141" s="95" t="s">
        <v>191</v>
      </c>
      <c r="BJ1141" s="96">
        <v>12.38</v>
      </c>
    </row>
    <row r="1142" spans="54:62" ht="13.8" x14ac:dyDescent="0.25">
      <c r="BB1142" s="187">
        <v>43712</v>
      </c>
      <c r="BC1142" s="180">
        <v>-0.439</v>
      </c>
      <c r="BD1142" s="191">
        <v>43712</v>
      </c>
      <c r="BE1142" s="192" t="s">
        <v>175</v>
      </c>
      <c r="BH1142" s="94">
        <v>43746</v>
      </c>
      <c r="BI1142" s="95" t="s">
        <v>190</v>
      </c>
      <c r="BJ1142" s="96">
        <v>12.38</v>
      </c>
    </row>
    <row r="1143" spans="54:62" ht="13.8" x14ac:dyDescent="0.25">
      <c r="BB1143" s="187">
        <v>43713</v>
      </c>
      <c r="BC1143" s="180">
        <v>-0.43099999999999999</v>
      </c>
      <c r="BD1143" s="191">
        <v>43713</v>
      </c>
      <c r="BE1143" s="192" t="s">
        <v>175</v>
      </c>
      <c r="BH1143" s="94">
        <v>43747</v>
      </c>
      <c r="BI1143" s="95" t="s">
        <v>190</v>
      </c>
      <c r="BJ1143" s="96">
        <v>12.38</v>
      </c>
    </row>
    <row r="1144" spans="54:62" ht="13.8" x14ac:dyDescent="0.25">
      <c r="BB1144" s="187">
        <v>43714</v>
      </c>
      <c r="BC1144" s="180">
        <v>-0.42299999999999999</v>
      </c>
      <c r="BD1144" s="191">
        <v>43714</v>
      </c>
      <c r="BE1144" s="192" t="s">
        <v>176</v>
      </c>
      <c r="BH1144" s="94">
        <v>43748</v>
      </c>
      <c r="BI1144" s="95" t="s">
        <v>163</v>
      </c>
      <c r="BJ1144" s="96">
        <v>12.39</v>
      </c>
    </row>
    <row r="1145" spans="54:62" ht="13.8" x14ac:dyDescent="0.25">
      <c r="BB1145" s="187">
        <v>43717</v>
      </c>
      <c r="BC1145" s="180">
        <v>-0.41299999999999998</v>
      </c>
      <c r="BD1145" s="191">
        <v>43717</v>
      </c>
      <c r="BE1145" s="192" t="s">
        <v>175</v>
      </c>
      <c r="BH1145" s="94">
        <v>43749</v>
      </c>
      <c r="BI1145" s="95" t="s">
        <v>163</v>
      </c>
      <c r="BJ1145" s="96">
        <v>12.39</v>
      </c>
    </row>
    <row r="1146" spans="54:62" ht="13.8" x14ac:dyDescent="0.25">
      <c r="BB1146" s="187">
        <v>43718</v>
      </c>
      <c r="BC1146" s="180">
        <v>-0.41399999999999998</v>
      </c>
      <c r="BD1146" s="191">
        <v>43718</v>
      </c>
      <c r="BE1146" s="192" t="s">
        <v>177</v>
      </c>
      <c r="BH1146" s="94">
        <v>43752</v>
      </c>
      <c r="BI1146" s="95" t="s">
        <v>163</v>
      </c>
      <c r="BJ1146" s="96">
        <v>12.38</v>
      </c>
    </row>
    <row r="1147" spans="54:62" ht="13.8" x14ac:dyDescent="0.25">
      <c r="BB1147" s="187">
        <v>43719</v>
      </c>
      <c r="BC1147" s="180">
        <v>-0.40799999999999997</v>
      </c>
      <c r="BD1147" s="191">
        <v>43719</v>
      </c>
      <c r="BE1147" s="192" t="s">
        <v>178</v>
      </c>
      <c r="BH1147" s="94">
        <v>43753</v>
      </c>
      <c r="BI1147" s="95" t="s">
        <v>163</v>
      </c>
      <c r="BJ1147" s="96">
        <v>12.38</v>
      </c>
    </row>
    <row r="1148" spans="54:62" ht="13.8" x14ac:dyDescent="0.25">
      <c r="BB1148" s="187">
        <v>43720</v>
      </c>
      <c r="BC1148" s="180">
        <v>-0.40799999999999997</v>
      </c>
      <c r="BD1148" s="191">
        <v>43720</v>
      </c>
      <c r="BE1148" s="192" t="s">
        <v>179</v>
      </c>
      <c r="BH1148" s="94">
        <v>43754</v>
      </c>
      <c r="BI1148" s="95" t="s">
        <v>192</v>
      </c>
      <c r="BJ1148" s="96">
        <v>12.38</v>
      </c>
    </row>
    <row r="1149" spans="54:62" ht="13.8" x14ac:dyDescent="0.25">
      <c r="BB1149" s="187">
        <v>43721</v>
      </c>
      <c r="BC1149" s="180">
        <v>-0.377</v>
      </c>
      <c r="BD1149" s="191">
        <v>43721</v>
      </c>
      <c r="BE1149" s="192" t="s">
        <v>180</v>
      </c>
      <c r="BH1149" s="94">
        <v>43755</v>
      </c>
      <c r="BI1149" s="95" t="s">
        <v>193</v>
      </c>
      <c r="BJ1149" s="96">
        <v>12.38</v>
      </c>
    </row>
    <row r="1150" spans="54:62" ht="13.8" x14ac:dyDescent="0.25">
      <c r="BB1150" s="187">
        <v>43724</v>
      </c>
      <c r="BC1150" s="180">
        <v>-0.36099999999999999</v>
      </c>
      <c r="BD1150" s="191">
        <v>43724</v>
      </c>
      <c r="BE1150" s="192" t="s">
        <v>171</v>
      </c>
      <c r="BH1150" s="94">
        <v>43756</v>
      </c>
      <c r="BI1150" s="95" t="s">
        <v>194</v>
      </c>
      <c r="BJ1150" s="96">
        <v>12.37</v>
      </c>
    </row>
    <row r="1151" spans="54:62" ht="13.8" x14ac:dyDescent="0.25">
      <c r="BB1151" s="187">
        <v>43725</v>
      </c>
      <c r="BC1151" s="180">
        <v>-0.36499999999999999</v>
      </c>
      <c r="BD1151" s="191">
        <v>43725</v>
      </c>
      <c r="BE1151" s="192" t="s">
        <v>170</v>
      </c>
      <c r="BH1151" s="94">
        <v>43759</v>
      </c>
      <c r="BI1151" s="95" t="s">
        <v>195</v>
      </c>
      <c r="BJ1151" s="96">
        <v>12.36</v>
      </c>
    </row>
    <row r="1152" spans="54:62" ht="13.8" x14ac:dyDescent="0.25">
      <c r="BB1152" s="187">
        <v>43726</v>
      </c>
      <c r="BC1152" s="180">
        <v>-0.36899999999999999</v>
      </c>
      <c r="BD1152" s="191">
        <v>43726</v>
      </c>
      <c r="BE1152" s="192" t="s">
        <v>181</v>
      </c>
      <c r="BH1152" s="94">
        <v>43760</v>
      </c>
      <c r="BI1152" s="95" t="s">
        <v>196</v>
      </c>
      <c r="BJ1152" s="96">
        <v>12.36</v>
      </c>
    </row>
    <row r="1153" spans="54:62" ht="13.8" x14ac:dyDescent="0.25">
      <c r="BB1153" s="187">
        <v>43727</v>
      </c>
      <c r="BC1153" s="180">
        <v>-0.36799999999999999</v>
      </c>
      <c r="BD1153" s="191">
        <v>43727</v>
      </c>
      <c r="BE1153" s="192" t="s">
        <v>182</v>
      </c>
      <c r="BH1153" s="94">
        <v>43761</v>
      </c>
      <c r="BI1153" s="95" t="s">
        <v>197</v>
      </c>
      <c r="BJ1153" s="96">
        <v>12.36</v>
      </c>
    </row>
    <row r="1154" spans="54:62" ht="13.8" x14ac:dyDescent="0.25">
      <c r="BB1154" s="187">
        <v>43728</v>
      </c>
      <c r="BC1154" s="180">
        <v>-0.35799999999999998</v>
      </c>
      <c r="BD1154" s="191">
        <v>43728</v>
      </c>
      <c r="BE1154" s="192" t="s">
        <v>168</v>
      </c>
      <c r="BH1154" s="94">
        <v>43762</v>
      </c>
      <c r="BI1154" s="95" t="s">
        <v>198</v>
      </c>
      <c r="BJ1154" s="96">
        <v>12.36</v>
      </c>
    </row>
    <row r="1155" spans="54:62" ht="13.8" x14ac:dyDescent="0.25">
      <c r="BB1155" s="187">
        <v>43731</v>
      </c>
      <c r="BC1155" s="180">
        <v>-0.36299999999999999</v>
      </c>
      <c r="BD1155" s="191">
        <v>43731</v>
      </c>
      <c r="BE1155" s="192" t="s">
        <v>183</v>
      </c>
      <c r="BH1155" s="94">
        <v>43763</v>
      </c>
      <c r="BI1155" s="95" t="s">
        <v>199</v>
      </c>
      <c r="BJ1155" s="96">
        <v>12.35</v>
      </c>
    </row>
    <row r="1156" spans="54:62" ht="13.8" x14ac:dyDescent="0.25">
      <c r="BB1156" s="187">
        <v>43732</v>
      </c>
      <c r="BC1156" s="180">
        <v>-0.373</v>
      </c>
      <c r="BD1156" s="191">
        <v>43732</v>
      </c>
      <c r="BE1156" s="192" t="s">
        <v>167</v>
      </c>
      <c r="BH1156" s="94">
        <v>43766</v>
      </c>
      <c r="BI1156" s="95" t="s">
        <v>200</v>
      </c>
      <c r="BJ1156" s="96">
        <v>12.34</v>
      </c>
    </row>
    <row r="1157" spans="54:62" ht="13.8" x14ac:dyDescent="0.25">
      <c r="BB1157" s="187">
        <v>43733</v>
      </c>
      <c r="BC1157" s="180">
        <v>-0.375</v>
      </c>
      <c r="BD1157" s="191">
        <v>43733</v>
      </c>
      <c r="BE1157" s="192" t="s">
        <v>184</v>
      </c>
      <c r="BH1157" s="94">
        <v>43767</v>
      </c>
      <c r="BI1157" s="95" t="s">
        <v>201</v>
      </c>
      <c r="BJ1157" s="96">
        <v>12.34</v>
      </c>
    </row>
    <row r="1158" spans="54:62" ht="13.8" x14ac:dyDescent="0.25">
      <c r="BB1158" s="187">
        <v>43734</v>
      </c>
      <c r="BC1158" s="180">
        <v>-0.376</v>
      </c>
      <c r="BD1158" s="191">
        <v>43734</v>
      </c>
      <c r="BE1158" s="192" t="s">
        <v>185</v>
      </c>
      <c r="BH1158" s="94">
        <v>43768</v>
      </c>
      <c r="BI1158" s="95" t="s">
        <v>202</v>
      </c>
      <c r="BJ1158" s="96">
        <v>12.34</v>
      </c>
    </row>
    <row r="1159" spans="54:62" ht="13.8" x14ac:dyDescent="0.25">
      <c r="BB1159" s="187">
        <v>43735</v>
      </c>
      <c r="BC1159" s="180">
        <v>-0.377</v>
      </c>
      <c r="BD1159" s="191">
        <v>43735</v>
      </c>
      <c r="BE1159" s="192" t="s">
        <v>186</v>
      </c>
      <c r="BH1159" s="94">
        <v>43769</v>
      </c>
      <c r="BI1159" s="95" t="s">
        <v>157</v>
      </c>
      <c r="BJ1159" s="96">
        <v>12.34</v>
      </c>
    </row>
    <row r="1160" spans="54:62" ht="13.8" x14ac:dyDescent="0.25">
      <c r="BB1160" s="187">
        <v>43738</v>
      </c>
      <c r="BC1160" s="180">
        <v>-0.38600000000000001</v>
      </c>
      <c r="BD1160" s="191">
        <v>43738</v>
      </c>
      <c r="BE1160" s="192" t="s">
        <v>187</v>
      </c>
      <c r="BH1160" s="94">
        <v>43773</v>
      </c>
      <c r="BI1160" s="95" t="s">
        <v>203</v>
      </c>
      <c r="BJ1160" s="96">
        <v>12.33</v>
      </c>
    </row>
    <row r="1161" spans="54:62" ht="13.8" x14ac:dyDescent="0.25">
      <c r="BB1161" s="187">
        <v>43739</v>
      </c>
      <c r="BC1161" s="180">
        <v>-0.38700000000000001</v>
      </c>
      <c r="BD1161" s="191">
        <v>43739</v>
      </c>
      <c r="BE1161" s="192" t="s">
        <v>188</v>
      </c>
      <c r="BH1161" s="94">
        <v>43774</v>
      </c>
      <c r="BI1161" s="95" t="s">
        <v>204</v>
      </c>
      <c r="BJ1161" s="96">
        <v>12.32</v>
      </c>
    </row>
    <row r="1162" spans="54:62" ht="13.8" x14ac:dyDescent="0.25">
      <c r="BB1162" s="187">
        <v>43740</v>
      </c>
      <c r="BC1162" s="180">
        <v>-0.38400000000000001</v>
      </c>
      <c r="BD1162" s="191">
        <v>43740</v>
      </c>
      <c r="BE1162" s="192" t="s">
        <v>189</v>
      </c>
      <c r="BH1162" s="94">
        <v>43775</v>
      </c>
      <c r="BI1162" s="95" t="s">
        <v>205</v>
      </c>
      <c r="BJ1162" s="96">
        <v>12.32</v>
      </c>
    </row>
    <row r="1163" spans="54:62" ht="13.8" x14ac:dyDescent="0.25">
      <c r="BB1163" s="187">
        <v>43741</v>
      </c>
      <c r="BC1163" s="180">
        <v>-0.38700000000000001</v>
      </c>
      <c r="BD1163" s="191">
        <v>43741</v>
      </c>
      <c r="BE1163" s="192" t="s">
        <v>190</v>
      </c>
      <c r="BH1163" s="94">
        <v>43776</v>
      </c>
      <c r="BI1163" s="95" t="s">
        <v>206</v>
      </c>
      <c r="BJ1163" s="96">
        <v>12.29</v>
      </c>
    </row>
    <row r="1164" spans="54:62" ht="13.8" x14ac:dyDescent="0.25">
      <c r="BB1164" s="187">
        <v>43742</v>
      </c>
      <c r="BC1164" s="180">
        <v>-0.38900000000000001</v>
      </c>
      <c r="BD1164" s="191">
        <v>43742</v>
      </c>
      <c r="BE1164" s="192" t="s">
        <v>191</v>
      </c>
      <c r="BH1164" s="94">
        <v>43777</v>
      </c>
      <c r="BI1164" s="95" t="s">
        <v>207</v>
      </c>
      <c r="BJ1164" s="96">
        <v>12.29</v>
      </c>
    </row>
    <row r="1165" spans="54:62" ht="13.8" x14ac:dyDescent="0.25">
      <c r="BB1165" s="187">
        <v>43745</v>
      </c>
      <c r="BC1165" s="180">
        <v>-0.38900000000000001</v>
      </c>
      <c r="BD1165" s="191">
        <v>43745</v>
      </c>
      <c r="BE1165" s="192" t="s">
        <v>191</v>
      </c>
      <c r="BH1165" s="94">
        <v>43780</v>
      </c>
      <c r="BI1165" s="95" t="s">
        <v>208</v>
      </c>
      <c r="BJ1165" s="96">
        <v>12.28</v>
      </c>
    </row>
    <row r="1166" spans="54:62" ht="13.8" x14ac:dyDescent="0.25">
      <c r="BB1166" s="187">
        <v>43746</v>
      </c>
      <c r="BC1166" s="180">
        <v>-0.38700000000000001</v>
      </c>
      <c r="BD1166" s="191">
        <v>43746</v>
      </c>
      <c r="BE1166" s="192" t="s">
        <v>190</v>
      </c>
      <c r="BH1166" s="94">
        <v>43781</v>
      </c>
      <c r="BI1166" s="95" t="s">
        <v>209</v>
      </c>
      <c r="BJ1166" s="96">
        <v>12.28</v>
      </c>
    </row>
    <row r="1167" spans="54:62" ht="13.8" x14ac:dyDescent="0.25">
      <c r="BB1167" s="187">
        <v>43747</v>
      </c>
      <c r="BC1167" s="180">
        <v>-0.38400000000000001</v>
      </c>
      <c r="BD1167" s="191">
        <v>43747</v>
      </c>
      <c r="BE1167" s="192" t="s">
        <v>190</v>
      </c>
      <c r="BH1167" s="94">
        <v>43782</v>
      </c>
      <c r="BI1167" s="95" t="s">
        <v>210</v>
      </c>
      <c r="BJ1167" s="96">
        <v>12.27</v>
      </c>
    </row>
    <row r="1168" spans="54:62" ht="13.8" x14ac:dyDescent="0.25">
      <c r="BB1168" s="187">
        <v>43748</v>
      </c>
      <c r="BC1168" s="180">
        <v>-0.375</v>
      </c>
      <c r="BD1168" s="191">
        <v>43748</v>
      </c>
      <c r="BE1168" s="192" t="s">
        <v>163</v>
      </c>
      <c r="BH1168" s="94">
        <v>43783</v>
      </c>
      <c r="BI1168" s="95" t="s">
        <v>211</v>
      </c>
      <c r="BJ1168" s="96">
        <v>12.27</v>
      </c>
    </row>
    <row r="1169" spans="54:62" ht="13.8" x14ac:dyDescent="0.25">
      <c r="BB1169" s="187">
        <v>43749</v>
      </c>
      <c r="BC1169" s="180">
        <v>-0.35799999999999998</v>
      </c>
      <c r="BD1169" s="191">
        <v>43749</v>
      </c>
      <c r="BE1169" s="192" t="s">
        <v>163</v>
      </c>
      <c r="BH1169" s="94">
        <v>43784</v>
      </c>
      <c r="BI1169" s="95" t="s">
        <v>91</v>
      </c>
      <c r="BJ1169" s="96">
        <v>12.27</v>
      </c>
    </row>
    <row r="1170" spans="54:62" ht="13.8" x14ac:dyDescent="0.25">
      <c r="BB1170" s="187">
        <v>43752</v>
      </c>
      <c r="BC1170" s="180">
        <v>-0.35299999999999998</v>
      </c>
      <c r="BD1170" s="191">
        <v>43752</v>
      </c>
      <c r="BE1170" s="192" t="s">
        <v>163</v>
      </c>
      <c r="BH1170" s="94">
        <v>43787</v>
      </c>
      <c r="BI1170" s="95" t="s">
        <v>93</v>
      </c>
      <c r="BJ1170" s="96">
        <v>12.26</v>
      </c>
    </row>
    <row r="1171" spans="54:62" ht="13.8" x14ac:dyDescent="0.25">
      <c r="BB1171" s="187">
        <v>43753</v>
      </c>
      <c r="BC1171" s="180">
        <v>-0.35799999999999998</v>
      </c>
      <c r="BD1171" s="191">
        <v>43753</v>
      </c>
      <c r="BE1171" s="192" t="s">
        <v>163</v>
      </c>
      <c r="BH1171" s="94">
        <v>43788</v>
      </c>
      <c r="BI1171" s="95" t="s">
        <v>90</v>
      </c>
      <c r="BJ1171" s="96">
        <v>12.26</v>
      </c>
    </row>
    <row r="1172" spans="54:62" ht="13.8" x14ac:dyDescent="0.25">
      <c r="BB1172" s="187">
        <v>43754</v>
      </c>
      <c r="BC1172" s="180">
        <v>-0.35399999999999998</v>
      </c>
      <c r="BD1172" s="191">
        <v>43754</v>
      </c>
      <c r="BE1172" s="192" t="s">
        <v>192</v>
      </c>
      <c r="BH1172" s="94">
        <v>43789</v>
      </c>
      <c r="BI1172" s="95" t="s">
        <v>94</v>
      </c>
      <c r="BJ1172" s="96">
        <v>12.25</v>
      </c>
    </row>
    <row r="1173" spans="54:62" ht="13.8" x14ac:dyDescent="0.25">
      <c r="BB1173" s="187">
        <v>43755</v>
      </c>
      <c r="BC1173" s="180">
        <v>-0.34899999999999998</v>
      </c>
      <c r="BD1173" s="191">
        <v>43755</v>
      </c>
      <c r="BE1173" s="192" t="s">
        <v>193</v>
      </c>
      <c r="BH1173" s="94">
        <v>43790</v>
      </c>
      <c r="BI1173" s="95" t="s">
        <v>212</v>
      </c>
      <c r="BJ1173" s="96">
        <v>12.25</v>
      </c>
    </row>
    <row r="1174" spans="54:62" ht="13.8" x14ac:dyDescent="0.25">
      <c r="BB1174" s="187">
        <v>43756</v>
      </c>
      <c r="BC1174" s="180">
        <v>-0.35099999999999998</v>
      </c>
      <c r="BD1174" s="191">
        <v>43756</v>
      </c>
      <c r="BE1174" s="192" t="s">
        <v>194</v>
      </c>
      <c r="BH1174" s="94">
        <v>43791</v>
      </c>
      <c r="BI1174" s="95" t="s">
        <v>213</v>
      </c>
      <c r="BJ1174" s="96">
        <v>12.24</v>
      </c>
    </row>
    <row r="1175" spans="54:62" ht="13.8" x14ac:dyDescent="0.25">
      <c r="BB1175" s="187">
        <v>43759</v>
      </c>
      <c r="BC1175" s="180">
        <v>-0.34899999999999998</v>
      </c>
      <c r="BD1175" s="191">
        <v>43759</v>
      </c>
      <c r="BE1175" s="192" t="s">
        <v>195</v>
      </c>
      <c r="BH1175" s="94">
        <v>43794</v>
      </c>
      <c r="BI1175" s="95" t="s">
        <v>88</v>
      </c>
      <c r="BJ1175" s="96">
        <v>12.23</v>
      </c>
    </row>
    <row r="1176" spans="54:62" ht="13.8" x14ac:dyDescent="0.25">
      <c r="BB1176" s="187">
        <v>43760</v>
      </c>
      <c r="BC1176" s="180">
        <v>-0.34799999999999998</v>
      </c>
      <c r="BD1176" s="191">
        <v>43760</v>
      </c>
      <c r="BE1176" s="192" t="s">
        <v>196</v>
      </c>
      <c r="BH1176" s="94">
        <v>43795</v>
      </c>
      <c r="BI1176" s="95" t="s">
        <v>88</v>
      </c>
      <c r="BJ1176" s="96">
        <v>12.23</v>
      </c>
    </row>
    <row r="1177" spans="54:62" ht="13.8" x14ac:dyDescent="0.25">
      <c r="BB1177" s="187">
        <v>43761</v>
      </c>
      <c r="BC1177" s="180">
        <v>-0.35099999999999998</v>
      </c>
      <c r="BD1177" s="191">
        <v>43761</v>
      </c>
      <c r="BE1177" s="192" t="s">
        <v>197</v>
      </c>
      <c r="BH1177" s="94">
        <v>43796</v>
      </c>
      <c r="BI1177" s="95" t="s">
        <v>213</v>
      </c>
      <c r="BJ1177" s="96">
        <v>12.23</v>
      </c>
    </row>
    <row r="1178" spans="54:62" ht="13.8" x14ac:dyDescent="0.25">
      <c r="BB1178" s="187">
        <v>43762</v>
      </c>
      <c r="BC1178" s="180">
        <v>-0.34799999999999998</v>
      </c>
      <c r="BD1178" s="191">
        <v>43762</v>
      </c>
      <c r="BE1178" s="192" t="s">
        <v>198</v>
      </c>
      <c r="BH1178" s="94">
        <v>43797</v>
      </c>
      <c r="BI1178" s="95" t="s">
        <v>214</v>
      </c>
      <c r="BJ1178" s="96">
        <v>12.21</v>
      </c>
    </row>
    <row r="1179" spans="54:62" ht="13.8" x14ac:dyDescent="0.25">
      <c r="BB1179" s="187">
        <v>43763</v>
      </c>
      <c r="BC1179" s="180">
        <v>-0.35</v>
      </c>
      <c r="BD1179" s="191">
        <v>43763</v>
      </c>
      <c r="BE1179" s="192" t="s">
        <v>199</v>
      </c>
      <c r="BH1179" s="94">
        <v>43798</v>
      </c>
      <c r="BI1179" s="95" t="s">
        <v>88</v>
      </c>
      <c r="BJ1179" s="96">
        <v>12.21</v>
      </c>
    </row>
    <row r="1180" spans="54:62" ht="13.8" x14ac:dyDescent="0.25">
      <c r="BB1180" s="187">
        <v>43766</v>
      </c>
      <c r="BC1180" s="180">
        <v>-0.34599999999999997</v>
      </c>
      <c r="BD1180" s="191">
        <v>43766</v>
      </c>
      <c r="BE1180" s="192" t="s">
        <v>200</v>
      </c>
      <c r="BH1180" s="94">
        <v>43801</v>
      </c>
      <c r="BI1180" s="95" t="s">
        <v>215</v>
      </c>
      <c r="BJ1180" s="96">
        <v>12.2</v>
      </c>
    </row>
    <row r="1181" spans="54:62" ht="13.8" x14ac:dyDescent="0.25">
      <c r="BB1181" s="187">
        <v>43767</v>
      </c>
      <c r="BC1181" s="180">
        <v>-0.34300000000000003</v>
      </c>
      <c r="BD1181" s="191">
        <v>43767</v>
      </c>
      <c r="BE1181" s="192" t="s">
        <v>201</v>
      </c>
      <c r="BH1181" s="94">
        <v>43802</v>
      </c>
      <c r="BI1181" s="95" t="s">
        <v>215</v>
      </c>
      <c r="BJ1181" s="96">
        <v>12.2</v>
      </c>
    </row>
    <row r="1182" spans="54:62" ht="13.8" x14ac:dyDescent="0.25">
      <c r="BB1182" s="187">
        <v>43768</v>
      </c>
      <c r="BC1182" s="180">
        <v>-0.33900000000000002</v>
      </c>
      <c r="BD1182" s="191">
        <v>43768</v>
      </c>
      <c r="BE1182" s="192" t="s">
        <v>202</v>
      </c>
      <c r="BH1182" s="94">
        <v>43803</v>
      </c>
      <c r="BI1182" s="95" t="s">
        <v>216</v>
      </c>
      <c r="BJ1182" s="96">
        <v>12.2</v>
      </c>
    </row>
    <row r="1183" spans="54:62" ht="13.8" x14ac:dyDescent="0.25">
      <c r="BB1183" s="187">
        <v>43769</v>
      </c>
      <c r="BC1183" s="180">
        <v>-0.33700000000000002</v>
      </c>
      <c r="BD1183" s="191">
        <v>43769</v>
      </c>
      <c r="BE1183" s="192" t="s">
        <v>157</v>
      </c>
      <c r="BH1183" s="94">
        <v>43804</v>
      </c>
      <c r="BI1183" s="95" t="s">
        <v>88</v>
      </c>
      <c r="BJ1183" s="96">
        <v>12.19</v>
      </c>
    </row>
    <row r="1184" spans="54:62" ht="13.8" x14ac:dyDescent="0.25">
      <c r="BB1184" s="187">
        <v>43770</v>
      </c>
      <c r="BC1184" s="180">
        <v>-0.34799999999999998</v>
      </c>
      <c r="BD1184" s="191"/>
      <c r="BE1184" s="193">
        <v>-0.27100000000000002</v>
      </c>
      <c r="BF1184" s="111">
        <f>+(BC1184+BE1184)/2+0.37</f>
        <v>6.0499999999999998E-2</v>
      </c>
      <c r="BH1184" s="94">
        <v>43805</v>
      </c>
      <c r="BI1184" s="95" t="s">
        <v>214</v>
      </c>
      <c r="BJ1184" s="96">
        <v>12.19</v>
      </c>
    </row>
    <row r="1185" spans="54:62" ht="13.8" x14ac:dyDescent="0.25">
      <c r="BB1185" s="187">
        <v>43773</v>
      </c>
      <c r="BC1185" s="180">
        <v>-0.34300000000000003</v>
      </c>
      <c r="BD1185" s="191">
        <v>43773</v>
      </c>
      <c r="BE1185" s="192" t="s">
        <v>203</v>
      </c>
      <c r="BH1185" s="94">
        <v>43808</v>
      </c>
      <c r="BI1185" s="95" t="s">
        <v>89</v>
      </c>
      <c r="BJ1185" s="96">
        <v>12.18</v>
      </c>
    </row>
    <row r="1186" spans="54:62" ht="13.8" x14ac:dyDescent="0.25">
      <c r="BB1186" s="187">
        <v>43774</v>
      </c>
      <c r="BC1186" s="180">
        <v>-0.34399999999999997</v>
      </c>
      <c r="BD1186" s="191">
        <v>43774</v>
      </c>
      <c r="BE1186" s="192" t="s">
        <v>204</v>
      </c>
      <c r="BH1186" s="94">
        <v>43809</v>
      </c>
      <c r="BI1186" s="95" t="s">
        <v>90</v>
      </c>
      <c r="BJ1186" s="96">
        <v>12.18</v>
      </c>
    </row>
    <row r="1187" spans="54:62" ht="13.8" x14ac:dyDescent="0.25">
      <c r="BB1187" s="187">
        <v>43775</v>
      </c>
      <c r="BC1187" s="180">
        <v>-0.33900000000000002</v>
      </c>
      <c r="BD1187" s="191">
        <v>43775</v>
      </c>
      <c r="BE1187" s="192" t="s">
        <v>205</v>
      </c>
      <c r="BH1187" s="94">
        <v>43810</v>
      </c>
      <c r="BI1187" s="95" t="s">
        <v>93</v>
      </c>
      <c r="BJ1187" s="96">
        <v>12.18</v>
      </c>
    </row>
    <row r="1188" spans="54:62" ht="13.8" x14ac:dyDescent="0.25">
      <c r="BB1188" s="187">
        <v>43776</v>
      </c>
      <c r="BC1188" s="180">
        <v>-0.33400000000000002</v>
      </c>
      <c r="BD1188" s="191">
        <v>43776</v>
      </c>
      <c r="BE1188" s="192" t="s">
        <v>206</v>
      </c>
      <c r="BH1188" s="94">
        <v>43811</v>
      </c>
      <c r="BI1188" s="95" t="s">
        <v>93</v>
      </c>
      <c r="BJ1188" s="96">
        <v>12.17</v>
      </c>
    </row>
    <row r="1189" spans="54:62" ht="13.8" x14ac:dyDescent="0.25">
      <c r="BB1189" s="187">
        <v>43777</v>
      </c>
      <c r="BC1189" s="180">
        <v>-0.32400000000000001</v>
      </c>
      <c r="BD1189" s="191">
        <v>43777</v>
      </c>
      <c r="BE1189" s="192" t="s">
        <v>207</v>
      </c>
      <c r="BH1189" s="94">
        <v>43812</v>
      </c>
      <c r="BI1189" s="95" t="s">
        <v>94</v>
      </c>
      <c r="BJ1189" s="96">
        <v>12.17</v>
      </c>
    </row>
    <row r="1190" spans="54:62" ht="13.8" x14ac:dyDescent="0.25">
      <c r="BB1190" s="187">
        <v>43780</v>
      </c>
      <c r="BC1190" s="180">
        <v>-0.33100000000000002</v>
      </c>
      <c r="BD1190" s="191">
        <v>43780</v>
      </c>
      <c r="BE1190" s="192" t="s">
        <v>208</v>
      </c>
      <c r="BH1190" s="94">
        <v>43815</v>
      </c>
      <c r="BI1190" s="95" t="s">
        <v>95</v>
      </c>
      <c r="BJ1190" s="96">
        <v>12.16</v>
      </c>
    </row>
    <row r="1191" spans="54:62" ht="13.8" x14ac:dyDescent="0.25">
      <c r="BB1191" s="187">
        <v>43781</v>
      </c>
      <c r="BC1191" s="180">
        <v>-0.32800000000000001</v>
      </c>
      <c r="BD1191" s="191">
        <v>43781</v>
      </c>
      <c r="BE1191" s="192" t="s">
        <v>209</v>
      </c>
      <c r="BH1191" s="94">
        <v>43816</v>
      </c>
      <c r="BI1191" s="95" t="s">
        <v>95</v>
      </c>
      <c r="BJ1191" s="96">
        <v>12.15</v>
      </c>
    </row>
    <row r="1192" spans="54:62" ht="13.8" x14ac:dyDescent="0.25">
      <c r="BB1192" s="187">
        <v>43782</v>
      </c>
      <c r="BC1192" s="180">
        <v>-0.33600000000000002</v>
      </c>
      <c r="BD1192" s="191">
        <v>43782</v>
      </c>
      <c r="BE1192" s="192" t="s">
        <v>210</v>
      </c>
      <c r="BH1192" s="94">
        <v>43817</v>
      </c>
      <c r="BI1192" s="95" t="s">
        <v>212</v>
      </c>
      <c r="BJ1192" s="96">
        <v>12.15</v>
      </c>
    </row>
    <row r="1193" spans="54:62" ht="13.8" x14ac:dyDescent="0.25">
      <c r="BB1193" s="187">
        <v>43783</v>
      </c>
      <c r="BC1193" s="180">
        <v>-0.33</v>
      </c>
      <c r="BD1193" s="191">
        <v>43783</v>
      </c>
      <c r="BE1193" s="192" t="s">
        <v>211</v>
      </c>
      <c r="BH1193" s="94">
        <v>43818</v>
      </c>
      <c r="BI1193" s="95" t="s">
        <v>88</v>
      </c>
      <c r="BJ1193" s="96">
        <v>12.15</v>
      </c>
    </row>
    <row r="1194" spans="54:62" ht="13.8" x14ac:dyDescent="0.25">
      <c r="BB1194" s="187">
        <v>43784</v>
      </c>
      <c r="BC1194" s="180">
        <v>-0.33300000000000002</v>
      </c>
      <c r="BD1194" s="191">
        <v>43784</v>
      </c>
      <c r="BE1194" s="192" t="s">
        <v>91</v>
      </c>
      <c r="BH1194" s="94">
        <v>43819</v>
      </c>
      <c r="BI1194" s="95" t="s">
        <v>215</v>
      </c>
      <c r="BJ1194" s="96">
        <v>12.15</v>
      </c>
    </row>
    <row r="1195" spans="54:62" ht="13.8" x14ac:dyDescent="0.25">
      <c r="BB1195" s="187">
        <v>43787</v>
      </c>
      <c r="BC1195" s="180">
        <v>-0.33800000000000002</v>
      </c>
      <c r="BD1195" s="191">
        <v>43787</v>
      </c>
      <c r="BE1195" s="192" t="s">
        <v>93</v>
      </c>
      <c r="BH1195" s="94">
        <v>43822</v>
      </c>
      <c r="BI1195" s="95" t="s">
        <v>87</v>
      </c>
      <c r="BJ1195" s="96">
        <v>12.14</v>
      </c>
    </row>
    <row r="1196" spans="54:62" ht="13.8" x14ac:dyDescent="0.25">
      <c r="BB1196" s="187">
        <v>43788</v>
      </c>
      <c r="BC1196" s="180">
        <v>-0.33600000000000002</v>
      </c>
      <c r="BD1196" s="191">
        <v>43788</v>
      </c>
      <c r="BE1196" s="192" t="s">
        <v>90</v>
      </c>
      <c r="BH1196" s="94">
        <v>43826</v>
      </c>
      <c r="BI1196" s="95" t="s">
        <v>86</v>
      </c>
      <c r="BJ1196" s="96">
        <v>12.13</v>
      </c>
    </row>
    <row r="1197" spans="54:62" ht="13.8" x14ac:dyDescent="0.25">
      <c r="BB1197" s="187">
        <v>43789</v>
      </c>
      <c r="BC1197" s="180">
        <v>-0.33800000000000002</v>
      </c>
      <c r="BD1197" s="191">
        <v>43789</v>
      </c>
      <c r="BE1197" s="192" t="s">
        <v>94</v>
      </c>
      <c r="BH1197" s="94">
        <v>43829</v>
      </c>
      <c r="BI1197" s="95" t="s">
        <v>84</v>
      </c>
      <c r="BJ1197" s="96">
        <v>12.12</v>
      </c>
    </row>
    <row r="1198" spans="54:62" ht="13.8" x14ac:dyDescent="0.25">
      <c r="BB1198" s="187">
        <v>43790</v>
      </c>
      <c r="BC1198" s="180">
        <v>-0.34</v>
      </c>
      <c r="BD1198" s="191">
        <v>43790</v>
      </c>
      <c r="BE1198" s="192" t="s">
        <v>212</v>
      </c>
      <c r="BH1198" s="94">
        <v>43830</v>
      </c>
      <c r="BI1198" s="95" t="s">
        <v>217</v>
      </c>
      <c r="BJ1198" s="96">
        <v>12.12</v>
      </c>
    </row>
    <row r="1199" spans="54:62" ht="13.8" x14ac:dyDescent="0.25">
      <c r="BB1199" s="187">
        <v>43791</v>
      </c>
      <c r="BC1199" s="180">
        <v>-0.33500000000000002</v>
      </c>
      <c r="BD1199" s="191">
        <v>43791</v>
      </c>
      <c r="BE1199" s="192" t="s">
        <v>213</v>
      </c>
      <c r="BH1199" s="94">
        <v>43832</v>
      </c>
      <c r="BI1199" s="95" t="s">
        <v>218</v>
      </c>
      <c r="BJ1199" s="96">
        <v>12.11</v>
      </c>
    </row>
    <row r="1200" spans="54:62" ht="13.8" x14ac:dyDescent="0.25">
      <c r="BB1200" s="187">
        <v>43794</v>
      </c>
      <c r="BC1200" s="180">
        <v>-0.33800000000000002</v>
      </c>
      <c r="BD1200" s="191">
        <v>43794</v>
      </c>
      <c r="BE1200" s="192" t="s">
        <v>88</v>
      </c>
      <c r="BH1200" s="94">
        <v>43833</v>
      </c>
      <c r="BI1200" s="95" t="s">
        <v>82</v>
      </c>
      <c r="BJ1200" s="96">
        <v>12.11</v>
      </c>
    </row>
    <row r="1201" spans="54:62" ht="13.8" x14ac:dyDescent="0.25">
      <c r="BB1201" s="187">
        <v>43795</v>
      </c>
      <c r="BC1201" s="180">
        <v>-0.33800000000000002</v>
      </c>
      <c r="BD1201" s="191">
        <v>43795</v>
      </c>
      <c r="BE1201" s="192" t="s">
        <v>88</v>
      </c>
      <c r="BH1201" s="94">
        <v>43837</v>
      </c>
      <c r="BI1201" s="95" t="s">
        <v>219</v>
      </c>
      <c r="BJ1201" s="96">
        <v>12.1</v>
      </c>
    </row>
    <row r="1202" spans="54:62" ht="13.8" x14ac:dyDescent="0.25">
      <c r="BB1202" s="187">
        <v>43796</v>
      </c>
      <c r="BC1202" s="180">
        <v>-0.34200000000000003</v>
      </c>
      <c r="BD1202" s="191">
        <v>43796</v>
      </c>
      <c r="BE1202" s="192" t="s">
        <v>213</v>
      </c>
      <c r="BH1202" s="94">
        <v>43838</v>
      </c>
      <c r="BI1202" s="95" t="s">
        <v>80</v>
      </c>
      <c r="BJ1202" s="96">
        <v>12.09</v>
      </c>
    </row>
    <row r="1203" spans="54:62" ht="13.8" x14ac:dyDescent="0.25">
      <c r="BB1203" s="187">
        <v>43797</v>
      </c>
      <c r="BC1203" s="180">
        <v>-0.34699999999999998</v>
      </c>
      <c r="BD1203" s="191">
        <v>43797</v>
      </c>
      <c r="BE1203" s="192" t="s">
        <v>214</v>
      </c>
      <c r="BH1203" s="94">
        <v>43839</v>
      </c>
      <c r="BI1203" s="95" t="s">
        <v>81</v>
      </c>
      <c r="BJ1203" s="96">
        <v>12.06</v>
      </c>
    </row>
    <row r="1204" spans="54:62" ht="13.8" x14ac:dyDescent="0.25">
      <c r="BB1204" s="187">
        <v>43798</v>
      </c>
      <c r="BC1204" s="180">
        <v>-0.34300000000000003</v>
      </c>
      <c r="BD1204" s="191">
        <v>43798</v>
      </c>
      <c r="BE1204" s="192" t="s">
        <v>88</v>
      </c>
      <c r="BH1204" s="94">
        <v>43840</v>
      </c>
      <c r="BI1204" s="95" t="s">
        <v>220</v>
      </c>
      <c r="BJ1204" s="96">
        <v>12.06</v>
      </c>
    </row>
    <row r="1205" spans="54:62" ht="13.8" x14ac:dyDescent="0.25">
      <c r="BB1205" s="187">
        <v>43801</v>
      </c>
      <c r="BC1205" s="180">
        <v>-0.34499999999999997</v>
      </c>
      <c r="BD1205" s="191">
        <v>43801</v>
      </c>
      <c r="BE1205" s="192" t="s">
        <v>215</v>
      </c>
      <c r="BH1205" s="94">
        <v>43843</v>
      </c>
      <c r="BI1205" s="95" t="s">
        <v>78</v>
      </c>
      <c r="BJ1205" s="96">
        <v>12.05</v>
      </c>
    </row>
    <row r="1206" spans="54:62" ht="13.8" x14ac:dyDescent="0.25">
      <c r="BB1206" s="187">
        <v>43802</v>
      </c>
      <c r="BC1206" s="180">
        <v>-0.33300000000000002</v>
      </c>
      <c r="BD1206" s="191">
        <v>43802</v>
      </c>
      <c r="BE1206" s="192" t="s">
        <v>215</v>
      </c>
      <c r="BH1206" s="94">
        <v>43844</v>
      </c>
      <c r="BI1206" s="95" t="s">
        <v>221</v>
      </c>
      <c r="BJ1206" s="96">
        <v>12.05</v>
      </c>
    </row>
    <row r="1207" spans="54:62" ht="13.8" x14ac:dyDescent="0.25">
      <c r="BB1207" s="187">
        <v>43803</v>
      </c>
      <c r="BC1207" s="180">
        <v>-0.33500000000000002</v>
      </c>
      <c r="BD1207" s="191">
        <v>43803</v>
      </c>
      <c r="BE1207" s="192" t="s">
        <v>216</v>
      </c>
      <c r="BH1207" s="94">
        <v>43845</v>
      </c>
      <c r="BI1207" s="95" t="s">
        <v>97</v>
      </c>
      <c r="BJ1207" s="96">
        <v>12.04</v>
      </c>
    </row>
    <row r="1208" spans="54:62" ht="13.8" x14ac:dyDescent="0.25">
      <c r="BB1208" s="187">
        <v>43804</v>
      </c>
      <c r="BC1208" s="180">
        <v>-0.33600000000000002</v>
      </c>
      <c r="BD1208" s="191">
        <v>43804</v>
      </c>
      <c r="BE1208" s="192" t="s">
        <v>88</v>
      </c>
      <c r="BH1208" s="94">
        <v>43846</v>
      </c>
      <c r="BI1208" s="95" t="s">
        <v>98</v>
      </c>
      <c r="BJ1208" s="96">
        <v>12.02</v>
      </c>
    </row>
    <row r="1209" spans="54:62" ht="13.8" x14ac:dyDescent="0.25">
      <c r="BB1209" s="187">
        <v>43805</v>
      </c>
      <c r="BC1209" s="180">
        <v>-0.33300000000000002</v>
      </c>
      <c r="BD1209" s="191">
        <v>43805</v>
      </c>
      <c r="BE1209" s="192" t="s">
        <v>214</v>
      </c>
      <c r="BH1209" s="94">
        <v>43847</v>
      </c>
      <c r="BI1209" s="95" t="s">
        <v>76</v>
      </c>
      <c r="BJ1209" s="96">
        <v>12.01</v>
      </c>
    </row>
    <row r="1210" spans="54:62" ht="13.8" x14ac:dyDescent="0.25">
      <c r="BB1210" s="187">
        <v>43808</v>
      </c>
      <c r="BC1210" s="180">
        <v>-0.33200000000000002</v>
      </c>
      <c r="BD1210" s="191">
        <v>43808</v>
      </c>
      <c r="BE1210" s="192" t="s">
        <v>89</v>
      </c>
      <c r="BH1210" s="94">
        <v>43850</v>
      </c>
      <c r="BI1210" s="95" t="s">
        <v>222</v>
      </c>
      <c r="BJ1210" s="96">
        <v>11.99</v>
      </c>
    </row>
    <row r="1211" spans="54:62" ht="13.8" x14ac:dyDescent="0.25">
      <c r="BB1211" s="187">
        <v>43809</v>
      </c>
      <c r="BC1211" s="180">
        <v>-0.33300000000000002</v>
      </c>
      <c r="BD1211" s="191">
        <v>43809</v>
      </c>
      <c r="BE1211" s="192" t="s">
        <v>90</v>
      </c>
      <c r="BH1211" s="94">
        <v>43851</v>
      </c>
      <c r="BI1211" s="95" t="s">
        <v>75</v>
      </c>
      <c r="BJ1211" s="96">
        <v>11.98</v>
      </c>
    </row>
    <row r="1212" spans="54:62" ht="13.8" x14ac:dyDescent="0.25">
      <c r="BB1212" s="187">
        <v>43810</v>
      </c>
      <c r="BC1212" s="180">
        <v>-0.33800000000000002</v>
      </c>
      <c r="BD1212" s="191">
        <v>43810</v>
      </c>
      <c r="BE1212" s="192" t="s">
        <v>93</v>
      </c>
      <c r="BH1212" s="94">
        <v>43852</v>
      </c>
      <c r="BI1212" s="95" t="s">
        <v>143</v>
      </c>
      <c r="BJ1212" s="96">
        <v>11.97</v>
      </c>
    </row>
    <row r="1213" spans="54:62" ht="13.8" x14ac:dyDescent="0.25">
      <c r="BB1213" s="187">
        <v>43811</v>
      </c>
      <c r="BC1213" s="180">
        <v>-0.34</v>
      </c>
      <c r="BD1213" s="191">
        <v>43811</v>
      </c>
      <c r="BE1213" s="192" t="s">
        <v>93</v>
      </c>
      <c r="BH1213" s="94">
        <v>43853</v>
      </c>
      <c r="BI1213" s="95" t="s">
        <v>98</v>
      </c>
      <c r="BJ1213" s="96">
        <v>11.97</v>
      </c>
    </row>
    <row r="1214" spans="54:62" ht="13.8" x14ac:dyDescent="0.25">
      <c r="BB1214" s="187">
        <v>43812</v>
      </c>
      <c r="BC1214" s="180">
        <v>-0.34</v>
      </c>
      <c r="BD1214" s="191">
        <v>43812</v>
      </c>
      <c r="BE1214" s="192" t="s">
        <v>94</v>
      </c>
      <c r="BH1214" s="94">
        <v>43854</v>
      </c>
      <c r="BI1214" s="95" t="s">
        <v>106</v>
      </c>
      <c r="BJ1214" s="96">
        <v>11.97</v>
      </c>
    </row>
    <row r="1215" spans="54:62" ht="13.8" x14ac:dyDescent="0.25">
      <c r="BB1215" s="187">
        <v>43815</v>
      </c>
      <c r="BC1215" s="180">
        <v>-0.34</v>
      </c>
      <c r="BD1215" s="191">
        <v>43815</v>
      </c>
      <c r="BE1215" s="192" t="s">
        <v>95</v>
      </c>
      <c r="BH1215" s="94">
        <v>43857</v>
      </c>
      <c r="BI1215" s="95" t="s">
        <v>103</v>
      </c>
      <c r="BJ1215" s="96">
        <v>11.95</v>
      </c>
    </row>
    <row r="1216" spans="54:62" ht="13.8" x14ac:dyDescent="0.25">
      <c r="BB1216" s="187">
        <v>43816</v>
      </c>
      <c r="BC1216" s="180">
        <v>-0.34200000000000003</v>
      </c>
      <c r="BD1216" s="191">
        <v>43816</v>
      </c>
      <c r="BE1216" s="192" t="s">
        <v>95</v>
      </c>
      <c r="BH1216" s="94">
        <v>43858</v>
      </c>
      <c r="BI1216" s="95" t="s">
        <v>81</v>
      </c>
      <c r="BJ1216" s="96">
        <v>11.95</v>
      </c>
    </row>
    <row r="1217" spans="54:62" ht="13.8" x14ac:dyDescent="0.25">
      <c r="BB1217" s="187">
        <v>43817</v>
      </c>
      <c r="BC1217" s="180">
        <v>-0.34799999999999998</v>
      </c>
      <c r="BD1217" s="191">
        <v>43817</v>
      </c>
      <c r="BE1217" s="192" t="s">
        <v>212</v>
      </c>
      <c r="BH1217" s="94">
        <v>43859</v>
      </c>
      <c r="BI1217" s="95" t="s">
        <v>223</v>
      </c>
      <c r="BJ1217" s="96">
        <v>11.94</v>
      </c>
    </row>
    <row r="1218" spans="54:62" ht="13.8" x14ac:dyDescent="0.25">
      <c r="BB1218" s="187">
        <v>43818</v>
      </c>
      <c r="BC1218" s="180">
        <v>-0.34200000000000003</v>
      </c>
      <c r="BD1218" s="191">
        <v>43818</v>
      </c>
      <c r="BE1218" s="192" t="s">
        <v>88</v>
      </c>
      <c r="BH1218" s="94">
        <v>43860</v>
      </c>
      <c r="BI1218" s="95" t="s">
        <v>146</v>
      </c>
      <c r="BJ1218" s="96">
        <v>11.99</v>
      </c>
    </row>
    <row r="1219" spans="54:62" ht="13.8" x14ac:dyDescent="0.25">
      <c r="BB1219" s="187">
        <v>43819</v>
      </c>
      <c r="BC1219" s="180">
        <v>-0.33</v>
      </c>
      <c r="BD1219" s="191">
        <v>43819</v>
      </c>
      <c r="BE1219" s="192" t="s">
        <v>215</v>
      </c>
      <c r="BH1219" s="94">
        <v>43861</v>
      </c>
      <c r="BI1219" s="95" t="s">
        <v>213</v>
      </c>
      <c r="BJ1219" s="96">
        <v>11.98</v>
      </c>
    </row>
    <row r="1220" spans="54:62" ht="13.8" x14ac:dyDescent="0.25">
      <c r="BB1220" s="187">
        <v>43822</v>
      </c>
      <c r="BC1220" s="180">
        <v>-0.33900000000000002</v>
      </c>
      <c r="BD1220" s="191">
        <v>43822</v>
      </c>
      <c r="BE1220" s="192" t="s">
        <v>87</v>
      </c>
      <c r="BH1220" s="94">
        <v>43864</v>
      </c>
      <c r="BI1220" s="95" t="s">
        <v>90</v>
      </c>
      <c r="BJ1220" s="96">
        <v>11.98</v>
      </c>
    </row>
    <row r="1221" spans="54:62" ht="13.8" x14ac:dyDescent="0.25">
      <c r="BB1221" s="187">
        <v>43823</v>
      </c>
      <c r="BC1221" s="180">
        <v>-0.33100000000000002</v>
      </c>
      <c r="BD1221" s="191"/>
      <c r="BE1221" s="193" t="str">
        <f>+BE1220</f>
        <v>−0,183</v>
      </c>
      <c r="BH1221" s="94">
        <v>43865</v>
      </c>
      <c r="BI1221" s="95" t="s">
        <v>224</v>
      </c>
      <c r="BJ1221" s="96">
        <v>11.97</v>
      </c>
    </row>
    <row r="1222" spans="54:62" ht="13.8" x14ac:dyDescent="0.25">
      <c r="BB1222" s="187">
        <v>43824</v>
      </c>
      <c r="BC1222" s="180">
        <v>-0.33100000000000002</v>
      </c>
      <c r="BD1222" s="191"/>
      <c r="BE1222" s="193" t="str">
        <f t="shared" ref="BE1222:BE1223" si="37">+BE1221</f>
        <v>−0,183</v>
      </c>
      <c r="BH1222" s="94">
        <v>43866</v>
      </c>
      <c r="BI1222" s="95" t="s">
        <v>225</v>
      </c>
      <c r="BJ1222" s="96">
        <v>11.94</v>
      </c>
    </row>
    <row r="1223" spans="54:62" ht="13.8" x14ac:dyDescent="0.25">
      <c r="BB1223" s="187">
        <v>43825</v>
      </c>
      <c r="BC1223" s="180">
        <v>-0.33100000000000002</v>
      </c>
      <c r="BD1223" s="191"/>
      <c r="BE1223" s="193" t="str">
        <f t="shared" si="37"/>
        <v>−0,183</v>
      </c>
      <c r="BH1223" s="94">
        <v>43867</v>
      </c>
      <c r="BI1223" s="95" t="s">
        <v>226</v>
      </c>
      <c r="BJ1223" s="96">
        <v>11.94</v>
      </c>
    </row>
    <row r="1224" spans="54:62" ht="13.8" x14ac:dyDescent="0.25">
      <c r="BB1224" s="187">
        <v>43826</v>
      </c>
      <c r="BC1224" s="180">
        <v>-0.32500000000000001</v>
      </c>
      <c r="BD1224" s="191">
        <v>43826</v>
      </c>
      <c r="BE1224" s="192" t="s">
        <v>86</v>
      </c>
      <c r="BH1224" s="94">
        <v>43868</v>
      </c>
      <c r="BI1224" s="95" t="s">
        <v>208</v>
      </c>
      <c r="BJ1224" s="96">
        <v>11.93</v>
      </c>
    </row>
    <row r="1225" spans="54:62" ht="13.8" x14ac:dyDescent="0.25">
      <c r="BB1225" s="187">
        <v>43829</v>
      </c>
      <c r="BC1225" s="180">
        <v>-0.32500000000000001</v>
      </c>
      <c r="BD1225" s="191">
        <v>43829</v>
      </c>
      <c r="BE1225" s="192" t="s">
        <v>84</v>
      </c>
      <c r="BH1225" s="94">
        <v>43871</v>
      </c>
      <c r="BI1225" s="95" t="s">
        <v>227</v>
      </c>
      <c r="BJ1225" s="96">
        <v>11.92</v>
      </c>
    </row>
    <row r="1226" spans="54:62" ht="13.8" x14ac:dyDescent="0.25">
      <c r="BB1226" s="187">
        <v>43830</v>
      </c>
      <c r="BC1226" s="180">
        <v>-0.32400000000000001</v>
      </c>
      <c r="BD1226" s="191">
        <v>43830</v>
      </c>
      <c r="BE1226" s="192" t="s">
        <v>217</v>
      </c>
      <c r="BH1226" s="94">
        <v>43872</v>
      </c>
      <c r="BI1226" s="95" t="s">
        <v>206</v>
      </c>
      <c r="BJ1226" s="96">
        <v>11.92</v>
      </c>
    </row>
    <row r="1227" spans="54:62" ht="13.8" x14ac:dyDescent="0.25">
      <c r="BB1227" s="187">
        <v>43831</v>
      </c>
      <c r="BC1227" s="180">
        <v>-0.32400000000000001</v>
      </c>
      <c r="BD1227" s="191"/>
      <c r="BE1227" s="193" t="str">
        <f>+BE1226</f>
        <v>−0,173</v>
      </c>
      <c r="BH1227" s="94">
        <v>43873</v>
      </c>
      <c r="BI1227" s="95" t="s">
        <v>154</v>
      </c>
      <c r="BJ1227" s="96">
        <v>11.92</v>
      </c>
    </row>
    <row r="1228" spans="54:62" ht="13.8" x14ac:dyDescent="0.25">
      <c r="BB1228" s="187">
        <v>43832</v>
      </c>
      <c r="BC1228" s="180">
        <v>-0.32300000000000001</v>
      </c>
      <c r="BD1228" s="191">
        <v>43832</v>
      </c>
      <c r="BE1228" s="192" t="s">
        <v>218</v>
      </c>
      <c r="BH1228" s="94">
        <v>43874</v>
      </c>
      <c r="BI1228" s="95" t="s">
        <v>228</v>
      </c>
      <c r="BJ1228" s="96">
        <v>11.92</v>
      </c>
    </row>
    <row r="1229" spans="54:62" ht="13.8" x14ac:dyDescent="0.25">
      <c r="BB1229" s="187">
        <v>43833</v>
      </c>
      <c r="BC1229" s="180">
        <v>-0.32300000000000001</v>
      </c>
      <c r="BD1229" s="191">
        <v>43833</v>
      </c>
      <c r="BE1229" s="192" t="s">
        <v>82</v>
      </c>
      <c r="BH1229" s="94">
        <v>43875</v>
      </c>
      <c r="BI1229" s="95" t="s">
        <v>229</v>
      </c>
      <c r="BJ1229" s="96">
        <v>11.91</v>
      </c>
    </row>
    <row r="1230" spans="54:62" ht="13.8" x14ac:dyDescent="0.25">
      <c r="BB1230" s="187">
        <v>43836</v>
      </c>
      <c r="BC1230" s="180">
        <v>-0.32500000000000001</v>
      </c>
      <c r="BD1230" s="191"/>
      <c r="BE1230" s="193" t="str">
        <f>+BE1229</f>
        <v>−0,170</v>
      </c>
      <c r="BH1230" s="94">
        <v>43878</v>
      </c>
      <c r="BI1230" s="95" t="s">
        <v>156</v>
      </c>
      <c r="BJ1230" s="96">
        <v>11.95</v>
      </c>
    </row>
    <row r="1231" spans="54:62" ht="13.8" x14ac:dyDescent="0.25">
      <c r="BB1231" s="187">
        <v>43837</v>
      </c>
      <c r="BC1231" s="180">
        <v>-0.32300000000000001</v>
      </c>
      <c r="BD1231" s="191">
        <v>43837</v>
      </c>
      <c r="BE1231" s="192" t="s">
        <v>219</v>
      </c>
      <c r="BH1231" s="94">
        <v>43879</v>
      </c>
      <c r="BI1231" s="95" t="s">
        <v>230</v>
      </c>
      <c r="BJ1231" s="96">
        <v>11.95</v>
      </c>
    </row>
    <row r="1232" spans="54:62" ht="13.8" x14ac:dyDescent="0.25">
      <c r="BB1232" s="187">
        <v>43838</v>
      </c>
      <c r="BC1232" s="180">
        <v>-0.33200000000000002</v>
      </c>
      <c r="BD1232" s="191">
        <v>43838</v>
      </c>
      <c r="BE1232" s="192" t="s">
        <v>80</v>
      </c>
      <c r="BH1232" s="94">
        <v>43880</v>
      </c>
      <c r="BI1232" s="95" t="s">
        <v>231</v>
      </c>
      <c r="BJ1232" s="96">
        <v>11.94</v>
      </c>
    </row>
    <row r="1233" spans="54:62" ht="13.8" x14ac:dyDescent="0.25">
      <c r="BB1233" s="187">
        <v>43839</v>
      </c>
      <c r="BC1233" s="180">
        <v>-0.33300000000000002</v>
      </c>
      <c r="BD1233" s="191">
        <v>43839</v>
      </c>
      <c r="BE1233" s="192" t="s">
        <v>81</v>
      </c>
      <c r="BH1233" s="94">
        <v>43881</v>
      </c>
      <c r="BI1233" s="95" t="s">
        <v>202</v>
      </c>
      <c r="BJ1233" s="96">
        <v>11.94</v>
      </c>
    </row>
    <row r="1234" spans="54:62" ht="13.8" x14ac:dyDescent="0.25">
      <c r="BB1234" s="187">
        <v>43840</v>
      </c>
      <c r="BC1234" s="180">
        <v>-0.33400000000000002</v>
      </c>
      <c r="BD1234" s="191">
        <v>43840</v>
      </c>
      <c r="BE1234" s="192" t="s">
        <v>220</v>
      </c>
      <c r="BH1234" s="94">
        <v>43882</v>
      </c>
      <c r="BI1234" s="95" t="s">
        <v>232</v>
      </c>
      <c r="BJ1234" s="96">
        <v>11.94</v>
      </c>
    </row>
    <row r="1235" spans="54:62" ht="13.8" x14ac:dyDescent="0.25">
      <c r="BB1235" s="187">
        <v>43843</v>
      </c>
      <c r="BC1235" s="180">
        <v>-0.32400000000000001</v>
      </c>
      <c r="BD1235" s="191">
        <v>43843</v>
      </c>
      <c r="BE1235" s="192" t="s">
        <v>78</v>
      </c>
      <c r="BH1235" s="94">
        <v>43885</v>
      </c>
      <c r="BI1235" s="95" t="s">
        <v>233</v>
      </c>
      <c r="BJ1235" s="96">
        <v>11.92</v>
      </c>
    </row>
    <row r="1236" spans="54:62" ht="13.8" x14ac:dyDescent="0.25">
      <c r="BB1236" s="187">
        <v>43844</v>
      </c>
      <c r="BC1236" s="180">
        <v>-0.32900000000000001</v>
      </c>
      <c r="BD1236" s="191">
        <v>43844</v>
      </c>
      <c r="BE1236" s="192" t="s">
        <v>221</v>
      </c>
      <c r="BH1236" s="94">
        <v>43886</v>
      </c>
      <c r="BI1236" s="95" t="s">
        <v>200</v>
      </c>
      <c r="BJ1236" s="96">
        <v>11.92</v>
      </c>
    </row>
    <row r="1237" spans="54:62" ht="13.8" x14ac:dyDescent="0.25">
      <c r="BB1237" s="187">
        <v>43845</v>
      </c>
      <c r="BC1237" s="180">
        <v>-0.33400000000000002</v>
      </c>
      <c r="BD1237" s="191">
        <v>43845</v>
      </c>
      <c r="BE1237" s="192" t="s">
        <v>97</v>
      </c>
      <c r="BH1237" s="94">
        <v>43887</v>
      </c>
      <c r="BI1237" s="95" t="s">
        <v>159</v>
      </c>
      <c r="BJ1237" s="96">
        <v>11.92</v>
      </c>
    </row>
    <row r="1238" spans="54:62" ht="13.8" x14ac:dyDescent="0.25">
      <c r="BB1238" s="187">
        <v>43846</v>
      </c>
      <c r="BC1238" s="180">
        <v>-0.33</v>
      </c>
      <c r="BD1238" s="191">
        <v>43846</v>
      </c>
      <c r="BE1238" s="192" t="s">
        <v>98</v>
      </c>
      <c r="BH1238" s="94">
        <v>43888</v>
      </c>
      <c r="BI1238" s="95" t="s">
        <v>234</v>
      </c>
      <c r="BJ1238" s="96">
        <v>11.92</v>
      </c>
    </row>
    <row r="1239" spans="54:62" ht="13.8" x14ac:dyDescent="0.25">
      <c r="BB1239" s="187">
        <v>43847</v>
      </c>
      <c r="BC1239" s="180">
        <v>-0.33200000000000002</v>
      </c>
      <c r="BD1239" s="191">
        <v>43847</v>
      </c>
      <c r="BE1239" s="192" t="s">
        <v>76</v>
      </c>
      <c r="BH1239" s="94">
        <v>43889</v>
      </c>
      <c r="BI1239" s="95" t="s">
        <v>235</v>
      </c>
      <c r="BJ1239" s="96">
        <v>11.91</v>
      </c>
    </row>
    <row r="1240" spans="54:62" ht="13.8" x14ac:dyDescent="0.25">
      <c r="BB1240" s="187">
        <v>43850</v>
      </c>
      <c r="BC1240" s="180">
        <v>-0.33300000000000002</v>
      </c>
      <c r="BD1240" s="191">
        <v>43850</v>
      </c>
      <c r="BE1240" s="192" t="s">
        <v>222</v>
      </c>
      <c r="BH1240" s="94">
        <v>43892</v>
      </c>
      <c r="BI1240" s="95" t="s">
        <v>236</v>
      </c>
      <c r="BJ1240" s="96">
        <v>11.9</v>
      </c>
    </row>
    <row r="1241" spans="54:62" ht="13.8" x14ac:dyDescent="0.25">
      <c r="BB1241" s="187">
        <v>43851</v>
      </c>
      <c r="BC1241" s="180">
        <v>-0.33400000000000002</v>
      </c>
      <c r="BD1241" s="191">
        <v>43851</v>
      </c>
      <c r="BE1241" s="192" t="s">
        <v>75</v>
      </c>
      <c r="BH1241" s="94">
        <v>43893</v>
      </c>
      <c r="BI1241" s="95" t="s">
        <v>161</v>
      </c>
      <c r="BJ1241" s="96">
        <v>11.9</v>
      </c>
    </row>
    <row r="1242" spans="54:62" ht="13.8" x14ac:dyDescent="0.25">
      <c r="BB1242" s="187">
        <v>43852</v>
      </c>
      <c r="BC1242" s="180">
        <v>-0.32900000000000001</v>
      </c>
      <c r="BD1242" s="191">
        <v>43852</v>
      </c>
      <c r="BE1242" s="192" t="s">
        <v>143</v>
      </c>
      <c r="BH1242" s="94">
        <v>43894</v>
      </c>
      <c r="BI1242" s="95" t="s">
        <v>195</v>
      </c>
      <c r="BJ1242" s="96">
        <v>11.9</v>
      </c>
    </row>
    <row r="1243" spans="54:62" ht="13.8" x14ac:dyDescent="0.25">
      <c r="BB1243" s="187">
        <v>43853</v>
      </c>
      <c r="BC1243" s="180">
        <v>-0.32</v>
      </c>
      <c r="BD1243" s="191">
        <v>43853</v>
      </c>
      <c r="BE1243" s="192" t="s">
        <v>98</v>
      </c>
      <c r="BH1243" s="94">
        <v>43895</v>
      </c>
      <c r="BI1243" s="95" t="s">
        <v>237</v>
      </c>
      <c r="BJ1243" s="96">
        <v>11.94</v>
      </c>
    </row>
    <row r="1244" spans="54:62" ht="13.8" x14ac:dyDescent="0.25">
      <c r="BB1244" s="187">
        <v>43854</v>
      </c>
      <c r="BC1244" s="180">
        <v>-0.32300000000000001</v>
      </c>
      <c r="BD1244" s="191">
        <v>43854</v>
      </c>
      <c r="BE1244" s="192" t="s">
        <v>106</v>
      </c>
      <c r="BH1244" s="94">
        <v>43896</v>
      </c>
      <c r="BI1244" s="95" t="s">
        <v>238</v>
      </c>
      <c r="BJ1244" s="96">
        <v>11.93</v>
      </c>
    </row>
    <row r="1245" spans="54:62" ht="13.8" x14ac:dyDescent="0.25">
      <c r="BB1245" s="187">
        <v>43857</v>
      </c>
      <c r="BC1245" s="180">
        <v>-0.33300000000000002</v>
      </c>
      <c r="BD1245" s="191">
        <v>43857</v>
      </c>
      <c r="BE1245" s="192" t="s">
        <v>103</v>
      </c>
      <c r="BH1245" s="94">
        <v>43899</v>
      </c>
      <c r="BI1245" s="95" t="s">
        <v>239</v>
      </c>
      <c r="BJ1245" s="96">
        <v>11.92</v>
      </c>
    </row>
    <row r="1246" spans="54:62" ht="13.8" x14ac:dyDescent="0.25">
      <c r="BB1246" s="187">
        <v>43858</v>
      </c>
      <c r="BC1246" s="180">
        <v>-0.33700000000000002</v>
      </c>
      <c r="BD1246" s="191">
        <v>43858</v>
      </c>
      <c r="BE1246" s="192" t="s">
        <v>81</v>
      </c>
      <c r="BH1246" s="94">
        <v>43900</v>
      </c>
      <c r="BI1246" s="95" t="s">
        <v>186</v>
      </c>
      <c r="BJ1246" s="96">
        <v>11.92</v>
      </c>
    </row>
    <row r="1247" spans="54:62" ht="13.8" x14ac:dyDescent="0.25">
      <c r="BB1247" s="187">
        <v>43859</v>
      </c>
      <c r="BC1247" s="180">
        <v>-0.33600000000000002</v>
      </c>
      <c r="BD1247" s="191">
        <v>43859</v>
      </c>
      <c r="BE1247" s="192" t="s">
        <v>223</v>
      </c>
      <c r="BH1247" s="94">
        <v>43901</v>
      </c>
      <c r="BI1247" s="95" t="s">
        <v>240</v>
      </c>
      <c r="BJ1247" s="96">
        <v>11.92</v>
      </c>
    </row>
    <row r="1248" spans="54:62" ht="13.8" x14ac:dyDescent="0.25">
      <c r="BB1248" s="187">
        <v>43860</v>
      </c>
      <c r="BC1248" s="180">
        <v>-0.33700000000000002</v>
      </c>
      <c r="BD1248" s="191">
        <v>43860</v>
      </c>
      <c r="BE1248" s="192" t="s">
        <v>146</v>
      </c>
      <c r="BH1248" s="94">
        <v>43902</v>
      </c>
      <c r="BI1248" s="95" t="s">
        <v>167</v>
      </c>
      <c r="BJ1248" s="96">
        <v>11.92</v>
      </c>
    </row>
    <row r="1249" spans="54:62" ht="13.8" x14ac:dyDescent="0.25">
      <c r="BB1249" s="187">
        <v>43861</v>
      </c>
      <c r="BC1249" s="180">
        <v>-0.33800000000000002</v>
      </c>
      <c r="BD1249" s="191">
        <v>43861</v>
      </c>
      <c r="BE1249" s="192" t="s">
        <v>213</v>
      </c>
      <c r="BH1249" s="94">
        <v>43903</v>
      </c>
      <c r="BI1249" s="95" t="s">
        <v>241</v>
      </c>
      <c r="BJ1249" s="96">
        <v>11.91</v>
      </c>
    </row>
    <row r="1250" spans="54:62" ht="13.8" x14ac:dyDescent="0.25">
      <c r="BB1250" s="187">
        <v>43864</v>
      </c>
      <c r="BC1250" s="180">
        <v>-0.33800000000000002</v>
      </c>
      <c r="BD1250" s="191">
        <v>43864</v>
      </c>
      <c r="BE1250" s="192" t="s">
        <v>90</v>
      </c>
      <c r="BH1250" s="94">
        <v>43906</v>
      </c>
      <c r="BI1250" s="95" t="s">
        <v>242</v>
      </c>
      <c r="BJ1250" s="96">
        <v>11.91</v>
      </c>
    </row>
    <row r="1251" spans="54:62" ht="13.8" x14ac:dyDescent="0.25">
      <c r="BB1251" s="187">
        <v>43865</v>
      </c>
      <c r="BC1251" s="180">
        <v>-0.34</v>
      </c>
      <c r="BD1251" s="191">
        <v>43865</v>
      </c>
      <c r="BE1251" s="192" t="s">
        <v>224</v>
      </c>
      <c r="BH1251" s="94">
        <v>43907</v>
      </c>
      <c r="BI1251" s="95" t="s">
        <v>243</v>
      </c>
      <c r="BJ1251" s="96">
        <v>11.9</v>
      </c>
    </row>
    <row r="1252" spans="54:62" ht="13.8" x14ac:dyDescent="0.25">
      <c r="BB1252" s="187">
        <v>43866</v>
      </c>
      <c r="BC1252" s="180">
        <v>-0.34599999999999997</v>
      </c>
      <c r="BD1252" s="191">
        <v>43866</v>
      </c>
      <c r="BE1252" s="192" t="s">
        <v>225</v>
      </c>
      <c r="BH1252" s="94">
        <v>43908</v>
      </c>
      <c r="BI1252" s="95" t="s">
        <v>244</v>
      </c>
      <c r="BJ1252" s="96">
        <v>11.9</v>
      </c>
    </row>
    <row r="1253" spans="54:62" ht="13.8" x14ac:dyDescent="0.25">
      <c r="BB1253" s="187">
        <v>43867</v>
      </c>
      <c r="BC1253" s="180">
        <v>-0.34300000000000003</v>
      </c>
      <c r="BD1253" s="191">
        <v>43867</v>
      </c>
      <c r="BE1253" s="192" t="s">
        <v>226</v>
      </c>
      <c r="BH1253" s="94">
        <v>43909</v>
      </c>
      <c r="BI1253" s="95" t="s">
        <v>245</v>
      </c>
      <c r="BJ1253" s="96">
        <v>11.9</v>
      </c>
    </row>
    <row r="1254" spans="54:62" ht="13.8" x14ac:dyDescent="0.25">
      <c r="BB1254" s="187">
        <v>43868</v>
      </c>
      <c r="BC1254" s="180">
        <v>-0.33900000000000002</v>
      </c>
      <c r="BD1254" s="191">
        <v>43868</v>
      </c>
      <c r="BE1254" s="192" t="s">
        <v>208</v>
      </c>
      <c r="BH1254" s="94">
        <v>43910</v>
      </c>
      <c r="BI1254" s="95" t="s">
        <v>246</v>
      </c>
      <c r="BJ1254" s="96">
        <v>11.89</v>
      </c>
    </row>
    <row r="1255" spans="54:62" ht="13.8" x14ac:dyDescent="0.25">
      <c r="BB1255" s="187">
        <v>43871</v>
      </c>
      <c r="BC1255" s="180">
        <v>-0.34599999999999997</v>
      </c>
      <c r="BD1255" s="191">
        <v>43871</v>
      </c>
      <c r="BE1255" s="192" t="s">
        <v>227</v>
      </c>
      <c r="BH1255" s="94">
        <v>43913</v>
      </c>
      <c r="BI1255" s="95" t="s">
        <v>247</v>
      </c>
      <c r="BJ1255" s="96">
        <v>11.88</v>
      </c>
    </row>
    <row r="1256" spans="54:62" ht="13.8" x14ac:dyDescent="0.25">
      <c r="BB1256" s="187">
        <v>43872</v>
      </c>
      <c r="BC1256" s="180">
        <v>-0.35</v>
      </c>
      <c r="BD1256" s="191">
        <v>43872</v>
      </c>
      <c r="BE1256" s="192" t="s">
        <v>206</v>
      </c>
      <c r="BH1256" s="94">
        <v>43914</v>
      </c>
      <c r="BI1256" s="95" t="s">
        <v>248</v>
      </c>
      <c r="BJ1256" s="96">
        <v>11.87</v>
      </c>
    </row>
    <row r="1257" spans="54:62" ht="13.8" x14ac:dyDescent="0.25">
      <c r="BB1257" s="187">
        <v>43873</v>
      </c>
      <c r="BC1257" s="180">
        <v>-0.36199999999999999</v>
      </c>
      <c r="BD1257" s="191">
        <v>43873</v>
      </c>
      <c r="BE1257" s="192" t="s">
        <v>154</v>
      </c>
      <c r="BH1257" s="94">
        <v>43915</v>
      </c>
      <c r="BI1257" s="95" t="s">
        <v>249</v>
      </c>
      <c r="BJ1257" s="96">
        <v>11.86</v>
      </c>
    </row>
    <row r="1258" spans="54:62" ht="13.8" x14ac:dyDescent="0.25">
      <c r="BB1258" s="187">
        <v>43874</v>
      </c>
      <c r="BC1258" s="180">
        <v>-0.35699999999999998</v>
      </c>
      <c r="BD1258" s="191">
        <v>43874</v>
      </c>
      <c r="BE1258" s="192" t="s">
        <v>228</v>
      </c>
      <c r="BH1258" s="94">
        <v>43916</v>
      </c>
      <c r="BI1258" s="95" t="s">
        <v>250</v>
      </c>
      <c r="BJ1258" s="96">
        <v>11.85</v>
      </c>
    </row>
    <row r="1259" spans="54:62" ht="13.8" x14ac:dyDescent="0.25">
      <c r="BB1259" s="187">
        <v>43875</v>
      </c>
      <c r="BC1259" s="180">
        <v>-0.35899999999999999</v>
      </c>
      <c r="BD1259" s="191">
        <v>43875</v>
      </c>
      <c r="BE1259" s="192" t="s">
        <v>229</v>
      </c>
      <c r="BH1259" s="94">
        <v>43917</v>
      </c>
      <c r="BI1259" s="95" t="s">
        <v>251</v>
      </c>
      <c r="BJ1259" s="96">
        <v>11.85</v>
      </c>
    </row>
    <row r="1260" spans="54:62" ht="13.8" x14ac:dyDescent="0.25">
      <c r="BB1260" s="187">
        <v>43878</v>
      </c>
      <c r="BC1260" s="180">
        <v>-0.35299999999999998</v>
      </c>
      <c r="BD1260" s="191">
        <v>43878</v>
      </c>
      <c r="BE1260" s="192" t="s">
        <v>156</v>
      </c>
      <c r="BH1260" s="94">
        <v>43920</v>
      </c>
      <c r="BI1260" s="95" t="s">
        <v>228</v>
      </c>
      <c r="BJ1260" s="96">
        <v>11.83</v>
      </c>
    </row>
    <row r="1261" spans="54:62" ht="13.8" x14ac:dyDescent="0.25">
      <c r="BB1261" s="187">
        <v>43879</v>
      </c>
      <c r="BC1261" s="180">
        <v>-0.35799999999999998</v>
      </c>
      <c r="BD1261" s="191">
        <v>43879</v>
      </c>
      <c r="BE1261" s="192" t="s">
        <v>230</v>
      </c>
      <c r="BH1261" s="94">
        <v>43921</v>
      </c>
      <c r="BI1261" s="95" t="s">
        <v>252</v>
      </c>
      <c r="BJ1261" s="96">
        <v>11.82</v>
      </c>
    </row>
    <row r="1262" spans="54:62" ht="13.8" x14ac:dyDescent="0.25">
      <c r="BB1262" s="187">
        <v>43880</v>
      </c>
      <c r="BC1262" s="180">
        <v>-0.35299999999999998</v>
      </c>
      <c r="BD1262" s="191">
        <v>43880</v>
      </c>
      <c r="BE1262" s="192" t="s">
        <v>231</v>
      </c>
      <c r="BH1262" s="94">
        <v>43922</v>
      </c>
      <c r="BI1262" s="95" t="s">
        <v>253</v>
      </c>
      <c r="BJ1262" s="96">
        <v>11.82</v>
      </c>
    </row>
    <row r="1263" spans="54:62" ht="13.8" x14ac:dyDescent="0.25">
      <c r="BB1263" s="187">
        <v>43881</v>
      </c>
      <c r="BC1263" s="180">
        <v>-0.35799999999999998</v>
      </c>
      <c r="BD1263" s="191">
        <v>43881</v>
      </c>
      <c r="BE1263" s="192" t="s">
        <v>202</v>
      </c>
      <c r="BH1263" s="94">
        <v>43923</v>
      </c>
      <c r="BI1263" s="95" t="s">
        <v>94</v>
      </c>
      <c r="BJ1263" s="96">
        <v>11.83</v>
      </c>
    </row>
    <row r="1264" spans="54:62" ht="13.8" x14ac:dyDescent="0.25">
      <c r="BB1264" s="187">
        <v>43882</v>
      </c>
      <c r="BC1264" s="180">
        <v>-0.35599999999999998</v>
      </c>
      <c r="BD1264" s="191">
        <v>43882</v>
      </c>
      <c r="BE1264" s="192" t="s">
        <v>232</v>
      </c>
      <c r="BH1264" s="94">
        <v>43924</v>
      </c>
      <c r="BI1264" s="95" t="s">
        <v>223</v>
      </c>
      <c r="BJ1264" s="96">
        <v>11.83</v>
      </c>
    </row>
    <row r="1265" spans="54:62" ht="13.8" x14ac:dyDescent="0.25">
      <c r="BB1265" s="187">
        <v>43885</v>
      </c>
      <c r="BC1265" s="180">
        <v>-0.35699999999999998</v>
      </c>
      <c r="BD1265" s="191">
        <v>43885</v>
      </c>
      <c r="BE1265" s="192" t="s">
        <v>233</v>
      </c>
      <c r="BH1265" s="94">
        <v>43927</v>
      </c>
      <c r="BI1265" s="95" t="s">
        <v>98</v>
      </c>
      <c r="BJ1265" s="96">
        <v>11.82</v>
      </c>
    </row>
    <row r="1266" spans="54:62" ht="13.8" x14ac:dyDescent="0.25">
      <c r="BB1266" s="187">
        <v>43886</v>
      </c>
      <c r="BC1266" s="180">
        <v>-0.35799999999999998</v>
      </c>
      <c r="BD1266" s="191">
        <v>43886</v>
      </c>
      <c r="BE1266" s="192" t="s">
        <v>200</v>
      </c>
      <c r="BH1266" s="94">
        <v>43928</v>
      </c>
      <c r="BI1266" s="95" t="s">
        <v>141</v>
      </c>
      <c r="BJ1266" s="96">
        <v>11.82</v>
      </c>
    </row>
    <row r="1267" spans="54:62" ht="13.8" x14ac:dyDescent="0.25">
      <c r="BB1267" s="187">
        <v>43887</v>
      </c>
      <c r="BC1267" s="180">
        <v>-0.371</v>
      </c>
      <c r="BD1267" s="191">
        <v>43887</v>
      </c>
      <c r="BE1267" s="192" t="s">
        <v>159</v>
      </c>
      <c r="BH1267" s="94">
        <v>43929</v>
      </c>
      <c r="BI1267" s="95" t="s">
        <v>254</v>
      </c>
      <c r="BJ1267" s="96">
        <v>11.82</v>
      </c>
    </row>
    <row r="1268" spans="54:62" ht="13.8" x14ac:dyDescent="0.25">
      <c r="BB1268" s="187">
        <v>43888</v>
      </c>
      <c r="BC1268" s="180">
        <v>-0.375</v>
      </c>
      <c r="BD1268" s="191">
        <v>43888</v>
      </c>
      <c r="BE1268" s="192" t="s">
        <v>234</v>
      </c>
      <c r="BH1268" s="94">
        <v>43930</v>
      </c>
      <c r="BI1268" s="95" t="s">
        <v>255</v>
      </c>
      <c r="BJ1268" s="96">
        <v>11.79</v>
      </c>
    </row>
    <row r="1269" spans="54:62" ht="13.8" x14ac:dyDescent="0.25">
      <c r="BB1269" s="187">
        <v>43889</v>
      </c>
      <c r="BC1269" s="180">
        <v>-0.38600000000000001</v>
      </c>
      <c r="BD1269" s="191">
        <v>43889</v>
      </c>
      <c r="BE1269" s="192" t="s">
        <v>235</v>
      </c>
      <c r="BH1269" s="94">
        <v>43931</v>
      </c>
      <c r="BI1269" s="95" t="s">
        <v>256</v>
      </c>
      <c r="BJ1269" s="96">
        <v>11.79</v>
      </c>
    </row>
    <row r="1270" spans="54:62" ht="13.8" x14ac:dyDescent="0.25">
      <c r="BB1270" s="187">
        <v>43892</v>
      </c>
      <c r="BC1270" s="180">
        <v>-0.4</v>
      </c>
      <c r="BD1270" s="191">
        <v>43892</v>
      </c>
      <c r="BE1270" s="192" t="s">
        <v>236</v>
      </c>
      <c r="BH1270" s="94">
        <v>43935</v>
      </c>
      <c r="BI1270" s="95" t="s">
        <v>257</v>
      </c>
      <c r="BJ1270" s="96">
        <v>11.77</v>
      </c>
    </row>
    <row r="1271" spans="54:62" ht="13.8" x14ac:dyDescent="0.25">
      <c r="BB1271" s="187">
        <v>43893</v>
      </c>
      <c r="BC1271" s="180">
        <v>-0.42199999999999999</v>
      </c>
      <c r="BD1271" s="191">
        <v>43893</v>
      </c>
      <c r="BE1271" s="192" t="s">
        <v>161</v>
      </c>
      <c r="BH1271" s="94">
        <v>43936</v>
      </c>
      <c r="BI1271" s="95" t="s">
        <v>258</v>
      </c>
      <c r="BJ1271" s="96">
        <v>11.77</v>
      </c>
    </row>
    <row r="1272" spans="54:62" ht="13.8" x14ac:dyDescent="0.25">
      <c r="BB1272" s="187">
        <v>43894</v>
      </c>
      <c r="BC1272" s="180">
        <v>-0.41799999999999998</v>
      </c>
      <c r="BD1272" s="191">
        <v>43894</v>
      </c>
      <c r="BE1272" s="192" t="s">
        <v>195</v>
      </c>
      <c r="BH1272" s="94">
        <v>43937</v>
      </c>
      <c r="BI1272" s="95" t="s">
        <v>259</v>
      </c>
      <c r="BJ1272" s="96">
        <v>11.76</v>
      </c>
    </row>
    <row r="1273" spans="54:62" ht="13.8" x14ac:dyDescent="0.25">
      <c r="BB1273" s="187">
        <v>43895</v>
      </c>
      <c r="BC1273" s="180">
        <v>-0.432</v>
      </c>
      <c r="BD1273" s="191">
        <v>43895</v>
      </c>
      <c r="BE1273" s="192" t="s">
        <v>237</v>
      </c>
      <c r="BH1273" s="94">
        <v>43938</v>
      </c>
      <c r="BI1273" s="95" t="s">
        <v>260</v>
      </c>
      <c r="BJ1273" s="96">
        <v>11.76</v>
      </c>
    </row>
    <row r="1274" spans="54:62" ht="13.8" x14ac:dyDescent="0.25">
      <c r="BB1274" s="187">
        <v>43896</v>
      </c>
      <c r="BC1274" s="180">
        <v>-0.42699999999999999</v>
      </c>
      <c r="BD1274" s="191">
        <v>43896</v>
      </c>
      <c r="BE1274" s="192" t="s">
        <v>238</v>
      </c>
      <c r="BH1274" s="94">
        <v>43941</v>
      </c>
      <c r="BI1274" s="95" t="s">
        <v>261</v>
      </c>
      <c r="BJ1274" s="96">
        <v>11.75</v>
      </c>
    </row>
    <row r="1275" spans="54:62" ht="13.8" x14ac:dyDescent="0.25">
      <c r="BB1275" s="187">
        <v>43899</v>
      </c>
      <c r="BC1275" s="180">
        <v>-0.42099999999999999</v>
      </c>
      <c r="BD1275" s="191">
        <v>43899</v>
      </c>
      <c r="BE1275" s="192" t="s">
        <v>239</v>
      </c>
      <c r="BH1275" s="94">
        <v>43942</v>
      </c>
      <c r="BI1275" s="95" t="s">
        <v>262</v>
      </c>
      <c r="BJ1275" s="96">
        <v>11.75</v>
      </c>
    </row>
    <row r="1276" spans="54:62" ht="13.8" x14ac:dyDescent="0.25">
      <c r="BB1276" s="187">
        <v>43900</v>
      </c>
      <c r="BC1276" s="180">
        <v>-0.438</v>
      </c>
      <c r="BD1276" s="191">
        <v>43900</v>
      </c>
      <c r="BE1276" s="192" t="s">
        <v>186</v>
      </c>
      <c r="BH1276" s="94">
        <v>43943</v>
      </c>
      <c r="BI1276" s="95" t="s">
        <v>68</v>
      </c>
      <c r="BJ1276" s="96">
        <v>11.75</v>
      </c>
    </row>
    <row r="1277" spans="54:62" ht="13.8" x14ac:dyDescent="0.25">
      <c r="BB1277" s="187">
        <v>43901</v>
      </c>
      <c r="BC1277" s="180">
        <v>-0.42899999999999999</v>
      </c>
      <c r="BD1277" s="191">
        <v>43901</v>
      </c>
      <c r="BE1277" s="192" t="s">
        <v>240</v>
      </c>
      <c r="BH1277" s="94">
        <v>43944</v>
      </c>
      <c r="BI1277" s="95" t="s">
        <v>69</v>
      </c>
      <c r="BJ1277" s="96">
        <v>11.74</v>
      </c>
    </row>
    <row r="1278" spans="54:62" ht="13.8" x14ac:dyDescent="0.25">
      <c r="BB1278" s="187">
        <v>43902</v>
      </c>
      <c r="BC1278" s="180">
        <v>-0.44700000000000001</v>
      </c>
      <c r="BD1278" s="191">
        <v>43902</v>
      </c>
      <c r="BE1278" s="192" t="s">
        <v>167</v>
      </c>
      <c r="BH1278" s="94">
        <v>43945</v>
      </c>
      <c r="BI1278" s="95" t="s">
        <v>113</v>
      </c>
      <c r="BJ1278" s="96">
        <v>11.74</v>
      </c>
    </row>
    <row r="1279" spans="54:62" ht="13.8" x14ac:dyDescent="0.25">
      <c r="BB1279" s="187">
        <v>43903</v>
      </c>
      <c r="BC1279" s="180">
        <v>-0.39700000000000002</v>
      </c>
      <c r="BD1279" s="191">
        <v>43903</v>
      </c>
      <c r="BE1279" s="192" t="s">
        <v>241</v>
      </c>
      <c r="BH1279" s="94">
        <v>43948</v>
      </c>
      <c r="BI1279" s="95" t="s">
        <v>113</v>
      </c>
      <c r="BJ1279" s="96">
        <v>11.73</v>
      </c>
    </row>
    <row r="1280" spans="54:62" ht="13.8" x14ac:dyDescent="0.25">
      <c r="BB1280" s="187">
        <v>43906</v>
      </c>
      <c r="BC1280" s="180">
        <v>-0.372</v>
      </c>
      <c r="BD1280" s="191">
        <v>43906</v>
      </c>
      <c r="BE1280" s="192" t="s">
        <v>242</v>
      </c>
      <c r="BH1280" s="94">
        <v>43949</v>
      </c>
      <c r="BI1280" s="95" t="s">
        <v>263</v>
      </c>
      <c r="BJ1280" s="96">
        <v>11.73</v>
      </c>
    </row>
    <row r="1281" spans="54:62" ht="13.8" x14ac:dyDescent="0.25">
      <c r="BB1281" s="187">
        <v>43907</v>
      </c>
      <c r="BC1281" s="180">
        <v>-0.373</v>
      </c>
      <c r="BD1281" s="191">
        <v>43907</v>
      </c>
      <c r="BE1281" s="192" t="s">
        <v>243</v>
      </c>
      <c r="BH1281" s="94">
        <v>43950</v>
      </c>
      <c r="BI1281" s="95" t="s">
        <v>264</v>
      </c>
      <c r="BJ1281" s="96">
        <v>11.73</v>
      </c>
    </row>
    <row r="1282" spans="54:62" ht="13.8" x14ac:dyDescent="0.25">
      <c r="BB1282" s="187">
        <v>43908</v>
      </c>
      <c r="BC1282" s="180">
        <v>-0.36</v>
      </c>
      <c r="BD1282" s="191">
        <v>43908</v>
      </c>
      <c r="BE1282" s="192" t="s">
        <v>244</v>
      </c>
      <c r="BH1282" s="94">
        <v>43951</v>
      </c>
      <c r="BI1282" s="95" t="s">
        <v>265</v>
      </c>
      <c r="BJ1282" s="96">
        <v>11.73</v>
      </c>
    </row>
    <row r="1283" spans="54:62" ht="13.8" x14ac:dyDescent="0.25">
      <c r="BB1283" s="187">
        <v>43909</v>
      </c>
      <c r="BC1283" s="180">
        <v>-0.34499999999999997</v>
      </c>
      <c r="BD1283" s="191">
        <v>43909</v>
      </c>
      <c r="BE1283" s="192" t="s">
        <v>245</v>
      </c>
      <c r="BH1283" s="94">
        <v>43955</v>
      </c>
      <c r="BI1283" s="95" t="s">
        <v>110</v>
      </c>
      <c r="BJ1283" s="96">
        <v>11.71</v>
      </c>
    </row>
    <row r="1284" spans="54:62" ht="13.8" x14ac:dyDescent="0.25">
      <c r="BB1284" s="187">
        <v>43910</v>
      </c>
      <c r="BC1284" s="180">
        <v>-0.313</v>
      </c>
      <c r="BD1284" s="191">
        <v>43910</v>
      </c>
      <c r="BE1284" s="192" t="s">
        <v>246</v>
      </c>
      <c r="BH1284" s="94">
        <v>43956</v>
      </c>
      <c r="BI1284" s="95" t="s">
        <v>73</v>
      </c>
      <c r="BJ1284" s="96">
        <v>11.71</v>
      </c>
    </row>
    <row r="1285" spans="54:62" ht="13.8" x14ac:dyDescent="0.25">
      <c r="BB1285" s="187">
        <v>43913</v>
      </c>
      <c r="BC1285" s="180">
        <v>-0.307</v>
      </c>
      <c r="BD1285" s="191">
        <v>43913</v>
      </c>
      <c r="BE1285" s="192" t="s">
        <v>247</v>
      </c>
      <c r="BH1285" s="94">
        <v>43957</v>
      </c>
      <c r="BI1285" s="95" t="s">
        <v>97</v>
      </c>
      <c r="BJ1285" s="96">
        <v>11.7</v>
      </c>
    </row>
    <row r="1286" spans="54:62" ht="13.8" x14ac:dyDescent="0.25">
      <c r="BB1286" s="187">
        <v>43914</v>
      </c>
      <c r="BC1286" s="180">
        <v>-0.30599999999999999</v>
      </c>
      <c r="BD1286" s="191">
        <v>43914</v>
      </c>
      <c r="BE1286" s="192" t="s">
        <v>248</v>
      </c>
      <c r="BH1286" s="94">
        <v>43958</v>
      </c>
      <c r="BI1286" s="95" t="s">
        <v>103</v>
      </c>
      <c r="BJ1286" s="96">
        <v>11.74</v>
      </c>
    </row>
    <row r="1287" spans="54:62" ht="13.8" x14ac:dyDescent="0.25">
      <c r="BB1287" s="187">
        <v>43915</v>
      </c>
      <c r="BC1287" s="180">
        <v>-0.29799999999999999</v>
      </c>
      <c r="BD1287" s="191">
        <v>43915</v>
      </c>
      <c r="BE1287" s="192" t="s">
        <v>249</v>
      </c>
      <c r="BH1287" s="94">
        <v>43959</v>
      </c>
      <c r="BI1287" s="95" t="s">
        <v>223</v>
      </c>
      <c r="BJ1287" s="96">
        <v>11.73</v>
      </c>
    </row>
    <row r="1288" spans="54:62" ht="13.8" x14ac:dyDescent="0.25">
      <c r="BB1288" s="187">
        <v>43916</v>
      </c>
      <c r="BC1288" s="180">
        <v>-0.27400000000000002</v>
      </c>
      <c r="BD1288" s="191">
        <v>43916</v>
      </c>
      <c r="BE1288" s="192" t="s">
        <v>250</v>
      </c>
      <c r="BH1288" s="94">
        <v>43962</v>
      </c>
      <c r="BI1288" s="95" t="s">
        <v>266</v>
      </c>
      <c r="BJ1288" s="96">
        <v>11.72</v>
      </c>
    </row>
    <row r="1289" spans="54:62" ht="13.8" x14ac:dyDescent="0.25">
      <c r="BB1289" s="187">
        <v>43917</v>
      </c>
      <c r="BC1289" s="180">
        <v>-0.28100000000000003</v>
      </c>
      <c r="BD1289" s="191">
        <v>43917</v>
      </c>
      <c r="BE1289" s="192" t="s">
        <v>251</v>
      </c>
      <c r="BH1289" s="94">
        <v>43963</v>
      </c>
      <c r="BI1289" s="95" t="s">
        <v>88</v>
      </c>
      <c r="BJ1289" s="96">
        <v>11.71</v>
      </c>
    </row>
    <row r="1290" spans="54:62" ht="13.8" x14ac:dyDescent="0.25">
      <c r="BB1290" s="187">
        <v>43920</v>
      </c>
      <c r="BC1290" s="180">
        <v>-0.28000000000000003</v>
      </c>
      <c r="BD1290" s="191">
        <v>43920</v>
      </c>
      <c r="BE1290" s="192" t="s">
        <v>228</v>
      </c>
      <c r="BH1290" s="94">
        <v>43964</v>
      </c>
      <c r="BI1290" s="95" t="s">
        <v>91</v>
      </c>
      <c r="BJ1290" s="96">
        <v>11.71</v>
      </c>
    </row>
    <row r="1291" spans="54:62" ht="13.8" x14ac:dyDescent="0.25">
      <c r="BB1291" s="187">
        <v>43921</v>
      </c>
      <c r="BC1291" s="180">
        <v>-0.28699999999999998</v>
      </c>
      <c r="BD1291" s="191">
        <v>43921</v>
      </c>
      <c r="BE1291" s="192" t="s">
        <v>252</v>
      </c>
      <c r="BH1291" s="94">
        <v>43965</v>
      </c>
      <c r="BI1291" s="95" t="s">
        <v>225</v>
      </c>
      <c r="BJ1291" s="96">
        <v>11.71</v>
      </c>
    </row>
    <row r="1292" spans="54:62" ht="13.8" x14ac:dyDescent="0.25">
      <c r="BB1292" s="187">
        <v>43922</v>
      </c>
      <c r="BC1292" s="180">
        <v>-0.27600000000000002</v>
      </c>
      <c r="BD1292" s="191">
        <v>43922</v>
      </c>
      <c r="BE1292" s="192" t="s">
        <v>253</v>
      </c>
      <c r="BH1292" s="94">
        <v>43966</v>
      </c>
      <c r="BI1292" s="95" t="s">
        <v>267</v>
      </c>
      <c r="BJ1292" s="96">
        <v>11.7</v>
      </c>
    </row>
    <row r="1293" spans="54:62" ht="13.8" x14ac:dyDescent="0.25">
      <c r="BB1293" s="187">
        <v>43923</v>
      </c>
      <c r="BC1293" s="180">
        <v>-0.26800000000000002</v>
      </c>
      <c r="BD1293" s="191">
        <v>43923</v>
      </c>
      <c r="BE1293" s="192" t="s">
        <v>94</v>
      </c>
      <c r="BH1293" s="94">
        <v>43969</v>
      </c>
      <c r="BI1293" s="95" t="s">
        <v>149</v>
      </c>
      <c r="BJ1293" s="96">
        <v>11.69</v>
      </c>
    </row>
    <row r="1294" spans="54:62" ht="13.8" x14ac:dyDescent="0.25">
      <c r="BB1294" s="187">
        <v>43924</v>
      </c>
      <c r="BC1294" s="180">
        <v>-0.27700000000000002</v>
      </c>
      <c r="BD1294" s="191">
        <v>43924</v>
      </c>
      <c r="BE1294" s="192" t="s">
        <v>223</v>
      </c>
      <c r="BH1294" s="94">
        <v>43970</v>
      </c>
      <c r="BI1294" s="95" t="s">
        <v>268</v>
      </c>
      <c r="BJ1294" s="96">
        <v>11.69</v>
      </c>
    </row>
    <row r="1295" spans="54:62" ht="13.8" x14ac:dyDescent="0.25">
      <c r="BB1295" s="187">
        <v>43927</v>
      </c>
      <c r="BC1295" s="180">
        <v>-0.253</v>
      </c>
      <c r="BD1295" s="191">
        <v>43927</v>
      </c>
      <c r="BE1295" s="192" t="s">
        <v>98</v>
      </c>
      <c r="BH1295" s="94">
        <v>43971</v>
      </c>
      <c r="BI1295" s="95" t="s">
        <v>227</v>
      </c>
      <c r="BJ1295" s="96">
        <v>11.69</v>
      </c>
    </row>
    <row r="1296" spans="54:62" ht="13.8" x14ac:dyDescent="0.25">
      <c r="BB1296" s="187">
        <v>43928</v>
      </c>
      <c r="BC1296" s="180">
        <v>-0.23200000000000001</v>
      </c>
      <c r="BD1296" s="191">
        <v>43928</v>
      </c>
      <c r="BE1296" s="192" t="s">
        <v>141</v>
      </c>
      <c r="BH1296" s="94">
        <v>43973</v>
      </c>
      <c r="BI1296" s="95" t="s">
        <v>153</v>
      </c>
      <c r="BJ1296" s="96">
        <v>11.68</v>
      </c>
    </row>
    <row r="1297" spans="54:62" ht="13.8" x14ac:dyDescent="0.25">
      <c r="BB1297" s="187">
        <v>43929</v>
      </c>
      <c r="BC1297" s="180">
        <v>-0.19600000000000001</v>
      </c>
      <c r="BD1297" s="191">
        <v>43929</v>
      </c>
      <c r="BE1297" s="192" t="s">
        <v>254</v>
      </c>
      <c r="BH1297" s="94">
        <v>43976</v>
      </c>
      <c r="BI1297" s="95" t="s">
        <v>154</v>
      </c>
      <c r="BJ1297" s="96">
        <v>11.67</v>
      </c>
    </row>
    <row r="1298" spans="54:62" ht="13.8" x14ac:dyDescent="0.25">
      <c r="BB1298" s="187">
        <v>43930</v>
      </c>
      <c r="BC1298" s="180">
        <v>-0.17899999999999999</v>
      </c>
      <c r="BD1298" s="191">
        <v>43930</v>
      </c>
      <c r="BE1298" s="192" t="s">
        <v>255</v>
      </c>
      <c r="BH1298" s="94">
        <v>43977</v>
      </c>
      <c r="BI1298" s="95" t="s">
        <v>269</v>
      </c>
      <c r="BJ1298" s="96">
        <v>11.66</v>
      </c>
    </row>
    <row r="1299" spans="54:62" ht="13.8" x14ac:dyDescent="0.25">
      <c r="BB1299" s="187">
        <v>43931</v>
      </c>
      <c r="BC1299" s="180">
        <v>-0.17899999999999999</v>
      </c>
      <c r="BD1299" s="191">
        <v>43931</v>
      </c>
      <c r="BE1299" s="192" t="s">
        <v>256</v>
      </c>
      <c r="BH1299" s="94">
        <v>43978</v>
      </c>
      <c r="BI1299" s="95" t="s">
        <v>205</v>
      </c>
      <c r="BJ1299" s="96">
        <v>11.66</v>
      </c>
    </row>
    <row r="1300" spans="54:62" ht="13.8" x14ac:dyDescent="0.25">
      <c r="BB1300" s="187">
        <v>43934</v>
      </c>
      <c r="BC1300" s="180">
        <v>-0.17899999999999999</v>
      </c>
      <c r="BD1300" s="191"/>
      <c r="BE1300" s="193" t="str">
        <f>+BE1299</f>
        <v>−0,081</v>
      </c>
      <c r="BH1300" s="94">
        <v>43979</v>
      </c>
      <c r="BI1300" s="95" t="s">
        <v>228</v>
      </c>
      <c r="BJ1300" s="96">
        <v>11.65</v>
      </c>
    </row>
    <row r="1301" spans="54:62" ht="13.8" x14ac:dyDescent="0.25">
      <c r="BB1301" s="187">
        <v>43935</v>
      </c>
      <c r="BC1301" s="180">
        <v>-0.19500000000000001</v>
      </c>
      <c r="BD1301" s="191">
        <v>43935</v>
      </c>
      <c r="BE1301" s="192" t="s">
        <v>257</v>
      </c>
      <c r="BH1301" s="94">
        <v>43980</v>
      </c>
      <c r="BI1301" s="95" t="s">
        <v>270</v>
      </c>
      <c r="BJ1301" s="96">
        <v>11.65</v>
      </c>
    </row>
    <row r="1302" spans="54:62" ht="13.8" x14ac:dyDescent="0.25">
      <c r="BB1302" s="187">
        <v>43936</v>
      </c>
      <c r="BC1302" s="180">
        <v>-0.19600000000000001</v>
      </c>
      <c r="BD1302" s="191">
        <v>43936</v>
      </c>
      <c r="BE1302" s="192" t="s">
        <v>258</v>
      </c>
      <c r="BH1302" s="94">
        <v>43984</v>
      </c>
      <c r="BI1302" s="95" t="s">
        <v>155</v>
      </c>
      <c r="BJ1302" s="96">
        <v>11.63</v>
      </c>
    </row>
    <row r="1303" spans="54:62" ht="13.8" x14ac:dyDescent="0.25">
      <c r="BB1303" s="187">
        <v>43937</v>
      </c>
      <c r="BC1303" s="180">
        <v>-0.187</v>
      </c>
      <c r="BD1303" s="191">
        <v>43937</v>
      </c>
      <c r="BE1303" s="192" t="s">
        <v>259</v>
      </c>
      <c r="BH1303" s="94">
        <v>43985</v>
      </c>
      <c r="BI1303" s="95" t="s">
        <v>205</v>
      </c>
      <c r="BJ1303" s="96">
        <v>11.63</v>
      </c>
    </row>
    <row r="1304" spans="54:62" ht="13.8" x14ac:dyDescent="0.25">
      <c r="BB1304" s="187">
        <v>43938</v>
      </c>
      <c r="BC1304" s="180">
        <v>-0.19500000000000001</v>
      </c>
      <c r="BD1304" s="191">
        <v>43938</v>
      </c>
      <c r="BE1304" s="192" t="s">
        <v>260</v>
      </c>
      <c r="BH1304" s="94">
        <v>43986</v>
      </c>
      <c r="BI1304" s="95" t="s">
        <v>271</v>
      </c>
      <c r="BJ1304" s="96">
        <v>11.59</v>
      </c>
    </row>
    <row r="1305" spans="54:62" ht="13.8" x14ac:dyDescent="0.25">
      <c r="BB1305" s="187">
        <v>43941</v>
      </c>
      <c r="BC1305" s="180">
        <v>-0.185</v>
      </c>
      <c r="BD1305" s="191">
        <v>43941</v>
      </c>
      <c r="BE1305" s="192" t="s">
        <v>261</v>
      </c>
      <c r="BH1305" s="94">
        <v>43987</v>
      </c>
      <c r="BI1305" s="95" t="s">
        <v>272</v>
      </c>
      <c r="BJ1305" s="96">
        <v>11.59</v>
      </c>
    </row>
    <row r="1306" spans="54:62" ht="13.8" x14ac:dyDescent="0.25">
      <c r="BB1306" s="187">
        <v>43942</v>
      </c>
      <c r="BC1306" s="180">
        <v>-0.17799999999999999</v>
      </c>
      <c r="BD1306" s="191">
        <v>43942</v>
      </c>
      <c r="BE1306" s="192" t="s">
        <v>262</v>
      </c>
      <c r="BH1306" s="94">
        <v>43990</v>
      </c>
      <c r="BI1306" s="95" t="s">
        <v>252</v>
      </c>
      <c r="BJ1306" s="96">
        <v>11.58</v>
      </c>
    </row>
    <row r="1307" spans="54:62" ht="13.8" x14ac:dyDescent="0.25">
      <c r="BB1307" s="187">
        <v>43943</v>
      </c>
      <c r="BC1307" s="180">
        <v>-0.124</v>
      </c>
      <c r="BD1307" s="191">
        <v>43943</v>
      </c>
      <c r="BE1307" s="192" t="s">
        <v>68</v>
      </c>
      <c r="BH1307" s="94">
        <v>43991</v>
      </c>
      <c r="BI1307" s="95" t="s">
        <v>273</v>
      </c>
      <c r="BJ1307" s="96">
        <v>11.58</v>
      </c>
    </row>
    <row r="1308" spans="54:62" ht="13.8" x14ac:dyDescent="0.25">
      <c r="BB1308" s="187">
        <v>43944</v>
      </c>
      <c r="BC1308" s="180">
        <v>-0.114</v>
      </c>
      <c r="BD1308" s="191">
        <v>43944</v>
      </c>
      <c r="BE1308" s="192" t="s">
        <v>69</v>
      </c>
      <c r="BH1308" s="94">
        <v>43992</v>
      </c>
      <c r="BI1308" s="95" t="s">
        <v>274</v>
      </c>
      <c r="BJ1308" s="96">
        <v>11.58</v>
      </c>
    </row>
    <row r="1309" spans="54:62" ht="13.8" x14ac:dyDescent="0.25">
      <c r="BB1309" s="187">
        <v>43945</v>
      </c>
      <c r="BC1309" s="180">
        <v>-0.13600000000000001</v>
      </c>
      <c r="BD1309" s="191">
        <v>43945</v>
      </c>
      <c r="BE1309" s="192" t="s">
        <v>113</v>
      </c>
      <c r="BH1309" s="94">
        <v>43994</v>
      </c>
      <c r="BI1309" s="95" t="s">
        <v>275</v>
      </c>
      <c r="BJ1309" s="96">
        <v>11.56</v>
      </c>
    </row>
    <row r="1310" spans="54:62" ht="13.8" x14ac:dyDescent="0.25">
      <c r="BB1310" s="187">
        <v>43948</v>
      </c>
      <c r="BC1310" s="180">
        <v>-0.14699999999999999</v>
      </c>
      <c r="BD1310" s="191">
        <v>43948</v>
      </c>
      <c r="BE1310" s="192" t="s">
        <v>113</v>
      </c>
      <c r="BH1310" s="94">
        <v>43997</v>
      </c>
      <c r="BI1310" s="95" t="s">
        <v>275</v>
      </c>
      <c r="BJ1310" s="96">
        <v>11.55</v>
      </c>
    </row>
    <row r="1311" spans="54:62" ht="13.8" x14ac:dyDescent="0.25">
      <c r="BB1311" s="187">
        <v>43949</v>
      </c>
      <c r="BC1311" s="180">
        <v>-0.16300000000000001</v>
      </c>
      <c r="BD1311" s="191">
        <v>43949</v>
      </c>
      <c r="BE1311" s="192" t="s">
        <v>263</v>
      </c>
      <c r="BH1311" s="94">
        <v>43998</v>
      </c>
      <c r="BI1311" s="95" t="s">
        <v>276</v>
      </c>
      <c r="BJ1311" s="96">
        <v>11.55</v>
      </c>
    </row>
    <row r="1312" spans="54:62" ht="13.8" x14ac:dyDescent="0.25">
      <c r="BB1312" s="187">
        <v>43950</v>
      </c>
      <c r="BC1312" s="180">
        <v>-0.16900000000000001</v>
      </c>
      <c r="BD1312" s="191">
        <v>43950</v>
      </c>
      <c r="BE1312" s="192" t="s">
        <v>264</v>
      </c>
      <c r="BH1312" s="94">
        <v>43999</v>
      </c>
      <c r="BI1312" s="95" t="s">
        <v>276</v>
      </c>
      <c r="BJ1312" s="96">
        <v>11.54</v>
      </c>
    </row>
    <row r="1313" spans="54:62" ht="13.8" x14ac:dyDescent="0.25">
      <c r="BB1313" s="187">
        <v>43951</v>
      </c>
      <c r="BC1313" s="180">
        <v>-0.17</v>
      </c>
      <c r="BD1313" s="191">
        <v>43951</v>
      </c>
      <c r="BE1313" s="192" t="s">
        <v>265</v>
      </c>
      <c r="BH1313" s="94">
        <v>44000</v>
      </c>
      <c r="BI1313" s="95" t="s">
        <v>275</v>
      </c>
      <c r="BJ1313" s="96">
        <v>11.55</v>
      </c>
    </row>
    <row r="1314" spans="54:62" ht="13.8" x14ac:dyDescent="0.25">
      <c r="BB1314" s="187">
        <v>43952</v>
      </c>
      <c r="BC1314" s="180">
        <v>-0.17</v>
      </c>
      <c r="BD1314" s="191"/>
      <c r="BE1314" s="193">
        <v>-0.127</v>
      </c>
      <c r="BF1314" s="111">
        <f>+(BC1314+BE1314)/2+0.37</f>
        <v>0.22149999999999997</v>
      </c>
      <c r="BH1314" s="94">
        <v>44001</v>
      </c>
      <c r="BI1314" s="95" t="s">
        <v>153</v>
      </c>
      <c r="BJ1314" s="96">
        <v>11.55</v>
      </c>
    </row>
    <row r="1315" spans="54:62" ht="13.8" x14ac:dyDescent="0.25">
      <c r="BB1315" s="187">
        <v>43955</v>
      </c>
      <c r="BC1315" s="180">
        <v>-0.157</v>
      </c>
      <c r="BD1315" s="191">
        <v>43955</v>
      </c>
      <c r="BE1315" s="192" t="s">
        <v>110</v>
      </c>
      <c r="BH1315" s="94">
        <v>44004</v>
      </c>
      <c r="BI1315" s="95" t="s">
        <v>272</v>
      </c>
      <c r="BJ1315" s="96">
        <v>11.54</v>
      </c>
    </row>
    <row r="1316" spans="54:62" ht="13.8" x14ac:dyDescent="0.25">
      <c r="BB1316" s="187">
        <v>43956</v>
      </c>
      <c r="BC1316" s="180">
        <v>-0.16500000000000001</v>
      </c>
      <c r="BD1316" s="191">
        <v>43956</v>
      </c>
      <c r="BE1316" s="192" t="s">
        <v>73</v>
      </c>
      <c r="BH1316" s="94">
        <v>44005</v>
      </c>
      <c r="BI1316" s="95" t="s">
        <v>277</v>
      </c>
      <c r="BJ1316" s="96">
        <v>11.53</v>
      </c>
    </row>
    <row r="1317" spans="54:62" ht="13.8" x14ac:dyDescent="0.25">
      <c r="BB1317" s="187">
        <v>43957</v>
      </c>
      <c r="BC1317" s="180">
        <v>-0.13600000000000001</v>
      </c>
      <c r="BD1317" s="191">
        <v>43957</v>
      </c>
      <c r="BE1317" s="192" t="s">
        <v>97</v>
      </c>
      <c r="BH1317" s="94">
        <v>44006</v>
      </c>
      <c r="BI1317" s="95" t="s">
        <v>271</v>
      </c>
      <c r="BJ1317" s="96">
        <v>11.53</v>
      </c>
    </row>
    <row r="1318" spans="54:62" ht="13.8" x14ac:dyDescent="0.25">
      <c r="BB1318" s="187">
        <v>43958</v>
      </c>
      <c r="BC1318" s="180">
        <v>-0.114</v>
      </c>
      <c r="BD1318" s="191">
        <v>43958</v>
      </c>
      <c r="BE1318" s="192" t="s">
        <v>103</v>
      </c>
      <c r="BH1318" s="94">
        <v>44007</v>
      </c>
      <c r="BI1318" s="95" t="s">
        <v>228</v>
      </c>
      <c r="BJ1318" s="96">
        <v>11.53</v>
      </c>
    </row>
    <row r="1319" spans="54:62" ht="13.8" x14ac:dyDescent="0.25">
      <c r="BB1319" s="187">
        <v>43959</v>
      </c>
      <c r="BC1319" s="180">
        <v>-0.14499999999999999</v>
      </c>
      <c r="BD1319" s="191">
        <v>43959</v>
      </c>
      <c r="BE1319" s="192" t="s">
        <v>223</v>
      </c>
      <c r="BH1319" s="94">
        <v>44008</v>
      </c>
      <c r="BI1319" s="95" t="s">
        <v>278</v>
      </c>
      <c r="BJ1319" s="96">
        <v>11.52</v>
      </c>
    </row>
    <row r="1320" spans="54:62" ht="13.8" x14ac:dyDescent="0.25">
      <c r="BB1320" s="187">
        <v>43962</v>
      </c>
      <c r="BC1320" s="180">
        <v>-0.14699999999999999</v>
      </c>
      <c r="BD1320" s="191">
        <v>43962</v>
      </c>
      <c r="BE1320" s="192" t="s">
        <v>266</v>
      </c>
      <c r="BH1320" s="94">
        <v>44011</v>
      </c>
      <c r="BI1320" s="95" t="s">
        <v>279</v>
      </c>
      <c r="BJ1320" s="96">
        <v>11.51</v>
      </c>
    </row>
    <row r="1321" spans="54:62" ht="13.8" x14ac:dyDescent="0.25">
      <c r="BB1321" s="187">
        <v>43963</v>
      </c>
      <c r="BC1321" s="180">
        <v>-0.14699999999999999</v>
      </c>
      <c r="BD1321" s="191">
        <v>43963</v>
      </c>
      <c r="BE1321" s="192" t="s">
        <v>88</v>
      </c>
      <c r="BH1321" s="94">
        <v>44012</v>
      </c>
      <c r="BI1321" s="95" t="s">
        <v>278</v>
      </c>
      <c r="BJ1321" s="96">
        <v>12.31</v>
      </c>
    </row>
    <row r="1322" spans="54:62" ht="13.8" x14ac:dyDescent="0.25">
      <c r="BB1322" s="187">
        <v>43964</v>
      </c>
      <c r="BC1322" s="180">
        <v>-0.14199999999999999</v>
      </c>
      <c r="BD1322" s="191">
        <v>43964</v>
      </c>
      <c r="BE1322" s="192" t="s">
        <v>91</v>
      </c>
      <c r="BH1322" s="94">
        <v>44013</v>
      </c>
      <c r="BI1322" s="95" t="s">
        <v>204</v>
      </c>
      <c r="BJ1322" s="96">
        <v>12.31</v>
      </c>
    </row>
    <row r="1323" spans="54:62" ht="13.8" x14ac:dyDescent="0.25">
      <c r="BB1323" s="187">
        <v>43965</v>
      </c>
      <c r="BC1323" s="180">
        <v>-0.13700000000000001</v>
      </c>
      <c r="BD1323" s="191">
        <v>43965</v>
      </c>
      <c r="BE1323" s="192" t="s">
        <v>225</v>
      </c>
      <c r="BH1323" s="94">
        <v>44014</v>
      </c>
      <c r="BI1323" s="95" t="s">
        <v>280</v>
      </c>
      <c r="BJ1323" s="96">
        <v>12.3</v>
      </c>
    </row>
    <row r="1324" spans="54:62" ht="13.8" x14ac:dyDescent="0.25">
      <c r="BB1324" s="187">
        <v>43966</v>
      </c>
      <c r="BC1324" s="180">
        <v>-0.13100000000000001</v>
      </c>
      <c r="BD1324" s="191">
        <v>43966</v>
      </c>
      <c r="BE1324" s="192" t="s">
        <v>267</v>
      </c>
      <c r="BH1324" s="94">
        <v>44015</v>
      </c>
      <c r="BI1324" s="95" t="s">
        <v>281</v>
      </c>
      <c r="BJ1324" s="96">
        <v>12.3</v>
      </c>
    </row>
    <row r="1325" spans="54:62" ht="13.8" x14ac:dyDescent="0.25">
      <c r="BB1325" s="187">
        <v>43969</v>
      </c>
      <c r="BC1325" s="180">
        <v>-0.13700000000000001</v>
      </c>
      <c r="BD1325" s="191">
        <v>43969</v>
      </c>
      <c r="BE1325" s="192" t="s">
        <v>149</v>
      </c>
      <c r="BH1325" s="94">
        <v>44018</v>
      </c>
      <c r="BI1325" s="95" t="s">
        <v>282</v>
      </c>
      <c r="BJ1325" s="96">
        <v>12.29</v>
      </c>
    </row>
    <row r="1326" spans="54:62" ht="13.8" x14ac:dyDescent="0.25">
      <c r="BB1326" s="187">
        <v>43970</v>
      </c>
      <c r="BC1326" s="180">
        <v>-0.13800000000000001</v>
      </c>
      <c r="BD1326" s="191">
        <v>43970</v>
      </c>
      <c r="BE1326" s="192" t="s">
        <v>268</v>
      </c>
      <c r="BH1326" s="94">
        <v>44019</v>
      </c>
      <c r="BI1326" s="95" t="s">
        <v>283</v>
      </c>
      <c r="BJ1326" s="96">
        <v>12.29</v>
      </c>
    </row>
    <row r="1327" spans="54:62" ht="13.8" x14ac:dyDescent="0.25">
      <c r="BB1327" s="187">
        <v>43971</v>
      </c>
      <c r="BC1327" s="180">
        <v>-0.13900000000000001</v>
      </c>
      <c r="BD1327" s="191">
        <v>43971</v>
      </c>
      <c r="BE1327" s="192" t="s">
        <v>227</v>
      </c>
      <c r="BH1327" s="94">
        <v>44020</v>
      </c>
      <c r="BI1327" s="95" t="s">
        <v>284</v>
      </c>
      <c r="BJ1327" s="96">
        <v>12.32</v>
      </c>
    </row>
    <row r="1328" spans="54:62" ht="13.8" x14ac:dyDescent="0.25">
      <c r="BB1328" s="187">
        <v>43972</v>
      </c>
      <c r="BC1328" s="180">
        <v>-0.14499999999999999</v>
      </c>
      <c r="BD1328" s="191"/>
      <c r="BE1328" s="193" t="str">
        <f>+BE1327</f>
        <v>−0,223</v>
      </c>
      <c r="BH1328" s="94">
        <v>44021</v>
      </c>
      <c r="BI1328" s="95" t="s">
        <v>249</v>
      </c>
      <c r="BJ1328" s="96">
        <v>12.4</v>
      </c>
    </row>
    <row r="1329" spans="54:62" ht="13.8" x14ac:dyDescent="0.25">
      <c r="BB1329" s="187">
        <v>43973</v>
      </c>
      <c r="BC1329" s="180">
        <v>-0.154</v>
      </c>
      <c r="BD1329" s="191">
        <v>43973</v>
      </c>
      <c r="BE1329" s="192" t="s">
        <v>153</v>
      </c>
      <c r="BH1329" s="94">
        <v>44022</v>
      </c>
      <c r="BI1329" s="95" t="s">
        <v>285</v>
      </c>
      <c r="BJ1329" s="96">
        <v>12.39</v>
      </c>
    </row>
    <row r="1330" spans="54:62" ht="13.8" x14ac:dyDescent="0.25">
      <c r="BB1330" s="187">
        <v>43976</v>
      </c>
      <c r="BC1330" s="180">
        <v>-0.14499999999999999</v>
      </c>
      <c r="BD1330" s="191">
        <v>43976</v>
      </c>
      <c r="BE1330" s="192" t="s">
        <v>154</v>
      </c>
      <c r="BH1330" s="94">
        <v>44025</v>
      </c>
      <c r="BI1330" s="95" t="s">
        <v>286</v>
      </c>
      <c r="BJ1330" s="96">
        <v>12.36</v>
      </c>
    </row>
    <row r="1331" spans="54:62" ht="13.8" x14ac:dyDescent="0.25">
      <c r="BB1331" s="187">
        <v>43977</v>
      </c>
      <c r="BC1331" s="180">
        <v>-0.13300000000000001</v>
      </c>
      <c r="BD1331" s="191">
        <v>43977</v>
      </c>
      <c r="BE1331" s="192" t="s">
        <v>269</v>
      </c>
      <c r="BH1331" s="94">
        <v>44026</v>
      </c>
      <c r="BI1331" s="95" t="s">
        <v>159</v>
      </c>
      <c r="BJ1331" s="96">
        <v>12.36</v>
      </c>
    </row>
    <row r="1332" spans="54:62" ht="13.8" x14ac:dyDescent="0.25">
      <c r="BB1332" s="187">
        <v>43978</v>
      </c>
      <c r="BC1332" s="180">
        <v>-0.14899999999999999</v>
      </c>
      <c r="BD1332" s="191">
        <v>43978</v>
      </c>
      <c r="BE1332" s="192" t="s">
        <v>205</v>
      </c>
      <c r="BH1332" s="94">
        <v>44027</v>
      </c>
      <c r="BI1332" s="95" t="s">
        <v>287</v>
      </c>
      <c r="BJ1332" s="96">
        <v>12.36</v>
      </c>
    </row>
    <row r="1333" spans="54:62" ht="13.8" x14ac:dyDescent="0.25">
      <c r="BB1333" s="187">
        <v>43979</v>
      </c>
      <c r="BC1333" s="180">
        <v>-0.14199999999999999</v>
      </c>
      <c r="BD1333" s="191">
        <v>43979</v>
      </c>
      <c r="BE1333" s="192" t="s">
        <v>228</v>
      </c>
      <c r="BH1333" s="94">
        <v>44028</v>
      </c>
      <c r="BI1333" s="95" t="s">
        <v>288</v>
      </c>
      <c r="BJ1333" s="96">
        <v>12.35</v>
      </c>
    </row>
    <row r="1334" spans="54:62" ht="13.8" x14ac:dyDescent="0.25">
      <c r="BB1334" s="187">
        <v>43980</v>
      </c>
      <c r="BC1334" s="180">
        <v>-0.158</v>
      </c>
      <c r="BD1334" s="191">
        <v>43980</v>
      </c>
      <c r="BE1334" s="192" t="s">
        <v>270</v>
      </c>
      <c r="BH1334" s="94">
        <v>44029</v>
      </c>
      <c r="BI1334" s="95" t="s">
        <v>289</v>
      </c>
      <c r="BJ1334" s="96">
        <v>12.35</v>
      </c>
    </row>
    <row r="1335" spans="54:62" ht="13.8" x14ac:dyDescent="0.25">
      <c r="BB1335" s="187">
        <v>43983</v>
      </c>
      <c r="BC1335" s="180">
        <v>-0.16300000000000001</v>
      </c>
      <c r="BD1335" s="191"/>
      <c r="BE1335" s="193" t="str">
        <f>+BE1334</f>
        <v>−0,246</v>
      </c>
      <c r="BH1335" s="94">
        <v>44032</v>
      </c>
      <c r="BI1335" s="95" t="s">
        <v>198</v>
      </c>
      <c r="BJ1335" s="96">
        <v>12.34</v>
      </c>
    </row>
    <row r="1336" spans="54:62" ht="13.8" x14ac:dyDescent="0.25">
      <c r="BB1336" s="187">
        <v>43984</v>
      </c>
      <c r="BC1336" s="180">
        <v>-0.182</v>
      </c>
      <c r="BD1336" s="191">
        <v>43984</v>
      </c>
      <c r="BE1336" s="192" t="s">
        <v>155</v>
      </c>
      <c r="BH1336" s="94">
        <v>44033</v>
      </c>
      <c r="BI1336" s="95" t="s">
        <v>290</v>
      </c>
      <c r="BJ1336" s="96">
        <v>12.33</v>
      </c>
    </row>
    <row r="1337" spans="54:62" ht="13.8" x14ac:dyDescent="0.25">
      <c r="BB1337" s="187">
        <v>43985</v>
      </c>
      <c r="BC1337" s="180">
        <v>-0.17399999999999999</v>
      </c>
      <c r="BD1337" s="191">
        <v>43985</v>
      </c>
      <c r="BE1337" s="192" t="s">
        <v>205</v>
      </c>
      <c r="BH1337" s="94">
        <v>44034</v>
      </c>
      <c r="BI1337" s="95" t="s">
        <v>291</v>
      </c>
      <c r="BJ1337" s="96">
        <v>12.33</v>
      </c>
    </row>
    <row r="1338" spans="54:62" ht="13.8" x14ac:dyDescent="0.25">
      <c r="BB1338" s="187">
        <v>43986</v>
      </c>
      <c r="BC1338" s="180">
        <v>-0.17899999999999999</v>
      </c>
      <c r="BD1338" s="191">
        <v>43986</v>
      </c>
      <c r="BE1338" s="192" t="s">
        <v>271</v>
      </c>
      <c r="BH1338" s="94">
        <v>44035</v>
      </c>
      <c r="BI1338" s="95" t="s">
        <v>247</v>
      </c>
      <c r="BJ1338" s="96">
        <v>12.33</v>
      </c>
    </row>
    <row r="1339" spans="54:62" ht="13.8" x14ac:dyDescent="0.25">
      <c r="BB1339" s="187">
        <v>43987</v>
      </c>
      <c r="BC1339" s="180">
        <v>-0.19600000000000001</v>
      </c>
      <c r="BD1339" s="191">
        <v>43987</v>
      </c>
      <c r="BE1339" s="192" t="s">
        <v>272</v>
      </c>
      <c r="BH1339" s="94">
        <v>44036</v>
      </c>
      <c r="BI1339" s="95" t="s">
        <v>161</v>
      </c>
      <c r="BJ1339" s="96">
        <v>12.33</v>
      </c>
    </row>
    <row r="1340" spans="54:62" ht="13.8" x14ac:dyDescent="0.25">
      <c r="BB1340" s="187">
        <v>43990</v>
      </c>
      <c r="BC1340" s="180">
        <v>-0.19500000000000001</v>
      </c>
      <c r="BD1340" s="191">
        <v>43990</v>
      </c>
      <c r="BE1340" s="192" t="s">
        <v>252</v>
      </c>
      <c r="BH1340" s="94">
        <v>44039</v>
      </c>
      <c r="BI1340" s="95" t="s">
        <v>292</v>
      </c>
      <c r="BJ1340" s="96">
        <v>12.31</v>
      </c>
    </row>
    <row r="1341" spans="54:62" ht="13.8" x14ac:dyDescent="0.25">
      <c r="BB1341" s="187">
        <v>43991</v>
      </c>
      <c r="BC1341" s="180">
        <v>-0.19400000000000001</v>
      </c>
      <c r="BD1341" s="191">
        <v>43991</v>
      </c>
      <c r="BE1341" s="192" t="s">
        <v>273</v>
      </c>
      <c r="BH1341" s="94">
        <v>44040</v>
      </c>
      <c r="BI1341" s="95" t="s">
        <v>293</v>
      </c>
      <c r="BJ1341" s="96">
        <v>12.3</v>
      </c>
    </row>
    <row r="1342" spans="54:62" ht="13.8" x14ac:dyDescent="0.25">
      <c r="BB1342" s="187">
        <v>43992</v>
      </c>
      <c r="BC1342" s="180">
        <v>-0.193</v>
      </c>
      <c r="BD1342" s="191">
        <v>43992</v>
      </c>
      <c r="BE1342" s="192" t="s">
        <v>274</v>
      </c>
      <c r="BH1342" s="94">
        <v>44041</v>
      </c>
      <c r="BI1342" s="95" t="s">
        <v>294</v>
      </c>
      <c r="BJ1342" s="96">
        <v>12.34</v>
      </c>
    </row>
    <row r="1343" spans="54:62" ht="13.8" x14ac:dyDescent="0.25">
      <c r="BB1343" s="187">
        <v>43993</v>
      </c>
      <c r="BC1343" s="180">
        <v>-0.183</v>
      </c>
      <c r="BD1343" s="191"/>
      <c r="BE1343" s="193" t="str">
        <f>+BE1342</f>
        <v>−0,225</v>
      </c>
      <c r="BH1343" s="94">
        <v>44042</v>
      </c>
      <c r="BI1343" s="95" t="s">
        <v>295</v>
      </c>
      <c r="BJ1343" s="96">
        <v>12.34</v>
      </c>
    </row>
    <row r="1344" spans="54:62" ht="13.8" x14ac:dyDescent="0.25">
      <c r="BB1344" s="187">
        <v>43994</v>
      </c>
      <c r="BC1344" s="180">
        <v>-0.19900000000000001</v>
      </c>
      <c r="BD1344" s="191">
        <v>43994</v>
      </c>
      <c r="BE1344" s="192" t="s">
        <v>275</v>
      </c>
      <c r="BH1344" s="94">
        <v>44043</v>
      </c>
      <c r="BI1344" s="95" t="s">
        <v>296</v>
      </c>
      <c r="BJ1344" s="96">
        <v>12.33</v>
      </c>
    </row>
    <row r="1345" spans="54:62" ht="13.8" x14ac:dyDescent="0.25">
      <c r="BB1345" s="187">
        <v>43997</v>
      </c>
      <c r="BC1345" s="180">
        <v>-0.20599999999999999</v>
      </c>
      <c r="BD1345" s="191">
        <v>43997</v>
      </c>
      <c r="BE1345" s="192" t="s">
        <v>275</v>
      </c>
      <c r="BH1345" s="94">
        <v>44046</v>
      </c>
      <c r="BI1345" s="95" t="s">
        <v>245</v>
      </c>
      <c r="BJ1345" s="96">
        <v>12.32</v>
      </c>
    </row>
    <row r="1346" spans="54:62" ht="13.8" x14ac:dyDescent="0.25">
      <c r="BB1346" s="187">
        <v>43998</v>
      </c>
      <c r="BC1346" s="180">
        <v>-0.20599999999999999</v>
      </c>
      <c r="BD1346" s="191">
        <v>43998</v>
      </c>
      <c r="BE1346" s="192" t="s">
        <v>276</v>
      </c>
      <c r="BH1346" s="94">
        <v>44047</v>
      </c>
      <c r="BI1346" s="95" t="s">
        <v>297</v>
      </c>
      <c r="BJ1346" s="96">
        <v>12.32</v>
      </c>
    </row>
    <row r="1347" spans="54:62" ht="13.8" x14ac:dyDescent="0.25">
      <c r="BB1347" s="187">
        <v>43999</v>
      </c>
      <c r="BC1347" s="180">
        <v>-0.215</v>
      </c>
      <c r="BD1347" s="191">
        <v>43999</v>
      </c>
      <c r="BE1347" s="192" t="s">
        <v>276</v>
      </c>
      <c r="BH1347" s="94">
        <v>44048</v>
      </c>
      <c r="BI1347" s="95" t="s">
        <v>189</v>
      </c>
      <c r="BJ1347" s="96">
        <v>12.35</v>
      </c>
    </row>
    <row r="1348" spans="54:62" ht="13.8" x14ac:dyDescent="0.25">
      <c r="BB1348" s="187">
        <v>44000</v>
      </c>
      <c r="BC1348" s="180">
        <v>-0.22800000000000001</v>
      </c>
      <c r="BD1348" s="191">
        <v>44000</v>
      </c>
      <c r="BE1348" s="192" t="s">
        <v>275</v>
      </c>
      <c r="BH1348" s="94">
        <v>44049</v>
      </c>
      <c r="BI1348" s="95" t="s">
        <v>244</v>
      </c>
      <c r="BJ1348" s="96">
        <v>12.31</v>
      </c>
    </row>
    <row r="1349" spans="54:62" ht="13.8" x14ac:dyDescent="0.25">
      <c r="BB1349" s="187">
        <v>44001</v>
      </c>
      <c r="BC1349" s="180">
        <v>-0.23400000000000001</v>
      </c>
      <c r="BD1349" s="191">
        <v>44001</v>
      </c>
      <c r="BE1349" s="192" t="s">
        <v>153</v>
      </c>
      <c r="BH1349" s="94">
        <v>44050</v>
      </c>
      <c r="BI1349" s="95" t="s">
        <v>239</v>
      </c>
      <c r="BJ1349" s="96">
        <v>12.31</v>
      </c>
    </row>
    <row r="1350" spans="54:62" ht="13.8" x14ac:dyDescent="0.25">
      <c r="BB1350" s="187">
        <v>44004</v>
      </c>
      <c r="BC1350" s="180">
        <v>-0.25900000000000001</v>
      </c>
      <c r="BD1350" s="191">
        <v>44004</v>
      </c>
      <c r="BE1350" s="192" t="s">
        <v>272</v>
      </c>
      <c r="BH1350" s="94">
        <v>44053</v>
      </c>
      <c r="BI1350" s="95" t="s">
        <v>298</v>
      </c>
      <c r="BJ1350" s="96">
        <v>12.29</v>
      </c>
    </row>
    <row r="1351" spans="54:62" ht="13.8" x14ac:dyDescent="0.25">
      <c r="BB1351" s="187">
        <v>44005</v>
      </c>
      <c r="BC1351" s="180">
        <v>-0.26900000000000002</v>
      </c>
      <c r="BD1351" s="191">
        <v>44005</v>
      </c>
      <c r="BE1351" s="192" t="s">
        <v>277</v>
      </c>
      <c r="BH1351" s="94">
        <v>44054</v>
      </c>
      <c r="BI1351" s="95" t="s">
        <v>165</v>
      </c>
      <c r="BJ1351" s="96">
        <v>12.29</v>
      </c>
    </row>
    <row r="1352" spans="54:62" ht="13.8" x14ac:dyDescent="0.25">
      <c r="BB1352" s="187">
        <v>44006</v>
      </c>
      <c r="BC1352" s="180">
        <v>-0.27800000000000002</v>
      </c>
      <c r="BD1352" s="191">
        <v>44006</v>
      </c>
      <c r="BE1352" s="192" t="s">
        <v>271</v>
      </c>
      <c r="BH1352" s="94">
        <v>44055</v>
      </c>
      <c r="BI1352" s="95" t="s">
        <v>299</v>
      </c>
      <c r="BJ1352" s="96">
        <v>12.28</v>
      </c>
    </row>
    <row r="1353" spans="54:62" ht="13.8" x14ac:dyDescent="0.25">
      <c r="BB1353" s="187">
        <v>44007</v>
      </c>
      <c r="BC1353" s="180">
        <v>-0.26800000000000002</v>
      </c>
      <c r="BD1353" s="191">
        <v>44007</v>
      </c>
      <c r="BE1353" s="192" t="s">
        <v>228</v>
      </c>
      <c r="BH1353" s="94">
        <v>44056</v>
      </c>
      <c r="BI1353" s="95" t="s">
        <v>243</v>
      </c>
      <c r="BJ1353" s="96">
        <v>12.28</v>
      </c>
    </row>
    <row r="1354" spans="54:62" ht="13.8" x14ac:dyDescent="0.25">
      <c r="BB1354" s="187">
        <v>44008</v>
      </c>
      <c r="BC1354" s="180">
        <v>-0.28299999999999997</v>
      </c>
      <c r="BD1354" s="191">
        <v>44008</v>
      </c>
      <c r="BE1354" s="192" t="s">
        <v>278</v>
      </c>
      <c r="BH1354" s="94">
        <v>44057</v>
      </c>
      <c r="BI1354" s="95" t="s">
        <v>299</v>
      </c>
      <c r="BJ1354" s="96">
        <v>12.28</v>
      </c>
    </row>
    <row r="1355" spans="54:62" ht="13.8" x14ac:dyDescent="0.25">
      <c r="BB1355" s="187">
        <v>44011</v>
      </c>
      <c r="BC1355" s="180">
        <v>-0.28699999999999998</v>
      </c>
      <c r="BD1355" s="191">
        <v>44011</v>
      </c>
      <c r="BE1355" s="192" t="s">
        <v>279</v>
      </c>
      <c r="BH1355" s="94">
        <v>44060</v>
      </c>
      <c r="BI1355" s="95" t="s">
        <v>299</v>
      </c>
      <c r="BJ1355" s="96">
        <v>12.27</v>
      </c>
    </row>
    <row r="1356" spans="54:62" ht="13.8" x14ac:dyDescent="0.25">
      <c r="BB1356" s="187">
        <v>44012</v>
      </c>
      <c r="BC1356" s="180">
        <v>-0.308</v>
      </c>
      <c r="BD1356" s="191">
        <v>44012</v>
      </c>
      <c r="BE1356" s="192" t="s">
        <v>278</v>
      </c>
      <c r="BH1356" s="94">
        <v>44061</v>
      </c>
      <c r="BI1356" s="95" t="s">
        <v>300</v>
      </c>
      <c r="BJ1356" s="96">
        <v>12.27</v>
      </c>
    </row>
    <row r="1357" spans="54:62" ht="13.8" x14ac:dyDescent="0.25">
      <c r="BB1357" s="187">
        <v>44013</v>
      </c>
      <c r="BC1357" s="180">
        <v>-0.29499999999999998</v>
      </c>
      <c r="BD1357" s="191">
        <v>44013</v>
      </c>
      <c r="BE1357" s="192" t="s">
        <v>204</v>
      </c>
      <c r="BH1357" s="94">
        <v>44062</v>
      </c>
      <c r="BI1357" s="95" t="s">
        <v>299</v>
      </c>
      <c r="BJ1357" s="96">
        <v>12.27</v>
      </c>
    </row>
    <row r="1358" spans="54:62" ht="13.8" x14ac:dyDescent="0.25">
      <c r="BB1358" s="187">
        <v>44014</v>
      </c>
      <c r="BC1358" s="180">
        <v>-0.30199999999999999</v>
      </c>
      <c r="BD1358" s="191">
        <v>44014</v>
      </c>
      <c r="BE1358" s="192" t="s">
        <v>280</v>
      </c>
      <c r="BH1358" s="94">
        <v>44063</v>
      </c>
      <c r="BI1358" s="95" t="s">
        <v>299</v>
      </c>
      <c r="BJ1358" s="96">
        <v>12.26</v>
      </c>
    </row>
    <row r="1359" spans="54:62" ht="13.8" x14ac:dyDescent="0.25">
      <c r="BB1359" s="187">
        <v>44015</v>
      </c>
      <c r="BC1359" s="180">
        <v>-0.314</v>
      </c>
      <c r="BD1359" s="191">
        <v>44015</v>
      </c>
      <c r="BE1359" s="192" t="s">
        <v>281</v>
      </c>
      <c r="BH1359" s="94">
        <v>44064</v>
      </c>
      <c r="BI1359" s="95" t="s">
        <v>301</v>
      </c>
      <c r="BJ1359" s="96">
        <v>12.26</v>
      </c>
    </row>
    <row r="1360" spans="54:62" ht="13.8" x14ac:dyDescent="0.25">
      <c r="BB1360" s="187">
        <v>44018</v>
      </c>
      <c r="BC1360" s="180">
        <v>-0.308</v>
      </c>
      <c r="BD1360" s="191">
        <v>44018</v>
      </c>
      <c r="BE1360" s="192" t="s">
        <v>282</v>
      </c>
      <c r="BH1360" s="94">
        <v>44067</v>
      </c>
      <c r="BI1360" s="95" t="s">
        <v>302</v>
      </c>
      <c r="BJ1360" s="96">
        <v>12.25</v>
      </c>
    </row>
    <row r="1361" spans="54:62" ht="13.8" x14ac:dyDescent="0.25">
      <c r="BB1361" s="187">
        <v>44019</v>
      </c>
      <c r="BC1361" s="180">
        <v>-0.313</v>
      </c>
      <c r="BD1361" s="191">
        <v>44019</v>
      </c>
      <c r="BE1361" s="192" t="s">
        <v>283</v>
      </c>
      <c r="BH1361" s="94">
        <v>44068</v>
      </c>
      <c r="BI1361" s="95" t="s">
        <v>301</v>
      </c>
      <c r="BJ1361" s="96">
        <v>12.25</v>
      </c>
    </row>
    <row r="1362" spans="54:62" ht="13.8" x14ac:dyDescent="0.25">
      <c r="BB1362" s="187">
        <v>44020</v>
      </c>
      <c r="BC1362" s="180">
        <v>-0.32200000000000001</v>
      </c>
      <c r="BD1362" s="191">
        <v>44020</v>
      </c>
      <c r="BE1362" s="192" t="s">
        <v>284</v>
      </c>
      <c r="BH1362" s="94">
        <v>44069</v>
      </c>
      <c r="BI1362" s="95" t="s">
        <v>299</v>
      </c>
      <c r="BJ1362" s="96">
        <v>12.25</v>
      </c>
    </row>
    <row r="1363" spans="54:62" ht="13.8" x14ac:dyDescent="0.25">
      <c r="BB1363" s="187">
        <v>44021</v>
      </c>
      <c r="BC1363" s="180">
        <v>-0.32800000000000001</v>
      </c>
      <c r="BD1363" s="191">
        <v>44021</v>
      </c>
      <c r="BE1363" s="192" t="s">
        <v>249</v>
      </c>
      <c r="BH1363" s="94">
        <v>44070</v>
      </c>
      <c r="BI1363" s="95" t="s">
        <v>165</v>
      </c>
      <c r="BJ1363" s="96">
        <v>12.24</v>
      </c>
    </row>
    <row r="1364" spans="54:62" ht="13.8" x14ac:dyDescent="0.25">
      <c r="BB1364" s="187">
        <v>44022</v>
      </c>
      <c r="BC1364" s="180">
        <v>-0.33</v>
      </c>
      <c r="BD1364" s="191">
        <v>44022</v>
      </c>
      <c r="BE1364" s="192" t="s">
        <v>285</v>
      </c>
      <c r="BH1364" s="94">
        <v>44071</v>
      </c>
      <c r="BI1364" s="95" t="s">
        <v>298</v>
      </c>
      <c r="BJ1364" s="96">
        <v>12.24</v>
      </c>
    </row>
    <row r="1365" spans="54:62" ht="13.8" x14ac:dyDescent="0.25">
      <c r="BB1365" s="187">
        <v>44025</v>
      </c>
      <c r="BC1365" s="180">
        <v>-0.33200000000000002</v>
      </c>
      <c r="BD1365" s="191">
        <v>44025</v>
      </c>
      <c r="BE1365" s="192" t="s">
        <v>286</v>
      </c>
      <c r="BH1365" s="94">
        <v>44074</v>
      </c>
      <c r="BI1365" s="95" t="s">
        <v>303</v>
      </c>
      <c r="BJ1365" s="96">
        <v>12.23</v>
      </c>
    </row>
    <row r="1366" spans="54:62" ht="13.8" x14ac:dyDescent="0.25">
      <c r="BB1366" s="187">
        <v>44026</v>
      </c>
      <c r="BC1366" s="180">
        <v>-0.33</v>
      </c>
      <c r="BD1366" s="191">
        <v>44026</v>
      </c>
      <c r="BE1366" s="192" t="s">
        <v>159</v>
      </c>
      <c r="BH1366" s="94">
        <v>44075</v>
      </c>
      <c r="BI1366" s="95" t="s">
        <v>164</v>
      </c>
      <c r="BJ1366" s="96">
        <v>12.23</v>
      </c>
    </row>
    <row r="1367" spans="54:62" ht="13.8" x14ac:dyDescent="0.25">
      <c r="BB1367" s="187">
        <v>44027</v>
      </c>
      <c r="BC1367" s="180">
        <v>-0.33300000000000002</v>
      </c>
      <c r="BD1367" s="191">
        <v>44027</v>
      </c>
      <c r="BE1367" s="192" t="s">
        <v>287</v>
      </c>
      <c r="BH1367" s="94">
        <v>44076</v>
      </c>
      <c r="BI1367" s="95" t="s">
        <v>188</v>
      </c>
      <c r="BJ1367" s="96">
        <v>12.23</v>
      </c>
    </row>
    <row r="1368" spans="54:62" ht="13.8" x14ac:dyDescent="0.25">
      <c r="BB1368" s="187">
        <v>44028</v>
      </c>
      <c r="BC1368" s="180">
        <v>-0.35199999999999998</v>
      </c>
      <c r="BD1368" s="191">
        <v>44028</v>
      </c>
      <c r="BE1368" s="192" t="s">
        <v>288</v>
      </c>
      <c r="BH1368" s="94">
        <v>44077</v>
      </c>
      <c r="BI1368" s="95" t="s">
        <v>304</v>
      </c>
      <c r="BJ1368" s="96">
        <v>12.22</v>
      </c>
    </row>
    <row r="1369" spans="54:62" ht="13.8" x14ac:dyDescent="0.25">
      <c r="BB1369" s="187">
        <v>44029</v>
      </c>
      <c r="BC1369" s="180">
        <v>-0.35099999999999998</v>
      </c>
      <c r="BD1369" s="191">
        <v>44029</v>
      </c>
      <c r="BE1369" s="192" t="s">
        <v>289</v>
      </c>
      <c r="BH1369" s="94">
        <v>44078</v>
      </c>
      <c r="BI1369" s="95" t="s">
        <v>305</v>
      </c>
      <c r="BJ1369" s="96">
        <v>12.22</v>
      </c>
    </row>
    <row r="1370" spans="54:62" ht="13.8" x14ac:dyDescent="0.25">
      <c r="BB1370" s="187">
        <v>44032</v>
      </c>
      <c r="BC1370" s="180">
        <v>-0.34799999999999998</v>
      </c>
      <c r="BD1370" s="191">
        <v>44032</v>
      </c>
      <c r="BE1370" s="192" t="s">
        <v>198</v>
      </c>
      <c r="BH1370" s="94">
        <v>44081</v>
      </c>
      <c r="BI1370" s="95" t="s">
        <v>306</v>
      </c>
      <c r="BJ1370" s="96">
        <v>12.21</v>
      </c>
    </row>
    <row r="1371" spans="54:62" ht="13.8" x14ac:dyDescent="0.25">
      <c r="BB1371" s="187">
        <v>44033</v>
      </c>
      <c r="BC1371" s="180">
        <v>-0.35299999999999998</v>
      </c>
      <c r="BD1371" s="191">
        <v>44033</v>
      </c>
      <c r="BE1371" s="192" t="s">
        <v>290</v>
      </c>
      <c r="BH1371" s="94">
        <v>44082</v>
      </c>
      <c r="BI1371" s="95" t="s">
        <v>189</v>
      </c>
      <c r="BJ1371" s="96">
        <v>12.21</v>
      </c>
    </row>
    <row r="1372" spans="54:62" ht="13.8" x14ac:dyDescent="0.25">
      <c r="BB1372" s="187">
        <v>44034</v>
      </c>
      <c r="BC1372" s="180">
        <v>-0.35499999999999998</v>
      </c>
      <c r="BD1372" s="191">
        <v>44034</v>
      </c>
      <c r="BE1372" s="192" t="s">
        <v>291</v>
      </c>
      <c r="BH1372" s="94">
        <v>44083</v>
      </c>
      <c r="BI1372" s="95" t="s">
        <v>306</v>
      </c>
      <c r="BJ1372" s="96">
        <v>12.21</v>
      </c>
    </row>
    <row r="1373" spans="54:62" ht="13.8" x14ac:dyDescent="0.25">
      <c r="BB1373" s="187">
        <v>44035</v>
      </c>
      <c r="BC1373" s="180">
        <v>-0.373</v>
      </c>
      <c r="BD1373" s="191">
        <v>44035</v>
      </c>
      <c r="BE1373" s="192" t="s">
        <v>247</v>
      </c>
      <c r="BH1373" s="94">
        <v>44084</v>
      </c>
      <c r="BI1373" s="95" t="s">
        <v>189</v>
      </c>
      <c r="BJ1373" s="96">
        <v>12.2</v>
      </c>
    </row>
    <row r="1374" spans="54:62" ht="13.8" x14ac:dyDescent="0.25">
      <c r="BB1374" s="187">
        <v>44036</v>
      </c>
      <c r="BC1374" s="180">
        <v>-0.373</v>
      </c>
      <c r="BD1374" s="191">
        <v>44036</v>
      </c>
      <c r="BE1374" s="192" t="s">
        <v>161</v>
      </c>
      <c r="BH1374" s="94">
        <v>44085</v>
      </c>
      <c r="BI1374" s="95" t="s">
        <v>304</v>
      </c>
      <c r="BJ1374" s="96">
        <v>12.2</v>
      </c>
    </row>
    <row r="1375" spans="54:62" ht="13.8" x14ac:dyDescent="0.25">
      <c r="BB1375" s="187">
        <v>44039</v>
      </c>
      <c r="BC1375" s="180">
        <v>-0.375</v>
      </c>
      <c r="BD1375" s="191">
        <v>44039</v>
      </c>
      <c r="BE1375" s="192" t="s">
        <v>292</v>
      </c>
      <c r="BH1375" s="94">
        <v>44088</v>
      </c>
      <c r="BI1375" s="95" t="s">
        <v>244</v>
      </c>
      <c r="BJ1375" s="96">
        <v>12.19</v>
      </c>
    </row>
    <row r="1376" spans="54:62" ht="13.8" x14ac:dyDescent="0.25">
      <c r="BB1376" s="187">
        <v>44040</v>
      </c>
      <c r="BC1376" s="180">
        <v>-0.379</v>
      </c>
      <c r="BD1376" s="191">
        <v>44040</v>
      </c>
      <c r="BE1376" s="192" t="s">
        <v>293</v>
      </c>
      <c r="BH1376" s="94">
        <v>44089</v>
      </c>
      <c r="BI1376" s="95" t="s">
        <v>163</v>
      </c>
      <c r="BJ1376" s="96">
        <v>13.03</v>
      </c>
    </row>
    <row r="1377" spans="54:62" ht="13.8" x14ac:dyDescent="0.25">
      <c r="BB1377" s="187">
        <v>44041</v>
      </c>
      <c r="BC1377" s="180">
        <v>-0.38900000000000001</v>
      </c>
      <c r="BD1377" s="191">
        <v>44041</v>
      </c>
      <c r="BE1377" s="192" t="s">
        <v>294</v>
      </c>
      <c r="BH1377" s="94">
        <v>44090</v>
      </c>
      <c r="BI1377" s="95" t="s">
        <v>307</v>
      </c>
      <c r="BJ1377" s="96">
        <v>13.03</v>
      </c>
    </row>
    <row r="1378" spans="54:62" ht="13.8" x14ac:dyDescent="0.25">
      <c r="BB1378" s="187">
        <v>44042</v>
      </c>
      <c r="BC1378" s="180">
        <v>-0.39900000000000002</v>
      </c>
      <c r="BD1378" s="191">
        <v>44042</v>
      </c>
      <c r="BE1378" s="192" t="s">
        <v>295</v>
      </c>
      <c r="BH1378" s="94">
        <v>44091</v>
      </c>
      <c r="BI1378" s="95" t="s">
        <v>238</v>
      </c>
      <c r="BJ1378" s="96">
        <v>13.03</v>
      </c>
    </row>
    <row r="1379" spans="54:62" ht="13.8" x14ac:dyDescent="0.25">
      <c r="BB1379" s="187">
        <v>44043</v>
      </c>
      <c r="BC1379" s="180">
        <v>-0.40699999999999997</v>
      </c>
      <c r="BD1379" s="191">
        <v>44043</v>
      </c>
      <c r="BE1379" s="192" t="s">
        <v>296</v>
      </c>
      <c r="BH1379" s="94">
        <v>44092</v>
      </c>
      <c r="BI1379" s="95" t="s">
        <v>238</v>
      </c>
      <c r="BJ1379" s="96">
        <v>13.02</v>
      </c>
    </row>
    <row r="1380" spans="54:62" ht="13.8" x14ac:dyDescent="0.25">
      <c r="BB1380" s="187">
        <v>44046</v>
      </c>
      <c r="BC1380" s="180">
        <v>-0.41699999999999998</v>
      </c>
      <c r="BD1380" s="191">
        <v>44046</v>
      </c>
      <c r="BE1380" s="192" t="s">
        <v>245</v>
      </c>
      <c r="BH1380" s="94">
        <v>44095</v>
      </c>
      <c r="BI1380" s="95" t="s">
        <v>191</v>
      </c>
      <c r="BJ1380" s="96">
        <v>13.02</v>
      </c>
    </row>
    <row r="1381" spans="54:62" ht="13.8" x14ac:dyDescent="0.25">
      <c r="BB1381" s="187">
        <v>44047</v>
      </c>
      <c r="BC1381" s="180">
        <v>-0.42099999999999999</v>
      </c>
      <c r="BD1381" s="191">
        <v>44047</v>
      </c>
      <c r="BE1381" s="192" t="s">
        <v>297</v>
      </c>
      <c r="BH1381" s="94">
        <v>44096</v>
      </c>
      <c r="BI1381" s="95" t="s">
        <v>306</v>
      </c>
      <c r="BJ1381" s="96">
        <v>13.01</v>
      </c>
    </row>
    <row r="1382" spans="54:62" ht="13.8" x14ac:dyDescent="0.25">
      <c r="BB1382" s="187">
        <v>44048</v>
      </c>
      <c r="BC1382" s="180">
        <v>-0.41799999999999998</v>
      </c>
      <c r="BD1382" s="191">
        <v>44048</v>
      </c>
      <c r="BE1382" s="192" t="s">
        <v>189</v>
      </c>
      <c r="BH1382" s="94">
        <v>44097</v>
      </c>
      <c r="BI1382" s="95" t="s">
        <v>244</v>
      </c>
      <c r="BJ1382" s="96">
        <v>13.01</v>
      </c>
    </row>
    <row r="1383" spans="54:62" ht="13.8" x14ac:dyDescent="0.25">
      <c r="BB1383" s="187">
        <v>44049</v>
      </c>
      <c r="BC1383" s="180">
        <v>-0.41699999999999998</v>
      </c>
      <c r="BD1383" s="191">
        <v>44049</v>
      </c>
      <c r="BE1383" s="192" t="s">
        <v>244</v>
      </c>
      <c r="BH1383" s="94">
        <v>44098</v>
      </c>
      <c r="BI1383" s="95" t="s">
        <v>303</v>
      </c>
      <c r="BJ1383" s="96">
        <v>13.01</v>
      </c>
    </row>
    <row r="1384" spans="54:62" ht="13.8" x14ac:dyDescent="0.25">
      <c r="BB1384" s="187">
        <v>44050</v>
      </c>
      <c r="BC1384" s="180">
        <v>-0.41799999999999998</v>
      </c>
      <c r="BD1384" s="191">
        <v>44050</v>
      </c>
      <c r="BE1384" s="192" t="s">
        <v>239</v>
      </c>
      <c r="BH1384" s="94">
        <v>44099</v>
      </c>
      <c r="BI1384" s="95" t="s">
        <v>308</v>
      </c>
      <c r="BJ1384" s="96">
        <v>13</v>
      </c>
    </row>
    <row r="1385" spans="54:62" ht="13.8" x14ac:dyDescent="0.25">
      <c r="BB1385" s="187">
        <v>44053</v>
      </c>
      <c r="BC1385" s="180">
        <v>-0.42199999999999999</v>
      </c>
      <c r="BD1385" s="191">
        <v>44053</v>
      </c>
      <c r="BE1385" s="192" t="s">
        <v>298</v>
      </c>
      <c r="BH1385" s="94">
        <v>44102</v>
      </c>
      <c r="BI1385" s="95" t="s">
        <v>299</v>
      </c>
      <c r="BJ1385" s="96">
        <v>13</v>
      </c>
    </row>
    <row r="1386" spans="54:62" ht="13.8" x14ac:dyDescent="0.25">
      <c r="BB1386" s="187">
        <v>44054</v>
      </c>
      <c r="BC1386" s="180">
        <v>-0.42599999999999999</v>
      </c>
      <c r="BD1386" s="191">
        <v>44054</v>
      </c>
      <c r="BE1386" s="192" t="s">
        <v>165</v>
      </c>
      <c r="BH1386" s="94">
        <v>44103</v>
      </c>
      <c r="BI1386" s="95" t="s">
        <v>309</v>
      </c>
      <c r="BJ1386" s="96">
        <v>12.99</v>
      </c>
    </row>
    <row r="1387" spans="54:62" ht="13.8" x14ac:dyDescent="0.25">
      <c r="BB1387" s="187">
        <v>44055</v>
      </c>
      <c r="BC1387" s="180">
        <v>-0.42799999999999999</v>
      </c>
      <c r="BD1387" s="191">
        <v>44055</v>
      </c>
      <c r="BE1387" s="192" t="s">
        <v>299</v>
      </c>
      <c r="BH1387" s="94">
        <v>44104</v>
      </c>
      <c r="BI1387" s="95" t="s">
        <v>240</v>
      </c>
      <c r="BJ1387" s="96">
        <v>12.99</v>
      </c>
    </row>
    <row r="1388" spans="54:62" ht="13.8" x14ac:dyDescent="0.25">
      <c r="BB1388" s="187">
        <v>44056</v>
      </c>
      <c r="BC1388" s="180">
        <v>-0.433</v>
      </c>
      <c r="BD1388" s="191">
        <v>44056</v>
      </c>
      <c r="BE1388" s="192" t="s">
        <v>243</v>
      </c>
      <c r="BH1388" s="94">
        <v>44105</v>
      </c>
      <c r="BI1388" s="95" t="s">
        <v>184</v>
      </c>
      <c r="BJ1388" s="96">
        <v>12.99</v>
      </c>
    </row>
    <row r="1389" spans="54:62" ht="13.8" x14ac:dyDescent="0.25">
      <c r="BB1389" s="187">
        <v>44057</v>
      </c>
      <c r="BC1389" s="180">
        <v>-0.432</v>
      </c>
      <c r="BD1389" s="191">
        <v>44057</v>
      </c>
      <c r="BE1389" s="192" t="s">
        <v>299</v>
      </c>
      <c r="BH1389" s="94">
        <v>44106</v>
      </c>
      <c r="BI1389" s="95" t="s">
        <v>242</v>
      </c>
      <c r="BJ1389" s="96">
        <v>12.99</v>
      </c>
    </row>
    <row r="1390" spans="54:62" ht="13.8" x14ac:dyDescent="0.25">
      <c r="BB1390" s="187">
        <v>44060</v>
      </c>
      <c r="BC1390" s="180">
        <v>-0.433</v>
      </c>
      <c r="BD1390" s="191">
        <v>44060</v>
      </c>
      <c r="BE1390" s="192" t="s">
        <v>299</v>
      </c>
      <c r="BH1390" s="94">
        <v>44109</v>
      </c>
      <c r="BI1390" s="95" t="s">
        <v>310</v>
      </c>
      <c r="BJ1390" s="96">
        <v>12.98</v>
      </c>
    </row>
    <row r="1391" spans="54:62" ht="13.8" x14ac:dyDescent="0.25">
      <c r="BB1391" s="187">
        <v>44061</v>
      </c>
      <c r="BC1391" s="180">
        <v>-0.44</v>
      </c>
      <c r="BD1391" s="191">
        <v>44061</v>
      </c>
      <c r="BE1391" s="192" t="s">
        <v>300</v>
      </c>
      <c r="BH1391" s="94">
        <v>44110</v>
      </c>
      <c r="BI1391" s="95" t="s">
        <v>167</v>
      </c>
      <c r="BJ1391" s="96">
        <v>12.97</v>
      </c>
    </row>
    <row r="1392" spans="54:62" ht="13.8" x14ac:dyDescent="0.25">
      <c r="BB1392" s="187">
        <v>44062</v>
      </c>
      <c r="BC1392" s="180">
        <v>-0.442</v>
      </c>
      <c r="BD1392" s="191">
        <v>44062</v>
      </c>
      <c r="BE1392" s="192" t="s">
        <v>299</v>
      </c>
      <c r="BH1392" s="94">
        <v>44111</v>
      </c>
      <c r="BI1392" s="95" t="s">
        <v>241</v>
      </c>
      <c r="BJ1392" s="96">
        <v>12.97</v>
      </c>
    </row>
    <row r="1393" spans="54:62" ht="13.8" x14ac:dyDescent="0.25">
      <c r="BB1393" s="187">
        <v>44063</v>
      </c>
      <c r="BC1393" s="180">
        <v>-0.44400000000000001</v>
      </c>
      <c r="BD1393" s="191">
        <v>44063</v>
      </c>
      <c r="BE1393" s="192" t="s">
        <v>299</v>
      </c>
      <c r="BH1393" s="94">
        <v>44112</v>
      </c>
      <c r="BI1393" s="95" t="s">
        <v>311</v>
      </c>
      <c r="BJ1393" s="96">
        <v>12.93</v>
      </c>
    </row>
    <row r="1394" spans="54:62" ht="13.8" x14ac:dyDescent="0.25">
      <c r="BB1394" s="187">
        <v>44064</v>
      </c>
      <c r="BC1394" s="180">
        <v>-0.441</v>
      </c>
      <c r="BD1394" s="191">
        <v>44064</v>
      </c>
      <c r="BE1394" s="192" t="s">
        <v>301</v>
      </c>
      <c r="BH1394" s="94">
        <v>44113</v>
      </c>
      <c r="BI1394" s="95" t="s">
        <v>312</v>
      </c>
      <c r="BJ1394" s="96">
        <v>12.93</v>
      </c>
    </row>
    <row r="1395" spans="54:62" ht="13.8" x14ac:dyDescent="0.25">
      <c r="BB1395" s="187">
        <v>44067</v>
      </c>
      <c r="BC1395" s="180">
        <v>-0.442</v>
      </c>
      <c r="BD1395" s="191">
        <v>44067</v>
      </c>
      <c r="BE1395" s="192" t="s">
        <v>302</v>
      </c>
      <c r="BH1395" s="94">
        <v>44116</v>
      </c>
      <c r="BI1395" s="95" t="s">
        <v>168</v>
      </c>
      <c r="BJ1395" s="96">
        <v>12.92</v>
      </c>
    </row>
    <row r="1396" spans="54:62" ht="13.8" x14ac:dyDescent="0.25">
      <c r="BB1396" s="187">
        <v>44068</v>
      </c>
      <c r="BC1396" s="180">
        <v>-0.443</v>
      </c>
      <c r="BD1396" s="191">
        <v>44068</v>
      </c>
      <c r="BE1396" s="192" t="s">
        <v>301</v>
      </c>
      <c r="BH1396" s="94">
        <v>44117</v>
      </c>
      <c r="BI1396" s="95" t="s">
        <v>313</v>
      </c>
      <c r="BJ1396" s="96">
        <v>12.92</v>
      </c>
    </row>
    <row r="1397" spans="54:62" ht="13.8" x14ac:dyDescent="0.25">
      <c r="BB1397" s="187">
        <v>44069</v>
      </c>
      <c r="BC1397" s="180">
        <v>-0.443</v>
      </c>
      <c r="BD1397" s="191">
        <v>44069</v>
      </c>
      <c r="BE1397" s="192" t="s">
        <v>299</v>
      </c>
      <c r="BH1397" s="94">
        <v>44118</v>
      </c>
      <c r="BI1397" s="95" t="s">
        <v>314</v>
      </c>
      <c r="BJ1397" s="96">
        <v>12.92</v>
      </c>
    </row>
    <row r="1398" spans="54:62" ht="13.8" x14ac:dyDescent="0.25">
      <c r="BB1398" s="187">
        <v>44070</v>
      </c>
      <c r="BC1398" s="180">
        <v>-0.439</v>
      </c>
      <c r="BD1398" s="191">
        <v>44070</v>
      </c>
      <c r="BE1398" s="192" t="s">
        <v>165</v>
      </c>
      <c r="BH1398" s="94">
        <v>44119</v>
      </c>
      <c r="BI1398" s="95" t="s">
        <v>181</v>
      </c>
      <c r="BJ1398" s="96">
        <v>12.91</v>
      </c>
    </row>
    <row r="1399" spans="54:62" ht="13.8" x14ac:dyDescent="0.25">
      <c r="BB1399" s="187">
        <v>44071</v>
      </c>
      <c r="BC1399" s="180">
        <v>-0.44400000000000001</v>
      </c>
      <c r="BD1399" s="191">
        <v>44071</v>
      </c>
      <c r="BE1399" s="192" t="s">
        <v>298</v>
      </c>
      <c r="BH1399" s="94">
        <v>44120</v>
      </c>
      <c r="BI1399" s="95" t="s">
        <v>315</v>
      </c>
      <c r="BJ1399" s="96">
        <v>12.91</v>
      </c>
    </row>
    <row r="1400" spans="54:62" ht="13.8" x14ac:dyDescent="0.25">
      <c r="BB1400" s="187">
        <v>44074</v>
      </c>
      <c r="BC1400" s="180">
        <v>-0.44800000000000001</v>
      </c>
      <c r="BD1400" s="191">
        <v>44074</v>
      </c>
      <c r="BE1400" s="192" t="s">
        <v>303</v>
      </c>
      <c r="BH1400" s="94">
        <v>44123</v>
      </c>
      <c r="BI1400" s="95" t="s">
        <v>316</v>
      </c>
      <c r="BJ1400" s="96">
        <v>12.9</v>
      </c>
    </row>
    <row r="1401" spans="54:62" ht="13.8" x14ac:dyDescent="0.25">
      <c r="BB1401" s="187">
        <v>44075</v>
      </c>
      <c r="BC1401" s="180">
        <v>-0.441</v>
      </c>
      <c r="BD1401" s="191">
        <v>44075</v>
      </c>
      <c r="BE1401" s="192" t="s">
        <v>164</v>
      </c>
      <c r="BH1401" s="94">
        <v>44124</v>
      </c>
      <c r="BI1401" s="95" t="s">
        <v>317</v>
      </c>
      <c r="BJ1401" s="96">
        <v>12.9</v>
      </c>
    </row>
    <row r="1402" spans="54:62" ht="13.8" x14ac:dyDescent="0.25">
      <c r="BB1402" s="187">
        <v>44076</v>
      </c>
      <c r="BC1402" s="180">
        <v>-0.45100000000000001</v>
      </c>
      <c r="BD1402" s="191">
        <v>44076</v>
      </c>
      <c r="BE1402" s="192" t="s">
        <v>188</v>
      </c>
      <c r="BH1402" s="94">
        <v>44125</v>
      </c>
      <c r="BI1402" s="95" t="s">
        <v>318</v>
      </c>
      <c r="BJ1402" s="96">
        <v>12.9</v>
      </c>
    </row>
    <row r="1403" spans="54:62" ht="13.8" x14ac:dyDescent="0.25">
      <c r="BB1403" s="187">
        <v>44077</v>
      </c>
      <c r="BC1403" s="180">
        <v>-0.45500000000000002</v>
      </c>
      <c r="BD1403" s="191">
        <v>44077</v>
      </c>
      <c r="BE1403" s="192" t="s">
        <v>304</v>
      </c>
      <c r="BH1403" s="94">
        <v>44126</v>
      </c>
      <c r="BI1403" s="95" t="s">
        <v>319</v>
      </c>
      <c r="BJ1403" s="96">
        <v>12.98</v>
      </c>
    </row>
    <row r="1404" spans="54:62" ht="13.8" x14ac:dyDescent="0.25">
      <c r="BB1404" s="187">
        <v>44078</v>
      </c>
      <c r="BC1404" s="180">
        <v>-0.45100000000000001</v>
      </c>
      <c r="BD1404" s="191">
        <v>44078</v>
      </c>
      <c r="BE1404" s="192" t="s">
        <v>305</v>
      </c>
      <c r="BH1404" s="94">
        <v>44127</v>
      </c>
      <c r="BI1404" s="95" t="s">
        <v>318</v>
      </c>
      <c r="BJ1404" s="96">
        <v>12.97</v>
      </c>
    </row>
    <row r="1405" spans="54:62" ht="13.8" x14ac:dyDescent="0.25">
      <c r="BB1405" s="187">
        <v>44081</v>
      </c>
      <c r="BC1405" s="180">
        <v>-0.45900000000000002</v>
      </c>
      <c r="BD1405" s="191">
        <v>44081</v>
      </c>
      <c r="BE1405" s="192" t="s">
        <v>306</v>
      </c>
      <c r="BH1405" s="94">
        <v>44131</v>
      </c>
      <c r="BI1405" s="95" t="s">
        <v>320</v>
      </c>
      <c r="BJ1405" s="96">
        <v>12.96</v>
      </c>
    </row>
    <row r="1406" spans="54:62" ht="13.8" x14ac:dyDescent="0.25">
      <c r="BB1406" s="187">
        <v>44082</v>
      </c>
      <c r="BC1406" s="180">
        <v>-0.45900000000000002</v>
      </c>
      <c r="BD1406" s="191">
        <v>44082</v>
      </c>
      <c r="BE1406" s="192" t="s">
        <v>189</v>
      </c>
      <c r="BH1406" s="94">
        <v>44132</v>
      </c>
      <c r="BI1406" s="95" t="s">
        <v>321</v>
      </c>
      <c r="BJ1406" s="96">
        <v>12.95</v>
      </c>
    </row>
    <row r="1407" spans="54:62" ht="13.8" x14ac:dyDescent="0.25">
      <c r="BB1407" s="187">
        <v>44083</v>
      </c>
      <c r="BC1407" s="180">
        <v>-0.46300000000000002</v>
      </c>
      <c r="BD1407" s="191">
        <v>44083</v>
      </c>
      <c r="BE1407" s="192" t="s">
        <v>306</v>
      </c>
      <c r="BH1407" s="94">
        <v>44133</v>
      </c>
      <c r="BI1407" s="95" t="s">
        <v>180</v>
      </c>
      <c r="BJ1407" s="96">
        <v>12.95</v>
      </c>
    </row>
    <row r="1408" spans="54:62" ht="13.8" x14ac:dyDescent="0.25">
      <c r="BB1408" s="187">
        <v>44084</v>
      </c>
      <c r="BC1408" s="180">
        <v>-0.45800000000000002</v>
      </c>
      <c r="BD1408" s="191">
        <v>44084</v>
      </c>
      <c r="BE1408" s="192" t="s">
        <v>189</v>
      </c>
      <c r="BH1408" s="94">
        <v>44134</v>
      </c>
      <c r="BI1408" s="95" t="s">
        <v>322</v>
      </c>
      <c r="BJ1408" s="96">
        <v>12.95</v>
      </c>
    </row>
    <row r="1409" spans="54:62" ht="13.8" x14ac:dyDescent="0.25">
      <c r="BB1409" s="187">
        <v>44085</v>
      </c>
      <c r="BC1409" s="180">
        <v>-0.45500000000000002</v>
      </c>
      <c r="BD1409" s="191">
        <v>44085</v>
      </c>
      <c r="BE1409" s="192" t="s">
        <v>304</v>
      </c>
      <c r="BH1409" s="94">
        <v>44137</v>
      </c>
      <c r="BI1409" s="95" t="s">
        <v>173</v>
      </c>
      <c r="BJ1409" s="96">
        <v>12.94</v>
      </c>
    </row>
    <row r="1410" spans="54:62" ht="13.8" x14ac:dyDescent="0.25">
      <c r="BB1410" s="187">
        <v>44088</v>
      </c>
      <c r="BC1410" s="180">
        <v>-0.46</v>
      </c>
      <c r="BD1410" s="191">
        <v>44088</v>
      </c>
      <c r="BE1410" s="192" t="s">
        <v>244</v>
      </c>
      <c r="BH1410" s="94">
        <v>44138</v>
      </c>
      <c r="BI1410" s="95" t="s">
        <v>323</v>
      </c>
      <c r="BJ1410" s="96">
        <v>12.94</v>
      </c>
    </row>
    <row r="1411" spans="54:62" ht="13.8" x14ac:dyDescent="0.25">
      <c r="BB1411" s="187">
        <v>44089</v>
      </c>
      <c r="BC1411" s="180">
        <v>-0.45800000000000002</v>
      </c>
      <c r="BD1411" s="191">
        <v>44089</v>
      </c>
      <c r="BE1411" s="192" t="s">
        <v>163</v>
      </c>
      <c r="BH1411" s="94">
        <v>44139</v>
      </c>
      <c r="BI1411" s="95" t="s">
        <v>177</v>
      </c>
      <c r="BJ1411" s="96">
        <v>12.93</v>
      </c>
    </row>
    <row r="1412" spans="54:62" ht="13.8" x14ac:dyDescent="0.25">
      <c r="BB1412" s="187">
        <v>44090</v>
      </c>
      <c r="BC1412" s="180">
        <v>-0.46200000000000002</v>
      </c>
      <c r="BD1412" s="191">
        <v>44090</v>
      </c>
      <c r="BE1412" s="192" t="s">
        <v>307</v>
      </c>
      <c r="BH1412" s="94">
        <v>44140</v>
      </c>
      <c r="BI1412" s="95" t="s">
        <v>324</v>
      </c>
      <c r="BJ1412" s="96">
        <v>12.96</v>
      </c>
    </row>
    <row r="1413" spans="54:62" ht="13.8" x14ac:dyDescent="0.25">
      <c r="BB1413" s="187">
        <v>44091</v>
      </c>
      <c r="BC1413" s="180">
        <v>-0.46300000000000002</v>
      </c>
      <c r="BD1413" s="191">
        <v>44091</v>
      </c>
      <c r="BE1413" s="192" t="s">
        <v>238</v>
      </c>
      <c r="BH1413" s="94">
        <v>44141</v>
      </c>
      <c r="BI1413" s="95" t="s">
        <v>325</v>
      </c>
      <c r="BJ1413" s="96">
        <v>12.96</v>
      </c>
    </row>
    <row r="1414" spans="54:62" ht="13.8" x14ac:dyDescent="0.25">
      <c r="BB1414" s="187">
        <v>44092</v>
      </c>
      <c r="BC1414" s="180">
        <v>-0.46800000000000003</v>
      </c>
      <c r="BD1414" s="191">
        <v>44092</v>
      </c>
      <c r="BE1414" s="192" t="s">
        <v>238</v>
      </c>
      <c r="BH1414" s="94">
        <v>44144</v>
      </c>
      <c r="BI1414" s="95" t="s">
        <v>326</v>
      </c>
      <c r="BJ1414" s="96">
        <v>12.95</v>
      </c>
    </row>
    <row r="1415" spans="54:62" ht="13.8" x14ac:dyDescent="0.25">
      <c r="BB1415" s="187">
        <v>44095</v>
      </c>
      <c r="BC1415" s="180">
        <v>-0.47</v>
      </c>
      <c r="BD1415" s="191">
        <v>44095</v>
      </c>
      <c r="BE1415" s="192" t="s">
        <v>191</v>
      </c>
      <c r="BH1415" s="94">
        <v>44145</v>
      </c>
      <c r="BI1415" s="95" t="s">
        <v>327</v>
      </c>
      <c r="BJ1415" s="96">
        <v>12.94</v>
      </c>
    </row>
    <row r="1416" spans="54:62" ht="13.8" x14ac:dyDescent="0.25">
      <c r="BB1416" s="187">
        <v>44096</v>
      </c>
      <c r="BC1416" s="180">
        <v>-0.47299999999999998</v>
      </c>
      <c r="BD1416" s="191">
        <v>44096</v>
      </c>
      <c r="BE1416" s="192" t="s">
        <v>306</v>
      </c>
      <c r="BH1416" s="94">
        <v>44146</v>
      </c>
      <c r="BI1416" s="95" t="s">
        <v>328</v>
      </c>
      <c r="BJ1416" s="96">
        <v>12.94</v>
      </c>
    </row>
    <row r="1417" spans="54:62" ht="13.8" x14ac:dyDescent="0.25">
      <c r="BB1417" s="187">
        <v>44097</v>
      </c>
      <c r="BC1417" s="180">
        <v>-0.46800000000000003</v>
      </c>
      <c r="BD1417" s="191">
        <v>44097</v>
      </c>
      <c r="BE1417" s="192" t="s">
        <v>244</v>
      </c>
      <c r="BH1417" s="94">
        <v>44147</v>
      </c>
      <c r="BI1417" s="95" t="s">
        <v>329</v>
      </c>
      <c r="BJ1417" s="96">
        <v>12.94</v>
      </c>
    </row>
    <row r="1418" spans="54:62" ht="13.8" x14ac:dyDescent="0.25">
      <c r="BB1418" s="187">
        <v>44098</v>
      </c>
      <c r="BC1418" s="180">
        <v>-0.47199999999999998</v>
      </c>
      <c r="BD1418" s="191">
        <v>44098</v>
      </c>
      <c r="BE1418" s="192" t="s">
        <v>303</v>
      </c>
      <c r="BH1418" s="94">
        <v>44148</v>
      </c>
      <c r="BI1418" s="95" t="s">
        <v>176</v>
      </c>
      <c r="BJ1418" s="96">
        <v>12.94</v>
      </c>
    </row>
    <row r="1419" spans="54:62" ht="13.8" x14ac:dyDescent="0.25">
      <c r="BB1419" s="187">
        <v>44099</v>
      </c>
      <c r="BC1419" s="180">
        <v>-0.46800000000000003</v>
      </c>
      <c r="BD1419" s="191">
        <v>44099</v>
      </c>
      <c r="BE1419" s="192" t="s">
        <v>308</v>
      </c>
      <c r="BH1419" s="94">
        <v>44151</v>
      </c>
      <c r="BI1419" s="95" t="s">
        <v>330</v>
      </c>
      <c r="BJ1419" s="96">
        <v>12.93</v>
      </c>
    </row>
    <row r="1420" spans="54:62" ht="13.8" x14ac:dyDescent="0.25">
      <c r="BB1420" s="187">
        <v>44102</v>
      </c>
      <c r="BC1420" s="180">
        <v>-0.47</v>
      </c>
      <c r="BD1420" s="191">
        <v>44102</v>
      </c>
      <c r="BE1420" s="192" t="s">
        <v>299</v>
      </c>
      <c r="BH1420" s="94">
        <v>44152</v>
      </c>
      <c r="BI1420" s="95" t="s">
        <v>331</v>
      </c>
      <c r="BJ1420" s="96">
        <v>12.93</v>
      </c>
    </row>
    <row r="1421" spans="54:62" ht="13.8" x14ac:dyDescent="0.25">
      <c r="BB1421" s="187">
        <v>44103</v>
      </c>
      <c r="BC1421" s="180">
        <v>-0.47399999999999998</v>
      </c>
      <c r="BD1421" s="191">
        <v>44103</v>
      </c>
      <c r="BE1421" s="192" t="s">
        <v>309</v>
      </c>
      <c r="BH1421" s="94">
        <v>44153</v>
      </c>
      <c r="BI1421" s="95" t="s">
        <v>174</v>
      </c>
      <c r="BJ1421" s="96">
        <v>12.92</v>
      </c>
    </row>
    <row r="1422" spans="54:62" ht="13.8" x14ac:dyDescent="0.25">
      <c r="BB1422" s="187">
        <v>44104</v>
      </c>
      <c r="BC1422" s="180">
        <v>-0.48</v>
      </c>
      <c r="BD1422" s="191">
        <v>44104</v>
      </c>
      <c r="BE1422" s="192" t="s">
        <v>240</v>
      </c>
      <c r="BH1422" s="94">
        <v>44154</v>
      </c>
      <c r="BI1422" s="95" t="s">
        <v>174</v>
      </c>
      <c r="BJ1422" s="96">
        <v>12.92</v>
      </c>
    </row>
    <row r="1423" spans="54:62" ht="13.8" x14ac:dyDescent="0.25">
      <c r="BB1423" s="187">
        <v>44105</v>
      </c>
      <c r="BC1423" s="180">
        <v>-0.48099999999999998</v>
      </c>
      <c r="BD1423" s="191">
        <v>44105</v>
      </c>
      <c r="BE1423" s="192" t="s">
        <v>184</v>
      </c>
      <c r="BH1423" s="94">
        <v>44155</v>
      </c>
      <c r="BI1423" s="95" t="s">
        <v>331</v>
      </c>
      <c r="BJ1423" s="96">
        <v>12.92</v>
      </c>
    </row>
    <row r="1424" spans="54:62" ht="13.8" x14ac:dyDescent="0.25">
      <c r="BB1424" s="187">
        <v>44106</v>
      </c>
      <c r="BC1424" s="180">
        <v>-0.47299999999999998</v>
      </c>
      <c r="BD1424" s="191">
        <v>44106</v>
      </c>
      <c r="BE1424" s="192" t="s">
        <v>242</v>
      </c>
      <c r="BH1424" s="94">
        <v>44158</v>
      </c>
      <c r="BI1424" s="95" t="s">
        <v>330</v>
      </c>
      <c r="BJ1424" s="96">
        <v>12.91</v>
      </c>
    </row>
    <row r="1425" spans="54:62" ht="13.8" x14ac:dyDescent="0.25">
      <c r="BB1425" s="187">
        <v>44109</v>
      </c>
      <c r="BC1425" s="180">
        <v>-0.48799999999999999</v>
      </c>
      <c r="BD1425" s="191">
        <v>44109</v>
      </c>
      <c r="BE1425" s="192" t="s">
        <v>310</v>
      </c>
      <c r="BH1425" s="94">
        <v>44159</v>
      </c>
      <c r="BI1425" s="95" t="s">
        <v>175</v>
      </c>
      <c r="BJ1425" s="96">
        <v>12.91</v>
      </c>
    </row>
    <row r="1426" spans="54:62" ht="13.8" x14ac:dyDescent="0.25">
      <c r="BB1426" s="187">
        <v>44110</v>
      </c>
      <c r="BC1426" s="180">
        <v>-0.47899999999999998</v>
      </c>
      <c r="BD1426" s="191">
        <v>44110</v>
      </c>
      <c r="BE1426" s="192" t="s">
        <v>167</v>
      </c>
      <c r="BH1426" s="94">
        <v>44160</v>
      </c>
      <c r="BI1426" s="95" t="s">
        <v>330</v>
      </c>
      <c r="BJ1426" s="96">
        <v>12.9</v>
      </c>
    </row>
    <row r="1427" spans="54:62" ht="13.8" x14ac:dyDescent="0.25">
      <c r="BB1427" s="187">
        <v>44111</v>
      </c>
      <c r="BC1427" s="180">
        <v>-0.48799999999999999</v>
      </c>
      <c r="BD1427" s="191">
        <v>44111</v>
      </c>
      <c r="BE1427" s="192" t="s">
        <v>241</v>
      </c>
      <c r="BH1427" s="94">
        <v>44161</v>
      </c>
      <c r="BI1427" s="95" t="s">
        <v>177</v>
      </c>
      <c r="BJ1427" s="96">
        <v>12.9</v>
      </c>
    </row>
    <row r="1428" spans="54:62" ht="13.8" x14ac:dyDescent="0.25">
      <c r="BB1428" s="187">
        <v>44112</v>
      </c>
      <c r="BC1428" s="180">
        <v>-0.48599999999999999</v>
      </c>
      <c r="BD1428" s="191">
        <v>44112</v>
      </c>
      <c r="BE1428" s="192" t="s">
        <v>311</v>
      </c>
      <c r="BH1428" s="94">
        <v>44162</v>
      </c>
      <c r="BI1428" s="95" t="s">
        <v>331</v>
      </c>
      <c r="BJ1428" s="96">
        <v>12.9</v>
      </c>
    </row>
    <row r="1429" spans="54:62" ht="13.8" x14ac:dyDescent="0.25">
      <c r="BB1429" s="187">
        <v>44113</v>
      </c>
      <c r="BC1429" s="180">
        <v>-0.48599999999999999</v>
      </c>
      <c r="BD1429" s="191">
        <v>44113</v>
      </c>
      <c r="BE1429" s="192" t="s">
        <v>312</v>
      </c>
      <c r="BH1429" s="94">
        <v>44165</v>
      </c>
      <c r="BI1429" s="95" t="s">
        <v>174</v>
      </c>
      <c r="BJ1429" s="96">
        <v>12.89</v>
      </c>
    </row>
    <row r="1430" spans="54:62" ht="13.8" x14ac:dyDescent="0.25">
      <c r="BB1430" s="187">
        <v>44116</v>
      </c>
      <c r="BC1430" s="180">
        <v>-0.48499999999999999</v>
      </c>
      <c r="BD1430" s="191">
        <v>44116</v>
      </c>
      <c r="BE1430" s="192" t="s">
        <v>168</v>
      </c>
      <c r="BH1430" s="94">
        <v>44166</v>
      </c>
      <c r="BI1430" s="95" t="s">
        <v>178</v>
      </c>
      <c r="BJ1430" s="96">
        <v>12.88</v>
      </c>
    </row>
    <row r="1431" spans="54:62" ht="13.8" x14ac:dyDescent="0.25">
      <c r="BB1431" s="187">
        <v>44117</v>
      </c>
      <c r="BC1431" s="180">
        <v>-0.48299999999999998</v>
      </c>
      <c r="BD1431" s="191">
        <v>44117</v>
      </c>
      <c r="BE1431" s="192" t="s">
        <v>313</v>
      </c>
      <c r="BH1431" s="94">
        <v>44167</v>
      </c>
      <c r="BI1431" s="95" t="s">
        <v>173</v>
      </c>
      <c r="BJ1431" s="96">
        <v>12.88</v>
      </c>
    </row>
    <row r="1432" spans="54:62" ht="13.8" x14ac:dyDescent="0.25">
      <c r="BB1432" s="187">
        <v>44118</v>
      </c>
      <c r="BC1432" s="180">
        <v>-0.49299999999999999</v>
      </c>
      <c r="BD1432" s="191">
        <v>44118</v>
      </c>
      <c r="BE1432" s="192" t="s">
        <v>314</v>
      </c>
      <c r="BH1432" s="94">
        <v>44168</v>
      </c>
      <c r="BI1432" s="95" t="s">
        <v>332</v>
      </c>
      <c r="BJ1432" s="96">
        <v>12.88</v>
      </c>
    </row>
    <row r="1433" spans="54:62" ht="13.8" x14ac:dyDescent="0.25">
      <c r="BB1433" s="187">
        <v>44119</v>
      </c>
      <c r="BC1433" s="180">
        <v>-0.497</v>
      </c>
      <c r="BD1433" s="191">
        <v>44119</v>
      </c>
      <c r="BE1433" s="192" t="s">
        <v>181</v>
      </c>
      <c r="BH1433" s="94">
        <v>44169</v>
      </c>
      <c r="BI1433" s="95" t="s">
        <v>322</v>
      </c>
      <c r="BJ1433" s="96">
        <v>12.87</v>
      </c>
    </row>
    <row r="1434" spans="54:62" ht="13.8" x14ac:dyDescent="0.25">
      <c r="BB1434" s="187">
        <v>44120</v>
      </c>
      <c r="BC1434" s="180">
        <v>-0.498</v>
      </c>
      <c r="BD1434" s="191">
        <v>44120</v>
      </c>
      <c r="BE1434" s="192" t="s">
        <v>315</v>
      </c>
      <c r="BH1434" s="94">
        <v>44172</v>
      </c>
      <c r="BI1434" s="95" t="s">
        <v>322</v>
      </c>
      <c r="BJ1434" s="96">
        <v>12.9</v>
      </c>
    </row>
    <row r="1435" spans="54:62" ht="13.8" x14ac:dyDescent="0.25">
      <c r="BB1435" s="187">
        <v>44123</v>
      </c>
      <c r="BC1435" s="180">
        <v>-0.497</v>
      </c>
      <c r="BD1435" s="191">
        <v>44123</v>
      </c>
      <c r="BE1435" s="192" t="s">
        <v>316</v>
      </c>
      <c r="BH1435" s="94">
        <v>44174</v>
      </c>
      <c r="BI1435" s="95" t="s">
        <v>333</v>
      </c>
      <c r="BJ1435" s="96">
        <v>12.89</v>
      </c>
    </row>
    <row r="1436" spans="54:62" ht="13.8" x14ac:dyDescent="0.25">
      <c r="BB1436" s="187">
        <v>44124</v>
      </c>
      <c r="BC1436" s="180">
        <v>-0.498</v>
      </c>
      <c r="BD1436" s="191">
        <v>44124</v>
      </c>
      <c r="BE1436" s="192" t="s">
        <v>317</v>
      </c>
      <c r="BH1436" s="94">
        <v>44175</v>
      </c>
      <c r="BI1436" s="95" t="s">
        <v>334</v>
      </c>
      <c r="BJ1436" s="96">
        <v>12.89</v>
      </c>
    </row>
    <row r="1437" spans="54:62" ht="13.8" x14ac:dyDescent="0.25">
      <c r="BB1437" s="187">
        <v>44125</v>
      </c>
      <c r="BC1437" s="180">
        <v>-0.498</v>
      </c>
      <c r="BD1437" s="191">
        <v>44125</v>
      </c>
      <c r="BE1437" s="192" t="s">
        <v>318</v>
      </c>
      <c r="BH1437" s="94">
        <v>44176</v>
      </c>
      <c r="BI1437" s="95" t="s">
        <v>174</v>
      </c>
      <c r="BJ1437" s="96">
        <v>12.89</v>
      </c>
    </row>
    <row r="1438" spans="54:62" ht="13.8" x14ac:dyDescent="0.25">
      <c r="BB1438" s="187">
        <v>44126</v>
      </c>
      <c r="BC1438" s="180">
        <v>-0.498</v>
      </c>
      <c r="BD1438" s="191">
        <v>44126</v>
      </c>
      <c r="BE1438" s="192" t="s">
        <v>319</v>
      </c>
      <c r="BH1438" s="94">
        <v>44179</v>
      </c>
      <c r="BI1438" s="95" t="s">
        <v>330</v>
      </c>
      <c r="BJ1438" s="96">
        <v>12.88</v>
      </c>
    </row>
    <row r="1439" spans="54:62" ht="13.8" x14ac:dyDescent="0.25">
      <c r="BB1439" s="187">
        <v>44127</v>
      </c>
      <c r="BC1439" s="180">
        <v>-0.496</v>
      </c>
      <c r="BD1439" s="191">
        <v>44127</v>
      </c>
      <c r="BE1439" s="192" t="s">
        <v>318</v>
      </c>
      <c r="BH1439" s="94">
        <v>44180</v>
      </c>
      <c r="BI1439" s="95" t="s">
        <v>175</v>
      </c>
      <c r="BJ1439" s="96">
        <v>12.97</v>
      </c>
    </row>
    <row r="1440" spans="54:62" ht="13.8" x14ac:dyDescent="0.25">
      <c r="BB1440" s="187">
        <v>44130</v>
      </c>
      <c r="BC1440" s="180">
        <v>-0.496</v>
      </c>
      <c r="BD1440" s="191"/>
      <c r="BE1440" s="193" t="str">
        <f>+BE1439</f>
        <v>−0,435</v>
      </c>
      <c r="BH1440" s="94">
        <v>44181</v>
      </c>
      <c r="BI1440" s="95" t="s">
        <v>175</v>
      </c>
      <c r="BJ1440" s="96">
        <v>12.97</v>
      </c>
    </row>
    <row r="1441" spans="54:62" ht="13.8" x14ac:dyDescent="0.25">
      <c r="BB1441" s="187">
        <v>44131</v>
      </c>
      <c r="BC1441" s="180">
        <v>-0.50700000000000001</v>
      </c>
      <c r="BD1441" s="191">
        <v>44131</v>
      </c>
      <c r="BE1441" s="192" t="s">
        <v>320</v>
      </c>
      <c r="BH1441" s="94">
        <v>44182</v>
      </c>
      <c r="BI1441" s="95" t="s">
        <v>175</v>
      </c>
      <c r="BJ1441" s="96">
        <v>12.97</v>
      </c>
    </row>
    <row r="1442" spans="54:62" ht="13.8" x14ac:dyDescent="0.25">
      <c r="BB1442" s="187">
        <v>44132</v>
      </c>
      <c r="BC1442" s="180">
        <v>-0.505</v>
      </c>
      <c r="BD1442" s="191">
        <v>44132</v>
      </c>
      <c r="BE1442" s="192" t="s">
        <v>321</v>
      </c>
      <c r="BH1442" s="94">
        <v>44183</v>
      </c>
      <c r="BI1442" s="95" t="s">
        <v>330</v>
      </c>
      <c r="BJ1442" s="96">
        <v>12.96</v>
      </c>
    </row>
    <row r="1443" spans="54:62" ht="13.8" x14ac:dyDescent="0.25">
      <c r="BB1443" s="187">
        <v>44133</v>
      </c>
      <c r="BC1443" s="180">
        <v>-0.51500000000000001</v>
      </c>
      <c r="BD1443" s="191">
        <v>44133</v>
      </c>
      <c r="BE1443" s="192" t="s">
        <v>180</v>
      </c>
      <c r="BH1443" s="94">
        <v>44186</v>
      </c>
      <c r="BI1443" s="95" t="s">
        <v>175</v>
      </c>
      <c r="BJ1443" s="96">
        <v>12.96</v>
      </c>
    </row>
    <row r="1444" spans="54:62" ht="13.8" x14ac:dyDescent="0.25">
      <c r="BB1444" s="187">
        <v>44134</v>
      </c>
      <c r="BC1444" s="180">
        <v>-0.52100000000000002</v>
      </c>
      <c r="BD1444" s="191">
        <v>44134</v>
      </c>
      <c r="BE1444" s="192" t="s">
        <v>322</v>
      </c>
      <c r="BH1444" s="94">
        <v>44187</v>
      </c>
      <c r="BI1444" s="95" t="s">
        <v>175</v>
      </c>
      <c r="BJ1444" s="96">
        <v>12.95</v>
      </c>
    </row>
    <row r="1445" spans="54:62" ht="13.8" x14ac:dyDescent="0.25">
      <c r="BB1445" s="187">
        <v>44137</v>
      </c>
      <c r="BC1445" s="180">
        <v>-0.51300000000000001</v>
      </c>
      <c r="BD1445" s="191">
        <v>44137</v>
      </c>
      <c r="BE1445" s="192">
        <v>-0.45500000000000002</v>
      </c>
      <c r="BF1445" s="111">
        <f>+(BC1445+BE1445)/2+0.37</f>
        <v>-0.11399999999999999</v>
      </c>
      <c r="BH1445" s="94">
        <v>44188</v>
      </c>
      <c r="BI1445" s="95" t="s">
        <v>175</v>
      </c>
      <c r="BJ1445" s="96">
        <v>12.95</v>
      </c>
    </row>
    <row r="1446" spans="54:62" ht="13.8" x14ac:dyDescent="0.25">
      <c r="BB1446" s="187">
        <v>44138</v>
      </c>
      <c r="BC1446" s="180">
        <v>-0.51300000000000001</v>
      </c>
      <c r="BD1446" s="191">
        <v>44138</v>
      </c>
      <c r="BE1446" s="192" t="s">
        <v>323</v>
      </c>
      <c r="BH1446" s="94">
        <v>44193</v>
      </c>
      <c r="BI1446" s="95" t="s">
        <v>330</v>
      </c>
      <c r="BJ1446" s="96">
        <v>12.94</v>
      </c>
    </row>
    <row r="1447" spans="54:62" ht="13.8" x14ac:dyDescent="0.25">
      <c r="BB1447" s="187">
        <v>44139</v>
      </c>
      <c r="BC1447" s="180">
        <v>-0.51500000000000001</v>
      </c>
      <c r="BD1447" s="191">
        <v>44139</v>
      </c>
      <c r="BE1447" s="192" t="s">
        <v>177</v>
      </c>
      <c r="BH1447" s="94">
        <v>44194</v>
      </c>
      <c r="BI1447" s="95" t="s">
        <v>330</v>
      </c>
      <c r="BJ1447" s="96">
        <v>12.93</v>
      </c>
    </row>
    <row r="1448" spans="54:62" ht="13.8" x14ac:dyDescent="0.25">
      <c r="BB1448" s="187">
        <v>44140</v>
      </c>
      <c r="BC1448" s="180">
        <v>-0.51100000000000001</v>
      </c>
      <c r="BD1448" s="191">
        <v>44140</v>
      </c>
      <c r="BE1448" s="192" t="s">
        <v>324</v>
      </c>
      <c r="BH1448" s="94">
        <v>44195</v>
      </c>
      <c r="BI1448" s="95" t="s">
        <v>177</v>
      </c>
      <c r="BJ1448" s="96">
        <v>12.93</v>
      </c>
    </row>
    <row r="1449" spans="54:62" ht="13.8" x14ac:dyDescent="0.25">
      <c r="BB1449" s="187">
        <v>44141</v>
      </c>
      <c r="BC1449" s="180">
        <v>-0.51200000000000001</v>
      </c>
      <c r="BD1449" s="191">
        <v>44141</v>
      </c>
      <c r="BE1449" s="192" t="s">
        <v>325</v>
      </c>
      <c r="BH1449" s="94">
        <v>44196</v>
      </c>
      <c r="BI1449" s="95" t="s">
        <v>177</v>
      </c>
      <c r="BJ1449" s="96">
        <v>12.93</v>
      </c>
    </row>
    <row r="1450" spans="54:62" ht="13.8" x14ac:dyDescent="0.25">
      <c r="BB1450" s="187">
        <v>44144</v>
      </c>
      <c r="BC1450" s="180">
        <v>-0.51100000000000001</v>
      </c>
      <c r="BD1450" s="191">
        <v>44144</v>
      </c>
      <c r="BE1450" s="192" t="s">
        <v>326</v>
      </c>
      <c r="BH1450" s="94">
        <v>44200</v>
      </c>
      <c r="BI1450" s="95" t="s">
        <v>330</v>
      </c>
      <c r="BJ1450" s="96">
        <v>12.92</v>
      </c>
    </row>
    <row r="1451" spans="54:62" ht="13.8" x14ac:dyDescent="0.25">
      <c r="BB1451" s="187">
        <v>44145</v>
      </c>
      <c r="BC1451" s="180">
        <v>-0.505</v>
      </c>
      <c r="BD1451" s="191">
        <v>44145</v>
      </c>
      <c r="BE1451" s="192" t="s">
        <v>327</v>
      </c>
      <c r="BH1451" s="94">
        <v>44201</v>
      </c>
      <c r="BI1451" s="95" t="s">
        <v>324</v>
      </c>
      <c r="BJ1451" s="96">
        <v>12.91</v>
      </c>
    </row>
    <row r="1452" spans="54:62" ht="13.8" x14ac:dyDescent="0.25">
      <c r="BB1452" s="187">
        <v>44146</v>
      </c>
      <c r="BC1452" s="180">
        <v>-0.50700000000000001</v>
      </c>
      <c r="BD1452" s="191">
        <v>44146</v>
      </c>
      <c r="BE1452" s="192" t="s">
        <v>328</v>
      </c>
      <c r="BH1452" s="94">
        <v>44203</v>
      </c>
      <c r="BI1452" s="95" t="s">
        <v>329</v>
      </c>
      <c r="BJ1452" s="96">
        <v>12.91</v>
      </c>
    </row>
    <row r="1453" spans="54:62" ht="13.8" x14ac:dyDescent="0.25">
      <c r="BB1453" s="187">
        <v>44147</v>
      </c>
      <c r="BC1453" s="180">
        <v>-0.504</v>
      </c>
      <c r="BD1453" s="191">
        <v>44147</v>
      </c>
      <c r="BE1453" s="192" t="s">
        <v>329</v>
      </c>
      <c r="BH1453" s="94">
        <v>44204</v>
      </c>
      <c r="BI1453" s="95" t="s">
        <v>329</v>
      </c>
      <c r="BJ1453" s="96">
        <v>12.91</v>
      </c>
    </row>
    <row r="1454" spans="54:62" ht="13.8" x14ac:dyDescent="0.25">
      <c r="BB1454" s="187">
        <v>44148</v>
      </c>
      <c r="BC1454" s="180">
        <v>-0.503</v>
      </c>
      <c r="BD1454" s="191">
        <v>44148</v>
      </c>
      <c r="BE1454" s="192" t="s">
        <v>176</v>
      </c>
      <c r="BH1454" s="94">
        <v>44207</v>
      </c>
      <c r="BI1454" s="95" t="s">
        <v>176</v>
      </c>
      <c r="BJ1454" s="96">
        <v>12.9</v>
      </c>
    </row>
    <row r="1455" spans="54:62" ht="13.8" x14ac:dyDescent="0.25">
      <c r="BB1455" s="187">
        <v>44151</v>
      </c>
      <c r="BC1455" s="180">
        <v>-0.505</v>
      </c>
      <c r="BD1455" s="191">
        <v>44151</v>
      </c>
      <c r="BE1455" s="192" t="s">
        <v>330</v>
      </c>
      <c r="BH1455" s="94">
        <v>44208</v>
      </c>
      <c r="BI1455" s="95" t="s">
        <v>177</v>
      </c>
      <c r="BJ1455" s="96">
        <v>12.9</v>
      </c>
    </row>
    <row r="1456" spans="54:62" ht="13.8" x14ac:dyDescent="0.25">
      <c r="BB1456" s="187">
        <v>44152</v>
      </c>
      <c r="BC1456" s="180">
        <v>-0.50800000000000001</v>
      </c>
      <c r="BD1456" s="191">
        <v>44152</v>
      </c>
      <c r="BE1456" s="192" t="s">
        <v>331</v>
      </c>
      <c r="BH1456" s="94">
        <v>44209</v>
      </c>
      <c r="BI1456" s="95" t="s">
        <v>178</v>
      </c>
      <c r="BJ1456" s="96">
        <v>12.89</v>
      </c>
    </row>
    <row r="1457" spans="54:62" ht="13.8" x14ac:dyDescent="0.25">
      <c r="BB1457" s="187">
        <v>44153</v>
      </c>
      <c r="BC1457" s="180">
        <v>-0.51300000000000001</v>
      </c>
      <c r="BD1457" s="191">
        <v>44153</v>
      </c>
      <c r="BE1457" s="192" t="s">
        <v>174</v>
      </c>
      <c r="BH1457" s="94">
        <v>44210</v>
      </c>
      <c r="BI1457" s="95" t="s">
        <v>179</v>
      </c>
      <c r="BJ1457" s="96">
        <v>12.92</v>
      </c>
    </row>
    <row r="1458" spans="54:62" ht="13.8" x14ac:dyDescent="0.25">
      <c r="BB1458" s="187">
        <v>44154</v>
      </c>
      <c r="BC1458" s="180">
        <v>-0.51200000000000001</v>
      </c>
      <c r="BD1458" s="191">
        <v>44154</v>
      </c>
      <c r="BE1458" s="192" t="s">
        <v>174</v>
      </c>
      <c r="BH1458" s="94">
        <v>44211</v>
      </c>
      <c r="BI1458" s="95" t="s">
        <v>332</v>
      </c>
      <c r="BJ1458" s="96">
        <v>12.92</v>
      </c>
    </row>
    <row r="1459" spans="54:62" ht="13.8" x14ac:dyDescent="0.25">
      <c r="BB1459" s="187">
        <v>44155</v>
      </c>
      <c r="BC1459" s="180">
        <v>-0.50900000000000001</v>
      </c>
      <c r="BD1459" s="191">
        <v>44155</v>
      </c>
      <c r="BE1459" s="192" t="s">
        <v>331</v>
      </c>
      <c r="BH1459" s="94">
        <v>44214</v>
      </c>
      <c r="BI1459" s="95" t="s">
        <v>335</v>
      </c>
      <c r="BJ1459" s="96">
        <v>12.91</v>
      </c>
    </row>
    <row r="1460" spans="54:62" ht="13.8" x14ac:dyDescent="0.25">
      <c r="BB1460" s="187">
        <v>44158</v>
      </c>
      <c r="BC1460" s="180">
        <v>-0.50900000000000001</v>
      </c>
      <c r="BD1460" s="191">
        <v>44158</v>
      </c>
      <c r="BE1460" s="192" t="s">
        <v>330</v>
      </c>
      <c r="BH1460" s="94">
        <v>44215</v>
      </c>
      <c r="BI1460" s="95" t="s">
        <v>322</v>
      </c>
      <c r="BJ1460" s="96">
        <v>12.91</v>
      </c>
    </row>
    <row r="1461" spans="54:62" ht="13.8" x14ac:dyDescent="0.25">
      <c r="BB1461" s="187">
        <v>44159</v>
      </c>
      <c r="BC1461" s="180">
        <v>-0.51</v>
      </c>
      <c r="BD1461" s="191">
        <v>44159</v>
      </c>
      <c r="BE1461" s="192" t="s">
        <v>175</v>
      </c>
      <c r="BH1461" s="94">
        <v>44216</v>
      </c>
      <c r="BI1461" s="95" t="s">
        <v>336</v>
      </c>
      <c r="BJ1461" s="96">
        <v>12.9</v>
      </c>
    </row>
    <row r="1462" spans="54:62" ht="13.8" x14ac:dyDescent="0.25">
      <c r="BB1462" s="187">
        <v>44160</v>
      </c>
      <c r="BC1462" s="180">
        <v>-0.50800000000000001</v>
      </c>
      <c r="BD1462" s="191">
        <v>44160</v>
      </c>
      <c r="BE1462" s="192" t="s">
        <v>330</v>
      </c>
      <c r="BH1462" s="94">
        <v>44217</v>
      </c>
      <c r="BI1462" s="95" t="s">
        <v>180</v>
      </c>
      <c r="BJ1462" s="96">
        <v>12.89</v>
      </c>
    </row>
    <row r="1463" spans="54:62" ht="13.8" x14ac:dyDescent="0.25">
      <c r="BB1463" s="187">
        <v>44161</v>
      </c>
      <c r="BC1463" s="180">
        <v>-0.50600000000000001</v>
      </c>
      <c r="BD1463" s="191">
        <v>44161</v>
      </c>
      <c r="BE1463" s="192" t="s">
        <v>177</v>
      </c>
      <c r="BH1463" s="94">
        <v>44218</v>
      </c>
      <c r="BI1463" s="95" t="s">
        <v>321</v>
      </c>
      <c r="BJ1463" s="96">
        <v>12.89</v>
      </c>
    </row>
    <row r="1464" spans="54:62" ht="13.8" x14ac:dyDescent="0.25">
      <c r="BB1464" s="187">
        <v>44162</v>
      </c>
      <c r="BC1464" s="180">
        <v>-0.50700000000000001</v>
      </c>
      <c r="BD1464" s="191">
        <v>44162</v>
      </c>
      <c r="BE1464" s="192" t="s">
        <v>331</v>
      </c>
      <c r="BH1464" s="94">
        <v>44221</v>
      </c>
      <c r="BI1464" s="95" t="s">
        <v>337</v>
      </c>
      <c r="BJ1464" s="96">
        <v>12.88</v>
      </c>
    </row>
    <row r="1465" spans="54:62" ht="13.8" x14ac:dyDescent="0.25">
      <c r="BB1465" s="187">
        <v>44165</v>
      </c>
      <c r="BC1465" s="180">
        <v>-0.50800000000000001</v>
      </c>
      <c r="BD1465" s="191">
        <v>44165</v>
      </c>
      <c r="BE1465" s="192" t="s">
        <v>174</v>
      </c>
      <c r="BH1465" s="94">
        <v>44222</v>
      </c>
      <c r="BI1465" s="95" t="s">
        <v>320</v>
      </c>
      <c r="BJ1465" s="96">
        <v>12.88</v>
      </c>
    </row>
    <row r="1466" spans="54:62" ht="13.8" x14ac:dyDescent="0.25">
      <c r="BB1466" s="187">
        <v>44166</v>
      </c>
      <c r="BC1466" s="180">
        <v>-0.50800000000000001</v>
      </c>
      <c r="BD1466" s="191">
        <v>44166</v>
      </c>
      <c r="BE1466" s="192" t="s">
        <v>178</v>
      </c>
      <c r="BH1466" s="94">
        <v>44223</v>
      </c>
      <c r="BI1466" s="95" t="s">
        <v>171</v>
      </c>
      <c r="BJ1466" s="96">
        <v>12.88</v>
      </c>
    </row>
    <row r="1467" spans="54:62" ht="13.8" x14ac:dyDescent="0.25">
      <c r="BB1467" s="187">
        <v>44167</v>
      </c>
      <c r="BC1467" s="180">
        <v>-0.50800000000000001</v>
      </c>
      <c r="BD1467" s="191">
        <v>44167</v>
      </c>
      <c r="BE1467" s="192" t="s">
        <v>173</v>
      </c>
      <c r="BH1467" s="94">
        <v>44224</v>
      </c>
      <c r="BI1467" s="95" t="s">
        <v>338</v>
      </c>
      <c r="BJ1467" s="96">
        <v>12.88</v>
      </c>
    </row>
    <row r="1468" spans="54:62" ht="13.8" x14ac:dyDescent="0.25">
      <c r="BB1468" s="187">
        <v>44168</v>
      </c>
      <c r="BC1468" s="180">
        <v>-0.51</v>
      </c>
      <c r="BD1468" s="191">
        <v>44168</v>
      </c>
      <c r="BE1468" s="192" t="s">
        <v>332</v>
      </c>
      <c r="BH1468" s="94">
        <v>44225</v>
      </c>
      <c r="BI1468" s="95" t="s">
        <v>339</v>
      </c>
      <c r="BJ1468" s="96">
        <v>12.87</v>
      </c>
    </row>
    <row r="1469" spans="54:62" ht="13.8" x14ac:dyDescent="0.25">
      <c r="BB1469" s="187">
        <v>44169</v>
      </c>
      <c r="BC1469" s="180">
        <v>-0.51200000000000001</v>
      </c>
      <c r="BD1469" s="191">
        <v>44169</v>
      </c>
      <c r="BE1469" s="192" t="s">
        <v>322</v>
      </c>
      <c r="BH1469" s="94">
        <v>44228</v>
      </c>
      <c r="BI1469" s="95" t="s">
        <v>319</v>
      </c>
      <c r="BJ1469" s="96">
        <v>12.86</v>
      </c>
    </row>
    <row r="1470" spans="54:62" ht="13.8" x14ac:dyDescent="0.25">
      <c r="BB1470" s="187">
        <v>44172</v>
      </c>
      <c r="BC1470" s="180">
        <v>-0.51300000000000001</v>
      </c>
      <c r="BD1470" s="191">
        <v>44172</v>
      </c>
      <c r="BE1470" s="192" t="s">
        <v>322</v>
      </c>
      <c r="BH1470" s="94">
        <v>44229</v>
      </c>
      <c r="BI1470" s="95" t="s">
        <v>340</v>
      </c>
      <c r="BJ1470" s="96">
        <v>12.86</v>
      </c>
    </row>
    <row r="1471" spans="54:62" ht="13.8" x14ac:dyDescent="0.25">
      <c r="BB1471" s="187">
        <v>44173</v>
      </c>
      <c r="BC1471" s="180">
        <v>-0.51800000000000002</v>
      </c>
      <c r="BD1471" s="191"/>
      <c r="BE1471" s="193" t="str">
        <f>+BE1470</f>
        <v>−0,450</v>
      </c>
      <c r="BH1471" s="94">
        <v>44230</v>
      </c>
      <c r="BI1471" s="95" t="s">
        <v>341</v>
      </c>
      <c r="BJ1471" s="96">
        <v>12.8</v>
      </c>
    </row>
    <row r="1472" spans="54:62" ht="13.8" x14ac:dyDescent="0.25">
      <c r="BB1472" s="187">
        <v>44174</v>
      </c>
      <c r="BC1472" s="180">
        <v>-0.52400000000000002</v>
      </c>
      <c r="BD1472" s="191">
        <v>44174</v>
      </c>
      <c r="BE1472" s="192" t="s">
        <v>333</v>
      </c>
      <c r="BH1472" s="94">
        <v>44231</v>
      </c>
      <c r="BI1472" s="95" t="s">
        <v>181</v>
      </c>
      <c r="BJ1472" s="96">
        <v>12.8</v>
      </c>
    </row>
    <row r="1473" spans="54:62" ht="13.8" x14ac:dyDescent="0.25">
      <c r="BB1473" s="187">
        <v>44175</v>
      </c>
      <c r="BC1473" s="180">
        <v>-0.52300000000000002</v>
      </c>
      <c r="BD1473" s="191">
        <v>44175</v>
      </c>
      <c r="BE1473" s="192" t="s">
        <v>334</v>
      </c>
      <c r="BH1473" s="94">
        <v>44232</v>
      </c>
      <c r="BI1473" s="95" t="s">
        <v>169</v>
      </c>
      <c r="BJ1473" s="96">
        <v>12.8</v>
      </c>
    </row>
    <row r="1474" spans="54:62" ht="13.8" x14ac:dyDescent="0.25">
      <c r="BB1474" s="187">
        <v>44176</v>
      </c>
      <c r="BC1474" s="180">
        <v>-0.52</v>
      </c>
      <c r="BD1474" s="191">
        <v>44176</v>
      </c>
      <c r="BE1474" s="192" t="s">
        <v>174</v>
      </c>
      <c r="BH1474" s="94">
        <v>44235</v>
      </c>
      <c r="BI1474" s="95" t="s">
        <v>182</v>
      </c>
      <c r="BJ1474" s="96">
        <v>12.79</v>
      </c>
    </row>
    <row r="1475" spans="54:62" ht="13.8" x14ac:dyDescent="0.25">
      <c r="BB1475" s="187">
        <v>44179</v>
      </c>
      <c r="BC1475" s="180">
        <v>-0.52200000000000002</v>
      </c>
      <c r="BD1475" s="191">
        <v>44179</v>
      </c>
      <c r="BE1475" s="192" t="s">
        <v>330</v>
      </c>
      <c r="BH1475" s="94">
        <v>44236</v>
      </c>
      <c r="BI1475" s="95" t="s">
        <v>342</v>
      </c>
      <c r="BJ1475" s="96">
        <v>12.79</v>
      </c>
    </row>
    <row r="1476" spans="54:62" ht="13.8" x14ac:dyDescent="0.25">
      <c r="BB1476" s="187">
        <v>44180</v>
      </c>
      <c r="BC1476" s="180">
        <v>-0.52</v>
      </c>
      <c r="BD1476" s="191">
        <v>44180</v>
      </c>
      <c r="BE1476" s="192" t="s">
        <v>175</v>
      </c>
      <c r="BH1476" s="94">
        <v>44237</v>
      </c>
      <c r="BI1476" s="95" t="s">
        <v>343</v>
      </c>
      <c r="BJ1476" s="96">
        <v>12.78</v>
      </c>
    </row>
    <row r="1477" spans="54:62" ht="13.8" x14ac:dyDescent="0.25">
      <c r="BB1477" s="187">
        <v>44181</v>
      </c>
      <c r="BC1477" s="180">
        <v>-0.52500000000000002</v>
      </c>
      <c r="BD1477" s="191">
        <v>44181</v>
      </c>
      <c r="BE1477" s="192" t="s">
        <v>175</v>
      </c>
      <c r="BH1477" s="94">
        <v>44238</v>
      </c>
      <c r="BI1477" s="95" t="s">
        <v>344</v>
      </c>
      <c r="BJ1477" s="96">
        <v>12.78</v>
      </c>
    </row>
    <row r="1478" spans="54:62" ht="13.8" x14ac:dyDescent="0.25">
      <c r="BB1478" s="187">
        <v>44182</v>
      </c>
      <c r="BC1478" s="180">
        <v>-0.51800000000000002</v>
      </c>
      <c r="BD1478" s="191">
        <v>44182</v>
      </c>
      <c r="BE1478" s="192" t="s">
        <v>175</v>
      </c>
      <c r="BH1478" s="94">
        <v>44239</v>
      </c>
      <c r="BI1478" s="95" t="s">
        <v>183</v>
      </c>
      <c r="BJ1478" s="96">
        <v>12.78</v>
      </c>
    </row>
    <row r="1479" spans="54:62" ht="13.8" x14ac:dyDescent="0.25">
      <c r="BB1479" s="187">
        <v>44183</v>
      </c>
      <c r="BC1479" s="180">
        <v>-0.52</v>
      </c>
      <c r="BD1479" s="191">
        <v>44183</v>
      </c>
      <c r="BE1479" s="192" t="s">
        <v>330</v>
      </c>
      <c r="BH1479" s="94">
        <v>44242</v>
      </c>
      <c r="BI1479" s="95" t="s">
        <v>167</v>
      </c>
      <c r="BJ1479" s="96">
        <v>12.77</v>
      </c>
    </row>
    <row r="1480" spans="54:62" ht="13.8" x14ac:dyDescent="0.25">
      <c r="BB1480" s="187">
        <v>44186</v>
      </c>
      <c r="BC1480" s="180">
        <v>-0.51800000000000002</v>
      </c>
      <c r="BD1480" s="191">
        <v>44186</v>
      </c>
      <c r="BE1480" s="192" t="s">
        <v>175</v>
      </c>
      <c r="BH1480" s="94">
        <v>44243</v>
      </c>
      <c r="BI1480" s="95" t="s">
        <v>184</v>
      </c>
      <c r="BJ1480" s="96">
        <v>12.77</v>
      </c>
    </row>
    <row r="1481" spans="54:62" ht="13.8" x14ac:dyDescent="0.25">
      <c r="BB1481" s="187">
        <v>44187</v>
      </c>
      <c r="BC1481" s="180">
        <v>-0.52200000000000002</v>
      </c>
      <c r="BD1481" s="191">
        <v>44187</v>
      </c>
      <c r="BE1481" s="192" t="s">
        <v>175</v>
      </c>
      <c r="BH1481" s="94">
        <v>44244</v>
      </c>
      <c r="BI1481" s="95" t="s">
        <v>185</v>
      </c>
      <c r="BJ1481" s="96">
        <v>12.76</v>
      </c>
    </row>
    <row r="1482" spans="54:62" ht="13.8" x14ac:dyDescent="0.25">
      <c r="BB1482" s="187">
        <v>44188</v>
      </c>
      <c r="BC1482" s="180">
        <v>-0.52100000000000002</v>
      </c>
      <c r="BD1482" s="191">
        <v>44188</v>
      </c>
      <c r="BE1482" s="192" t="s">
        <v>175</v>
      </c>
      <c r="BH1482" s="94">
        <v>44245</v>
      </c>
      <c r="BI1482" s="95" t="s">
        <v>165</v>
      </c>
      <c r="BJ1482" s="96">
        <v>12.76</v>
      </c>
    </row>
    <row r="1483" spans="54:62" ht="13.8" x14ac:dyDescent="0.25">
      <c r="BB1483" s="187">
        <v>44189</v>
      </c>
      <c r="BC1483" s="180">
        <v>-0.51900000000000002</v>
      </c>
      <c r="BD1483" s="191"/>
      <c r="BE1483" s="193" t="str">
        <f>+BE1482</f>
        <v>−0,466</v>
      </c>
      <c r="BH1483" s="94">
        <v>44246</v>
      </c>
      <c r="BI1483" s="95" t="s">
        <v>303</v>
      </c>
      <c r="BJ1483" s="96">
        <v>12.76</v>
      </c>
    </row>
    <row r="1484" spans="54:62" ht="13.8" x14ac:dyDescent="0.25">
      <c r="BB1484" s="187">
        <v>44190</v>
      </c>
      <c r="BC1484" s="180">
        <v>-0.51900000000000002</v>
      </c>
      <c r="BD1484" s="191"/>
      <c r="BE1484" s="193" t="str">
        <f>+BE1483</f>
        <v>−0,466</v>
      </c>
      <c r="BH1484" s="94">
        <v>44249</v>
      </c>
      <c r="BI1484" s="95" t="s">
        <v>189</v>
      </c>
      <c r="BJ1484" s="96">
        <v>12.75</v>
      </c>
    </row>
    <row r="1485" spans="54:62" ht="13.8" x14ac:dyDescent="0.25">
      <c r="BB1485" s="187">
        <v>44193</v>
      </c>
      <c r="BC1485" s="180">
        <v>-0.52</v>
      </c>
      <c r="BD1485" s="191">
        <v>44193</v>
      </c>
      <c r="BE1485" s="192" t="s">
        <v>330</v>
      </c>
      <c r="BH1485" s="94">
        <v>44250</v>
      </c>
      <c r="BI1485" s="95" t="s">
        <v>245</v>
      </c>
      <c r="BJ1485" s="96">
        <v>12.82</v>
      </c>
    </row>
    <row r="1486" spans="54:62" ht="13.8" x14ac:dyDescent="0.25">
      <c r="BB1486" s="187">
        <v>44194</v>
      </c>
      <c r="BC1486" s="180">
        <v>-0.52300000000000002</v>
      </c>
      <c r="BD1486" s="191">
        <v>44194</v>
      </c>
      <c r="BE1486" s="192" t="s">
        <v>330</v>
      </c>
      <c r="BH1486" s="94">
        <v>44251</v>
      </c>
      <c r="BI1486" s="95" t="s">
        <v>162</v>
      </c>
      <c r="BJ1486" s="96">
        <v>12.82</v>
      </c>
    </row>
    <row r="1487" spans="54:62" ht="13.8" x14ac:dyDescent="0.25">
      <c r="BB1487" s="187">
        <v>44195</v>
      </c>
      <c r="BC1487" s="180">
        <v>-0.52</v>
      </c>
      <c r="BD1487" s="191">
        <v>44195</v>
      </c>
      <c r="BE1487" s="192" t="s">
        <v>177</v>
      </c>
      <c r="BH1487" s="94">
        <v>44252</v>
      </c>
      <c r="BI1487" s="95" t="s">
        <v>345</v>
      </c>
      <c r="BJ1487" s="96">
        <v>12.82</v>
      </c>
    </row>
    <row r="1488" spans="54:62" ht="13.8" x14ac:dyDescent="0.25">
      <c r="BB1488" s="187">
        <v>44196</v>
      </c>
      <c r="BC1488" s="180">
        <v>-0.52600000000000002</v>
      </c>
      <c r="BD1488" s="191">
        <v>44196</v>
      </c>
      <c r="BE1488" s="192" t="s">
        <v>177</v>
      </c>
      <c r="BH1488" s="94">
        <v>44253</v>
      </c>
      <c r="BI1488" s="95" t="s">
        <v>197</v>
      </c>
      <c r="BJ1488" s="96">
        <v>12.82</v>
      </c>
    </row>
    <row r="1489" spans="54:62" ht="13.8" x14ac:dyDescent="0.25">
      <c r="BB1489" s="187">
        <v>44197</v>
      </c>
      <c r="BC1489" s="180">
        <v>-0.52600000000000002</v>
      </c>
      <c r="BD1489" s="191"/>
      <c r="BE1489" s="193" t="str">
        <f>+BE1488</f>
        <v>−0,464</v>
      </c>
      <c r="BH1489" s="94">
        <v>44256</v>
      </c>
      <c r="BI1489" s="95" t="s">
        <v>235</v>
      </c>
      <c r="BJ1489" s="96">
        <v>12.81</v>
      </c>
    </row>
    <row r="1490" spans="54:62" ht="13.8" x14ac:dyDescent="0.25">
      <c r="BB1490" s="187">
        <v>44200</v>
      </c>
      <c r="BC1490" s="180">
        <v>-0.53200000000000003</v>
      </c>
      <c r="BD1490" s="191">
        <v>44200</v>
      </c>
      <c r="BE1490" s="192" t="s">
        <v>330</v>
      </c>
      <c r="BH1490" s="94">
        <v>44257</v>
      </c>
      <c r="BI1490" s="95" t="s">
        <v>234</v>
      </c>
      <c r="BJ1490" s="96">
        <v>12.81</v>
      </c>
    </row>
    <row r="1491" spans="54:62" ht="13.8" x14ac:dyDescent="0.25">
      <c r="BB1491" s="187">
        <v>44201</v>
      </c>
      <c r="BC1491" s="180">
        <v>-0.52400000000000002</v>
      </c>
      <c r="BD1491" s="191">
        <v>44201</v>
      </c>
      <c r="BE1491" s="192" t="s">
        <v>324</v>
      </c>
      <c r="BH1491" s="94">
        <v>44258</v>
      </c>
      <c r="BI1491" s="95" t="s">
        <v>346</v>
      </c>
      <c r="BJ1491" s="96">
        <v>12.8</v>
      </c>
    </row>
    <row r="1492" spans="54:62" ht="13.8" x14ac:dyDescent="0.25">
      <c r="BB1492" s="187">
        <v>44202</v>
      </c>
      <c r="BC1492" s="180">
        <v>-0.53</v>
      </c>
      <c r="BD1492" s="191"/>
      <c r="BE1492" s="193" t="str">
        <f>+BE1491</f>
        <v>−0,468</v>
      </c>
      <c r="BH1492" s="94">
        <v>44259</v>
      </c>
      <c r="BI1492" s="95" t="s">
        <v>347</v>
      </c>
      <c r="BJ1492" s="96">
        <v>12.76</v>
      </c>
    </row>
    <row r="1493" spans="54:62" ht="13.8" x14ac:dyDescent="0.25">
      <c r="BB1493" s="187">
        <v>44203</v>
      </c>
      <c r="BC1493" s="180">
        <v>-0.52400000000000002</v>
      </c>
      <c r="BD1493" s="191">
        <v>44203</v>
      </c>
      <c r="BE1493" s="192" t="s">
        <v>329</v>
      </c>
      <c r="BH1493" s="94">
        <v>44260</v>
      </c>
      <c r="BI1493" s="95" t="s">
        <v>201</v>
      </c>
      <c r="BJ1493" s="96">
        <v>12.76</v>
      </c>
    </row>
    <row r="1494" spans="54:62" ht="13.8" x14ac:dyDescent="0.25">
      <c r="BB1494" s="187">
        <v>44204</v>
      </c>
      <c r="BC1494" s="180">
        <v>-0.53</v>
      </c>
      <c r="BD1494" s="191">
        <v>44204</v>
      </c>
      <c r="BE1494" s="192" t="s">
        <v>329</v>
      </c>
      <c r="BH1494" s="94">
        <v>44263</v>
      </c>
      <c r="BI1494" s="95" t="s">
        <v>348</v>
      </c>
      <c r="BJ1494" s="96">
        <v>12.75</v>
      </c>
    </row>
    <row r="1495" spans="54:62" ht="13.8" x14ac:dyDescent="0.25">
      <c r="BB1495" s="187">
        <v>44207</v>
      </c>
      <c r="BC1495" s="180">
        <v>-0.52300000000000002</v>
      </c>
      <c r="BD1495" s="191">
        <v>44207</v>
      </c>
      <c r="BE1495" s="192" t="s">
        <v>176</v>
      </c>
      <c r="BH1495" s="94">
        <v>44264</v>
      </c>
      <c r="BI1495" s="95" t="s">
        <v>349</v>
      </c>
      <c r="BJ1495" s="96">
        <v>12.74</v>
      </c>
    </row>
    <row r="1496" spans="54:62" ht="13.8" x14ac:dyDescent="0.25">
      <c r="BB1496" s="187">
        <v>44208</v>
      </c>
      <c r="BC1496" s="180">
        <v>-0.53</v>
      </c>
      <c r="BD1496" s="191">
        <v>44208</v>
      </c>
      <c r="BE1496" s="192" t="s">
        <v>177</v>
      </c>
      <c r="BH1496" s="94">
        <v>44265</v>
      </c>
      <c r="BI1496" s="95" t="s">
        <v>350</v>
      </c>
      <c r="BJ1496" s="96">
        <v>12.74</v>
      </c>
    </row>
    <row r="1497" spans="54:62" ht="13.8" x14ac:dyDescent="0.25">
      <c r="BB1497" s="187">
        <v>44209</v>
      </c>
      <c r="BC1497" s="180">
        <v>-0.52700000000000002</v>
      </c>
      <c r="BD1497" s="191">
        <v>44209</v>
      </c>
      <c r="BE1497" s="192" t="s">
        <v>178</v>
      </c>
      <c r="BH1497" s="94">
        <v>44266</v>
      </c>
      <c r="BI1497" s="95" t="s">
        <v>281</v>
      </c>
      <c r="BJ1497" s="96">
        <v>12.74</v>
      </c>
    </row>
    <row r="1498" spans="54:62" ht="13.8" x14ac:dyDescent="0.25">
      <c r="BB1498" s="187">
        <v>44210</v>
      </c>
      <c r="BC1498" s="180">
        <v>-0.53300000000000003</v>
      </c>
      <c r="BD1498" s="191">
        <v>44210</v>
      </c>
      <c r="BE1498" s="192" t="s">
        <v>179</v>
      </c>
      <c r="BH1498" s="94">
        <v>44267</v>
      </c>
      <c r="BI1498" s="95" t="s">
        <v>351</v>
      </c>
      <c r="BJ1498" s="96">
        <v>12.73</v>
      </c>
    </row>
    <row r="1499" spans="54:62" ht="13.8" x14ac:dyDescent="0.25">
      <c r="BB1499" s="187">
        <v>44211</v>
      </c>
      <c r="BC1499" s="180">
        <v>-0.53200000000000003</v>
      </c>
      <c r="BD1499" s="191">
        <v>44211</v>
      </c>
      <c r="BE1499" s="192" t="s">
        <v>332</v>
      </c>
      <c r="BH1499" s="94">
        <v>44270</v>
      </c>
      <c r="BI1499" s="95" t="s">
        <v>280</v>
      </c>
      <c r="BJ1499" s="96">
        <v>12.72</v>
      </c>
    </row>
    <row r="1500" spans="54:62" ht="13.8" x14ac:dyDescent="0.25">
      <c r="BB1500" s="187">
        <v>44214</v>
      </c>
      <c r="BC1500" s="180">
        <v>-0.53300000000000003</v>
      </c>
      <c r="BD1500" s="191">
        <v>44214</v>
      </c>
      <c r="BE1500" s="192" t="s">
        <v>335</v>
      </c>
      <c r="BH1500" s="94">
        <v>44271</v>
      </c>
      <c r="BI1500" s="95" t="s">
        <v>251</v>
      </c>
      <c r="BJ1500" s="96">
        <v>12.72</v>
      </c>
    </row>
    <row r="1501" spans="54:62" ht="13.8" x14ac:dyDescent="0.25">
      <c r="BB1501" s="187">
        <v>44215</v>
      </c>
      <c r="BC1501" s="180">
        <v>-0.52800000000000002</v>
      </c>
      <c r="BD1501" s="191">
        <v>44215</v>
      </c>
      <c r="BE1501" s="192" t="s">
        <v>322</v>
      </c>
      <c r="BH1501" s="94">
        <v>44272</v>
      </c>
      <c r="BI1501" s="95" t="s">
        <v>352</v>
      </c>
      <c r="BJ1501" s="96">
        <v>12.71</v>
      </c>
    </row>
    <row r="1502" spans="54:62" ht="13.8" x14ac:dyDescent="0.25">
      <c r="BB1502" s="187">
        <v>44216</v>
      </c>
      <c r="BC1502" s="180">
        <v>-0.53200000000000003</v>
      </c>
      <c r="BD1502" s="191">
        <v>44216</v>
      </c>
      <c r="BE1502" s="192" t="s">
        <v>336</v>
      </c>
      <c r="BH1502" s="94">
        <v>44273</v>
      </c>
      <c r="BI1502" s="95" t="s">
        <v>204</v>
      </c>
      <c r="BJ1502" s="96">
        <v>12.7</v>
      </c>
    </row>
    <row r="1503" spans="54:62" ht="13.8" x14ac:dyDescent="0.25">
      <c r="BB1503" s="187">
        <v>44217</v>
      </c>
      <c r="BC1503" s="180">
        <v>-0.52700000000000002</v>
      </c>
      <c r="BD1503" s="191">
        <v>44217</v>
      </c>
      <c r="BE1503" s="192" t="s">
        <v>180</v>
      </c>
      <c r="BH1503" s="94">
        <v>44274</v>
      </c>
      <c r="BI1503" s="95" t="s">
        <v>204</v>
      </c>
      <c r="BJ1503" s="96">
        <v>12.7</v>
      </c>
    </row>
    <row r="1504" spans="54:62" ht="13.8" x14ac:dyDescent="0.25">
      <c r="BB1504" s="187">
        <v>44218</v>
      </c>
      <c r="BC1504" s="180">
        <v>-0.52500000000000002</v>
      </c>
      <c r="BD1504" s="191">
        <v>44218</v>
      </c>
      <c r="BE1504" s="192" t="s">
        <v>321</v>
      </c>
      <c r="BH1504" s="94">
        <v>44277</v>
      </c>
      <c r="BI1504" s="95" t="s">
        <v>204</v>
      </c>
      <c r="BJ1504" s="96">
        <v>12.68</v>
      </c>
    </row>
    <row r="1505" spans="54:62" ht="13.8" x14ac:dyDescent="0.25">
      <c r="BB1505" s="187">
        <v>44221</v>
      </c>
      <c r="BC1505" s="180">
        <v>-0.52100000000000002</v>
      </c>
      <c r="BD1505" s="191">
        <v>44221</v>
      </c>
      <c r="BE1505" s="192" t="s">
        <v>337</v>
      </c>
      <c r="BH1505" s="94">
        <v>44278</v>
      </c>
      <c r="BI1505" s="95" t="s">
        <v>353</v>
      </c>
      <c r="BJ1505" s="96">
        <v>12.68</v>
      </c>
    </row>
    <row r="1506" spans="54:62" ht="13.8" x14ac:dyDescent="0.25">
      <c r="BB1506" s="187">
        <v>44222</v>
      </c>
      <c r="BC1506" s="180">
        <v>-0.52800000000000002</v>
      </c>
      <c r="BD1506" s="191">
        <v>44222</v>
      </c>
      <c r="BE1506" s="192" t="s">
        <v>320</v>
      </c>
      <c r="BH1506" s="94">
        <v>44279</v>
      </c>
      <c r="BI1506" s="95" t="s">
        <v>279</v>
      </c>
      <c r="BJ1506" s="96">
        <v>12.67</v>
      </c>
    </row>
    <row r="1507" spans="54:62" ht="13.8" x14ac:dyDescent="0.25">
      <c r="BB1507" s="187">
        <v>44223</v>
      </c>
      <c r="BC1507" s="180">
        <v>-0.52600000000000002</v>
      </c>
      <c r="BD1507" s="191">
        <v>44223</v>
      </c>
      <c r="BE1507" s="192" t="s">
        <v>171</v>
      </c>
      <c r="BH1507" s="94">
        <v>44280</v>
      </c>
      <c r="BI1507" s="95" t="s">
        <v>354</v>
      </c>
      <c r="BJ1507" s="96">
        <v>12.67</v>
      </c>
    </row>
    <row r="1508" spans="54:62" ht="13.8" x14ac:dyDescent="0.25">
      <c r="BB1508" s="187">
        <v>44224</v>
      </c>
      <c r="BC1508" s="180">
        <v>-0.53400000000000003</v>
      </c>
      <c r="BD1508" s="191">
        <v>44224</v>
      </c>
      <c r="BE1508" s="192" t="s">
        <v>338</v>
      </c>
      <c r="BH1508" s="94">
        <v>44281</v>
      </c>
      <c r="BI1508" s="95" t="s">
        <v>281</v>
      </c>
      <c r="BJ1508" s="96">
        <v>12.67</v>
      </c>
    </row>
    <row r="1509" spans="54:62" ht="13.8" x14ac:dyDescent="0.25">
      <c r="BB1509" s="187">
        <v>44225</v>
      </c>
      <c r="BC1509" s="180">
        <v>-0.53100000000000003</v>
      </c>
      <c r="BD1509" s="191">
        <v>44225</v>
      </c>
      <c r="BE1509" s="192" t="s">
        <v>339</v>
      </c>
      <c r="BH1509" s="94">
        <v>44284</v>
      </c>
      <c r="BI1509" s="95" t="s">
        <v>230</v>
      </c>
      <c r="BJ1509" s="96">
        <v>12.66</v>
      </c>
    </row>
    <row r="1510" spans="54:62" ht="13.8" x14ac:dyDescent="0.25">
      <c r="BB1510" s="187">
        <v>44228</v>
      </c>
      <c r="BC1510" s="180">
        <v>-0.52800000000000002</v>
      </c>
      <c r="BD1510" s="191">
        <v>44228</v>
      </c>
      <c r="BE1510" s="192" t="s">
        <v>319</v>
      </c>
      <c r="BH1510" s="94">
        <v>44285</v>
      </c>
      <c r="BI1510" s="95" t="s">
        <v>355</v>
      </c>
      <c r="BJ1510" s="96">
        <v>12.65</v>
      </c>
    </row>
    <row r="1511" spans="54:62" ht="13.8" x14ac:dyDescent="0.25">
      <c r="BB1511" s="187">
        <v>44229</v>
      </c>
      <c r="BC1511" s="180">
        <v>-0.52600000000000002</v>
      </c>
      <c r="BD1511" s="191">
        <v>44229</v>
      </c>
      <c r="BE1511" s="192" t="s">
        <v>340</v>
      </c>
      <c r="BH1511" s="94">
        <v>44286</v>
      </c>
      <c r="BI1511" s="95" t="s">
        <v>281</v>
      </c>
      <c r="BJ1511" s="96">
        <v>12.64</v>
      </c>
    </row>
    <row r="1512" spans="54:62" ht="13.8" x14ac:dyDescent="0.25">
      <c r="BB1512" s="187">
        <v>44230</v>
      </c>
      <c r="BC1512" s="180">
        <v>-0.52100000000000002</v>
      </c>
      <c r="BD1512" s="191">
        <v>44230</v>
      </c>
      <c r="BE1512" s="192" t="s">
        <v>341</v>
      </c>
      <c r="BH1512" s="94">
        <v>44287</v>
      </c>
      <c r="BI1512" s="95" t="s">
        <v>355</v>
      </c>
      <c r="BJ1512" s="96">
        <v>12.64</v>
      </c>
    </row>
    <row r="1513" spans="54:62" ht="13.8" x14ac:dyDescent="0.25">
      <c r="BB1513" s="187">
        <v>44231</v>
      </c>
      <c r="BC1513" s="180">
        <v>-0.52500000000000002</v>
      </c>
      <c r="BD1513" s="191">
        <v>44231</v>
      </c>
      <c r="BE1513" s="192" t="s">
        <v>181</v>
      </c>
      <c r="BH1513" s="94">
        <v>44288</v>
      </c>
      <c r="BI1513" s="95" t="s">
        <v>230</v>
      </c>
      <c r="BJ1513" s="96">
        <v>12.64</v>
      </c>
    </row>
    <row r="1514" spans="54:62" ht="13.8" x14ac:dyDescent="0.25">
      <c r="BB1514" s="187">
        <v>44232</v>
      </c>
      <c r="BC1514" s="180">
        <v>-0.51900000000000002</v>
      </c>
      <c r="BD1514" s="191">
        <v>44232</v>
      </c>
      <c r="BE1514" s="192" t="s">
        <v>169</v>
      </c>
      <c r="BH1514" s="94">
        <v>44292</v>
      </c>
      <c r="BI1514" s="95" t="s">
        <v>356</v>
      </c>
      <c r="BJ1514" s="96">
        <v>12.63</v>
      </c>
    </row>
    <row r="1515" spans="54:62" ht="13.8" x14ac:dyDescent="0.25">
      <c r="BB1515" s="187">
        <v>44235</v>
      </c>
      <c r="BC1515" s="180">
        <v>-0.52100000000000002</v>
      </c>
      <c r="BD1515" s="191">
        <v>44235</v>
      </c>
      <c r="BE1515" s="192" t="s">
        <v>182</v>
      </c>
      <c r="BH1515" s="94">
        <v>44293</v>
      </c>
      <c r="BI1515" s="95" t="s">
        <v>250</v>
      </c>
      <c r="BJ1515" s="96">
        <v>12.62</v>
      </c>
    </row>
    <row r="1516" spans="54:62" ht="13.8" x14ac:dyDescent="0.25">
      <c r="BB1516" s="187">
        <v>44236</v>
      </c>
      <c r="BC1516" s="180">
        <v>-0.52300000000000002</v>
      </c>
      <c r="BD1516" s="191">
        <v>44236</v>
      </c>
      <c r="BE1516" s="192" t="s">
        <v>342</v>
      </c>
      <c r="BH1516" s="94">
        <v>44294</v>
      </c>
      <c r="BI1516" s="95" t="s">
        <v>357</v>
      </c>
      <c r="BJ1516" s="96">
        <v>12.65</v>
      </c>
    </row>
    <row r="1517" spans="54:62" ht="13.8" x14ac:dyDescent="0.25">
      <c r="BB1517" s="187">
        <v>44237</v>
      </c>
      <c r="BC1517" s="180">
        <v>-0.52200000000000002</v>
      </c>
      <c r="BD1517" s="191">
        <v>44237</v>
      </c>
      <c r="BE1517" s="192" t="s">
        <v>343</v>
      </c>
      <c r="BH1517" s="94">
        <v>44295</v>
      </c>
      <c r="BI1517" s="95" t="s">
        <v>357</v>
      </c>
      <c r="BJ1517" s="96">
        <v>12.65</v>
      </c>
    </row>
    <row r="1518" spans="54:62" ht="13.8" x14ac:dyDescent="0.25">
      <c r="BB1518" s="187">
        <v>44238</v>
      </c>
      <c r="BC1518" s="180">
        <v>-0.52100000000000002</v>
      </c>
      <c r="BD1518" s="191">
        <v>44238</v>
      </c>
      <c r="BE1518" s="192" t="s">
        <v>344</v>
      </c>
      <c r="BH1518" s="94">
        <v>44298</v>
      </c>
      <c r="BI1518" s="95" t="s">
        <v>357</v>
      </c>
      <c r="BJ1518" s="96">
        <v>12.64</v>
      </c>
    </row>
    <row r="1519" spans="54:62" ht="13.8" x14ac:dyDescent="0.25">
      <c r="BB1519" s="187">
        <v>44239</v>
      </c>
      <c r="BC1519" s="180">
        <v>-0.52200000000000002</v>
      </c>
      <c r="BD1519" s="191">
        <v>44239</v>
      </c>
      <c r="BE1519" s="192" t="s">
        <v>183</v>
      </c>
      <c r="BH1519" s="94">
        <v>44299</v>
      </c>
      <c r="BI1519" s="95" t="s">
        <v>230</v>
      </c>
      <c r="BJ1519" s="96">
        <v>12.64</v>
      </c>
    </row>
    <row r="1520" spans="54:62" ht="13.8" x14ac:dyDescent="0.25">
      <c r="BB1520" s="187">
        <v>44242</v>
      </c>
      <c r="BC1520" s="180">
        <v>-0.52100000000000002</v>
      </c>
      <c r="BD1520" s="191">
        <v>44242</v>
      </c>
      <c r="BE1520" s="192" t="s">
        <v>167</v>
      </c>
      <c r="BH1520" s="94">
        <v>44300</v>
      </c>
      <c r="BI1520" s="95" t="s">
        <v>281</v>
      </c>
      <c r="BJ1520" s="96">
        <v>12.62</v>
      </c>
    </row>
    <row r="1521" spans="54:62" ht="13.8" x14ac:dyDescent="0.25">
      <c r="BB1521" s="187">
        <v>44243</v>
      </c>
      <c r="BC1521" s="180">
        <v>-0.52</v>
      </c>
      <c r="BD1521" s="191">
        <v>44243</v>
      </c>
      <c r="BE1521" s="192" t="s">
        <v>184</v>
      </c>
      <c r="BH1521" s="94">
        <v>44301</v>
      </c>
      <c r="BI1521" s="95" t="s">
        <v>358</v>
      </c>
      <c r="BJ1521" s="96">
        <v>12.62</v>
      </c>
    </row>
    <row r="1522" spans="54:62" ht="13.8" x14ac:dyDescent="0.25">
      <c r="BB1522" s="187">
        <v>44244</v>
      </c>
      <c r="BC1522" s="180">
        <v>-0.52100000000000002</v>
      </c>
      <c r="BD1522" s="191">
        <v>44244</v>
      </c>
      <c r="BE1522" s="192" t="s">
        <v>185</v>
      </c>
      <c r="BH1522" s="94">
        <v>44302</v>
      </c>
      <c r="BI1522" s="95" t="s">
        <v>203</v>
      </c>
      <c r="BJ1522" s="96">
        <v>12.62</v>
      </c>
    </row>
    <row r="1523" spans="54:62" ht="13.8" x14ac:dyDescent="0.25">
      <c r="BB1523" s="187">
        <v>44245</v>
      </c>
      <c r="BC1523" s="180">
        <v>-0.51800000000000002</v>
      </c>
      <c r="BD1523" s="191">
        <v>44245</v>
      </c>
      <c r="BE1523" s="192" t="s">
        <v>165</v>
      </c>
      <c r="BH1523" s="94">
        <v>44305</v>
      </c>
      <c r="BI1523" s="95" t="s">
        <v>358</v>
      </c>
      <c r="BJ1523" s="96">
        <v>12.61</v>
      </c>
    </row>
    <row r="1524" spans="54:62" ht="13.8" x14ac:dyDescent="0.25">
      <c r="BB1524" s="187">
        <v>44246</v>
      </c>
      <c r="BC1524" s="180">
        <v>-0.51700000000000002</v>
      </c>
      <c r="BD1524" s="191">
        <v>44246</v>
      </c>
      <c r="BE1524" s="192" t="s">
        <v>303</v>
      </c>
      <c r="BH1524" s="94">
        <v>44306</v>
      </c>
      <c r="BI1524" s="95" t="s">
        <v>359</v>
      </c>
      <c r="BJ1524" s="96">
        <v>13.21</v>
      </c>
    </row>
    <row r="1525" spans="54:62" ht="13.8" x14ac:dyDescent="0.25">
      <c r="BB1525" s="187">
        <v>44249</v>
      </c>
      <c r="BC1525" s="180">
        <v>-0.51600000000000001</v>
      </c>
      <c r="BD1525" s="191">
        <v>44249</v>
      </c>
      <c r="BE1525" s="192" t="s">
        <v>189</v>
      </c>
      <c r="BH1525" s="94">
        <v>44307</v>
      </c>
      <c r="BI1525" s="95" t="s">
        <v>360</v>
      </c>
      <c r="BJ1525" s="96">
        <v>13.24</v>
      </c>
    </row>
    <row r="1526" spans="54:62" ht="13.8" x14ac:dyDescent="0.25">
      <c r="BB1526" s="187">
        <v>44250</v>
      </c>
      <c r="BC1526" s="180">
        <v>-0.51700000000000002</v>
      </c>
      <c r="BD1526" s="191">
        <v>44250</v>
      </c>
      <c r="BE1526" s="192" t="s">
        <v>245</v>
      </c>
      <c r="BH1526" s="94">
        <v>44308</v>
      </c>
      <c r="BI1526" s="95" t="s">
        <v>271</v>
      </c>
      <c r="BJ1526" s="96">
        <v>13.23</v>
      </c>
    </row>
    <row r="1527" spans="54:62" ht="13.8" x14ac:dyDescent="0.25">
      <c r="BB1527" s="187">
        <v>44251</v>
      </c>
      <c r="BC1527" s="180">
        <v>-0.51800000000000002</v>
      </c>
      <c r="BD1527" s="191">
        <v>44251</v>
      </c>
      <c r="BE1527" s="192" t="s">
        <v>162</v>
      </c>
      <c r="BH1527" s="94">
        <v>44309</v>
      </c>
      <c r="BI1527" s="95" t="s">
        <v>361</v>
      </c>
      <c r="BJ1527" s="96">
        <v>13.23</v>
      </c>
    </row>
    <row r="1528" spans="54:62" ht="13.8" x14ac:dyDescent="0.25">
      <c r="BB1528" s="187">
        <v>44252</v>
      </c>
      <c r="BC1528" s="180">
        <v>-0.51800000000000002</v>
      </c>
      <c r="BD1528" s="191">
        <v>44252</v>
      </c>
      <c r="BE1528" s="192" t="s">
        <v>345</v>
      </c>
      <c r="BH1528" s="94">
        <v>44312</v>
      </c>
      <c r="BI1528" s="95" t="s">
        <v>252</v>
      </c>
      <c r="BJ1528" s="96">
        <v>13.22</v>
      </c>
    </row>
    <row r="1529" spans="54:62" ht="13.8" x14ac:dyDescent="0.25">
      <c r="BB1529" s="187">
        <v>44253</v>
      </c>
      <c r="BC1529" s="180">
        <v>-0.51600000000000001</v>
      </c>
      <c r="BD1529" s="191">
        <v>44253</v>
      </c>
      <c r="BE1529" s="192" t="s">
        <v>197</v>
      </c>
      <c r="BH1529" s="94">
        <v>44313</v>
      </c>
      <c r="BI1529" s="95" t="s">
        <v>273</v>
      </c>
      <c r="BJ1529" s="96">
        <v>13.22</v>
      </c>
    </row>
    <row r="1530" spans="54:62" ht="13.8" x14ac:dyDescent="0.25">
      <c r="BB1530" s="187">
        <v>44256</v>
      </c>
      <c r="BC1530" s="180">
        <v>-0.50800000000000001</v>
      </c>
      <c r="BD1530" s="191">
        <v>44256</v>
      </c>
      <c r="BE1530" s="192" t="s">
        <v>235</v>
      </c>
      <c r="BH1530" s="94">
        <v>44314</v>
      </c>
      <c r="BI1530" s="95" t="s">
        <v>275</v>
      </c>
      <c r="BJ1530" s="96">
        <v>13.22</v>
      </c>
    </row>
    <row r="1531" spans="54:62" ht="13.8" x14ac:dyDescent="0.25">
      <c r="BB1531" s="187">
        <v>44257</v>
      </c>
      <c r="BC1531" s="180">
        <v>-0.51600000000000001</v>
      </c>
      <c r="BD1531" s="191">
        <v>44257</v>
      </c>
      <c r="BE1531" s="192" t="s">
        <v>234</v>
      </c>
      <c r="BH1531" s="94">
        <v>44315</v>
      </c>
      <c r="BI1531" s="95" t="s">
        <v>152</v>
      </c>
      <c r="BJ1531" s="96">
        <v>13.2</v>
      </c>
    </row>
    <row r="1532" spans="54:62" ht="13.8" x14ac:dyDescent="0.25">
      <c r="BB1532" s="187">
        <v>44258</v>
      </c>
      <c r="BC1532" s="180">
        <v>-0.51700000000000002</v>
      </c>
      <c r="BD1532" s="191">
        <v>44258</v>
      </c>
      <c r="BE1532" s="192" t="s">
        <v>346</v>
      </c>
      <c r="BH1532" s="94">
        <v>44316</v>
      </c>
      <c r="BI1532" s="95" t="s">
        <v>362</v>
      </c>
      <c r="BJ1532" s="96">
        <v>13.2</v>
      </c>
    </row>
    <row r="1533" spans="54:62" ht="13.8" x14ac:dyDescent="0.25">
      <c r="BB1533" s="187">
        <v>44259</v>
      </c>
      <c r="BC1533" s="180">
        <v>-0.51800000000000002</v>
      </c>
      <c r="BD1533" s="191">
        <v>44259</v>
      </c>
      <c r="BE1533" s="192" t="s">
        <v>347</v>
      </c>
      <c r="BH1533" s="94">
        <v>44319</v>
      </c>
      <c r="BI1533" s="95" t="s">
        <v>150</v>
      </c>
      <c r="BJ1533" s="96">
        <v>13.19</v>
      </c>
    </row>
    <row r="1534" spans="54:62" ht="13.8" x14ac:dyDescent="0.25">
      <c r="BB1534" s="187">
        <v>44260</v>
      </c>
      <c r="BC1534" s="180">
        <v>-0.51400000000000001</v>
      </c>
      <c r="BD1534" s="191">
        <v>44260</v>
      </c>
      <c r="BE1534" s="192" t="s">
        <v>201</v>
      </c>
      <c r="BH1534" s="94">
        <v>44320</v>
      </c>
      <c r="BI1534" s="95" t="s">
        <v>149</v>
      </c>
      <c r="BJ1534" s="96">
        <v>13.19</v>
      </c>
    </row>
    <row r="1535" spans="54:62" ht="13.8" x14ac:dyDescent="0.25">
      <c r="BB1535" s="187">
        <v>44263</v>
      </c>
      <c r="BC1535" s="180">
        <v>-0.51500000000000001</v>
      </c>
      <c r="BD1535" s="191">
        <v>44263</v>
      </c>
      <c r="BE1535" s="192" t="s">
        <v>348</v>
      </c>
      <c r="BH1535" s="94">
        <v>44321</v>
      </c>
      <c r="BI1535" s="95" t="s">
        <v>148</v>
      </c>
      <c r="BJ1535" s="96">
        <v>13.18</v>
      </c>
    </row>
    <row r="1536" spans="54:62" ht="13.8" x14ac:dyDescent="0.25">
      <c r="BB1536" s="187">
        <v>44264</v>
      </c>
      <c r="BC1536" s="180">
        <v>-0.51800000000000002</v>
      </c>
      <c r="BD1536" s="191">
        <v>44264</v>
      </c>
      <c r="BE1536" s="192" t="s">
        <v>349</v>
      </c>
      <c r="BH1536" s="94">
        <v>44322</v>
      </c>
      <c r="BI1536" s="95" t="s">
        <v>225</v>
      </c>
      <c r="BJ1536" s="96">
        <v>13.21</v>
      </c>
    </row>
    <row r="1537" spans="54:62" ht="13.8" x14ac:dyDescent="0.25">
      <c r="BB1537" s="187">
        <v>44265</v>
      </c>
      <c r="BC1537" s="180">
        <v>-0.52</v>
      </c>
      <c r="BD1537" s="191">
        <v>44265</v>
      </c>
      <c r="BE1537" s="192" t="s">
        <v>350</v>
      </c>
      <c r="BH1537" s="94">
        <v>44323</v>
      </c>
      <c r="BI1537" s="95" t="s">
        <v>224</v>
      </c>
      <c r="BJ1537" s="96">
        <v>13.25</v>
      </c>
    </row>
    <row r="1538" spans="54:62" ht="13.8" x14ac:dyDescent="0.25">
      <c r="BB1538" s="187">
        <v>44266</v>
      </c>
      <c r="BC1538" s="180">
        <v>-0.51800000000000002</v>
      </c>
      <c r="BD1538" s="191">
        <v>44266</v>
      </c>
      <c r="BE1538" s="192" t="s">
        <v>281</v>
      </c>
      <c r="BH1538" s="94">
        <v>44326</v>
      </c>
      <c r="BI1538" s="95" t="s">
        <v>93</v>
      </c>
      <c r="BJ1538" s="96">
        <v>13.23</v>
      </c>
    </row>
    <row r="1539" spans="54:62" ht="13.8" x14ac:dyDescent="0.25">
      <c r="BB1539" s="187">
        <v>44267</v>
      </c>
      <c r="BC1539" s="180">
        <v>-0.51400000000000001</v>
      </c>
      <c r="BD1539" s="191">
        <v>44267</v>
      </c>
      <c r="BE1539" s="192" t="s">
        <v>351</v>
      </c>
      <c r="BH1539" s="94">
        <v>44327</v>
      </c>
      <c r="BI1539" s="95" t="s">
        <v>89</v>
      </c>
      <c r="BJ1539" s="96">
        <v>13.23</v>
      </c>
    </row>
    <row r="1540" spans="54:62" ht="13.8" x14ac:dyDescent="0.25">
      <c r="BB1540" s="187">
        <v>44270</v>
      </c>
      <c r="BC1540" s="180">
        <v>-0.51500000000000001</v>
      </c>
      <c r="BD1540" s="191">
        <v>44270</v>
      </c>
      <c r="BE1540" s="192" t="s">
        <v>280</v>
      </c>
      <c r="BH1540" s="94">
        <v>44328</v>
      </c>
      <c r="BI1540" s="95" t="s">
        <v>216</v>
      </c>
      <c r="BJ1540" s="96">
        <v>13.23</v>
      </c>
    </row>
    <row r="1541" spans="54:62" ht="13.8" x14ac:dyDescent="0.25">
      <c r="BB1541" s="187">
        <v>44271</v>
      </c>
      <c r="BC1541" s="180">
        <v>-0.52</v>
      </c>
      <c r="BD1541" s="191">
        <v>44271</v>
      </c>
      <c r="BE1541" s="192" t="s">
        <v>251</v>
      </c>
      <c r="BH1541" s="94">
        <v>44330</v>
      </c>
      <c r="BI1541" s="95" t="s">
        <v>86</v>
      </c>
      <c r="BJ1541" s="96">
        <v>13.26</v>
      </c>
    </row>
    <row r="1542" spans="54:62" ht="13.8" x14ac:dyDescent="0.25">
      <c r="BB1542" s="187">
        <v>44272</v>
      </c>
      <c r="BC1542" s="180">
        <v>-0.52</v>
      </c>
      <c r="BD1542" s="191">
        <v>44272</v>
      </c>
      <c r="BE1542" s="192" t="s">
        <v>352</v>
      </c>
      <c r="BH1542" s="94">
        <v>44333</v>
      </c>
      <c r="BI1542" s="95" t="s">
        <v>217</v>
      </c>
      <c r="BJ1542" s="96">
        <v>13.25</v>
      </c>
    </row>
    <row r="1543" spans="54:62" ht="13.8" x14ac:dyDescent="0.25">
      <c r="BB1543" s="187">
        <v>44273</v>
      </c>
      <c r="BC1543" s="180">
        <v>-0.51900000000000002</v>
      </c>
      <c r="BD1543" s="191">
        <v>44273</v>
      </c>
      <c r="BE1543" s="192" t="s">
        <v>204</v>
      </c>
      <c r="BH1543" s="94">
        <v>44334</v>
      </c>
      <c r="BI1543" s="95" t="s">
        <v>80</v>
      </c>
      <c r="BJ1543" s="96">
        <v>13.24</v>
      </c>
    </row>
    <row r="1544" spans="54:62" ht="13.8" x14ac:dyDescent="0.25">
      <c r="BB1544" s="187">
        <v>44274</v>
      </c>
      <c r="BC1544" s="180">
        <v>-0.51500000000000001</v>
      </c>
      <c r="BD1544" s="191">
        <v>44274</v>
      </c>
      <c r="BE1544" s="192" t="s">
        <v>204</v>
      </c>
      <c r="BH1544" s="94">
        <v>44335</v>
      </c>
      <c r="BI1544" s="95" t="s">
        <v>103</v>
      </c>
      <c r="BJ1544" s="96">
        <v>13.24</v>
      </c>
    </row>
    <row r="1545" spans="54:62" ht="13.8" x14ac:dyDescent="0.25">
      <c r="BB1545" s="187">
        <v>44277</v>
      </c>
      <c r="BC1545" s="180">
        <v>-0.51800000000000002</v>
      </c>
      <c r="BD1545" s="191">
        <v>44277</v>
      </c>
      <c r="BE1545" s="192" t="s">
        <v>204</v>
      </c>
      <c r="BH1545" s="94">
        <v>44336</v>
      </c>
      <c r="BI1545" s="95" t="s">
        <v>97</v>
      </c>
      <c r="BJ1545" s="96">
        <v>13.24</v>
      </c>
    </row>
    <row r="1546" spans="54:62" ht="13.8" x14ac:dyDescent="0.25">
      <c r="BB1546" s="187">
        <v>44278</v>
      </c>
      <c r="BC1546" s="180">
        <v>-0.51800000000000002</v>
      </c>
      <c r="BD1546" s="191">
        <v>44278</v>
      </c>
      <c r="BE1546" s="192" t="s">
        <v>353</v>
      </c>
      <c r="BH1546" s="94">
        <v>44337</v>
      </c>
      <c r="BI1546" s="95" t="s">
        <v>99</v>
      </c>
      <c r="BJ1546" s="96">
        <v>13.23</v>
      </c>
    </row>
    <row r="1547" spans="54:62" ht="13.8" x14ac:dyDescent="0.25">
      <c r="BB1547" s="187">
        <v>44279</v>
      </c>
      <c r="BC1547" s="180">
        <v>-0.51600000000000001</v>
      </c>
      <c r="BD1547" s="191">
        <v>44279</v>
      </c>
      <c r="BE1547" s="192" t="s">
        <v>279</v>
      </c>
      <c r="BH1547" s="94">
        <v>44341</v>
      </c>
      <c r="BI1547" s="95" t="s">
        <v>101</v>
      </c>
      <c r="BJ1547" s="96">
        <v>13.22</v>
      </c>
    </row>
    <row r="1548" spans="54:62" ht="13.8" x14ac:dyDescent="0.25">
      <c r="BB1548" s="187">
        <v>44280</v>
      </c>
      <c r="BC1548" s="180">
        <v>-0.51400000000000001</v>
      </c>
      <c r="BD1548" s="191">
        <v>44280</v>
      </c>
      <c r="BE1548" s="192" t="s">
        <v>354</v>
      </c>
      <c r="BH1548" s="94">
        <v>44342</v>
      </c>
      <c r="BI1548" s="95" t="s">
        <v>108</v>
      </c>
      <c r="BJ1548" s="96">
        <v>13.22</v>
      </c>
    </row>
    <row r="1549" spans="54:62" ht="13.8" x14ac:dyDescent="0.25">
      <c r="BB1549" s="187">
        <v>44281</v>
      </c>
      <c r="BC1549" s="180">
        <v>-0.51400000000000001</v>
      </c>
      <c r="BD1549" s="191">
        <v>44281</v>
      </c>
      <c r="BE1549" s="192" t="s">
        <v>281</v>
      </c>
      <c r="BH1549" s="94">
        <v>44343</v>
      </c>
      <c r="BI1549" s="95" t="s">
        <v>142</v>
      </c>
      <c r="BJ1549" s="96">
        <v>13.21</v>
      </c>
    </row>
    <row r="1550" spans="54:62" ht="13.8" x14ac:dyDescent="0.25">
      <c r="BB1550" s="187">
        <v>44284</v>
      </c>
      <c r="BC1550" s="180">
        <v>-0.51300000000000001</v>
      </c>
      <c r="BD1550" s="191">
        <v>44284</v>
      </c>
      <c r="BE1550" s="192" t="s">
        <v>230</v>
      </c>
      <c r="BH1550" s="94">
        <v>44344</v>
      </c>
      <c r="BI1550" s="95" t="s">
        <v>363</v>
      </c>
      <c r="BJ1550" s="96">
        <v>13.21</v>
      </c>
    </row>
    <row r="1551" spans="54:62" ht="13.8" x14ac:dyDescent="0.25">
      <c r="BB1551" s="187">
        <v>44285</v>
      </c>
      <c r="BC1551" s="180">
        <v>-0.51900000000000002</v>
      </c>
      <c r="BD1551" s="191">
        <v>44285</v>
      </c>
      <c r="BE1551" s="192" t="s">
        <v>355</v>
      </c>
      <c r="BH1551" s="94">
        <v>44347</v>
      </c>
      <c r="BI1551" s="95" t="s">
        <v>364</v>
      </c>
      <c r="BJ1551" s="96">
        <v>13.29</v>
      </c>
    </row>
    <row r="1552" spans="54:62" ht="13.8" x14ac:dyDescent="0.25">
      <c r="BB1552" s="187">
        <v>44286</v>
      </c>
      <c r="BC1552" s="180">
        <v>-0.50900000000000001</v>
      </c>
      <c r="BD1552" s="191">
        <v>44286</v>
      </c>
      <c r="BE1552" s="192" t="s">
        <v>281</v>
      </c>
      <c r="BH1552" s="94">
        <v>44348</v>
      </c>
      <c r="BI1552" s="95" t="s">
        <v>365</v>
      </c>
      <c r="BJ1552" s="96">
        <v>13.29</v>
      </c>
    </row>
    <row r="1553" spans="54:62" ht="13.8" x14ac:dyDescent="0.25">
      <c r="BB1553" s="187">
        <v>44287</v>
      </c>
      <c r="BC1553" s="180">
        <v>-0.51200000000000001</v>
      </c>
      <c r="BD1553" s="191">
        <v>44287</v>
      </c>
      <c r="BE1553" s="192" t="s">
        <v>355</v>
      </c>
      <c r="BH1553" s="94">
        <v>44349</v>
      </c>
      <c r="BI1553" s="95" t="s">
        <v>364</v>
      </c>
      <c r="BJ1553" s="96">
        <v>13.28</v>
      </c>
    </row>
    <row r="1554" spans="54:62" ht="13.8" x14ac:dyDescent="0.25">
      <c r="BB1554" s="187">
        <v>44288</v>
      </c>
      <c r="BC1554" s="180">
        <v>-0.51200000000000001</v>
      </c>
      <c r="BD1554" s="191">
        <v>44288</v>
      </c>
      <c r="BE1554" s="192" t="s">
        <v>230</v>
      </c>
      <c r="BH1554" s="94">
        <v>44351</v>
      </c>
      <c r="BI1554" s="95" t="s">
        <v>111</v>
      </c>
      <c r="BJ1554" s="96">
        <v>13.28</v>
      </c>
    </row>
    <row r="1555" spans="54:62" ht="13.8" x14ac:dyDescent="0.25">
      <c r="BB1555" s="187">
        <v>44291</v>
      </c>
      <c r="BC1555" s="180">
        <v>-0.51200000000000001</v>
      </c>
      <c r="BD1555" s="191"/>
      <c r="BE1555" s="193" t="str">
        <f>+BE1554</f>
        <v>−0,265</v>
      </c>
      <c r="BH1555" s="94">
        <v>44354</v>
      </c>
      <c r="BI1555" s="95" t="s">
        <v>141</v>
      </c>
      <c r="BJ1555" s="96">
        <v>13.27</v>
      </c>
    </row>
    <row r="1556" spans="54:62" ht="13.8" x14ac:dyDescent="0.25">
      <c r="BB1556" s="187">
        <v>44292</v>
      </c>
      <c r="BC1556" s="180">
        <v>-0.51700000000000002</v>
      </c>
      <c r="BD1556" s="191">
        <v>44292</v>
      </c>
      <c r="BE1556" s="192" t="s">
        <v>356</v>
      </c>
      <c r="BH1556" s="94">
        <v>44355</v>
      </c>
      <c r="BI1556" s="95" t="s">
        <v>366</v>
      </c>
      <c r="BJ1556" s="96">
        <v>13.27</v>
      </c>
    </row>
    <row r="1557" spans="54:62" ht="13.8" x14ac:dyDescent="0.25">
      <c r="BB1557" s="187">
        <v>44293</v>
      </c>
      <c r="BC1557" s="180">
        <v>-0.51700000000000002</v>
      </c>
      <c r="BD1557" s="191">
        <v>44293</v>
      </c>
      <c r="BE1557" s="192" t="s">
        <v>250</v>
      </c>
      <c r="BH1557" s="94">
        <v>44356</v>
      </c>
      <c r="BI1557" s="95" t="s">
        <v>141</v>
      </c>
      <c r="BJ1557" s="96">
        <v>13.25</v>
      </c>
    </row>
    <row r="1558" spans="54:62" ht="13.8" x14ac:dyDescent="0.25">
      <c r="BB1558" s="187">
        <v>44294</v>
      </c>
      <c r="BC1558" s="180">
        <v>-0.51800000000000002</v>
      </c>
      <c r="BD1558" s="191">
        <v>44294</v>
      </c>
      <c r="BE1558" s="192" t="s">
        <v>357</v>
      </c>
      <c r="BH1558" s="94">
        <v>44357</v>
      </c>
      <c r="BI1558" s="95" t="s">
        <v>365</v>
      </c>
      <c r="BJ1558" s="96">
        <v>13.21</v>
      </c>
    </row>
    <row r="1559" spans="54:62" ht="13.8" x14ac:dyDescent="0.25">
      <c r="BB1559" s="187">
        <v>44295</v>
      </c>
      <c r="BC1559" s="180">
        <v>-0.52200000000000002</v>
      </c>
      <c r="BD1559" s="191">
        <v>44295</v>
      </c>
      <c r="BE1559" s="192" t="s">
        <v>357</v>
      </c>
      <c r="BH1559" s="94">
        <v>44358</v>
      </c>
      <c r="BI1559" s="95" t="s">
        <v>72</v>
      </c>
      <c r="BJ1559" s="96">
        <v>13.21</v>
      </c>
    </row>
    <row r="1560" spans="54:62" ht="13.8" x14ac:dyDescent="0.25">
      <c r="BB1560" s="187">
        <v>44298</v>
      </c>
      <c r="BC1560" s="180">
        <v>-0.51700000000000002</v>
      </c>
      <c r="BD1560" s="191">
        <v>44298</v>
      </c>
      <c r="BE1560" s="192" t="s">
        <v>357</v>
      </c>
      <c r="BH1560" s="94">
        <v>44361</v>
      </c>
      <c r="BI1560" s="95" t="s">
        <v>108</v>
      </c>
      <c r="BJ1560" s="96">
        <v>13.2</v>
      </c>
    </row>
    <row r="1561" spans="54:62" ht="13.8" x14ac:dyDescent="0.25">
      <c r="BB1561" s="187">
        <v>44299</v>
      </c>
      <c r="BC1561" s="180">
        <v>-0.52300000000000002</v>
      </c>
      <c r="BD1561" s="191">
        <v>44299</v>
      </c>
      <c r="BE1561" s="192" t="s">
        <v>230</v>
      </c>
      <c r="BH1561" s="94">
        <v>44362</v>
      </c>
      <c r="BI1561" s="95" t="s">
        <v>74</v>
      </c>
      <c r="BJ1561" s="96">
        <v>13.2</v>
      </c>
    </row>
    <row r="1562" spans="54:62" ht="13.8" x14ac:dyDescent="0.25">
      <c r="BB1562" s="187">
        <v>44300</v>
      </c>
      <c r="BC1562" s="180">
        <v>-0.50900000000000001</v>
      </c>
      <c r="BD1562" s="191">
        <v>44300</v>
      </c>
      <c r="BE1562" s="192" t="s">
        <v>281</v>
      </c>
      <c r="BH1562" s="94">
        <v>44363</v>
      </c>
      <c r="BI1562" s="95" t="s">
        <v>98</v>
      </c>
      <c r="BJ1562" s="96">
        <v>13.19</v>
      </c>
    </row>
    <row r="1563" spans="54:62" ht="13.8" x14ac:dyDescent="0.25">
      <c r="BB1563" s="187">
        <v>44301</v>
      </c>
      <c r="BC1563" s="180">
        <v>-0.51200000000000001</v>
      </c>
      <c r="BD1563" s="191">
        <v>44301</v>
      </c>
      <c r="BE1563" s="192" t="s">
        <v>358</v>
      </c>
      <c r="BH1563" s="94">
        <v>44364</v>
      </c>
      <c r="BI1563" s="95" t="s">
        <v>77</v>
      </c>
      <c r="BJ1563" s="96">
        <v>13.18</v>
      </c>
    </row>
    <row r="1564" spans="54:62" ht="13.8" x14ac:dyDescent="0.25">
      <c r="BB1564" s="187">
        <v>44302</v>
      </c>
      <c r="BC1564" s="180">
        <v>-0.51100000000000001</v>
      </c>
      <c r="BD1564" s="191">
        <v>44302</v>
      </c>
      <c r="BE1564" s="192" t="s">
        <v>203</v>
      </c>
      <c r="BH1564" s="94">
        <v>44365</v>
      </c>
      <c r="BI1564" s="95" t="s">
        <v>103</v>
      </c>
      <c r="BJ1564" s="96">
        <v>13.18</v>
      </c>
    </row>
    <row r="1565" spans="54:62" ht="13.8" x14ac:dyDescent="0.25">
      <c r="BB1565" s="187">
        <v>44305</v>
      </c>
      <c r="BC1565" s="180">
        <v>-0.51300000000000001</v>
      </c>
      <c r="BD1565" s="191">
        <v>44305</v>
      </c>
      <c r="BE1565" s="192" t="s">
        <v>358</v>
      </c>
      <c r="BH1565" s="94">
        <v>44368</v>
      </c>
      <c r="BI1565" s="95" t="s">
        <v>367</v>
      </c>
      <c r="BJ1565" s="96">
        <v>13.17</v>
      </c>
    </row>
    <row r="1566" spans="54:62" ht="13.8" x14ac:dyDescent="0.25">
      <c r="BB1566" s="187">
        <v>44306</v>
      </c>
      <c r="BC1566" s="180">
        <v>-0.51300000000000001</v>
      </c>
      <c r="BD1566" s="191">
        <v>44306</v>
      </c>
      <c r="BE1566" s="192" t="s">
        <v>359</v>
      </c>
      <c r="BH1566" s="94">
        <v>44369</v>
      </c>
      <c r="BI1566" s="95" t="s">
        <v>219</v>
      </c>
      <c r="BJ1566" s="96">
        <v>13.16</v>
      </c>
    </row>
    <row r="1567" spans="54:62" ht="13.8" x14ac:dyDescent="0.25">
      <c r="BB1567" s="187">
        <v>44307</v>
      </c>
      <c r="BC1567" s="180">
        <v>-0.51300000000000001</v>
      </c>
      <c r="BD1567" s="191">
        <v>44307</v>
      </c>
      <c r="BE1567" s="192" t="s">
        <v>360</v>
      </c>
      <c r="BH1567" s="94">
        <v>44370</v>
      </c>
      <c r="BI1567" s="95" t="s">
        <v>82</v>
      </c>
      <c r="BJ1567" s="96">
        <v>13.16</v>
      </c>
    </row>
    <row r="1568" spans="54:62" ht="13.8" x14ac:dyDescent="0.25">
      <c r="BB1568" s="187">
        <v>44308</v>
      </c>
      <c r="BC1568" s="180">
        <v>-0.51500000000000001</v>
      </c>
      <c r="BD1568" s="191">
        <v>44308</v>
      </c>
      <c r="BE1568" s="192" t="s">
        <v>271</v>
      </c>
      <c r="BH1568" s="94">
        <v>44371</v>
      </c>
      <c r="BI1568" s="95" t="s">
        <v>82</v>
      </c>
      <c r="BJ1568" s="96">
        <v>13.16</v>
      </c>
    </row>
    <row r="1569" spans="54:62" ht="13.8" x14ac:dyDescent="0.25">
      <c r="BB1569" s="187">
        <v>44309</v>
      </c>
      <c r="BC1569" s="180">
        <v>-0.51500000000000001</v>
      </c>
      <c r="BD1569" s="191">
        <v>44309</v>
      </c>
      <c r="BE1569" s="192" t="s">
        <v>361</v>
      </c>
      <c r="BH1569" s="94">
        <v>44372</v>
      </c>
      <c r="BI1569" s="95" t="s">
        <v>82</v>
      </c>
      <c r="BJ1569" s="96">
        <v>13.16</v>
      </c>
    </row>
    <row r="1570" spans="54:62" ht="13.8" x14ac:dyDescent="0.25">
      <c r="BB1570" s="187">
        <v>44312</v>
      </c>
      <c r="BC1570" s="180">
        <v>-0.51400000000000001</v>
      </c>
      <c r="BD1570" s="191">
        <v>44312</v>
      </c>
      <c r="BE1570" s="192" t="s">
        <v>252</v>
      </c>
      <c r="BH1570" s="94">
        <v>44375</v>
      </c>
      <c r="BI1570" s="95" t="s">
        <v>82</v>
      </c>
      <c r="BJ1570" s="96">
        <v>13.15</v>
      </c>
    </row>
    <row r="1571" spans="54:62" ht="13.8" x14ac:dyDescent="0.25">
      <c r="BB1571" s="187">
        <v>44313</v>
      </c>
      <c r="BC1571" s="180">
        <v>-0.51800000000000002</v>
      </c>
      <c r="BD1571" s="191">
        <v>44313</v>
      </c>
      <c r="BE1571" s="192" t="s">
        <v>273</v>
      </c>
      <c r="BH1571" s="94">
        <v>44376</v>
      </c>
      <c r="BI1571" s="95" t="s">
        <v>82</v>
      </c>
      <c r="BJ1571" s="96">
        <v>13.15</v>
      </c>
    </row>
    <row r="1572" spans="54:62" ht="13.8" x14ac:dyDescent="0.25">
      <c r="BB1572" s="187">
        <v>44314</v>
      </c>
      <c r="BC1572" s="180">
        <v>-0.51800000000000002</v>
      </c>
      <c r="BD1572" s="191">
        <v>44314</v>
      </c>
      <c r="BE1572" s="192" t="s">
        <v>275</v>
      </c>
      <c r="BH1572" s="94">
        <v>44377</v>
      </c>
      <c r="BI1572" s="95" t="s">
        <v>368</v>
      </c>
      <c r="BJ1572" s="96">
        <v>13.14</v>
      </c>
    </row>
    <row r="1573" spans="54:62" ht="13.8" x14ac:dyDescent="0.25">
      <c r="BB1573" s="187">
        <v>44315</v>
      </c>
      <c r="BC1573" s="180">
        <v>-0.51800000000000002</v>
      </c>
      <c r="BD1573" s="191">
        <v>44315</v>
      </c>
      <c r="BE1573" s="192" t="s">
        <v>152</v>
      </c>
      <c r="BH1573" s="94">
        <v>44378</v>
      </c>
      <c r="BI1573" s="95" t="s">
        <v>83</v>
      </c>
      <c r="BJ1573" s="96">
        <v>13.14</v>
      </c>
    </row>
    <row r="1574" spans="54:62" ht="13.8" x14ac:dyDescent="0.25">
      <c r="BB1574" s="187">
        <v>44316</v>
      </c>
      <c r="BC1574" s="180">
        <v>-0.52100000000000002</v>
      </c>
      <c r="BD1574" s="191">
        <v>44316</v>
      </c>
      <c r="BE1574" s="192" t="s">
        <v>362</v>
      </c>
      <c r="BH1574" s="94">
        <v>44379</v>
      </c>
      <c r="BI1574" s="95" t="s">
        <v>223</v>
      </c>
      <c r="BJ1574" s="96">
        <v>13.14</v>
      </c>
    </row>
    <row r="1575" spans="54:62" ht="13.8" x14ac:dyDescent="0.25">
      <c r="BB1575" s="187">
        <v>44319</v>
      </c>
      <c r="BC1575" s="180">
        <v>-0.51800000000000002</v>
      </c>
      <c r="BD1575" s="191">
        <v>44319</v>
      </c>
      <c r="BE1575" s="192">
        <v>-0.217</v>
      </c>
      <c r="BF1575" s="111">
        <f>+(BC1575+BE1575)/2+0.37</f>
        <v>2.5000000000000022E-3</v>
      </c>
      <c r="BH1575" s="94">
        <v>44382</v>
      </c>
      <c r="BI1575" s="95" t="s">
        <v>84</v>
      </c>
      <c r="BJ1575" s="96">
        <v>13.13</v>
      </c>
    </row>
    <row r="1576" spans="54:62" ht="13.8" x14ac:dyDescent="0.25">
      <c r="BB1576" s="187">
        <v>44320</v>
      </c>
      <c r="BC1576" s="180">
        <v>-0.51600000000000001</v>
      </c>
      <c r="BD1576" s="191">
        <v>44320</v>
      </c>
      <c r="BE1576" s="192" t="s">
        <v>149</v>
      </c>
      <c r="BH1576" s="94">
        <v>44383</v>
      </c>
      <c r="BI1576" s="95" t="s">
        <v>369</v>
      </c>
      <c r="BJ1576" s="96">
        <v>13.13</v>
      </c>
    </row>
    <row r="1577" spans="54:62" ht="13.8" x14ac:dyDescent="0.25">
      <c r="BB1577" s="187">
        <v>44321</v>
      </c>
      <c r="BC1577" s="180">
        <v>-0.51500000000000001</v>
      </c>
      <c r="BD1577" s="191">
        <v>44321</v>
      </c>
      <c r="BE1577" s="192" t="s">
        <v>148</v>
      </c>
      <c r="BH1577" s="94">
        <v>44384</v>
      </c>
      <c r="BI1577" s="95" t="s">
        <v>86</v>
      </c>
      <c r="BJ1577" s="96">
        <v>13.12</v>
      </c>
    </row>
    <row r="1578" spans="54:62" ht="13.8" x14ac:dyDescent="0.25">
      <c r="BB1578" s="187">
        <v>44322</v>
      </c>
      <c r="BC1578" s="180">
        <v>-0.51300000000000001</v>
      </c>
      <c r="BD1578" s="191">
        <v>44322</v>
      </c>
      <c r="BE1578" s="192" t="s">
        <v>225</v>
      </c>
      <c r="BH1578" s="94">
        <v>44385</v>
      </c>
      <c r="BI1578" s="95" t="s">
        <v>215</v>
      </c>
      <c r="BJ1578" s="96">
        <v>13.08</v>
      </c>
    </row>
    <row r="1579" spans="54:62" ht="13.8" x14ac:dyDescent="0.25">
      <c r="BB1579" s="187">
        <v>44323</v>
      </c>
      <c r="BC1579" s="180">
        <v>-0.51400000000000001</v>
      </c>
      <c r="BD1579" s="191">
        <v>44323</v>
      </c>
      <c r="BE1579" s="192" t="s">
        <v>224</v>
      </c>
      <c r="BH1579" s="94">
        <v>44386</v>
      </c>
      <c r="BI1579" s="95" t="s">
        <v>88</v>
      </c>
      <c r="BJ1579" s="96">
        <v>13.08</v>
      </c>
    </row>
    <row r="1580" spans="54:62" ht="13.8" x14ac:dyDescent="0.25">
      <c r="BB1580" s="187">
        <v>44326</v>
      </c>
      <c r="BC1580" s="180">
        <v>-0.51300000000000001</v>
      </c>
      <c r="BD1580" s="191">
        <v>44326</v>
      </c>
      <c r="BE1580" s="192" t="s">
        <v>93</v>
      </c>
      <c r="BH1580" s="94">
        <v>44389</v>
      </c>
      <c r="BI1580" s="95" t="s">
        <v>214</v>
      </c>
      <c r="BJ1580" s="96">
        <v>13.07</v>
      </c>
    </row>
    <row r="1581" spans="54:62" ht="13.8" x14ac:dyDescent="0.25">
      <c r="BB1581" s="187">
        <v>44327</v>
      </c>
      <c r="BC1581" s="180">
        <v>-0.51300000000000001</v>
      </c>
      <c r="BD1581" s="191">
        <v>44327</v>
      </c>
      <c r="BE1581" s="192" t="s">
        <v>89</v>
      </c>
      <c r="BH1581" s="94">
        <v>44390</v>
      </c>
      <c r="BI1581" s="95" t="s">
        <v>213</v>
      </c>
      <c r="BJ1581" s="96">
        <v>13.2</v>
      </c>
    </row>
    <row r="1582" spans="54:62" ht="13.8" x14ac:dyDescent="0.25">
      <c r="BB1582" s="187">
        <v>44328</v>
      </c>
      <c r="BC1582" s="180">
        <v>-0.51300000000000001</v>
      </c>
      <c r="BD1582" s="191">
        <v>44328</v>
      </c>
      <c r="BE1582" s="192" t="s">
        <v>216</v>
      </c>
      <c r="BH1582" s="94">
        <v>44391</v>
      </c>
      <c r="BI1582" s="95" t="s">
        <v>95</v>
      </c>
      <c r="BJ1582" s="96">
        <v>13.2</v>
      </c>
    </row>
    <row r="1583" spans="54:62" ht="13.8" x14ac:dyDescent="0.25">
      <c r="BB1583" s="187">
        <v>44329</v>
      </c>
      <c r="BC1583" s="180">
        <v>-0.51500000000000001</v>
      </c>
      <c r="BD1583" s="191"/>
      <c r="BE1583" s="193" t="str">
        <f>+BE1582</f>
        <v>−0,186</v>
      </c>
      <c r="BH1583" s="94">
        <v>44392</v>
      </c>
      <c r="BI1583" s="95" t="s">
        <v>92</v>
      </c>
      <c r="BJ1583" s="96">
        <v>13.19</v>
      </c>
    </row>
    <row r="1584" spans="54:62" ht="13.8" x14ac:dyDescent="0.25">
      <c r="BB1584" s="187">
        <v>44330</v>
      </c>
      <c r="BC1584" s="180">
        <v>-0.51300000000000001</v>
      </c>
      <c r="BD1584" s="191">
        <v>44330</v>
      </c>
      <c r="BE1584" s="192" t="s">
        <v>86</v>
      </c>
      <c r="BH1584" s="94">
        <v>44393</v>
      </c>
      <c r="BI1584" s="95" t="s">
        <v>145</v>
      </c>
      <c r="BJ1584" s="96">
        <v>13.19</v>
      </c>
    </row>
    <row r="1585" spans="54:62" ht="13.8" x14ac:dyDescent="0.25">
      <c r="BB1585" s="187">
        <v>44333</v>
      </c>
      <c r="BC1585" s="180">
        <v>-0.51500000000000001</v>
      </c>
      <c r="BD1585" s="191">
        <v>44333</v>
      </c>
      <c r="BE1585" s="192" t="s">
        <v>217</v>
      </c>
      <c r="BH1585" s="94">
        <v>44396</v>
      </c>
      <c r="BI1585" s="95" t="s">
        <v>226</v>
      </c>
      <c r="BJ1585" s="96">
        <v>13.18</v>
      </c>
    </row>
    <row r="1586" spans="54:62" ht="13.8" x14ac:dyDescent="0.25">
      <c r="BB1586" s="187">
        <v>44334</v>
      </c>
      <c r="BC1586" s="180">
        <v>-0.51500000000000001</v>
      </c>
      <c r="BD1586" s="191">
        <v>44334</v>
      </c>
      <c r="BE1586" s="192" t="s">
        <v>80</v>
      </c>
      <c r="BH1586" s="94">
        <v>44397</v>
      </c>
      <c r="BI1586" s="95" t="s">
        <v>208</v>
      </c>
      <c r="BJ1586" s="96">
        <v>13.18</v>
      </c>
    </row>
    <row r="1587" spans="54:62" ht="13.8" x14ac:dyDescent="0.25">
      <c r="BB1587" s="187">
        <v>44335</v>
      </c>
      <c r="BC1587" s="180">
        <v>-0.51500000000000001</v>
      </c>
      <c r="BD1587" s="191">
        <v>44335</v>
      </c>
      <c r="BE1587" s="192" t="s">
        <v>103</v>
      </c>
      <c r="BH1587" s="94">
        <v>44398</v>
      </c>
      <c r="BI1587" s="95" t="s">
        <v>227</v>
      </c>
      <c r="BJ1587" s="96">
        <v>13.17</v>
      </c>
    </row>
    <row r="1588" spans="54:62" ht="13.8" x14ac:dyDescent="0.25">
      <c r="BB1588" s="187">
        <v>44336</v>
      </c>
      <c r="BC1588" s="180">
        <v>-0.51700000000000002</v>
      </c>
      <c r="BD1588" s="191">
        <v>44336</v>
      </c>
      <c r="BE1588" s="192" t="s">
        <v>97</v>
      </c>
      <c r="BH1588" s="94">
        <v>44399</v>
      </c>
      <c r="BI1588" s="95" t="s">
        <v>153</v>
      </c>
      <c r="BJ1588" s="96">
        <v>13.17</v>
      </c>
    </row>
    <row r="1589" spans="54:62" ht="13.8" x14ac:dyDescent="0.25">
      <c r="BB1589" s="187">
        <v>44337</v>
      </c>
      <c r="BC1589" s="180">
        <v>-0.51300000000000001</v>
      </c>
      <c r="BD1589" s="191">
        <v>44337</v>
      </c>
      <c r="BE1589" s="192" t="s">
        <v>99</v>
      </c>
      <c r="BH1589" s="94">
        <v>44400</v>
      </c>
      <c r="BI1589" s="95" t="s">
        <v>269</v>
      </c>
      <c r="BJ1589" s="96">
        <v>13.17</v>
      </c>
    </row>
    <row r="1590" spans="54:62" ht="13.8" x14ac:dyDescent="0.25">
      <c r="BB1590" s="187">
        <v>44340</v>
      </c>
      <c r="BC1590" s="180">
        <v>-0.50900000000000001</v>
      </c>
      <c r="BD1590" s="191"/>
      <c r="BE1590" s="193" t="str">
        <f>+BE1589</f>
        <v>−0,148</v>
      </c>
      <c r="BH1590" s="94">
        <v>44403</v>
      </c>
      <c r="BI1590" s="95" t="s">
        <v>370</v>
      </c>
      <c r="BJ1590" s="96">
        <v>13.16</v>
      </c>
    </row>
    <row r="1591" spans="54:62" ht="13.8" x14ac:dyDescent="0.25">
      <c r="BB1591" s="187">
        <v>44341</v>
      </c>
      <c r="BC1591" s="180">
        <v>-0.505</v>
      </c>
      <c r="BD1591" s="191">
        <v>44341</v>
      </c>
      <c r="BE1591" s="192" t="s">
        <v>101</v>
      </c>
      <c r="BH1591" s="94">
        <v>44404</v>
      </c>
      <c r="BI1591" s="95" t="s">
        <v>280</v>
      </c>
      <c r="BJ1591" s="96">
        <v>13.16</v>
      </c>
    </row>
    <row r="1592" spans="54:62" ht="13.8" x14ac:dyDescent="0.25">
      <c r="BB1592" s="187">
        <v>44342</v>
      </c>
      <c r="BC1592" s="180">
        <v>-0.50700000000000001</v>
      </c>
      <c r="BD1592" s="191">
        <v>44342</v>
      </c>
      <c r="BE1592" s="192" t="s">
        <v>108</v>
      </c>
      <c r="BH1592" s="94">
        <v>44405</v>
      </c>
      <c r="BI1592" s="95" t="s">
        <v>357</v>
      </c>
      <c r="BJ1592" s="96">
        <v>13.15</v>
      </c>
    </row>
    <row r="1593" spans="54:62" ht="13.8" x14ac:dyDescent="0.25">
      <c r="BB1593" s="187">
        <v>44343</v>
      </c>
      <c r="BC1593" s="180">
        <v>-0.50900000000000001</v>
      </c>
      <c r="BD1593" s="191">
        <v>44343</v>
      </c>
      <c r="BE1593" s="192" t="s">
        <v>142</v>
      </c>
      <c r="BH1593" s="94">
        <v>44406</v>
      </c>
      <c r="BI1593" s="95" t="s">
        <v>349</v>
      </c>
      <c r="BJ1593" s="96">
        <v>13.15</v>
      </c>
    </row>
    <row r="1594" spans="54:62" ht="13.8" x14ac:dyDescent="0.25">
      <c r="BB1594" s="187">
        <v>44344</v>
      </c>
      <c r="BC1594" s="180">
        <v>-0.51200000000000001</v>
      </c>
      <c r="BD1594" s="191">
        <v>44344</v>
      </c>
      <c r="BE1594" s="192" t="s">
        <v>363</v>
      </c>
      <c r="BH1594" s="94">
        <v>44407</v>
      </c>
      <c r="BI1594" s="95" t="s">
        <v>232</v>
      </c>
      <c r="BJ1594" s="96">
        <v>13.15</v>
      </c>
    </row>
    <row r="1595" spans="54:62" ht="13.8" x14ac:dyDescent="0.25">
      <c r="BB1595" s="187">
        <v>44347</v>
      </c>
      <c r="BC1595" s="180">
        <v>-0.51300000000000001</v>
      </c>
      <c r="BD1595" s="191">
        <v>44347</v>
      </c>
      <c r="BE1595" s="192" t="s">
        <v>364</v>
      </c>
      <c r="BH1595" s="94">
        <v>44410</v>
      </c>
      <c r="BI1595" s="95" t="s">
        <v>347</v>
      </c>
      <c r="BJ1595" s="96">
        <v>13.14</v>
      </c>
    </row>
    <row r="1596" spans="54:62" ht="13.8" x14ac:dyDescent="0.25">
      <c r="BB1596" s="187">
        <v>44348</v>
      </c>
      <c r="BC1596" s="180">
        <v>-0.51700000000000002</v>
      </c>
      <c r="BD1596" s="191">
        <v>44348</v>
      </c>
      <c r="BE1596" s="192" t="s">
        <v>365</v>
      </c>
      <c r="BH1596" s="94">
        <v>44411</v>
      </c>
      <c r="BI1596" s="95" t="s">
        <v>371</v>
      </c>
      <c r="BJ1596" s="96">
        <v>13.14</v>
      </c>
    </row>
    <row r="1597" spans="54:62" ht="13.8" x14ac:dyDescent="0.25">
      <c r="BB1597" s="187">
        <v>44349</v>
      </c>
      <c r="BC1597" s="180">
        <v>-0.51600000000000001</v>
      </c>
      <c r="BD1597" s="191">
        <v>44349</v>
      </c>
      <c r="BE1597" s="192" t="s">
        <v>364</v>
      </c>
      <c r="BH1597" s="94">
        <v>44412</v>
      </c>
      <c r="BI1597" s="95" t="s">
        <v>372</v>
      </c>
      <c r="BJ1597" s="96">
        <v>13.13</v>
      </c>
    </row>
    <row r="1598" spans="54:62" ht="13.8" x14ac:dyDescent="0.25">
      <c r="BB1598" s="187">
        <v>44350</v>
      </c>
      <c r="BC1598" s="180">
        <v>-0.51700000000000002</v>
      </c>
      <c r="BD1598" s="191"/>
      <c r="BE1598" s="193" t="str">
        <f>+BE1597</f>
        <v>−0,135</v>
      </c>
      <c r="BH1598" s="94">
        <v>44413</v>
      </c>
      <c r="BI1598" s="95" t="s">
        <v>373</v>
      </c>
      <c r="BJ1598" s="96">
        <v>13.09</v>
      </c>
    </row>
    <row r="1599" spans="54:62" ht="13.8" x14ac:dyDescent="0.25">
      <c r="BB1599" s="187">
        <v>44351</v>
      </c>
      <c r="BC1599" s="180">
        <v>-0.51300000000000001</v>
      </c>
      <c r="BD1599" s="191">
        <v>44351</v>
      </c>
      <c r="BE1599" s="192" t="s">
        <v>111</v>
      </c>
      <c r="BH1599" s="94">
        <v>44414</v>
      </c>
      <c r="BI1599" s="95" t="s">
        <v>291</v>
      </c>
      <c r="BJ1599" s="96">
        <v>13.09</v>
      </c>
    </row>
    <row r="1600" spans="54:62" ht="13.8" x14ac:dyDescent="0.25">
      <c r="BB1600" s="187">
        <v>44354</v>
      </c>
      <c r="BC1600" s="180">
        <v>-0.51300000000000001</v>
      </c>
      <c r="BD1600" s="191">
        <v>44354</v>
      </c>
      <c r="BE1600" s="192" t="s">
        <v>141</v>
      </c>
      <c r="BH1600" s="94">
        <v>44417</v>
      </c>
      <c r="BI1600" s="95" t="s">
        <v>161</v>
      </c>
      <c r="BJ1600" s="96">
        <v>13.08</v>
      </c>
    </row>
    <row r="1601" spans="54:62" ht="13.8" x14ac:dyDescent="0.25">
      <c r="BB1601" s="187">
        <v>44355</v>
      </c>
      <c r="BC1601" s="180">
        <v>-0.51600000000000001</v>
      </c>
      <c r="BD1601" s="191">
        <v>44355</v>
      </c>
      <c r="BE1601" s="192" t="s">
        <v>366</v>
      </c>
      <c r="BH1601" s="94">
        <v>44418</v>
      </c>
      <c r="BI1601" s="95" t="s">
        <v>374</v>
      </c>
      <c r="BJ1601" s="96">
        <v>13.08</v>
      </c>
    </row>
    <row r="1602" spans="54:62" ht="13.8" x14ac:dyDescent="0.25">
      <c r="BB1602" s="187">
        <v>44356</v>
      </c>
      <c r="BC1602" s="180">
        <v>-0.51800000000000002</v>
      </c>
      <c r="BD1602" s="191">
        <v>44356</v>
      </c>
      <c r="BE1602" s="192" t="s">
        <v>141</v>
      </c>
      <c r="BH1602" s="94">
        <v>44419</v>
      </c>
      <c r="BI1602" s="95" t="s">
        <v>246</v>
      </c>
      <c r="BJ1602" s="96">
        <v>13.08</v>
      </c>
    </row>
    <row r="1603" spans="54:62" ht="13.8" x14ac:dyDescent="0.25">
      <c r="BB1603" s="187">
        <v>44357</v>
      </c>
      <c r="BC1603" s="180">
        <v>-0.51900000000000002</v>
      </c>
      <c r="BD1603" s="191">
        <v>44357</v>
      </c>
      <c r="BE1603" s="192" t="s">
        <v>365</v>
      </c>
      <c r="BH1603" s="94">
        <v>44420</v>
      </c>
      <c r="BI1603" s="95" t="s">
        <v>295</v>
      </c>
      <c r="BJ1603" s="96">
        <v>13.08</v>
      </c>
    </row>
    <row r="1604" spans="54:62" ht="13.8" x14ac:dyDescent="0.25">
      <c r="BB1604" s="187">
        <v>44358</v>
      </c>
      <c r="BC1604" s="180">
        <v>-0.52100000000000002</v>
      </c>
      <c r="BD1604" s="191">
        <v>44358</v>
      </c>
      <c r="BE1604" s="192" t="s">
        <v>72</v>
      </c>
      <c r="BH1604" s="94">
        <v>44421</v>
      </c>
      <c r="BI1604" s="95" t="s">
        <v>193</v>
      </c>
      <c r="BJ1604" s="96">
        <v>13.07</v>
      </c>
    </row>
    <row r="1605" spans="54:62" ht="13.8" x14ac:dyDescent="0.25">
      <c r="BB1605" s="187">
        <v>44361</v>
      </c>
      <c r="BC1605" s="180">
        <v>-0.52200000000000002</v>
      </c>
      <c r="BD1605" s="191">
        <v>44361</v>
      </c>
      <c r="BE1605" s="192" t="s">
        <v>108</v>
      </c>
      <c r="BH1605" s="94">
        <v>44424</v>
      </c>
      <c r="BI1605" s="95" t="s">
        <v>192</v>
      </c>
      <c r="BJ1605" s="96">
        <v>13.07</v>
      </c>
    </row>
    <row r="1606" spans="54:62" ht="13.8" x14ac:dyDescent="0.25">
      <c r="BB1606" s="187">
        <v>44362</v>
      </c>
      <c r="BC1606" s="180">
        <v>-0.52200000000000002</v>
      </c>
      <c r="BD1606" s="191">
        <v>44362</v>
      </c>
      <c r="BE1606" s="192" t="s">
        <v>74</v>
      </c>
      <c r="BH1606" s="94">
        <v>44425</v>
      </c>
      <c r="BI1606" s="95" t="s">
        <v>307</v>
      </c>
      <c r="BJ1606" s="96">
        <v>13.06</v>
      </c>
    </row>
    <row r="1607" spans="54:62" ht="13.8" x14ac:dyDescent="0.25">
      <c r="BB1607" s="187">
        <v>44363</v>
      </c>
      <c r="BC1607" s="180">
        <v>-0.51900000000000002</v>
      </c>
      <c r="BD1607" s="191">
        <v>44363</v>
      </c>
      <c r="BE1607" s="192" t="s">
        <v>98</v>
      </c>
      <c r="BH1607" s="94">
        <v>44426</v>
      </c>
      <c r="BI1607" s="95" t="s">
        <v>191</v>
      </c>
      <c r="BJ1607" s="96">
        <v>13.06</v>
      </c>
    </row>
    <row r="1608" spans="54:62" ht="13.8" x14ac:dyDescent="0.25">
      <c r="BB1608" s="187">
        <v>44364</v>
      </c>
      <c r="BC1608" s="180">
        <v>-0.51300000000000001</v>
      </c>
      <c r="BD1608" s="191">
        <v>44364</v>
      </c>
      <c r="BE1608" s="192" t="s">
        <v>77</v>
      </c>
      <c r="BH1608" s="94">
        <v>44427</v>
      </c>
      <c r="BI1608" s="95" t="s">
        <v>189</v>
      </c>
      <c r="BJ1608" s="96">
        <v>13.06</v>
      </c>
    </row>
    <row r="1609" spans="54:62" ht="13.8" x14ac:dyDescent="0.25">
      <c r="BB1609" s="187">
        <v>44365</v>
      </c>
      <c r="BC1609" s="180">
        <v>-0.51300000000000001</v>
      </c>
      <c r="BD1609" s="191">
        <v>44365</v>
      </c>
      <c r="BE1609" s="192" t="s">
        <v>103</v>
      </c>
      <c r="BH1609" s="94">
        <v>44428</v>
      </c>
      <c r="BI1609" s="95" t="s">
        <v>297</v>
      </c>
      <c r="BJ1609" s="96">
        <v>13.05</v>
      </c>
    </row>
    <row r="1610" spans="54:62" ht="13.8" x14ac:dyDescent="0.25">
      <c r="BB1610" s="187">
        <v>44368</v>
      </c>
      <c r="BC1610" s="180">
        <v>-0.51100000000000001</v>
      </c>
      <c r="BD1610" s="191">
        <v>44368</v>
      </c>
      <c r="BE1610" s="192" t="s">
        <v>367</v>
      </c>
      <c r="BH1610" s="94">
        <v>44431</v>
      </c>
      <c r="BI1610" s="95" t="s">
        <v>375</v>
      </c>
      <c r="BJ1610" s="96">
        <v>13.05</v>
      </c>
    </row>
    <row r="1611" spans="54:62" ht="13.8" x14ac:dyDescent="0.25">
      <c r="BB1611" s="187">
        <v>44369</v>
      </c>
      <c r="BC1611" s="180">
        <v>-0.50800000000000001</v>
      </c>
      <c r="BD1611" s="191">
        <v>44369</v>
      </c>
      <c r="BE1611" s="192" t="s">
        <v>219</v>
      </c>
      <c r="BH1611" s="94">
        <v>44432</v>
      </c>
      <c r="BI1611" s="95" t="s">
        <v>306</v>
      </c>
      <c r="BJ1611" s="96">
        <v>13.04</v>
      </c>
    </row>
    <row r="1612" spans="54:62" ht="13.8" x14ac:dyDescent="0.25">
      <c r="BB1612" s="187">
        <v>44370</v>
      </c>
      <c r="BC1612" s="180">
        <v>-0.50900000000000001</v>
      </c>
      <c r="BD1612" s="191">
        <v>44370</v>
      </c>
      <c r="BE1612" s="192" t="s">
        <v>82</v>
      </c>
      <c r="BH1612" s="94">
        <v>44433</v>
      </c>
      <c r="BI1612" s="95" t="s">
        <v>305</v>
      </c>
      <c r="BJ1612" s="96">
        <v>13.04</v>
      </c>
    </row>
    <row r="1613" spans="54:62" ht="13.8" x14ac:dyDescent="0.25">
      <c r="BB1613" s="187">
        <v>44371</v>
      </c>
      <c r="BC1613" s="180">
        <v>-0.50800000000000001</v>
      </c>
      <c r="BD1613" s="191">
        <v>44371</v>
      </c>
      <c r="BE1613" s="192" t="s">
        <v>82</v>
      </c>
      <c r="BH1613" s="94">
        <v>44434</v>
      </c>
      <c r="BI1613" s="95" t="s">
        <v>306</v>
      </c>
      <c r="BJ1613" s="96">
        <v>13.04</v>
      </c>
    </row>
    <row r="1614" spans="54:62" ht="13.8" x14ac:dyDescent="0.25">
      <c r="BB1614" s="187">
        <v>44372</v>
      </c>
      <c r="BC1614" s="180">
        <v>-0.51300000000000001</v>
      </c>
      <c r="BD1614" s="191">
        <v>44372</v>
      </c>
      <c r="BE1614" s="192" t="s">
        <v>82</v>
      </c>
      <c r="BH1614" s="94">
        <v>44435</v>
      </c>
      <c r="BI1614" s="95" t="s">
        <v>189</v>
      </c>
      <c r="BJ1614" s="96">
        <v>13.04</v>
      </c>
    </row>
    <row r="1615" spans="54:62" ht="13.8" x14ac:dyDescent="0.25">
      <c r="BB1615" s="187">
        <v>44375</v>
      </c>
      <c r="BC1615" s="180">
        <v>-0.51300000000000001</v>
      </c>
      <c r="BD1615" s="191">
        <v>44375</v>
      </c>
      <c r="BE1615" s="192" t="s">
        <v>82</v>
      </c>
      <c r="BH1615" s="94">
        <v>44438</v>
      </c>
      <c r="BI1615" s="95" t="s">
        <v>375</v>
      </c>
      <c r="BJ1615" s="96">
        <v>13.03</v>
      </c>
    </row>
    <row r="1616" spans="54:62" ht="13.8" x14ac:dyDescent="0.25">
      <c r="BB1616" s="187">
        <v>44376</v>
      </c>
      <c r="BC1616" s="180">
        <v>-0.51300000000000001</v>
      </c>
      <c r="BD1616" s="191">
        <v>44376</v>
      </c>
      <c r="BE1616" s="192" t="s">
        <v>82</v>
      </c>
      <c r="BH1616" s="94">
        <v>44439</v>
      </c>
      <c r="BI1616" s="95" t="s">
        <v>191</v>
      </c>
      <c r="BJ1616" s="96">
        <v>13.02</v>
      </c>
    </row>
    <row r="1617" spans="54:62" ht="13.8" x14ac:dyDescent="0.25">
      <c r="BB1617" s="187">
        <v>44377</v>
      </c>
      <c r="BC1617" s="180">
        <v>-0.51500000000000001</v>
      </c>
      <c r="BD1617" s="191">
        <v>44377</v>
      </c>
      <c r="BE1617" s="192" t="s">
        <v>368</v>
      </c>
      <c r="BH1617" s="94">
        <v>44440</v>
      </c>
      <c r="BI1617" s="95" t="s">
        <v>163</v>
      </c>
      <c r="BJ1617" s="96">
        <v>13.02</v>
      </c>
    </row>
    <row r="1618" spans="54:62" ht="13.8" x14ac:dyDescent="0.25">
      <c r="BB1618" s="187">
        <v>44378</v>
      </c>
      <c r="BC1618" s="180">
        <v>-0.51300000000000001</v>
      </c>
      <c r="BD1618" s="191">
        <v>44378</v>
      </c>
      <c r="BE1618" s="192" t="s">
        <v>83</v>
      </c>
      <c r="BH1618" s="94">
        <v>44441</v>
      </c>
      <c r="BI1618" s="95" t="s">
        <v>192</v>
      </c>
      <c r="BJ1618" s="96">
        <v>13.02</v>
      </c>
    </row>
    <row r="1619" spans="54:62" ht="13.8" x14ac:dyDescent="0.25">
      <c r="BB1619" s="187">
        <v>44379</v>
      </c>
      <c r="BC1619" s="180">
        <v>-0.51200000000000001</v>
      </c>
      <c r="BD1619" s="191">
        <v>44379</v>
      </c>
      <c r="BE1619" s="192" t="s">
        <v>223</v>
      </c>
      <c r="BH1619" s="94">
        <v>44442</v>
      </c>
      <c r="BI1619" s="95" t="s">
        <v>376</v>
      </c>
      <c r="BJ1619" s="96">
        <v>13.02</v>
      </c>
    </row>
    <row r="1620" spans="54:62" ht="13.8" x14ac:dyDescent="0.25">
      <c r="BB1620" s="187">
        <v>44382</v>
      </c>
      <c r="BC1620" s="180">
        <v>-0.51300000000000001</v>
      </c>
      <c r="BD1620" s="191">
        <v>44382</v>
      </c>
      <c r="BE1620" s="192" t="s">
        <v>84</v>
      </c>
      <c r="BH1620" s="94">
        <v>44445</v>
      </c>
      <c r="BI1620" s="95" t="s">
        <v>237</v>
      </c>
      <c r="BJ1620" s="96">
        <v>13.01</v>
      </c>
    </row>
    <row r="1621" spans="54:62" ht="13.8" x14ac:dyDescent="0.25">
      <c r="BB1621" s="187">
        <v>44383</v>
      </c>
      <c r="BC1621" s="180">
        <v>-0.51300000000000001</v>
      </c>
      <c r="BD1621" s="191">
        <v>44383</v>
      </c>
      <c r="BE1621" s="192" t="s">
        <v>369</v>
      </c>
      <c r="BH1621" s="94">
        <v>44446</v>
      </c>
      <c r="BI1621" s="95" t="s">
        <v>162</v>
      </c>
      <c r="BJ1621" s="96">
        <v>13.01</v>
      </c>
    </row>
    <row r="1622" spans="54:62" ht="13.8" x14ac:dyDescent="0.25">
      <c r="BB1622" s="187">
        <v>44384</v>
      </c>
      <c r="BC1622" s="180">
        <v>-0.51100000000000001</v>
      </c>
      <c r="BD1622" s="191">
        <v>44384</v>
      </c>
      <c r="BE1622" s="192" t="s">
        <v>86</v>
      </c>
      <c r="BH1622" s="94">
        <v>44447</v>
      </c>
      <c r="BI1622" s="95" t="s">
        <v>246</v>
      </c>
      <c r="BJ1622" s="96">
        <v>13</v>
      </c>
    </row>
    <row r="1623" spans="54:62" ht="13.8" x14ac:dyDescent="0.25">
      <c r="BB1623" s="187">
        <v>44385</v>
      </c>
      <c r="BC1623" s="180">
        <v>-0.51500000000000001</v>
      </c>
      <c r="BD1623" s="191">
        <v>44385</v>
      </c>
      <c r="BE1623" s="192" t="s">
        <v>215</v>
      </c>
      <c r="BH1623" s="94">
        <v>44448</v>
      </c>
      <c r="BI1623" s="95" t="s">
        <v>374</v>
      </c>
      <c r="BJ1623" s="96">
        <v>13</v>
      </c>
    </row>
    <row r="1624" spans="54:62" ht="13.8" x14ac:dyDescent="0.25">
      <c r="BB1624" s="187">
        <v>44386</v>
      </c>
      <c r="BC1624" s="180">
        <v>-0.51400000000000001</v>
      </c>
      <c r="BD1624" s="191">
        <v>44386</v>
      </c>
      <c r="BE1624" s="192" t="s">
        <v>88</v>
      </c>
      <c r="BH1624" s="94">
        <v>44449</v>
      </c>
      <c r="BI1624" s="95" t="s">
        <v>292</v>
      </c>
      <c r="BJ1624" s="96">
        <v>13</v>
      </c>
    </row>
    <row r="1625" spans="54:62" ht="13.8" x14ac:dyDescent="0.25">
      <c r="BB1625" s="187">
        <v>44389</v>
      </c>
      <c r="BC1625" s="180">
        <v>-0.51100000000000001</v>
      </c>
      <c r="BD1625" s="191">
        <v>44389</v>
      </c>
      <c r="BE1625" s="192" t="s">
        <v>214</v>
      </c>
      <c r="BH1625" s="94">
        <v>44452</v>
      </c>
      <c r="BI1625" s="95" t="s">
        <v>377</v>
      </c>
      <c r="BJ1625" s="96">
        <v>12.99</v>
      </c>
    </row>
    <row r="1626" spans="54:62" ht="13.8" x14ac:dyDescent="0.25">
      <c r="BB1626" s="187">
        <v>44390</v>
      </c>
      <c r="BC1626" s="180">
        <v>-0.51300000000000001</v>
      </c>
      <c r="BD1626" s="191">
        <v>44390</v>
      </c>
      <c r="BE1626" s="192" t="s">
        <v>213</v>
      </c>
      <c r="BH1626" s="94">
        <v>44453</v>
      </c>
      <c r="BI1626" s="95" t="s">
        <v>291</v>
      </c>
      <c r="BJ1626" s="96">
        <v>12.99</v>
      </c>
    </row>
    <row r="1627" spans="54:62" ht="13.8" x14ac:dyDescent="0.25">
      <c r="BB1627" s="187">
        <v>44391</v>
      </c>
      <c r="BC1627" s="180">
        <v>-0.51300000000000001</v>
      </c>
      <c r="BD1627" s="191">
        <v>44391</v>
      </c>
      <c r="BE1627" s="192" t="s">
        <v>95</v>
      </c>
      <c r="BH1627" s="94">
        <v>44454</v>
      </c>
      <c r="BI1627" s="95" t="s">
        <v>373</v>
      </c>
      <c r="BJ1627" s="96">
        <v>12.98</v>
      </c>
    </row>
    <row r="1628" spans="54:62" ht="13.8" x14ac:dyDescent="0.25">
      <c r="BB1628" s="187">
        <v>44392</v>
      </c>
      <c r="BC1628" s="180">
        <v>-0.51300000000000001</v>
      </c>
      <c r="BD1628" s="191">
        <v>44392</v>
      </c>
      <c r="BE1628" s="192" t="s">
        <v>92</v>
      </c>
      <c r="BH1628" s="94">
        <v>44455</v>
      </c>
      <c r="BI1628" s="95" t="s">
        <v>289</v>
      </c>
      <c r="BJ1628" s="96">
        <v>12.98</v>
      </c>
    </row>
    <row r="1629" spans="54:62" ht="13.8" x14ac:dyDescent="0.25">
      <c r="BB1629" s="187">
        <v>44393</v>
      </c>
      <c r="BC1629" s="180">
        <v>-0.51500000000000001</v>
      </c>
      <c r="BD1629" s="191">
        <v>44393</v>
      </c>
      <c r="BE1629" s="192" t="s">
        <v>145</v>
      </c>
      <c r="BH1629" s="94">
        <v>44456</v>
      </c>
      <c r="BI1629" s="95" t="s">
        <v>289</v>
      </c>
      <c r="BJ1629" s="96">
        <v>12.97</v>
      </c>
    </row>
    <row r="1630" spans="54:62" ht="13.8" x14ac:dyDescent="0.25">
      <c r="BB1630" s="187">
        <v>44396</v>
      </c>
      <c r="BC1630" s="180">
        <v>-0.51500000000000001</v>
      </c>
      <c r="BD1630" s="191">
        <v>44396</v>
      </c>
      <c r="BE1630" s="192" t="s">
        <v>226</v>
      </c>
      <c r="BH1630" s="94">
        <v>44459</v>
      </c>
      <c r="BI1630" s="95" t="s">
        <v>347</v>
      </c>
      <c r="BJ1630" s="96">
        <v>13.32</v>
      </c>
    </row>
    <row r="1631" spans="54:62" ht="13.8" x14ac:dyDescent="0.25">
      <c r="BB1631" s="187">
        <v>44397</v>
      </c>
      <c r="BC1631" s="180">
        <v>-0.51800000000000002</v>
      </c>
      <c r="BD1631" s="191">
        <v>44397</v>
      </c>
      <c r="BE1631" s="192" t="s">
        <v>208</v>
      </c>
      <c r="BH1631" s="94">
        <v>44460</v>
      </c>
      <c r="BI1631" s="95" t="s">
        <v>249</v>
      </c>
      <c r="BJ1631" s="96">
        <v>13.32</v>
      </c>
    </row>
    <row r="1632" spans="54:62" ht="13.8" x14ac:dyDescent="0.25">
      <c r="BB1632" s="187">
        <v>44398</v>
      </c>
      <c r="BC1632" s="180">
        <v>-0.51300000000000001</v>
      </c>
      <c r="BD1632" s="191">
        <v>44398</v>
      </c>
      <c r="BE1632" s="192" t="s">
        <v>227</v>
      </c>
      <c r="BH1632" s="94">
        <v>44461</v>
      </c>
      <c r="BI1632" s="95" t="s">
        <v>232</v>
      </c>
      <c r="BJ1632" s="96">
        <v>13.32</v>
      </c>
    </row>
    <row r="1633" spans="54:62" ht="13.8" x14ac:dyDescent="0.25">
      <c r="BB1633" s="187">
        <v>44399</v>
      </c>
      <c r="BC1633" s="180">
        <v>-0.51700000000000002</v>
      </c>
      <c r="BD1633" s="191">
        <v>44399</v>
      </c>
      <c r="BE1633" s="192" t="s">
        <v>153</v>
      </c>
      <c r="BH1633" s="94">
        <v>44462</v>
      </c>
      <c r="BI1633" s="95" t="s">
        <v>250</v>
      </c>
      <c r="BJ1633" s="96">
        <v>13.35</v>
      </c>
    </row>
    <row r="1634" spans="54:62" ht="13.8" x14ac:dyDescent="0.25">
      <c r="BB1634" s="187">
        <v>44400</v>
      </c>
      <c r="BC1634" s="180">
        <v>-0.51900000000000002</v>
      </c>
      <c r="BD1634" s="191">
        <v>44400</v>
      </c>
      <c r="BE1634" s="192" t="s">
        <v>269</v>
      </c>
      <c r="BH1634" s="94">
        <v>44463</v>
      </c>
      <c r="BI1634" s="95" t="s">
        <v>281</v>
      </c>
      <c r="BJ1634" s="96">
        <v>13.35</v>
      </c>
    </row>
    <row r="1635" spans="54:62" ht="13.8" x14ac:dyDescent="0.25">
      <c r="BB1635" s="187">
        <v>44403</v>
      </c>
      <c r="BC1635" s="180">
        <v>-0.51900000000000002</v>
      </c>
      <c r="BD1635" s="191">
        <v>44403</v>
      </c>
      <c r="BE1635" s="192" t="s">
        <v>370</v>
      </c>
      <c r="BH1635" s="94">
        <v>44466</v>
      </c>
      <c r="BI1635" s="95" t="s">
        <v>280</v>
      </c>
      <c r="BJ1635" s="96">
        <v>13.34</v>
      </c>
    </row>
    <row r="1636" spans="54:62" ht="13.8" x14ac:dyDescent="0.25">
      <c r="BB1636" s="187">
        <v>44404</v>
      </c>
      <c r="BC1636" s="180">
        <v>-0.52300000000000002</v>
      </c>
      <c r="BD1636" s="191">
        <v>44404</v>
      </c>
      <c r="BE1636" s="192" t="s">
        <v>280</v>
      </c>
      <c r="BH1636" s="94">
        <v>44467</v>
      </c>
      <c r="BI1636" s="95" t="s">
        <v>378</v>
      </c>
      <c r="BJ1636" s="96">
        <v>13.34</v>
      </c>
    </row>
    <row r="1637" spans="54:62" ht="13.8" x14ac:dyDescent="0.25">
      <c r="BB1637" s="187">
        <v>44405</v>
      </c>
      <c r="BC1637" s="180">
        <v>-0.52400000000000002</v>
      </c>
      <c r="BD1637" s="191">
        <v>44405</v>
      </c>
      <c r="BE1637" s="192" t="s">
        <v>357</v>
      </c>
      <c r="BH1637" s="94">
        <v>44468</v>
      </c>
      <c r="BI1637" s="95" t="s">
        <v>228</v>
      </c>
      <c r="BJ1637" s="96">
        <v>13.34</v>
      </c>
    </row>
    <row r="1638" spans="54:62" ht="13.8" x14ac:dyDescent="0.25">
      <c r="BB1638" s="187">
        <v>44406</v>
      </c>
      <c r="BC1638" s="180">
        <v>-0.52400000000000002</v>
      </c>
      <c r="BD1638" s="191">
        <v>44406</v>
      </c>
      <c r="BE1638" s="192" t="s">
        <v>349</v>
      </c>
      <c r="BH1638" s="94">
        <v>44469</v>
      </c>
      <c r="BI1638" s="95" t="s">
        <v>271</v>
      </c>
      <c r="BJ1638" s="96">
        <v>13.33</v>
      </c>
    </row>
    <row r="1639" spans="54:62" ht="13.8" x14ac:dyDescent="0.25">
      <c r="BB1639" s="187">
        <v>44407</v>
      </c>
      <c r="BC1639" s="180">
        <v>-0.52300000000000002</v>
      </c>
      <c r="BD1639" s="191">
        <v>44407</v>
      </c>
      <c r="BE1639" s="192" t="s">
        <v>232</v>
      </c>
      <c r="BH1639" s="94">
        <v>44470</v>
      </c>
      <c r="BI1639" s="95" t="s">
        <v>272</v>
      </c>
      <c r="BJ1639" s="96">
        <v>13.33</v>
      </c>
    </row>
    <row r="1640" spans="54:62" ht="13.8" x14ac:dyDescent="0.25">
      <c r="BB1640" s="187">
        <v>44410</v>
      </c>
      <c r="BC1640" s="180">
        <v>-0.52300000000000002</v>
      </c>
      <c r="BD1640" s="191">
        <v>44410</v>
      </c>
      <c r="BE1640" s="192" t="s">
        <v>347</v>
      </c>
      <c r="BH1640" s="94">
        <v>44473</v>
      </c>
      <c r="BI1640" s="95" t="s">
        <v>273</v>
      </c>
      <c r="BJ1640" s="96">
        <v>13.32</v>
      </c>
    </row>
    <row r="1641" spans="54:62" ht="13.8" x14ac:dyDescent="0.25">
      <c r="BB1641" s="187">
        <v>44411</v>
      </c>
      <c r="BC1641" s="180">
        <v>-0.52500000000000002</v>
      </c>
      <c r="BD1641" s="191">
        <v>44411</v>
      </c>
      <c r="BE1641" s="192" t="s">
        <v>371</v>
      </c>
      <c r="BH1641" s="94">
        <v>44474</v>
      </c>
      <c r="BI1641" s="95" t="s">
        <v>274</v>
      </c>
      <c r="BJ1641" s="96">
        <v>13.32</v>
      </c>
    </row>
    <row r="1642" spans="54:62" ht="13.8" x14ac:dyDescent="0.25">
      <c r="BB1642" s="187">
        <v>44412</v>
      </c>
      <c r="BC1642" s="180">
        <v>-0.53100000000000003</v>
      </c>
      <c r="BD1642" s="191">
        <v>44412</v>
      </c>
      <c r="BE1642" s="192" t="s">
        <v>372</v>
      </c>
      <c r="BH1642" s="94">
        <v>44475</v>
      </c>
      <c r="BI1642" s="95" t="s">
        <v>362</v>
      </c>
      <c r="BJ1642" s="96">
        <v>13.32</v>
      </c>
    </row>
    <row r="1643" spans="54:62" ht="13.8" x14ac:dyDescent="0.25">
      <c r="BB1643" s="187">
        <v>44413</v>
      </c>
      <c r="BC1643" s="180">
        <v>-0.52700000000000002</v>
      </c>
      <c r="BD1643" s="191">
        <v>44413</v>
      </c>
      <c r="BE1643" s="192" t="s">
        <v>373</v>
      </c>
      <c r="BH1643" s="94">
        <v>44476</v>
      </c>
      <c r="BI1643" s="95" t="s">
        <v>253</v>
      </c>
      <c r="BJ1643" s="96">
        <v>13.28</v>
      </c>
    </row>
    <row r="1644" spans="54:62" ht="13.8" x14ac:dyDescent="0.25">
      <c r="BB1644" s="187">
        <v>44414</v>
      </c>
      <c r="BC1644" s="180">
        <v>-0.52400000000000002</v>
      </c>
      <c r="BD1644" s="191">
        <v>44414</v>
      </c>
      <c r="BE1644" s="192" t="s">
        <v>291</v>
      </c>
      <c r="BH1644" s="94">
        <v>44477</v>
      </c>
      <c r="BI1644" s="95" t="s">
        <v>148</v>
      </c>
      <c r="BJ1644" s="96">
        <v>13.27</v>
      </c>
    </row>
    <row r="1645" spans="54:62" ht="13.8" x14ac:dyDescent="0.25">
      <c r="BB1645" s="187">
        <v>44417</v>
      </c>
      <c r="BC1645" s="180">
        <v>-0.52700000000000002</v>
      </c>
      <c r="BD1645" s="191">
        <v>44417</v>
      </c>
      <c r="BE1645" s="192" t="s">
        <v>161</v>
      </c>
      <c r="BH1645" s="94">
        <v>44480</v>
      </c>
      <c r="BI1645" s="95" t="s">
        <v>379</v>
      </c>
      <c r="BJ1645" s="96">
        <v>13.27</v>
      </c>
    </row>
    <row r="1646" spans="54:62" ht="13.8" x14ac:dyDescent="0.25">
      <c r="BB1646" s="187">
        <v>44418</v>
      </c>
      <c r="BC1646" s="180">
        <v>-0.52800000000000002</v>
      </c>
      <c r="BD1646" s="191">
        <v>44418</v>
      </c>
      <c r="BE1646" s="192" t="s">
        <v>374</v>
      </c>
      <c r="BH1646" s="94">
        <v>44481</v>
      </c>
      <c r="BI1646" s="95" t="s">
        <v>92</v>
      </c>
      <c r="BJ1646" s="96">
        <v>13.26</v>
      </c>
    </row>
    <row r="1647" spans="54:62" ht="13.8" x14ac:dyDescent="0.25">
      <c r="BB1647" s="187">
        <v>44419</v>
      </c>
      <c r="BC1647" s="180">
        <v>-0.53</v>
      </c>
      <c r="BD1647" s="191">
        <v>44419</v>
      </c>
      <c r="BE1647" s="192" t="s">
        <v>246</v>
      </c>
      <c r="BH1647" s="94">
        <v>44482</v>
      </c>
      <c r="BI1647" s="95" t="s">
        <v>214</v>
      </c>
      <c r="BJ1647" s="96">
        <v>13.28</v>
      </c>
    </row>
    <row r="1648" spans="54:62" ht="13.8" x14ac:dyDescent="0.25">
      <c r="BB1648" s="187">
        <v>44420</v>
      </c>
      <c r="BC1648" s="180">
        <v>-0.52700000000000002</v>
      </c>
      <c r="BD1648" s="191">
        <v>44420</v>
      </c>
      <c r="BE1648" s="192" t="s">
        <v>295</v>
      </c>
      <c r="BH1648" s="94">
        <v>44483</v>
      </c>
      <c r="BI1648" s="95" t="s">
        <v>266</v>
      </c>
      <c r="BJ1648" s="96">
        <v>13.28</v>
      </c>
    </row>
    <row r="1649" spans="54:62" ht="13.8" x14ac:dyDescent="0.25">
      <c r="BB1649" s="187">
        <v>44421</v>
      </c>
      <c r="BC1649" s="180">
        <v>-0.52800000000000002</v>
      </c>
      <c r="BD1649" s="191">
        <v>44421</v>
      </c>
      <c r="BE1649" s="192" t="s">
        <v>193</v>
      </c>
      <c r="BH1649" s="94">
        <v>44484</v>
      </c>
      <c r="BI1649" s="95" t="s">
        <v>86</v>
      </c>
      <c r="BJ1649" s="96">
        <v>13.28</v>
      </c>
    </row>
    <row r="1650" spans="54:62" ht="13.8" x14ac:dyDescent="0.25">
      <c r="BB1650" s="187">
        <v>44424</v>
      </c>
      <c r="BC1650" s="180">
        <v>-0.52700000000000002</v>
      </c>
      <c r="BD1650" s="191">
        <v>44424</v>
      </c>
      <c r="BE1650" s="192" t="s">
        <v>192</v>
      </c>
      <c r="BH1650" s="94">
        <v>44487</v>
      </c>
      <c r="BI1650" s="95" t="s">
        <v>223</v>
      </c>
      <c r="BJ1650" s="96">
        <v>13.27</v>
      </c>
    </row>
    <row r="1651" spans="54:62" ht="13.8" x14ac:dyDescent="0.25">
      <c r="BB1651" s="187">
        <v>44425</v>
      </c>
      <c r="BC1651" s="180">
        <v>-0.52700000000000002</v>
      </c>
      <c r="BD1651" s="191">
        <v>44425</v>
      </c>
      <c r="BE1651" s="192" t="s">
        <v>307</v>
      </c>
      <c r="BH1651" s="94">
        <v>44488</v>
      </c>
      <c r="BI1651" s="95" t="s">
        <v>80</v>
      </c>
      <c r="BJ1651" s="96">
        <v>13.26</v>
      </c>
    </row>
    <row r="1652" spans="54:62" ht="13.8" x14ac:dyDescent="0.25">
      <c r="BB1652" s="187">
        <v>44426</v>
      </c>
      <c r="BC1652" s="180">
        <v>-0.52700000000000002</v>
      </c>
      <c r="BD1652" s="191">
        <v>44426</v>
      </c>
      <c r="BE1652" s="192" t="s">
        <v>191</v>
      </c>
      <c r="BH1652" s="94">
        <v>44489</v>
      </c>
      <c r="BI1652" s="95" t="s">
        <v>102</v>
      </c>
      <c r="BJ1652" s="96">
        <v>13.26</v>
      </c>
    </row>
    <row r="1653" spans="54:62" ht="13.8" x14ac:dyDescent="0.25">
      <c r="BB1653" s="187">
        <v>44427</v>
      </c>
      <c r="BC1653" s="180">
        <v>-0.52900000000000003</v>
      </c>
      <c r="BD1653" s="191">
        <v>44427</v>
      </c>
      <c r="BE1653" s="192" t="s">
        <v>189</v>
      </c>
      <c r="BH1653" s="94">
        <v>44490</v>
      </c>
      <c r="BI1653" s="95" t="s">
        <v>76</v>
      </c>
      <c r="BJ1653" s="96">
        <v>13.26</v>
      </c>
    </row>
    <row r="1654" spans="54:62" ht="13.8" x14ac:dyDescent="0.25">
      <c r="BB1654" s="187">
        <v>44428</v>
      </c>
      <c r="BC1654" s="180">
        <v>-0.52800000000000002</v>
      </c>
      <c r="BD1654" s="191">
        <v>44428</v>
      </c>
      <c r="BE1654" s="192" t="s">
        <v>297</v>
      </c>
      <c r="BH1654" s="94">
        <v>44491</v>
      </c>
      <c r="BI1654" s="95" t="s">
        <v>99</v>
      </c>
      <c r="BJ1654" s="96">
        <v>13.26</v>
      </c>
    </row>
    <row r="1655" spans="54:62" ht="13.8" x14ac:dyDescent="0.25">
      <c r="BB1655" s="187">
        <v>44431</v>
      </c>
      <c r="BC1655" s="180">
        <v>-0.52900000000000003</v>
      </c>
      <c r="BD1655" s="191">
        <v>44431</v>
      </c>
      <c r="BE1655" s="192" t="s">
        <v>375</v>
      </c>
      <c r="BH1655" s="94">
        <v>44494</v>
      </c>
      <c r="BI1655" s="95" t="s">
        <v>101</v>
      </c>
      <c r="BJ1655" s="96">
        <v>13.25</v>
      </c>
    </row>
    <row r="1656" spans="54:62" ht="13.8" x14ac:dyDescent="0.25">
      <c r="BB1656" s="187">
        <v>44432</v>
      </c>
      <c r="BC1656" s="180">
        <v>-0.52700000000000002</v>
      </c>
      <c r="BD1656" s="191">
        <v>44432</v>
      </c>
      <c r="BE1656" s="192" t="s">
        <v>306</v>
      </c>
      <c r="BH1656" s="94">
        <v>44496</v>
      </c>
      <c r="BI1656" s="95" t="s">
        <v>108</v>
      </c>
      <c r="BJ1656" s="96">
        <v>13.24</v>
      </c>
    </row>
    <row r="1657" spans="54:62" ht="13.8" x14ac:dyDescent="0.25">
      <c r="BB1657" s="187">
        <v>44433</v>
      </c>
      <c r="BC1657" s="180">
        <v>-0.52800000000000002</v>
      </c>
      <c r="BD1657" s="191">
        <v>44433</v>
      </c>
      <c r="BE1657" s="192" t="s">
        <v>305</v>
      </c>
      <c r="BH1657" s="94">
        <v>44497</v>
      </c>
      <c r="BI1657" s="95" t="s">
        <v>109</v>
      </c>
      <c r="BJ1657" s="96">
        <v>13.24</v>
      </c>
    </row>
    <row r="1658" spans="54:62" ht="13.8" x14ac:dyDescent="0.25">
      <c r="BB1658" s="187">
        <v>44434</v>
      </c>
      <c r="BC1658" s="180">
        <v>-0.53</v>
      </c>
      <c r="BD1658" s="191">
        <v>44434</v>
      </c>
      <c r="BE1658" s="192" t="s">
        <v>306</v>
      </c>
      <c r="BH1658" s="94">
        <v>44498</v>
      </c>
      <c r="BI1658" s="95" t="s">
        <v>365</v>
      </c>
      <c r="BJ1658" s="96">
        <v>13.24</v>
      </c>
    </row>
    <row r="1659" spans="54:62" ht="13.8" x14ac:dyDescent="0.25">
      <c r="BB1659" s="187">
        <v>44435</v>
      </c>
      <c r="BC1659" s="180">
        <v>-0.52900000000000003</v>
      </c>
      <c r="BD1659" s="191">
        <v>44435</v>
      </c>
      <c r="BE1659" s="192" t="s">
        <v>189</v>
      </c>
      <c r="BH1659" s="94">
        <v>44502</v>
      </c>
      <c r="BI1659" s="95" t="s">
        <v>366</v>
      </c>
      <c r="BJ1659" s="96">
        <v>13.23</v>
      </c>
    </row>
    <row r="1660" spans="54:62" ht="13.8" x14ac:dyDescent="0.25">
      <c r="BB1660" s="187">
        <v>44438</v>
      </c>
      <c r="BC1660" s="180">
        <v>-0.52900000000000003</v>
      </c>
      <c r="BD1660" s="191">
        <v>44438</v>
      </c>
      <c r="BE1660" s="192" t="s">
        <v>375</v>
      </c>
      <c r="BH1660" s="94">
        <v>44503</v>
      </c>
      <c r="BI1660" s="95" t="s">
        <v>71</v>
      </c>
      <c r="BJ1660" s="96">
        <v>13.22</v>
      </c>
    </row>
    <row r="1661" spans="54:62" ht="13.8" x14ac:dyDescent="0.25">
      <c r="BB1661" s="187">
        <v>44439</v>
      </c>
      <c r="BC1661" s="180">
        <v>-0.52200000000000002</v>
      </c>
      <c r="BD1661" s="191">
        <v>44439</v>
      </c>
      <c r="BE1661" s="192" t="s">
        <v>191</v>
      </c>
      <c r="BH1661" s="94">
        <v>44504</v>
      </c>
      <c r="BI1661" s="95" t="s">
        <v>380</v>
      </c>
      <c r="BJ1661" s="96">
        <v>13.23</v>
      </c>
    </row>
    <row r="1662" spans="54:62" ht="13.8" x14ac:dyDescent="0.25">
      <c r="BB1662" s="187">
        <v>44440</v>
      </c>
      <c r="BC1662" s="180">
        <v>-0.52100000000000002</v>
      </c>
      <c r="BD1662" s="191">
        <v>44440</v>
      </c>
      <c r="BE1662" s="192" t="s">
        <v>163</v>
      </c>
      <c r="BH1662" s="94">
        <v>44505</v>
      </c>
      <c r="BI1662" s="95" t="s">
        <v>112</v>
      </c>
      <c r="BJ1662" s="96">
        <v>13.22</v>
      </c>
    </row>
    <row r="1663" spans="54:62" ht="13.8" x14ac:dyDescent="0.25">
      <c r="BB1663" s="187">
        <v>44441</v>
      </c>
      <c r="BC1663" s="180">
        <v>-0.52</v>
      </c>
      <c r="BD1663" s="191">
        <v>44441</v>
      </c>
      <c r="BE1663" s="192" t="s">
        <v>192</v>
      </c>
      <c r="BH1663" s="94">
        <v>44508</v>
      </c>
      <c r="BI1663" s="95" t="s">
        <v>366</v>
      </c>
      <c r="BJ1663" s="96">
        <v>13.22</v>
      </c>
    </row>
    <row r="1664" spans="54:62" ht="13.8" x14ac:dyDescent="0.25">
      <c r="BB1664" s="187">
        <v>44442</v>
      </c>
      <c r="BC1664" s="180">
        <v>-0.51900000000000002</v>
      </c>
      <c r="BD1664" s="191">
        <v>44442</v>
      </c>
      <c r="BE1664" s="192" t="s">
        <v>376</v>
      </c>
      <c r="BH1664" s="94">
        <v>44509</v>
      </c>
      <c r="BI1664" s="95" t="s">
        <v>364</v>
      </c>
      <c r="BJ1664" s="96">
        <v>13.21</v>
      </c>
    </row>
    <row r="1665" spans="54:62" ht="13.8" x14ac:dyDescent="0.25">
      <c r="BB1665" s="187">
        <v>44445</v>
      </c>
      <c r="BC1665" s="180">
        <v>-0.52</v>
      </c>
      <c r="BD1665" s="191">
        <v>44445</v>
      </c>
      <c r="BE1665" s="192" t="s">
        <v>237</v>
      </c>
      <c r="BH1665" s="94">
        <v>44510</v>
      </c>
      <c r="BI1665" s="95" t="s">
        <v>142</v>
      </c>
      <c r="BJ1665" s="96">
        <v>13.21</v>
      </c>
    </row>
    <row r="1666" spans="54:62" ht="13.8" x14ac:dyDescent="0.25">
      <c r="BB1666" s="187">
        <v>44446</v>
      </c>
      <c r="BC1666" s="180">
        <v>-0.51800000000000002</v>
      </c>
      <c r="BD1666" s="191">
        <v>44446</v>
      </c>
      <c r="BE1666" s="192" t="s">
        <v>162</v>
      </c>
      <c r="BH1666" s="94">
        <v>44511</v>
      </c>
      <c r="BI1666" s="95" t="s">
        <v>73</v>
      </c>
      <c r="BJ1666" s="96">
        <v>13.21</v>
      </c>
    </row>
    <row r="1667" spans="54:62" ht="13.8" x14ac:dyDescent="0.25">
      <c r="BB1667" s="187">
        <v>44447</v>
      </c>
      <c r="BC1667" s="180">
        <v>-0.51700000000000002</v>
      </c>
      <c r="BD1667" s="191">
        <v>44447</v>
      </c>
      <c r="BE1667" s="192" t="s">
        <v>246</v>
      </c>
      <c r="BH1667" s="94">
        <v>44512</v>
      </c>
      <c r="BI1667" s="95" t="s">
        <v>75</v>
      </c>
      <c r="BJ1667" s="96">
        <v>13.2</v>
      </c>
    </row>
    <row r="1668" spans="54:62" ht="13.8" x14ac:dyDescent="0.25">
      <c r="BB1668" s="187">
        <v>44448</v>
      </c>
      <c r="BC1668" s="180">
        <v>-0.52200000000000002</v>
      </c>
      <c r="BD1668" s="191">
        <v>44448</v>
      </c>
      <c r="BE1668" s="192" t="s">
        <v>374</v>
      </c>
      <c r="BH1668" s="94">
        <v>44515</v>
      </c>
      <c r="BI1668" s="95" t="s">
        <v>97</v>
      </c>
      <c r="BJ1668" s="96">
        <v>13.2</v>
      </c>
    </row>
    <row r="1669" spans="54:62" ht="13.8" x14ac:dyDescent="0.25">
      <c r="BB1669" s="187">
        <v>44449</v>
      </c>
      <c r="BC1669" s="180">
        <v>-0.51900000000000002</v>
      </c>
      <c r="BD1669" s="191">
        <v>44449</v>
      </c>
      <c r="BE1669" s="192" t="s">
        <v>292</v>
      </c>
      <c r="BH1669" s="94">
        <v>44516</v>
      </c>
      <c r="BI1669" s="95" t="s">
        <v>221</v>
      </c>
      <c r="BJ1669" s="96">
        <v>13.19</v>
      </c>
    </row>
    <row r="1670" spans="54:62" ht="13.8" x14ac:dyDescent="0.25">
      <c r="BB1670" s="187">
        <v>44452</v>
      </c>
      <c r="BC1670" s="180">
        <v>-0.52</v>
      </c>
      <c r="BD1670" s="191">
        <v>44452</v>
      </c>
      <c r="BE1670" s="192" t="s">
        <v>377</v>
      </c>
      <c r="BH1670" s="94">
        <v>44517</v>
      </c>
      <c r="BI1670" s="95" t="s">
        <v>103</v>
      </c>
      <c r="BJ1670" s="96">
        <v>13.19</v>
      </c>
    </row>
    <row r="1671" spans="54:62" ht="13.8" x14ac:dyDescent="0.25">
      <c r="BB1671" s="187">
        <v>44453</v>
      </c>
      <c r="BC1671" s="180">
        <v>-0.52200000000000002</v>
      </c>
      <c r="BD1671" s="191">
        <v>44453</v>
      </c>
      <c r="BE1671" s="192" t="s">
        <v>291</v>
      </c>
      <c r="BH1671" s="94">
        <v>44518</v>
      </c>
      <c r="BI1671" s="95" t="s">
        <v>80</v>
      </c>
      <c r="BJ1671" s="96">
        <v>13.19</v>
      </c>
    </row>
    <row r="1672" spans="54:62" ht="13.8" x14ac:dyDescent="0.25">
      <c r="BB1672" s="187">
        <v>44454</v>
      </c>
      <c r="BC1672" s="180">
        <v>-0.52400000000000002</v>
      </c>
      <c r="BD1672" s="191">
        <v>44454</v>
      </c>
      <c r="BE1672" s="192" t="s">
        <v>373</v>
      </c>
      <c r="BH1672" s="94">
        <v>44519</v>
      </c>
      <c r="BI1672" s="95" t="s">
        <v>223</v>
      </c>
      <c r="BJ1672" s="96">
        <v>13.19</v>
      </c>
    </row>
    <row r="1673" spans="54:62" ht="13.8" x14ac:dyDescent="0.25">
      <c r="BB1673" s="187">
        <v>44455</v>
      </c>
      <c r="BC1673" s="180">
        <v>-0.52200000000000002</v>
      </c>
      <c r="BD1673" s="191">
        <v>44455</v>
      </c>
      <c r="BE1673" s="192" t="s">
        <v>289</v>
      </c>
      <c r="BH1673" s="94">
        <v>44522</v>
      </c>
      <c r="BI1673" s="95" t="s">
        <v>78</v>
      </c>
      <c r="BJ1673" s="96">
        <v>13.74</v>
      </c>
    </row>
    <row r="1674" spans="54:62" ht="13.8" x14ac:dyDescent="0.25">
      <c r="BB1674" s="187">
        <v>44456</v>
      </c>
      <c r="BC1674" s="180">
        <v>-0.52600000000000002</v>
      </c>
      <c r="BD1674" s="191">
        <v>44456</v>
      </c>
      <c r="BE1674" s="192" t="s">
        <v>289</v>
      </c>
      <c r="BH1674" s="94">
        <v>44523</v>
      </c>
      <c r="BI1674" s="95" t="s">
        <v>367</v>
      </c>
      <c r="BJ1674" s="96">
        <v>13.73</v>
      </c>
    </row>
    <row r="1675" spans="54:62" ht="13.8" x14ac:dyDescent="0.25">
      <c r="BB1675" s="187">
        <v>44459</v>
      </c>
      <c r="BC1675" s="180">
        <v>-0.52800000000000002</v>
      </c>
      <c r="BD1675" s="191">
        <v>44459</v>
      </c>
      <c r="BE1675" s="192" t="s">
        <v>347</v>
      </c>
      <c r="BH1675" s="94">
        <v>44524</v>
      </c>
      <c r="BI1675" s="95" t="s">
        <v>219</v>
      </c>
      <c r="BJ1675" s="96">
        <v>13.73</v>
      </c>
    </row>
    <row r="1676" spans="54:62" ht="13.8" x14ac:dyDescent="0.25">
      <c r="BB1676" s="187">
        <v>44460</v>
      </c>
      <c r="BC1676" s="180">
        <v>-0.53</v>
      </c>
      <c r="BD1676" s="191">
        <v>44460</v>
      </c>
      <c r="BE1676" s="192" t="s">
        <v>249</v>
      </c>
      <c r="BH1676" s="94">
        <v>44525</v>
      </c>
      <c r="BI1676" s="95" t="s">
        <v>368</v>
      </c>
      <c r="BJ1676" s="96">
        <v>13.73</v>
      </c>
    </row>
    <row r="1677" spans="54:62" ht="13.8" x14ac:dyDescent="0.25">
      <c r="BB1677" s="187">
        <v>44461</v>
      </c>
      <c r="BC1677" s="180">
        <v>-0.52300000000000002</v>
      </c>
      <c r="BD1677" s="191">
        <v>44461</v>
      </c>
      <c r="BE1677" s="192" t="s">
        <v>232</v>
      </c>
      <c r="BH1677" s="94">
        <v>44526</v>
      </c>
      <c r="BI1677" s="95" t="s">
        <v>381</v>
      </c>
      <c r="BJ1677" s="96">
        <v>13.73</v>
      </c>
    </row>
    <row r="1678" spans="54:62" ht="13.8" x14ac:dyDescent="0.25">
      <c r="BB1678" s="187">
        <v>44462</v>
      </c>
      <c r="BC1678" s="180">
        <v>-0.52800000000000002</v>
      </c>
      <c r="BD1678" s="191">
        <v>44462</v>
      </c>
      <c r="BE1678" s="192" t="s">
        <v>250</v>
      </c>
      <c r="BH1678" s="94">
        <v>44529</v>
      </c>
      <c r="BI1678" s="95" t="s">
        <v>266</v>
      </c>
      <c r="BJ1678" s="96">
        <v>13.72</v>
      </c>
    </row>
    <row r="1679" spans="54:62" ht="13.8" x14ac:dyDescent="0.25">
      <c r="BB1679" s="187">
        <v>44463</v>
      </c>
      <c r="BC1679" s="180">
        <v>-0.52300000000000002</v>
      </c>
      <c r="BD1679" s="191">
        <v>44463</v>
      </c>
      <c r="BE1679" s="192" t="s">
        <v>281</v>
      </c>
      <c r="BH1679" s="94">
        <v>44530</v>
      </c>
      <c r="BI1679" s="95" t="s">
        <v>89</v>
      </c>
      <c r="BJ1679" s="96">
        <v>13.72</v>
      </c>
    </row>
    <row r="1680" spans="54:62" ht="13.8" x14ac:dyDescent="0.25">
      <c r="BB1680" s="187">
        <v>44466</v>
      </c>
      <c r="BC1680" s="180">
        <v>-0.51700000000000002</v>
      </c>
      <c r="BD1680" s="191">
        <v>44466</v>
      </c>
      <c r="BE1680" s="192" t="s">
        <v>280</v>
      </c>
      <c r="BH1680" s="94">
        <v>44531</v>
      </c>
      <c r="BI1680" s="95" t="s">
        <v>93</v>
      </c>
      <c r="BJ1680" s="96">
        <v>13.71</v>
      </c>
    </row>
    <row r="1681" spans="54:62" ht="13.8" x14ac:dyDescent="0.25">
      <c r="BB1681" s="187">
        <v>44467</v>
      </c>
      <c r="BC1681" s="180">
        <v>-0.52300000000000002</v>
      </c>
      <c r="BD1681" s="191">
        <v>44467</v>
      </c>
      <c r="BE1681" s="192" t="s">
        <v>378</v>
      </c>
      <c r="BH1681" s="94">
        <v>44532</v>
      </c>
      <c r="BI1681" s="95" t="s">
        <v>144</v>
      </c>
      <c r="BJ1681" s="96">
        <v>13.71</v>
      </c>
    </row>
    <row r="1682" spans="54:62" ht="13.8" x14ac:dyDescent="0.25">
      <c r="BB1682" s="187">
        <v>44468</v>
      </c>
      <c r="BC1682" s="180">
        <v>-0.52300000000000002</v>
      </c>
      <c r="BD1682" s="191">
        <v>44468</v>
      </c>
      <c r="BE1682" s="192" t="s">
        <v>228</v>
      </c>
      <c r="BH1682" s="94">
        <v>44533</v>
      </c>
      <c r="BI1682" s="95" t="s">
        <v>225</v>
      </c>
      <c r="BJ1682" s="96">
        <v>13.71</v>
      </c>
    </row>
    <row r="1683" spans="54:62" ht="13.8" x14ac:dyDescent="0.25">
      <c r="BB1683" s="187">
        <v>44469</v>
      </c>
      <c r="BC1683" s="180">
        <v>-0.52800000000000002</v>
      </c>
      <c r="BD1683" s="191">
        <v>44469</v>
      </c>
      <c r="BE1683" s="192" t="s">
        <v>271</v>
      </c>
      <c r="BH1683" s="94">
        <v>44536</v>
      </c>
      <c r="BI1683" s="95" t="s">
        <v>147</v>
      </c>
      <c r="BJ1683" s="96">
        <v>13.7</v>
      </c>
    </row>
    <row r="1684" spans="54:62" ht="13.8" x14ac:dyDescent="0.25">
      <c r="BB1684" s="187">
        <v>44470</v>
      </c>
      <c r="BC1684" s="180">
        <v>-0.52600000000000002</v>
      </c>
      <c r="BD1684" s="191">
        <v>44470</v>
      </c>
      <c r="BE1684" s="192" t="s">
        <v>272</v>
      </c>
      <c r="BH1684" s="94">
        <v>44537</v>
      </c>
      <c r="BI1684" s="95" t="s">
        <v>226</v>
      </c>
      <c r="BJ1684" s="96">
        <v>13.7</v>
      </c>
    </row>
    <row r="1685" spans="54:62" ht="13.8" x14ac:dyDescent="0.25">
      <c r="BB1685" s="187">
        <v>44473</v>
      </c>
      <c r="BC1685" s="180">
        <v>-0.52700000000000002</v>
      </c>
      <c r="BD1685" s="191">
        <v>44473</v>
      </c>
      <c r="BE1685" s="192" t="s">
        <v>273</v>
      </c>
      <c r="BH1685" s="94">
        <v>44539</v>
      </c>
      <c r="BI1685" s="95" t="s">
        <v>226</v>
      </c>
      <c r="BJ1685" s="96">
        <v>13.69</v>
      </c>
    </row>
    <row r="1686" spans="54:62" ht="13.8" x14ac:dyDescent="0.25">
      <c r="BB1686" s="187">
        <v>44474</v>
      </c>
      <c r="BC1686" s="180">
        <v>-0.52500000000000002</v>
      </c>
      <c r="BD1686" s="191">
        <v>44474</v>
      </c>
      <c r="BE1686" s="192" t="s">
        <v>274</v>
      </c>
      <c r="BH1686" s="94">
        <v>44540</v>
      </c>
      <c r="BI1686" s="95" t="s">
        <v>148</v>
      </c>
      <c r="BJ1686" s="96">
        <v>13.69</v>
      </c>
    </row>
    <row r="1687" spans="54:62" ht="13.8" x14ac:dyDescent="0.25">
      <c r="BB1687" s="187">
        <v>44475</v>
      </c>
      <c r="BC1687" s="180">
        <v>-0.53</v>
      </c>
      <c r="BD1687" s="191">
        <v>44475</v>
      </c>
      <c r="BE1687" s="192" t="s">
        <v>362</v>
      </c>
      <c r="BH1687" s="94">
        <v>44543</v>
      </c>
      <c r="BI1687" s="95" t="s">
        <v>382</v>
      </c>
      <c r="BJ1687" s="96">
        <v>13.68</v>
      </c>
    </row>
    <row r="1688" spans="54:62" ht="13.8" x14ac:dyDescent="0.25">
      <c r="BB1688" s="187">
        <v>44476</v>
      </c>
      <c r="BC1688" s="180">
        <v>-0.52600000000000002</v>
      </c>
      <c r="BD1688" s="191">
        <v>44476</v>
      </c>
      <c r="BE1688" s="192" t="s">
        <v>253</v>
      </c>
      <c r="BH1688" s="94">
        <v>44544</v>
      </c>
      <c r="BI1688" s="95" t="s">
        <v>149</v>
      </c>
      <c r="BJ1688" s="96">
        <v>13.68</v>
      </c>
    </row>
    <row r="1689" spans="54:62" ht="13.8" x14ac:dyDescent="0.25">
      <c r="BB1689" s="187">
        <v>44477</v>
      </c>
      <c r="BC1689" s="180">
        <v>-0.51800000000000002</v>
      </c>
      <c r="BD1689" s="191">
        <v>44477</v>
      </c>
      <c r="BE1689" s="192" t="s">
        <v>148</v>
      </c>
      <c r="BH1689" s="94">
        <v>44545</v>
      </c>
      <c r="BI1689" s="95" t="s">
        <v>253</v>
      </c>
      <c r="BJ1689" s="96">
        <v>13.67</v>
      </c>
    </row>
    <row r="1690" spans="54:62" ht="13.8" x14ac:dyDescent="0.25">
      <c r="BB1690" s="187">
        <v>44480</v>
      </c>
      <c r="BC1690" s="180">
        <v>-0.52100000000000002</v>
      </c>
      <c r="BD1690" s="191">
        <v>44480</v>
      </c>
      <c r="BE1690" s="192" t="s">
        <v>379</v>
      </c>
      <c r="BH1690" s="94">
        <v>44546</v>
      </c>
      <c r="BI1690" s="95" t="s">
        <v>150</v>
      </c>
      <c r="BJ1690" s="96">
        <v>13.66</v>
      </c>
    </row>
    <row r="1691" spans="54:62" ht="13.8" x14ac:dyDescent="0.25">
      <c r="BB1691" s="187">
        <v>44481</v>
      </c>
      <c r="BC1691" s="180">
        <v>-0.52300000000000002</v>
      </c>
      <c r="BD1691" s="191">
        <v>44481</v>
      </c>
      <c r="BE1691" s="192" t="s">
        <v>92</v>
      </c>
      <c r="BH1691" s="94">
        <v>44547</v>
      </c>
      <c r="BI1691" s="95" t="s">
        <v>383</v>
      </c>
      <c r="BJ1691" s="96">
        <v>13.65</v>
      </c>
    </row>
    <row r="1692" spans="54:62" ht="13.8" x14ac:dyDescent="0.25">
      <c r="BB1692" s="187">
        <v>44482</v>
      </c>
      <c r="BC1692" s="180">
        <v>-0.52400000000000002</v>
      </c>
      <c r="BD1692" s="191">
        <v>44482</v>
      </c>
      <c r="BE1692" s="192" t="s">
        <v>214</v>
      </c>
      <c r="BH1692" s="94">
        <v>44550</v>
      </c>
      <c r="BI1692" s="95" t="s">
        <v>362</v>
      </c>
      <c r="BJ1692" s="96">
        <v>13.64</v>
      </c>
    </row>
    <row r="1693" spans="54:62" ht="13.8" x14ac:dyDescent="0.25">
      <c r="BB1693" s="187">
        <v>44483</v>
      </c>
      <c r="BC1693" s="180">
        <v>-0.52300000000000002</v>
      </c>
      <c r="BD1693" s="191">
        <v>44483</v>
      </c>
      <c r="BE1693" s="192" t="s">
        <v>266</v>
      </c>
      <c r="BH1693" s="94">
        <v>44551</v>
      </c>
      <c r="BI1693" s="95" t="s">
        <v>383</v>
      </c>
      <c r="BJ1693" s="96">
        <v>13.65</v>
      </c>
    </row>
    <row r="1694" spans="54:62" ht="13.8" x14ac:dyDescent="0.25">
      <c r="BB1694" s="187">
        <v>44484</v>
      </c>
      <c r="BC1694" s="180">
        <v>-0.52800000000000002</v>
      </c>
      <c r="BD1694" s="191">
        <v>44484</v>
      </c>
      <c r="BE1694" s="192" t="s">
        <v>86</v>
      </c>
      <c r="BH1694" s="94">
        <v>44552</v>
      </c>
      <c r="BI1694" s="95" t="s">
        <v>268</v>
      </c>
      <c r="BJ1694" s="96">
        <v>13.65</v>
      </c>
    </row>
    <row r="1695" spans="54:62" ht="13.8" x14ac:dyDescent="0.25">
      <c r="BB1695" s="187">
        <v>44487</v>
      </c>
      <c r="BC1695" s="180">
        <v>-0.52700000000000002</v>
      </c>
      <c r="BD1695" s="191">
        <v>44487</v>
      </c>
      <c r="BE1695" s="192" t="s">
        <v>223</v>
      </c>
      <c r="BH1695" s="94">
        <v>44553</v>
      </c>
      <c r="BI1695" s="95" t="s">
        <v>383</v>
      </c>
      <c r="BJ1695" s="96">
        <v>13.65</v>
      </c>
    </row>
    <row r="1696" spans="54:62" ht="13.8" x14ac:dyDescent="0.25">
      <c r="BB1696" s="187">
        <v>44488</v>
      </c>
      <c r="BC1696" s="180">
        <v>-0.52400000000000002</v>
      </c>
      <c r="BD1696" s="191">
        <v>44488</v>
      </c>
      <c r="BE1696" s="192" t="s">
        <v>80</v>
      </c>
      <c r="BH1696" s="94">
        <v>44557</v>
      </c>
      <c r="BI1696" s="95" t="s">
        <v>383</v>
      </c>
      <c r="BJ1696" s="96">
        <v>13.63</v>
      </c>
    </row>
    <row r="1697" spans="54:62" ht="13.8" x14ac:dyDescent="0.25">
      <c r="BB1697" s="187">
        <v>44489</v>
      </c>
      <c r="BC1697" s="180">
        <v>-0.52700000000000002</v>
      </c>
      <c r="BD1697" s="191">
        <v>44489</v>
      </c>
      <c r="BE1697" s="192" t="s">
        <v>102</v>
      </c>
      <c r="BH1697" s="94">
        <v>44558</v>
      </c>
      <c r="BI1697" s="95" t="s">
        <v>208</v>
      </c>
      <c r="BJ1697" s="96">
        <v>13.63</v>
      </c>
    </row>
    <row r="1698" spans="54:62" ht="13.8" x14ac:dyDescent="0.25">
      <c r="BB1698" s="187">
        <v>44490</v>
      </c>
      <c r="BC1698" s="180">
        <v>-0.53200000000000003</v>
      </c>
      <c r="BD1698" s="191">
        <v>44490</v>
      </c>
      <c r="BE1698" s="192" t="s">
        <v>76</v>
      </c>
      <c r="BH1698" s="94">
        <v>44559</v>
      </c>
      <c r="BI1698" s="95" t="s">
        <v>384</v>
      </c>
      <c r="BJ1698" s="96">
        <v>13.63</v>
      </c>
    </row>
    <row r="1699" spans="54:62" ht="13.8" x14ac:dyDescent="0.25">
      <c r="BB1699" s="187">
        <v>44491</v>
      </c>
      <c r="BC1699" s="180">
        <v>-0.53400000000000003</v>
      </c>
      <c r="BD1699" s="191">
        <v>44491</v>
      </c>
      <c r="BE1699" s="192" t="s">
        <v>99</v>
      </c>
      <c r="BH1699" s="94">
        <v>44560</v>
      </c>
      <c r="BI1699" s="95" t="s">
        <v>379</v>
      </c>
      <c r="BJ1699" s="96">
        <v>13.63</v>
      </c>
    </row>
    <row r="1700" spans="54:62" ht="13.8" x14ac:dyDescent="0.25">
      <c r="BB1700" s="187">
        <v>44494</v>
      </c>
      <c r="BC1700" s="180">
        <v>-0.52800000000000002</v>
      </c>
      <c r="BD1700" s="191">
        <v>44494</v>
      </c>
      <c r="BE1700" s="192" t="s">
        <v>101</v>
      </c>
      <c r="BH1700" s="94">
        <v>44561</v>
      </c>
      <c r="BI1700" s="95" t="s">
        <v>211</v>
      </c>
      <c r="BJ1700" s="96">
        <v>13.62</v>
      </c>
    </row>
    <row r="1701" spans="54:62" ht="13.8" x14ac:dyDescent="0.25">
      <c r="BB1701" s="187">
        <v>44495</v>
      </c>
      <c r="BC1701" s="180">
        <v>-0.53300000000000003</v>
      </c>
      <c r="BD1701" s="191"/>
      <c r="BE1701" s="193" t="str">
        <f>+BE1700</f>
        <v>−0,144</v>
      </c>
      <c r="BH1701" s="94">
        <v>44564</v>
      </c>
      <c r="BI1701" s="95" t="s">
        <v>212</v>
      </c>
      <c r="BJ1701" s="96">
        <v>13.62</v>
      </c>
    </row>
    <row r="1702" spans="54:62" ht="13.8" x14ac:dyDescent="0.25">
      <c r="BB1702" s="187">
        <v>44496</v>
      </c>
      <c r="BC1702" s="180">
        <v>-0.53600000000000003</v>
      </c>
      <c r="BD1702" s="191">
        <v>44496</v>
      </c>
      <c r="BE1702" s="192" t="s">
        <v>108</v>
      </c>
      <c r="BH1702" s="94">
        <v>44565</v>
      </c>
      <c r="BI1702" s="95" t="s">
        <v>86</v>
      </c>
      <c r="BJ1702" s="96">
        <v>13.61</v>
      </c>
    </row>
    <row r="1703" spans="54:62" ht="13.8" x14ac:dyDescent="0.25">
      <c r="BB1703" s="187">
        <v>44497</v>
      </c>
      <c r="BC1703" s="180">
        <v>-0.53300000000000003</v>
      </c>
      <c r="BD1703" s="191">
        <v>44497</v>
      </c>
      <c r="BE1703" s="192" t="s">
        <v>109</v>
      </c>
      <c r="BH1703" s="94">
        <v>44566</v>
      </c>
      <c r="BI1703" s="95" t="s">
        <v>368</v>
      </c>
      <c r="BJ1703" s="96">
        <v>13.61</v>
      </c>
    </row>
    <row r="1704" spans="54:62" ht="13.8" x14ac:dyDescent="0.25">
      <c r="BB1704" s="187">
        <v>44498</v>
      </c>
      <c r="BC1704" s="180">
        <v>-0.52700000000000002</v>
      </c>
      <c r="BD1704" s="191">
        <v>44498</v>
      </c>
      <c r="BE1704" s="192" t="s">
        <v>365</v>
      </c>
      <c r="BH1704" s="94">
        <v>44568</v>
      </c>
      <c r="BI1704" s="95" t="s">
        <v>78</v>
      </c>
      <c r="BJ1704" s="96">
        <v>13.6</v>
      </c>
    </row>
    <row r="1705" spans="54:62" ht="13.8" x14ac:dyDescent="0.25">
      <c r="BB1705" s="187">
        <v>44501</v>
      </c>
      <c r="BC1705" s="180">
        <v>-0.52900000000000003</v>
      </c>
      <c r="BD1705" s="191"/>
      <c r="BE1705" s="193">
        <v>-0.13400000000000001</v>
      </c>
      <c r="BF1705" s="111">
        <f>+(BC1705+BE1705)/2+0.37</f>
        <v>3.8499999999999979E-2</v>
      </c>
      <c r="BH1705" s="94">
        <v>44571</v>
      </c>
      <c r="BI1705" s="95" t="s">
        <v>143</v>
      </c>
      <c r="BJ1705" s="96">
        <v>13.6</v>
      </c>
    </row>
    <row r="1706" spans="54:62" ht="13.8" x14ac:dyDescent="0.25">
      <c r="BB1706" s="187">
        <v>44502</v>
      </c>
      <c r="BC1706" s="180">
        <v>-0.53400000000000003</v>
      </c>
      <c r="BD1706" s="191">
        <v>44502</v>
      </c>
      <c r="BE1706" s="192" t="s">
        <v>366</v>
      </c>
      <c r="BH1706" s="94">
        <v>44572</v>
      </c>
      <c r="BI1706" s="95" t="s">
        <v>363</v>
      </c>
      <c r="BJ1706" s="96">
        <v>13.59</v>
      </c>
    </row>
    <row r="1707" spans="54:62" ht="13.8" x14ac:dyDescent="0.25">
      <c r="BB1707" s="187">
        <v>44503</v>
      </c>
      <c r="BC1707" s="180">
        <v>-0.53800000000000003</v>
      </c>
      <c r="BD1707" s="191">
        <v>44503</v>
      </c>
      <c r="BE1707" s="192" t="s">
        <v>71</v>
      </c>
      <c r="BH1707" s="94">
        <v>44573</v>
      </c>
      <c r="BI1707" s="95" t="s">
        <v>265</v>
      </c>
      <c r="BJ1707" s="96">
        <v>13.59</v>
      </c>
    </row>
    <row r="1708" spans="54:62" ht="13.8" x14ac:dyDescent="0.25">
      <c r="BB1708" s="187">
        <v>44504</v>
      </c>
      <c r="BC1708" s="180">
        <v>-0.53800000000000003</v>
      </c>
      <c r="BD1708" s="191">
        <v>44504</v>
      </c>
      <c r="BE1708" s="192" t="s">
        <v>380</v>
      </c>
      <c r="BH1708" s="94">
        <v>44574</v>
      </c>
      <c r="BI1708" s="95" t="s">
        <v>385</v>
      </c>
      <c r="BJ1708" s="96">
        <v>13.62</v>
      </c>
    </row>
    <row r="1709" spans="54:62" ht="13.8" x14ac:dyDescent="0.25">
      <c r="BB1709" s="187">
        <v>44505</v>
      </c>
      <c r="BC1709" s="180">
        <v>-0.53600000000000003</v>
      </c>
      <c r="BD1709" s="191">
        <v>44505</v>
      </c>
      <c r="BE1709" s="192" t="s">
        <v>112</v>
      </c>
      <c r="BH1709" s="94">
        <v>44575</v>
      </c>
      <c r="BI1709" s="95" t="s">
        <v>386</v>
      </c>
      <c r="BJ1709" s="96">
        <v>13.62</v>
      </c>
    </row>
    <row r="1710" spans="54:62" ht="13.8" x14ac:dyDescent="0.25">
      <c r="BB1710" s="187">
        <v>44508</v>
      </c>
      <c r="BC1710" s="180">
        <v>-0.53700000000000003</v>
      </c>
      <c r="BD1710" s="191">
        <v>44508</v>
      </c>
      <c r="BE1710" s="192" t="s">
        <v>366</v>
      </c>
      <c r="BH1710" s="94">
        <v>44578</v>
      </c>
      <c r="BI1710" s="95" t="s">
        <v>387</v>
      </c>
      <c r="BJ1710" s="96">
        <v>13.61</v>
      </c>
    </row>
    <row r="1711" spans="54:62" ht="13.8" x14ac:dyDescent="0.25">
      <c r="BB1711" s="187">
        <v>44509</v>
      </c>
      <c r="BC1711" s="180">
        <v>-0.53300000000000003</v>
      </c>
      <c r="BD1711" s="191">
        <v>44509</v>
      </c>
      <c r="BE1711" s="192" t="s">
        <v>364</v>
      </c>
      <c r="BH1711" s="94">
        <v>44579</v>
      </c>
      <c r="BI1711" s="95" t="s">
        <v>256</v>
      </c>
      <c r="BJ1711" s="96">
        <v>13.6</v>
      </c>
    </row>
    <row r="1712" spans="54:62" ht="13.8" x14ac:dyDescent="0.25">
      <c r="BB1712" s="187">
        <v>44510</v>
      </c>
      <c r="BC1712" s="180">
        <v>-0.53200000000000003</v>
      </c>
      <c r="BD1712" s="191">
        <v>44510</v>
      </c>
      <c r="BE1712" s="192" t="s">
        <v>142</v>
      </c>
      <c r="BH1712" s="94">
        <v>44580</v>
      </c>
      <c r="BI1712" s="95" t="s">
        <v>388</v>
      </c>
      <c r="BJ1712" s="96">
        <v>13.6</v>
      </c>
    </row>
    <row r="1713" spans="54:62" ht="13.8" x14ac:dyDescent="0.25">
      <c r="BB1713" s="187">
        <v>44511</v>
      </c>
      <c r="BC1713" s="180">
        <v>-0.52700000000000002</v>
      </c>
      <c r="BD1713" s="191">
        <v>44511</v>
      </c>
      <c r="BE1713" s="192" t="s">
        <v>73</v>
      </c>
      <c r="BH1713" s="94">
        <v>44581</v>
      </c>
      <c r="BI1713" s="95" t="s">
        <v>389</v>
      </c>
      <c r="BJ1713" s="96">
        <v>13.6</v>
      </c>
    </row>
    <row r="1714" spans="54:62" ht="13.8" x14ac:dyDescent="0.25">
      <c r="BB1714" s="187">
        <v>44512</v>
      </c>
      <c r="BC1714" s="180">
        <v>-0.53300000000000003</v>
      </c>
      <c r="BD1714" s="191">
        <v>44512</v>
      </c>
      <c r="BE1714" s="192" t="s">
        <v>75</v>
      </c>
      <c r="BH1714" s="94">
        <v>44582</v>
      </c>
      <c r="BI1714" s="95" t="s">
        <v>390</v>
      </c>
      <c r="BJ1714" s="96">
        <v>13.6</v>
      </c>
    </row>
    <row r="1715" spans="54:62" ht="13.8" x14ac:dyDescent="0.25">
      <c r="BB1715" s="187">
        <v>44515</v>
      </c>
      <c r="BC1715" s="180">
        <v>-0.52800000000000002</v>
      </c>
      <c r="BD1715" s="191">
        <v>44515</v>
      </c>
      <c r="BE1715" s="192" t="s">
        <v>97</v>
      </c>
      <c r="BH1715" s="94">
        <v>44585</v>
      </c>
      <c r="BI1715" s="95" t="s">
        <v>122</v>
      </c>
      <c r="BJ1715" s="96">
        <v>13.59</v>
      </c>
    </row>
    <row r="1716" spans="54:62" ht="13.8" x14ac:dyDescent="0.25">
      <c r="BB1716" s="187">
        <v>44516</v>
      </c>
      <c r="BC1716" s="180">
        <v>-0.53</v>
      </c>
      <c r="BD1716" s="191">
        <v>44516</v>
      </c>
      <c r="BE1716" s="192" t="s">
        <v>221</v>
      </c>
      <c r="BH1716" s="94">
        <v>44586</v>
      </c>
      <c r="BI1716" s="95" t="s">
        <v>391</v>
      </c>
      <c r="BJ1716" s="96">
        <v>13.59</v>
      </c>
    </row>
    <row r="1717" spans="54:62" ht="13.8" x14ac:dyDescent="0.25">
      <c r="BB1717" s="187">
        <v>44517</v>
      </c>
      <c r="BC1717" s="180">
        <v>-0.53800000000000003</v>
      </c>
      <c r="BD1717" s="191">
        <v>44517</v>
      </c>
      <c r="BE1717" s="192" t="s">
        <v>103</v>
      </c>
      <c r="BH1717" s="94">
        <v>44587</v>
      </c>
      <c r="BI1717" s="95" t="s">
        <v>392</v>
      </c>
      <c r="BJ1717" s="96">
        <v>13.7</v>
      </c>
    </row>
    <row r="1718" spans="54:62" ht="13.8" x14ac:dyDescent="0.25">
      <c r="BB1718" s="187">
        <v>44518</v>
      </c>
      <c r="BC1718" s="180">
        <v>-0.53300000000000003</v>
      </c>
      <c r="BD1718" s="191">
        <v>44518</v>
      </c>
      <c r="BE1718" s="192" t="s">
        <v>80</v>
      </c>
      <c r="BH1718" s="94">
        <v>44588</v>
      </c>
      <c r="BI1718" s="95" t="s">
        <v>124</v>
      </c>
      <c r="BJ1718" s="96">
        <v>13.7</v>
      </c>
    </row>
    <row r="1719" spans="54:62" ht="13.8" x14ac:dyDescent="0.25">
      <c r="BB1719" s="187">
        <v>44519</v>
      </c>
      <c r="BC1719" s="180">
        <v>-0.52800000000000002</v>
      </c>
      <c r="BD1719" s="191">
        <v>44519</v>
      </c>
      <c r="BE1719" s="192" t="s">
        <v>223</v>
      </c>
      <c r="BH1719" s="94">
        <v>44589</v>
      </c>
      <c r="BI1719" s="95" t="s">
        <v>393</v>
      </c>
      <c r="BJ1719" s="96">
        <v>13.7</v>
      </c>
    </row>
    <row r="1720" spans="54:62" ht="13.8" x14ac:dyDescent="0.25">
      <c r="BB1720" s="187">
        <v>44522</v>
      </c>
      <c r="BC1720" s="180">
        <v>-0.52800000000000002</v>
      </c>
      <c r="BD1720" s="191">
        <v>44522</v>
      </c>
      <c r="BE1720" s="192" t="s">
        <v>78</v>
      </c>
      <c r="BH1720" s="94">
        <v>44592</v>
      </c>
      <c r="BI1720" s="95" t="s">
        <v>394</v>
      </c>
      <c r="BJ1720" s="96">
        <v>13.69</v>
      </c>
    </row>
    <row r="1721" spans="54:62" ht="13.8" x14ac:dyDescent="0.25">
      <c r="BB1721" s="187">
        <v>44523</v>
      </c>
      <c r="BC1721" s="180">
        <v>-0.53300000000000003</v>
      </c>
      <c r="BD1721" s="191">
        <v>44523</v>
      </c>
      <c r="BE1721" s="192" t="s">
        <v>367</v>
      </c>
      <c r="BH1721" s="94">
        <v>44593</v>
      </c>
      <c r="BI1721" s="95">
        <v>0</v>
      </c>
      <c r="BJ1721" s="96">
        <v>13.77</v>
      </c>
    </row>
    <row r="1722" spans="54:62" ht="13.8" x14ac:dyDescent="0.25">
      <c r="BB1722" s="187">
        <v>44524</v>
      </c>
      <c r="BC1722" s="180">
        <v>-0.54</v>
      </c>
      <c r="BD1722" s="191">
        <v>44524</v>
      </c>
      <c r="BE1722" s="192" t="s">
        <v>219</v>
      </c>
      <c r="BH1722" s="94">
        <v>44594</v>
      </c>
      <c r="BI1722" s="95">
        <v>7.0000000000000001E-3</v>
      </c>
      <c r="BJ1722" s="96">
        <v>13.77</v>
      </c>
    </row>
    <row r="1723" spans="54:62" ht="13.8" x14ac:dyDescent="0.25">
      <c r="BB1723" s="187">
        <v>44525</v>
      </c>
      <c r="BC1723" s="180">
        <v>-0.54200000000000004</v>
      </c>
      <c r="BD1723" s="191">
        <v>44525</v>
      </c>
      <c r="BE1723" s="192" t="s">
        <v>368</v>
      </c>
      <c r="BH1723" s="94">
        <v>44595</v>
      </c>
      <c r="BI1723" s="95">
        <v>1.6E-2</v>
      </c>
      <c r="BJ1723" s="96">
        <v>13.77</v>
      </c>
    </row>
    <row r="1724" spans="54:62" ht="13.8" x14ac:dyDescent="0.25">
      <c r="BB1724" s="187">
        <v>44526</v>
      </c>
      <c r="BC1724" s="180">
        <v>-0.53700000000000003</v>
      </c>
      <c r="BD1724" s="191">
        <v>44526</v>
      </c>
      <c r="BE1724" s="192" t="s">
        <v>381</v>
      </c>
      <c r="BH1724" s="94">
        <v>44596</v>
      </c>
      <c r="BI1724" s="95">
        <v>0.03</v>
      </c>
      <c r="BJ1724" s="96">
        <v>13.76</v>
      </c>
    </row>
    <row r="1725" spans="54:62" ht="13.8" x14ac:dyDescent="0.25">
      <c r="BB1725" s="187">
        <v>44529</v>
      </c>
      <c r="BC1725" s="180">
        <v>-0.53600000000000003</v>
      </c>
      <c r="BD1725" s="191">
        <v>44529</v>
      </c>
      <c r="BE1725" s="192" t="s">
        <v>266</v>
      </c>
      <c r="BH1725" s="94">
        <v>44599</v>
      </c>
      <c r="BI1725" s="95">
        <v>4.5999999999999999E-2</v>
      </c>
      <c r="BJ1725" s="96">
        <v>13.75</v>
      </c>
    </row>
    <row r="1726" spans="54:62" ht="13.8" x14ac:dyDescent="0.25">
      <c r="BB1726" s="187">
        <v>44530</v>
      </c>
      <c r="BC1726" s="180">
        <v>-0.53800000000000003</v>
      </c>
      <c r="BD1726" s="191">
        <v>44530</v>
      </c>
      <c r="BE1726" s="192" t="s">
        <v>89</v>
      </c>
      <c r="BH1726" s="94">
        <v>44600</v>
      </c>
      <c r="BI1726" s="95">
        <v>6.2E-2</v>
      </c>
      <c r="BJ1726" s="96">
        <v>13.74</v>
      </c>
    </row>
    <row r="1727" spans="54:62" ht="13.8" x14ac:dyDescent="0.25">
      <c r="BB1727" s="187">
        <v>44531</v>
      </c>
      <c r="BC1727" s="180">
        <v>-0.54100000000000004</v>
      </c>
      <c r="BD1727" s="191">
        <v>44531</v>
      </c>
      <c r="BE1727" s="192" t="s">
        <v>93</v>
      </c>
      <c r="BH1727" s="94">
        <v>44601</v>
      </c>
      <c r="BI1727" s="95">
        <v>7.6999999999999999E-2</v>
      </c>
      <c r="BJ1727" s="96">
        <v>13.74</v>
      </c>
    </row>
    <row r="1728" spans="54:62" ht="13.8" x14ac:dyDescent="0.25">
      <c r="BB1728" s="187">
        <v>44532</v>
      </c>
      <c r="BC1728" s="180">
        <v>-0.54100000000000004</v>
      </c>
      <c r="BD1728" s="191">
        <v>44532</v>
      </c>
      <c r="BE1728" s="192" t="s">
        <v>144</v>
      </c>
      <c r="BH1728" s="94">
        <v>44602</v>
      </c>
      <c r="BI1728" s="95">
        <v>9.4E-2</v>
      </c>
      <c r="BJ1728" s="96">
        <v>13.74</v>
      </c>
    </row>
    <row r="1729" spans="54:62" ht="13.8" x14ac:dyDescent="0.25">
      <c r="BB1729" s="187">
        <v>44533</v>
      </c>
      <c r="BC1729" s="180">
        <v>-0.53700000000000003</v>
      </c>
      <c r="BD1729" s="191">
        <v>44533</v>
      </c>
      <c r="BE1729" s="192" t="s">
        <v>225</v>
      </c>
      <c r="BH1729" s="94">
        <v>44603</v>
      </c>
      <c r="BI1729" s="95">
        <v>0.114</v>
      </c>
      <c r="BJ1729" s="96">
        <v>13.74</v>
      </c>
    </row>
    <row r="1730" spans="54:62" ht="13.8" x14ac:dyDescent="0.25">
      <c r="BB1730" s="187">
        <v>44536</v>
      </c>
      <c r="BC1730" s="180">
        <v>-0.54300000000000004</v>
      </c>
      <c r="BD1730" s="191">
        <v>44536</v>
      </c>
      <c r="BE1730" s="192" t="s">
        <v>147</v>
      </c>
      <c r="BH1730" s="94">
        <v>44606</v>
      </c>
      <c r="BI1730" s="95">
        <v>0.13</v>
      </c>
      <c r="BJ1730" s="96">
        <v>13.73</v>
      </c>
    </row>
    <row r="1731" spans="54:62" ht="13.8" x14ac:dyDescent="0.25">
      <c r="BB1731" s="187">
        <v>44537</v>
      </c>
      <c r="BC1731" s="180">
        <v>-0.53800000000000003</v>
      </c>
      <c r="BD1731" s="191">
        <v>44537</v>
      </c>
      <c r="BE1731" s="192" t="s">
        <v>226</v>
      </c>
      <c r="BH1731" s="94">
        <v>44607</v>
      </c>
      <c r="BI1731" s="95">
        <v>0.14699999999999999</v>
      </c>
      <c r="BJ1731" s="96">
        <v>13.73</v>
      </c>
    </row>
    <row r="1732" spans="54:62" ht="13.8" x14ac:dyDescent="0.25">
      <c r="BB1732" s="187">
        <v>44538</v>
      </c>
      <c r="BC1732" s="180">
        <v>-0.54</v>
      </c>
      <c r="BD1732" s="191"/>
      <c r="BE1732" s="193" t="str">
        <f>+BE1731</f>
        <v>−0,208</v>
      </c>
      <c r="BH1732" s="94">
        <v>44608</v>
      </c>
      <c r="BI1732" s="95">
        <v>0.16300000000000001</v>
      </c>
      <c r="BJ1732" s="96">
        <v>13.72</v>
      </c>
    </row>
    <row r="1733" spans="54:62" ht="13.8" x14ac:dyDescent="0.25">
      <c r="BB1733" s="187">
        <v>44539</v>
      </c>
      <c r="BC1733" s="180">
        <v>-0.54600000000000004</v>
      </c>
      <c r="BD1733" s="191">
        <v>44539</v>
      </c>
      <c r="BE1733" s="192" t="s">
        <v>226</v>
      </c>
      <c r="BH1733" s="94">
        <v>44609</v>
      </c>
      <c r="BI1733" s="95">
        <v>0.17899999999999999</v>
      </c>
      <c r="BJ1733" s="96">
        <v>13.72</v>
      </c>
    </row>
    <row r="1734" spans="54:62" ht="13.8" x14ac:dyDescent="0.25">
      <c r="BB1734" s="187">
        <v>44540</v>
      </c>
      <c r="BC1734" s="180">
        <v>-0.54300000000000004</v>
      </c>
      <c r="BD1734" s="191">
        <v>44540</v>
      </c>
      <c r="BE1734" s="192" t="s">
        <v>148</v>
      </c>
      <c r="BH1734" s="94">
        <v>44610</v>
      </c>
      <c r="BI1734" s="95">
        <v>0.193</v>
      </c>
      <c r="BJ1734" s="96">
        <v>13.72</v>
      </c>
    </row>
    <row r="1735" spans="54:62" ht="13.8" x14ac:dyDescent="0.25">
      <c r="BB1735" s="187">
        <v>44543</v>
      </c>
      <c r="BC1735" s="180">
        <v>-0.54700000000000004</v>
      </c>
      <c r="BD1735" s="191">
        <v>44543</v>
      </c>
      <c r="BE1735" s="192" t="s">
        <v>382</v>
      </c>
      <c r="BH1735" s="94">
        <v>44613</v>
      </c>
      <c r="BI1735" s="95">
        <v>0.21</v>
      </c>
      <c r="BJ1735" s="96">
        <v>13.71</v>
      </c>
    </row>
    <row r="1736" spans="54:62" ht="13.8" x14ac:dyDescent="0.25">
      <c r="BB1736" s="187">
        <v>44544</v>
      </c>
      <c r="BC1736" s="180">
        <v>-0.54500000000000004</v>
      </c>
      <c r="BD1736" s="191">
        <v>44544</v>
      </c>
      <c r="BE1736" s="192" t="s">
        <v>149</v>
      </c>
      <c r="BH1736" s="94">
        <v>44614</v>
      </c>
      <c r="BI1736" s="95">
        <v>0.22700000000000001</v>
      </c>
      <c r="BJ1736" s="96">
        <v>13.71</v>
      </c>
    </row>
    <row r="1737" spans="54:62" ht="13.8" x14ac:dyDescent="0.25">
      <c r="BB1737" s="187">
        <v>44545</v>
      </c>
      <c r="BC1737" s="180">
        <v>-0.54700000000000004</v>
      </c>
      <c r="BD1737" s="191">
        <v>44545</v>
      </c>
      <c r="BE1737" s="192" t="s">
        <v>253</v>
      </c>
      <c r="BH1737" s="94">
        <v>44615</v>
      </c>
      <c r="BI1737" s="95">
        <v>0.24399999999999999</v>
      </c>
      <c r="BJ1737" s="96">
        <v>13.7</v>
      </c>
    </row>
    <row r="1738" spans="54:62" ht="13.8" x14ac:dyDescent="0.25">
      <c r="BB1738" s="187">
        <v>44546</v>
      </c>
      <c r="BC1738" s="180">
        <v>-0.54800000000000004</v>
      </c>
      <c r="BD1738" s="191">
        <v>44546</v>
      </c>
      <c r="BE1738" s="192" t="s">
        <v>150</v>
      </c>
      <c r="BH1738" s="94">
        <v>44616</v>
      </c>
      <c r="BI1738" s="95">
        <v>0.25700000000000001</v>
      </c>
      <c r="BJ1738" s="96">
        <v>13.69</v>
      </c>
    </row>
    <row r="1739" spans="54:62" ht="13.8" x14ac:dyDescent="0.25">
      <c r="BB1739" s="187">
        <v>44547</v>
      </c>
      <c r="BC1739" s="180">
        <v>-0.55100000000000005</v>
      </c>
      <c r="BD1739" s="191">
        <v>44547</v>
      </c>
      <c r="BE1739" s="192" t="s">
        <v>383</v>
      </c>
      <c r="BH1739" s="94">
        <v>44617</v>
      </c>
      <c r="BI1739" s="95">
        <v>0.27100000000000002</v>
      </c>
      <c r="BJ1739" s="96">
        <v>13.68</v>
      </c>
    </row>
    <row r="1740" spans="54:62" ht="13.8" x14ac:dyDescent="0.25">
      <c r="BB1740" s="187">
        <v>44550</v>
      </c>
      <c r="BC1740" s="180">
        <v>-0.55400000000000005</v>
      </c>
      <c r="BD1740" s="191">
        <v>44550</v>
      </c>
      <c r="BE1740" s="192" t="s">
        <v>362</v>
      </c>
      <c r="BH1740" s="94">
        <v>44620</v>
      </c>
      <c r="BI1740" s="95">
        <v>0.28199999999999997</v>
      </c>
      <c r="BJ1740" s="96">
        <v>13.67</v>
      </c>
    </row>
    <row r="1741" spans="54:62" ht="13.8" x14ac:dyDescent="0.25">
      <c r="BB1741" s="187">
        <v>44551</v>
      </c>
      <c r="BC1741" s="180">
        <v>-0.55100000000000005</v>
      </c>
      <c r="BD1741" s="191">
        <v>44551</v>
      </c>
      <c r="BE1741" s="192" t="s">
        <v>383</v>
      </c>
      <c r="BH1741" s="94">
        <v>44621</v>
      </c>
      <c r="BI1741" s="95">
        <v>0.28499999999999998</v>
      </c>
      <c r="BJ1741" s="96">
        <v>13.67</v>
      </c>
    </row>
    <row r="1742" spans="54:62" ht="13.8" x14ac:dyDescent="0.25">
      <c r="BB1742" s="187">
        <v>44552</v>
      </c>
      <c r="BC1742" s="180">
        <v>-0.54500000000000004</v>
      </c>
      <c r="BD1742" s="191">
        <v>44552</v>
      </c>
      <c r="BE1742" s="192" t="s">
        <v>268</v>
      </c>
      <c r="BH1742" s="94">
        <v>44622</v>
      </c>
      <c r="BI1742" s="95">
        <v>0.28599999999999998</v>
      </c>
      <c r="BJ1742" s="96">
        <v>13.67</v>
      </c>
    </row>
    <row r="1743" spans="54:62" ht="13.8" x14ac:dyDescent="0.25">
      <c r="BB1743" s="187">
        <v>44553</v>
      </c>
      <c r="BC1743" s="180">
        <v>-0.53700000000000003</v>
      </c>
      <c r="BD1743" s="191">
        <v>44553</v>
      </c>
      <c r="BE1743" s="192" t="s">
        <v>383</v>
      </c>
      <c r="BH1743" s="94">
        <v>44623</v>
      </c>
      <c r="BI1743" s="95">
        <v>0.28899999999999998</v>
      </c>
      <c r="BJ1743" s="96">
        <v>13.67</v>
      </c>
    </row>
    <row r="1744" spans="54:62" ht="13.8" x14ac:dyDescent="0.25">
      <c r="BB1744" s="187">
        <v>44554</v>
      </c>
      <c r="BC1744" s="180">
        <v>-0.54400000000000004</v>
      </c>
      <c r="BD1744" s="191"/>
      <c r="BE1744" s="193" t="str">
        <f>+BE1743</f>
        <v>−0,219</v>
      </c>
      <c r="BH1744" s="94">
        <v>44624</v>
      </c>
      <c r="BI1744" s="95">
        <v>0.28100000000000003</v>
      </c>
      <c r="BJ1744" s="96">
        <v>13.66</v>
      </c>
    </row>
    <row r="1745" spans="54:62" ht="13.8" x14ac:dyDescent="0.25">
      <c r="BB1745" s="187">
        <v>44557</v>
      </c>
      <c r="BC1745" s="180">
        <v>-0.54400000000000004</v>
      </c>
      <c r="BD1745" s="191">
        <v>44557</v>
      </c>
      <c r="BE1745" s="192" t="s">
        <v>383</v>
      </c>
      <c r="BH1745" s="94">
        <v>44627</v>
      </c>
      <c r="BI1745" s="95">
        <v>0.27200000000000002</v>
      </c>
      <c r="BJ1745" s="96">
        <v>13.66</v>
      </c>
    </row>
    <row r="1746" spans="54:62" ht="13.8" x14ac:dyDescent="0.25">
      <c r="BB1746" s="187">
        <v>44558</v>
      </c>
      <c r="BC1746" s="180">
        <v>-0.54800000000000004</v>
      </c>
      <c r="BD1746" s="191">
        <v>44558</v>
      </c>
      <c r="BE1746" s="192" t="s">
        <v>208</v>
      </c>
      <c r="BH1746" s="94">
        <v>44628</v>
      </c>
      <c r="BI1746" s="95">
        <v>0.26600000000000001</v>
      </c>
      <c r="BJ1746" s="96">
        <v>13.72</v>
      </c>
    </row>
    <row r="1747" spans="54:62" ht="13.8" x14ac:dyDescent="0.25">
      <c r="BB1747" s="187">
        <v>44559</v>
      </c>
      <c r="BC1747" s="180">
        <v>-0.54400000000000004</v>
      </c>
      <c r="BD1747" s="191">
        <v>44559</v>
      </c>
      <c r="BE1747" s="192" t="s">
        <v>384</v>
      </c>
      <c r="BH1747" s="94">
        <v>44629</v>
      </c>
      <c r="BI1747" s="95">
        <v>0.26500000000000001</v>
      </c>
      <c r="BJ1747" s="96">
        <v>13.72</v>
      </c>
    </row>
    <row r="1748" spans="54:62" ht="13.8" x14ac:dyDescent="0.25">
      <c r="BB1748" s="187">
        <v>44560</v>
      </c>
      <c r="BC1748" s="180">
        <v>-0.54600000000000004</v>
      </c>
      <c r="BD1748" s="191">
        <v>44560</v>
      </c>
      <c r="BE1748" s="192" t="s">
        <v>379</v>
      </c>
      <c r="BH1748" s="94">
        <v>44630</v>
      </c>
      <c r="BI1748" s="95">
        <v>0.26300000000000001</v>
      </c>
      <c r="BJ1748" s="96">
        <v>13.67</v>
      </c>
    </row>
    <row r="1749" spans="54:62" ht="13.8" x14ac:dyDescent="0.25">
      <c r="BB1749" s="187">
        <v>44561</v>
      </c>
      <c r="BC1749" s="180">
        <v>-0.54600000000000004</v>
      </c>
      <c r="BD1749" s="191">
        <v>44561</v>
      </c>
      <c r="BE1749" s="192" t="s">
        <v>211</v>
      </c>
      <c r="BH1749" s="94">
        <v>44631</v>
      </c>
      <c r="BI1749" s="95">
        <v>0.26500000000000001</v>
      </c>
      <c r="BJ1749" s="96">
        <v>13.67</v>
      </c>
    </row>
    <row r="1750" spans="54:62" ht="13.8" x14ac:dyDescent="0.25">
      <c r="BB1750" s="187">
        <v>44564</v>
      </c>
      <c r="BC1750" s="180">
        <v>-0.53900000000000003</v>
      </c>
      <c r="BD1750" s="191">
        <v>44564</v>
      </c>
      <c r="BE1750" s="192" t="s">
        <v>212</v>
      </c>
      <c r="BH1750" s="94">
        <v>44634</v>
      </c>
      <c r="BI1750" s="95">
        <v>0.27200000000000002</v>
      </c>
      <c r="BJ1750" s="96">
        <v>13.66</v>
      </c>
    </row>
    <row r="1751" spans="54:62" ht="13.8" x14ac:dyDescent="0.25">
      <c r="BB1751" s="187">
        <v>44565</v>
      </c>
      <c r="BC1751" s="180">
        <v>-0.53500000000000003</v>
      </c>
      <c r="BD1751" s="191">
        <v>44565</v>
      </c>
      <c r="BE1751" s="192" t="s">
        <v>86</v>
      </c>
      <c r="BH1751" s="94">
        <v>44635</v>
      </c>
      <c r="BI1751" s="95">
        <v>0.27400000000000002</v>
      </c>
      <c r="BJ1751" s="96">
        <v>13.66</v>
      </c>
    </row>
    <row r="1752" spans="54:62" ht="13.8" x14ac:dyDescent="0.25">
      <c r="BB1752" s="187">
        <v>44566</v>
      </c>
      <c r="BC1752" s="180">
        <v>-0.54100000000000004</v>
      </c>
      <c r="BD1752" s="191">
        <v>44566</v>
      </c>
      <c r="BE1752" s="192" t="s">
        <v>368</v>
      </c>
      <c r="BH1752" s="94">
        <v>44636</v>
      </c>
      <c r="BI1752" s="95">
        <v>0.27800000000000002</v>
      </c>
      <c r="BJ1752" s="96">
        <v>13.64</v>
      </c>
    </row>
    <row r="1753" spans="54:62" ht="13.8" x14ac:dyDescent="0.25">
      <c r="BB1753" s="187">
        <v>44567</v>
      </c>
      <c r="BC1753" s="180">
        <v>-0.53400000000000003</v>
      </c>
      <c r="BD1753" s="191"/>
      <c r="BE1753" s="193" t="str">
        <f>+BE1752</f>
        <v>−0,171</v>
      </c>
      <c r="BH1753" s="94">
        <v>44637</v>
      </c>
      <c r="BI1753" s="95">
        <v>0.28399999999999997</v>
      </c>
      <c r="BJ1753" s="96">
        <v>13.63</v>
      </c>
    </row>
    <row r="1754" spans="54:62" ht="13.8" x14ac:dyDescent="0.25">
      <c r="BB1754" s="187">
        <v>44568</v>
      </c>
      <c r="BC1754" s="180">
        <v>-0.53600000000000003</v>
      </c>
      <c r="BD1754" s="191">
        <v>44568</v>
      </c>
      <c r="BE1754" s="192" t="s">
        <v>78</v>
      </c>
      <c r="BH1754" s="94">
        <v>44638</v>
      </c>
      <c r="BI1754" s="95">
        <v>0.28999999999999998</v>
      </c>
      <c r="BJ1754" s="96">
        <v>13.63</v>
      </c>
    </row>
    <row r="1755" spans="54:62" ht="13.8" x14ac:dyDescent="0.25">
      <c r="BB1755" s="187">
        <v>44571</v>
      </c>
      <c r="BC1755" s="180">
        <v>-0.53100000000000003</v>
      </c>
      <c r="BD1755" s="191">
        <v>44571</v>
      </c>
      <c r="BE1755" s="192" t="s">
        <v>143</v>
      </c>
      <c r="BH1755" s="94">
        <v>44641</v>
      </c>
      <c r="BI1755" s="95">
        <v>0.29899999999999999</v>
      </c>
      <c r="BJ1755" s="96">
        <v>13.62</v>
      </c>
    </row>
    <row r="1756" spans="54:62" ht="13.8" x14ac:dyDescent="0.25">
      <c r="BB1756" s="187">
        <v>44572</v>
      </c>
      <c r="BC1756" s="180">
        <v>-0.52800000000000002</v>
      </c>
      <c r="BD1756" s="191">
        <v>44572</v>
      </c>
      <c r="BE1756" s="192" t="s">
        <v>363</v>
      </c>
      <c r="BH1756" s="94">
        <v>44642</v>
      </c>
      <c r="BI1756" s="95">
        <v>0.31</v>
      </c>
      <c r="BJ1756" s="96">
        <v>13.62</v>
      </c>
    </row>
    <row r="1757" spans="54:62" ht="13.8" x14ac:dyDescent="0.25">
      <c r="BB1757" s="187">
        <v>44573</v>
      </c>
      <c r="BC1757" s="180">
        <v>-0.52900000000000003</v>
      </c>
      <c r="BD1757" s="191">
        <v>44573</v>
      </c>
      <c r="BE1757" s="192" t="s">
        <v>265</v>
      </c>
      <c r="BH1757" s="94">
        <v>44643</v>
      </c>
      <c r="BI1757" s="95">
        <v>0.31900000000000001</v>
      </c>
      <c r="BJ1757" s="96">
        <v>13.62</v>
      </c>
    </row>
    <row r="1758" spans="54:62" ht="13.8" x14ac:dyDescent="0.25">
      <c r="BB1758" s="187">
        <v>44574</v>
      </c>
      <c r="BC1758" s="180">
        <v>-0.53400000000000003</v>
      </c>
      <c r="BD1758" s="191">
        <v>44574</v>
      </c>
      <c r="BE1758" s="192" t="s">
        <v>385</v>
      </c>
      <c r="BH1758" s="94">
        <v>44644</v>
      </c>
      <c r="BI1758" s="95">
        <v>0.33200000000000002</v>
      </c>
      <c r="BJ1758" s="96">
        <v>13.61</v>
      </c>
    </row>
    <row r="1759" spans="54:62" ht="13.8" x14ac:dyDescent="0.25">
      <c r="BB1759" s="187">
        <v>44575</v>
      </c>
      <c r="BC1759" s="180">
        <v>-0.53300000000000003</v>
      </c>
      <c r="BD1759" s="191">
        <v>44575</v>
      </c>
      <c r="BE1759" s="192" t="s">
        <v>386</v>
      </c>
      <c r="BH1759" s="94">
        <v>44645</v>
      </c>
      <c r="BI1759" s="95">
        <v>0.34399999999999997</v>
      </c>
      <c r="BJ1759" s="96">
        <v>13.61</v>
      </c>
    </row>
    <row r="1760" spans="54:62" ht="13.8" x14ac:dyDescent="0.25">
      <c r="BB1760" s="187">
        <v>44578</v>
      </c>
      <c r="BC1760" s="180">
        <v>-0.52300000000000002</v>
      </c>
      <c r="BD1760" s="191">
        <v>44578</v>
      </c>
      <c r="BE1760" s="192" t="s">
        <v>387</v>
      </c>
      <c r="BH1760" s="94">
        <v>44648</v>
      </c>
      <c r="BI1760" s="95">
        <v>0.36</v>
      </c>
      <c r="BJ1760" s="96">
        <v>13.6</v>
      </c>
    </row>
    <row r="1761" spans="54:62" ht="13.8" x14ac:dyDescent="0.25">
      <c r="BB1761" s="187">
        <v>44579</v>
      </c>
      <c r="BC1761" s="180">
        <v>-0.52400000000000002</v>
      </c>
      <c r="BD1761" s="191">
        <v>44579</v>
      </c>
      <c r="BE1761" s="192" t="s">
        <v>256</v>
      </c>
      <c r="BH1761" s="94">
        <v>44649</v>
      </c>
      <c r="BI1761" s="95">
        <v>0.38700000000000001</v>
      </c>
      <c r="BJ1761" s="96">
        <v>13.6</v>
      </c>
    </row>
    <row r="1762" spans="54:62" ht="13.8" x14ac:dyDescent="0.25">
      <c r="BB1762" s="187">
        <v>44580</v>
      </c>
      <c r="BC1762" s="180">
        <v>-0.52400000000000002</v>
      </c>
      <c r="BD1762" s="191">
        <v>44580</v>
      </c>
      <c r="BE1762" s="192" t="s">
        <v>388</v>
      </c>
      <c r="BH1762" s="94">
        <v>44650</v>
      </c>
      <c r="BI1762" s="95">
        <v>0.42799999999999999</v>
      </c>
      <c r="BJ1762" s="96">
        <v>13.53</v>
      </c>
    </row>
    <row r="1763" spans="54:62" ht="13.8" x14ac:dyDescent="0.25">
      <c r="BB1763" s="187">
        <v>44581</v>
      </c>
      <c r="BC1763" s="180">
        <v>-0.52100000000000002</v>
      </c>
      <c r="BD1763" s="191">
        <v>44581</v>
      </c>
      <c r="BE1763" s="192" t="s">
        <v>389</v>
      </c>
      <c r="BH1763" s="94">
        <v>44651</v>
      </c>
      <c r="BI1763" s="95">
        <v>0.44900000000000001</v>
      </c>
      <c r="BJ1763" s="96">
        <v>13.53</v>
      </c>
    </row>
    <row r="1764" spans="54:62" ht="13.8" x14ac:dyDescent="0.25">
      <c r="BB1764" s="187">
        <v>44582</v>
      </c>
      <c r="BC1764" s="180">
        <v>-0.52200000000000002</v>
      </c>
      <c r="BD1764" s="191">
        <v>44582</v>
      </c>
      <c r="BE1764" s="192" t="s">
        <v>390</v>
      </c>
      <c r="BH1764" s="94">
        <v>44652</v>
      </c>
      <c r="BI1764" s="95">
        <v>0.47399999999999998</v>
      </c>
      <c r="BJ1764" s="96">
        <v>13.53</v>
      </c>
    </row>
    <row r="1765" spans="54:62" ht="13.8" x14ac:dyDescent="0.25">
      <c r="BB1765" s="187">
        <v>44585</v>
      </c>
      <c r="BC1765" s="180">
        <v>-0.52200000000000002</v>
      </c>
      <c r="BD1765" s="191">
        <v>44585</v>
      </c>
      <c r="BE1765" s="192" t="s">
        <v>122</v>
      </c>
      <c r="BH1765" s="94">
        <v>44655</v>
      </c>
      <c r="BI1765" s="95">
        <v>0.497</v>
      </c>
      <c r="BJ1765" s="96">
        <v>13.52</v>
      </c>
    </row>
    <row r="1766" spans="54:62" ht="13.8" x14ac:dyDescent="0.25">
      <c r="BB1766" s="187">
        <v>44586</v>
      </c>
      <c r="BC1766" s="180">
        <v>-0.52300000000000002</v>
      </c>
      <c r="BD1766" s="191">
        <v>44586</v>
      </c>
      <c r="BE1766" s="192" t="s">
        <v>391</v>
      </c>
      <c r="BH1766" s="94">
        <v>44656</v>
      </c>
      <c r="BI1766" s="95">
        <v>0.52200000000000002</v>
      </c>
      <c r="BJ1766" s="96">
        <v>13.51</v>
      </c>
    </row>
    <row r="1767" spans="54:62" ht="13.8" x14ac:dyDescent="0.25">
      <c r="BB1767" s="187">
        <v>44587</v>
      </c>
      <c r="BC1767" s="180">
        <v>-0.52400000000000002</v>
      </c>
      <c r="BD1767" s="191">
        <v>44587</v>
      </c>
      <c r="BE1767" s="192" t="s">
        <v>392</v>
      </c>
      <c r="BH1767" s="94">
        <v>44657</v>
      </c>
      <c r="BI1767" s="95">
        <v>0.54600000000000004</v>
      </c>
      <c r="BJ1767" s="96">
        <v>13.51</v>
      </c>
    </row>
    <row r="1768" spans="54:62" ht="13.8" x14ac:dyDescent="0.25">
      <c r="BB1768" s="187">
        <v>44588</v>
      </c>
      <c r="BC1768" s="180">
        <v>-0.51800000000000002</v>
      </c>
      <c r="BD1768" s="191">
        <v>44588</v>
      </c>
      <c r="BE1768" s="192" t="s">
        <v>124</v>
      </c>
      <c r="BH1768" s="94">
        <v>44658</v>
      </c>
      <c r="BI1768" s="95">
        <v>0.57099999999999995</v>
      </c>
      <c r="BJ1768" s="96">
        <v>13.52</v>
      </c>
    </row>
    <row r="1769" spans="54:62" ht="13.8" x14ac:dyDescent="0.25">
      <c r="BB1769" s="187">
        <v>44589</v>
      </c>
      <c r="BC1769" s="180">
        <v>-0.51900000000000002</v>
      </c>
      <c r="BD1769" s="191">
        <v>44589</v>
      </c>
      <c r="BE1769" s="192" t="s">
        <v>393</v>
      </c>
      <c r="BH1769" s="94">
        <v>44659</v>
      </c>
      <c r="BI1769" s="95">
        <v>0.59099999999999997</v>
      </c>
      <c r="BJ1769" s="96">
        <v>13.52</v>
      </c>
    </row>
    <row r="1770" spans="54:62" ht="13.8" x14ac:dyDescent="0.25">
      <c r="BB1770" s="187">
        <v>44592</v>
      </c>
      <c r="BC1770" s="180">
        <v>-0.51400000000000001</v>
      </c>
      <c r="BD1770" s="191">
        <v>44592</v>
      </c>
      <c r="BE1770" s="192" t="s">
        <v>394</v>
      </c>
      <c r="BH1770" s="94">
        <v>44662</v>
      </c>
      <c r="BI1770" s="95">
        <v>0.61199999999999999</v>
      </c>
      <c r="BJ1770" s="96">
        <v>13.5</v>
      </c>
    </row>
    <row r="1771" spans="54:62" ht="13.8" x14ac:dyDescent="0.25">
      <c r="BB1771" s="187">
        <v>44593</v>
      </c>
      <c r="BC1771" s="180">
        <v>-0.503</v>
      </c>
      <c r="BD1771" s="191">
        <v>44593</v>
      </c>
      <c r="BE1771" s="192">
        <v>0</v>
      </c>
      <c r="BH1771" s="94">
        <v>44663</v>
      </c>
      <c r="BI1771" s="95">
        <v>0.63300000000000001</v>
      </c>
      <c r="BJ1771" s="96">
        <v>13.5</v>
      </c>
    </row>
    <row r="1772" spans="54:62" ht="13.8" x14ac:dyDescent="0.25">
      <c r="BB1772" s="187">
        <v>44594</v>
      </c>
      <c r="BC1772" s="180">
        <v>-0.502</v>
      </c>
      <c r="BD1772" s="191">
        <v>44594</v>
      </c>
      <c r="BE1772" s="192">
        <v>7.0000000000000001E-3</v>
      </c>
      <c r="BH1772" s="94">
        <v>44664</v>
      </c>
      <c r="BI1772" s="95">
        <v>0.65300000000000002</v>
      </c>
      <c r="BJ1772" s="96">
        <v>13.49</v>
      </c>
    </row>
    <row r="1773" spans="54:62" ht="13.8" x14ac:dyDescent="0.25">
      <c r="BB1773" s="187">
        <v>44595</v>
      </c>
      <c r="BC1773" s="180">
        <v>-0.499</v>
      </c>
      <c r="BD1773" s="191">
        <v>44595</v>
      </c>
      <c r="BE1773" s="192">
        <v>1.6E-2</v>
      </c>
      <c r="BH1773" s="94">
        <v>44665</v>
      </c>
      <c r="BI1773" s="95">
        <v>0.67100000000000004</v>
      </c>
      <c r="BJ1773" s="96">
        <v>13.49</v>
      </c>
    </row>
    <row r="1774" spans="54:62" ht="13.8" x14ac:dyDescent="0.25">
      <c r="BB1774" s="187">
        <v>44596</v>
      </c>
      <c r="BC1774" s="180">
        <v>-0.47299999999999998</v>
      </c>
      <c r="BD1774" s="191">
        <v>44596</v>
      </c>
      <c r="BE1774" s="192">
        <v>0.03</v>
      </c>
      <c r="BH1774" s="94">
        <v>44666</v>
      </c>
      <c r="BI1774" s="95">
        <v>0.68400000000000005</v>
      </c>
      <c r="BJ1774" s="96">
        <v>13.49</v>
      </c>
    </row>
    <row r="1775" spans="54:62" ht="13.8" x14ac:dyDescent="0.25">
      <c r="BB1775" s="187">
        <v>44599</v>
      </c>
      <c r="BC1775" s="180">
        <v>-0.45600000000000002</v>
      </c>
      <c r="BD1775" s="191">
        <v>44599</v>
      </c>
      <c r="BE1775" s="192">
        <v>4.5999999999999999E-2</v>
      </c>
      <c r="BH1775" s="94">
        <v>44670</v>
      </c>
      <c r="BI1775" s="95">
        <v>0.70699999999999996</v>
      </c>
      <c r="BJ1775" s="96">
        <v>13.48</v>
      </c>
    </row>
    <row r="1776" spans="54:62" ht="13.8" x14ac:dyDescent="0.25">
      <c r="BB1776" s="187">
        <v>44600</v>
      </c>
      <c r="BC1776" s="180">
        <v>-0.46300000000000002</v>
      </c>
      <c r="BD1776" s="191">
        <v>44600</v>
      </c>
      <c r="BE1776" s="192">
        <v>6.2E-2</v>
      </c>
      <c r="BH1776" s="94">
        <v>44671</v>
      </c>
      <c r="BI1776" s="95">
        <v>0.754</v>
      </c>
      <c r="BJ1776" s="96">
        <v>13.79</v>
      </c>
    </row>
    <row r="1777" spans="54:62" ht="13.8" x14ac:dyDescent="0.25">
      <c r="BB1777" s="187">
        <v>44601</v>
      </c>
      <c r="BC1777" s="180">
        <v>-0.45700000000000002</v>
      </c>
      <c r="BD1777" s="191">
        <v>44601</v>
      </c>
      <c r="BE1777" s="192">
        <v>7.6999999999999999E-2</v>
      </c>
      <c r="BH1777" s="94">
        <v>44672</v>
      </c>
      <c r="BI1777" s="95">
        <v>0.77300000000000002</v>
      </c>
      <c r="BJ1777" s="96">
        <v>13.78</v>
      </c>
    </row>
    <row r="1778" spans="54:62" ht="13.8" x14ac:dyDescent="0.25">
      <c r="BB1778" s="187">
        <v>44602</v>
      </c>
      <c r="BC1778" s="180">
        <v>-0.46700000000000003</v>
      </c>
      <c r="BD1778" s="191">
        <v>44602</v>
      </c>
      <c r="BE1778" s="192">
        <v>9.4E-2</v>
      </c>
      <c r="BH1778" s="94">
        <v>44673</v>
      </c>
      <c r="BI1778" s="95">
        <v>0.79400000000000004</v>
      </c>
      <c r="BJ1778" s="96">
        <v>13.78</v>
      </c>
    </row>
    <row r="1779" spans="54:62" ht="13.8" x14ac:dyDescent="0.25">
      <c r="BB1779" s="187">
        <v>44603</v>
      </c>
      <c r="BC1779" s="180">
        <v>-0.45800000000000002</v>
      </c>
      <c r="BD1779" s="191">
        <v>44603</v>
      </c>
      <c r="BE1779" s="192">
        <v>0.114</v>
      </c>
      <c r="BH1779" s="94">
        <v>44676</v>
      </c>
      <c r="BI1779" s="95">
        <v>0.81200000000000006</v>
      </c>
      <c r="BJ1779" s="96">
        <v>13.77</v>
      </c>
    </row>
    <row r="1780" spans="54:62" ht="13.8" x14ac:dyDescent="0.25">
      <c r="BB1780" s="187">
        <v>44606</v>
      </c>
      <c r="BC1780" s="180">
        <v>-0.44800000000000001</v>
      </c>
      <c r="BD1780" s="191">
        <v>44606</v>
      </c>
      <c r="BE1780" s="192">
        <v>0.13</v>
      </c>
      <c r="BH1780" s="94">
        <v>44677</v>
      </c>
      <c r="BI1780" s="95">
        <v>0.82399999999999995</v>
      </c>
      <c r="BJ1780" s="96">
        <v>13.76</v>
      </c>
    </row>
    <row r="1781" spans="54:62" ht="13.8" x14ac:dyDescent="0.25">
      <c r="BB1781" s="187">
        <v>44607</v>
      </c>
      <c r="BC1781" s="180">
        <v>-0.45500000000000002</v>
      </c>
      <c r="BD1781" s="191">
        <v>44607</v>
      </c>
      <c r="BE1781" s="192">
        <v>0.14699999999999999</v>
      </c>
      <c r="BH1781" s="94">
        <v>44678</v>
      </c>
      <c r="BI1781" s="95">
        <v>0.83299999999999996</v>
      </c>
      <c r="BJ1781" s="96">
        <v>13.76</v>
      </c>
    </row>
    <row r="1782" spans="54:62" ht="13.8" x14ac:dyDescent="0.25">
      <c r="BB1782" s="187">
        <v>44608</v>
      </c>
      <c r="BC1782" s="180">
        <v>-0.46100000000000002</v>
      </c>
      <c r="BD1782" s="191">
        <v>44608</v>
      </c>
      <c r="BE1782" s="192">
        <v>0.16300000000000001</v>
      </c>
      <c r="BH1782" s="94">
        <v>44679</v>
      </c>
      <c r="BI1782" s="95">
        <v>0.84199999999999997</v>
      </c>
      <c r="BJ1782" s="96">
        <v>13.76</v>
      </c>
    </row>
    <row r="1783" spans="54:62" ht="13.8" x14ac:dyDescent="0.25">
      <c r="BB1783" s="187">
        <v>44609</v>
      </c>
      <c r="BC1783" s="180">
        <v>-0.47799999999999998</v>
      </c>
      <c r="BD1783" s="191">
        <v>44609</v>
      </c>
      <c r="BE1783" s="192">
        <v>0.17899999999999999</v>
      </c>
      <c r="BH1783" s="94">
        <v>44680</v>
      </c>
      <c r="BI1783" s="95">
        <v>0.86</v>
      </c>
      <c r="BJ1783" s="96">
        <v>13.74</v>
      </c>
    </row>
    <row r="1784" spans="54:62" ht="13.8" x14ac:dyDescent="0.25">
      <c r="BB1784" s="187">
        <v>44610</v>
      </c>
      <c r="BC1784" s="180">
        <v>-0.48699999999999999</v>
      </c>
      <c r="BD1784" s="191">
        <v>44610</v>
      </c>
      <c r="BE1784" s="192">
        <v>0.193</v>
      </c>
      <c r="BH1784" s="94">
        <v>44683</v>
      </c>
      <c r="BI1784" s="95">
        <v>0.877</v>
      </c>
      <c r="BJ1784" s="96">
        <v>13.73</v>
      </c>
    </row>
    <row r="1785" spans="54:62" ht="13.8" x14ac:dyDescent="0.25">
      <c r="BB1785" s="187">
        <v>44613</v>
      </c>
      <c r="BC1785" s="180">
        <v>-0.48199999999999998</v>
      </c>
      <c r="BD1785" s="191">
        <v>44613</v>
      </c>
      <c r="BE1785" s="192">
        <v>0.21</v>
      </c>
      <c r="BH1785" s="94">
        <v>44684</v>
      </c>
      <c r="BI1785" s="95">
        <v>0.89800000000000002</v>
      </c>
      <c r="BJ1785" s="96">
        <v>13.73</v>
      </c>
    </row>
    <row r="1786" spans="54:62" ht="13.8" x14ac:dyDescent="0.25">
      <c r="BB1786" s="187">
        <v>44614</v>
      </c>
      <c r="BC1786" s="180">
        <v>-0.49</v>
      </c>
      <c r="BD1786" s="191">
        <v>44614</v>
      </c>
      <c r="BE1786" s="192">
        <v>0.22700000000000001</v>
      </c>
      <c r="BH1786" s="94">
        <v>44685</v>
      </c>
      <c r="BI1786" s="95">
        <v>0.91700000000000004</v>
      </c>
      <c r="BJ1786" s="96">
        <v>13.72</v>
      </c>
    </row>
    <row r="1787" spans="54:62" ht="13.8" x14ac:dyDescent="0.25">
      <c r="BB1787" s="187">
        <v>44615</v>
      </c>
      <c r="BC1787" s="180">
        <v>-0.48299999999999998</v>
      </c>
      <c r="BD1787" s="191">
        <v>44615</v>
      </c>
      <c r="BE1787" s="192">
        <v>0.24399999999999999</v>
      </c>
      <c r="BH1787" s="94">
        <v>44686</v>
      </c>
      <c r="BI1787" s="95">
        <v>0.92900000000000005</v>
      </c>
      <c r="BJ1787" s="96">
        <v>13.71</v>
      </c>
    </row>
    <row r="1788" spans="54:62" ht="13.8" x14ac:dyDescent="0.25">
      <c r="BB1788" s="187">
        <v>44616</v>
      </c>
      <c r="BC1788" s="180">
        <v>-0.48</v>
      </c>
      <c r="BD1788" s="191">
        <v>44616</v>
      </c>
      <c r="BE1788" s="192">
        <v>0.25700000000000001</v>
      </c>
      <c r="BH1788" s="94">
        <v>44687</v>
      </c>
      <c r="BI1788" s="95">
        <v>0.94799999999999995</v>
      </c>
      <c r="BJ1788" s="96">
        <v>13.71</v>
      </c>
    </row>
    <row r="1789" spans="54:62" ht="13.8" x14ac:dyDescent="0.25">
      <c r="BB1789" s="187">
        <v>44617</v>
      </c>
      <c r="BC1789" s="180">
        <v>-0.48799999999999999</v>
      </c>
      <c r="BD1789" s="191">
        <v>44617</v>
      </c>
      <c r="BE1789" s="192">
        <v>0.27100000000000002</v>
      </c>
      <c r="BH1789" s="94">
        <v>44690</v>
      </c>
      <c r="BI1789" s="95">
        <v>0.96599999999999997</v>
      </c>
      <c r="BJ1789" s="96">
        <v>13.7</v>
      </c>
    </row>
    <row r="1790" spans="54:62" ht="13.8" x14ac:dyDescent="0.25">
      <c r="BB1790" s="187">
        <v>44620</v>
      </c>
      <c r="BC1790" s="180">
        <v>-0.49299999999999999</v>
      </c>
      <c r="BD1790" s="191">
        <v>44620</v>
      </c>
      <c r="BE1790" s="192">
        <v>0.28199999999999997</v>
      </c>
      <c r="BH1790" s="94">
        <v>44691</v>
      </c>
      <c r="BI1790" s="95">
        <v>0.97499999999999998</v>
      </c>
      <c r="BJ1790" s="96">
        <v>13.7</v>
      </c>
    </row>
    <row r="1791" spans="54:62" ht="13.8" x14ac:dyDescent="0.25">
      <c r="BB1791" s="187">
        <v>44621</v>
      </c>
      <c r="BC1791" s="180">
        <v>-0.496</v>
      </c>
      <c r="BD1791" s="191">
        <v>44621</v>
      </c>
      <c r="BE1791" s="192">
        <v>0.28499999999999998</v>
      </c>
      <c r="BH1791" s="94">
        <v>44692</v>
      </c>
      <c r="BI1791" s="95">
        <v>0.98199999999999998</v>
      </c>
      <c r="BJ1791" s="96">
        <v>13.69</v>
      </c>
    </row>
    <row r="1792" spans="54:62" ht="13.8" x14ac:dyDescent="0.25">
      <c r="BB1792" s="187">
        <v>44622</v>
      </c>
      <c r="BC1792" s="180">
        <v>-0.502</v>
      </c>
      <c r="BD1792" s="191">
        <v>44622</v>
      </c>
      <c r="BE1792" s="192">
        <v>0.28599999999999998</v>
      </c>
      <c r="BH1792" s="94">
        <v>44693</v>
      </c>
      <c r="BI1792" s="95">
        <v>0.98699999999999999</v>
      </c>
      <c r="BJ1792" s="96">
        <v>13.65</v>
      </c>
    </row>
    <row r="1793" spans="54:62" ht="13.8" x14ac:dyDescent="0.25">
      <c r="BB1793" s="187">
        <v>44623</v>
      </c>
      <c r="BC1793" s="180">
        <v>-0.48499999999999999</v>
      </c>
      <c r="BD1793" s="191">
        <v>44623</v>
      </c>
      <c r="BE1793" s="192">
        <v>0.28899999999999998</v>
      </c>
      <c r="BH1793" s="94">
        <v>44694</v>
      </c>
      <c r="BI1793" s="95">
        <v>0.99299999999999999</v>
      </c>
      <c r="BJ1793" s="96">
        <v>13.66</v>
      </c>
    </row>
    <row r="1794" spans="54:62" ht="13.8" x14ac:dyDescent="0.25">
      <c r="BB1794" s="187">
        <v>44624</v>
      </c>
      <c r="BC1794" s="180">
        <v>-0.48199999999999998</v>
      </c>
      <c r="BD1794" s="191">
        <v>44624</v>
      </c>
      <c r="BE1794" s="192">
        <v>0.28100000000000003</v>
      </c>
      <c r="BH1794" s="94">
        <v>44697</v>
      </c>
      <c r="BI1794" s="95">
        <v>0.995</v>
      </c>
      <c r="BJ1794" s="96">
        <v>13.72</v>
      </c>
    </row>
    <row r="1795" spans="54:62" ht="13.8" x14ac:dyDescent="0.25">
      <c r="BB1795" s="187">
        <v>44627</v>
      </c>
      <c r="BC1795" s="180">
        <v>-0.45300000000000001</v>
      </c>
      <c r="BD1795" s="191">
        <v>44627</v>
      </c>
      <c r="BE1795" s="192">
        <v>0.27200000000000002</v>
      </c>
      <c r="BH1795" s="94">
        <v>44698</v>
      </c>
      <c r="BI1795" s="95">
        <v>1.0009999999999999</v>
      </c>
      <c r="BJ1795" s="96">
        <v>13.72</v>
      </c>
    </row>
    <row r="1796" spans="54:62" ht="13.8" x14ac:dyDescent="0.25">
      <c r="BB1796" s="187">
        <v>44628</v>
      </c>
      <c r="BC1796" s="180">
        <v>-0.443</v>
      </c>
      <c r="BD1796" s="191">
        <v>44628</v>
      </c>
      <c r="BE1796" s="192">
        <v>0.26600000000000001</v>
      </c>
      <c r="BH1796" s="94">
        <v>44699</v>
      </c>
      <c r="BI1796" s="95">
        <v>1.0109999999999999</v>
      </c>
      <c r="BJ1796" s="96">
        <v>13.7</v>
      </c>
    </row>
    <row r="1797" spans="54:62" ht="13.8" x14ac:dyDescent="0.25">
      <c r="BB1797" s="187">
        <v>44629</v>
      </c>
      <c r="BC1797" s="180">
        <v>-0.42399999999999999</v>
      </c>
      <c r="BD1797" s="191">
        <v>44629</v>
      </c>
      <c r="BE1797" s="192">
        <v>0.26500000000000001</v>
      </c>
      <c r="BH1797" s="94">
        <v>44700</v>
      </c>
      <c r="BI1797" s="95">
        <v>1.0169999999999999</v>
      </c>
      <c r="BJ1797" s="96">
        <v>13.7</v>
      </c>
    </row>
    <row r="1798" spans="54:62" ht="13.8" x14ac:dyDescent="0.25">
      <c r="BB1798" s="187">
        <v>44630</v>
      </c>
      <c r="BC1798" s="180">
        <v>-0.42699999999999999</v>
      </c>
      <c r="BD1798" s="191">
        <v>44630</v>
      </c>
      <c r="BE1798" s="192">
        <v>0.26300000000000001</v>
      </c>
      <c r="BH1798" s="94">
        <v>44701</v>
      </c>
      <c r="BI1798" s="95">
        <v>1.0209999999999999</v>
      </c>
      <c r="BJ1798" s="96">
        <v>13.7</v>
      </c>
    </row>
    <row r="1799" spans="54:62" ht="13.8" x14ac:dyDescent="0.25">
      <c r="BB1799" s="187">
        <v>44631</v>
      </c>
      <c r="BC1799" s="180">
        <v>-0.41399999999999998</v>
      </c>
      <c r="BD1799" s="191">
        <v>44631</v>
      </c>
      <c r="BE1799" s="192">
        <v>0.26500000000000001</v>
      </c>
      <c r="BH1799" s="94">
        <v>44704</v>
      </c>
      <c r="BI1799" s="95">
        <v>1.0289999999999999</v>
      </c>
      <c r="BJ1799" s="96">
        <v>13.69</v>
      </c>
    </row>
    <row r="1800" spans="54:62" ht="13.8" x14ac:dyDescent="0.25">
      <c r="BB1800" s="187">
        <v>44634</v>
      </c>
      <c r="BC1800" s="180">
        <v>-0.41299999999999998</v>
      </c>
      <c r="BD1800" s="191">
        <v>44634</v>
      </c>
      <c r="BE1800" s="192">
        <v>0.27200000000000002</v>
      </c>
      <c r="BH1800" s="94">
        <v>44705</v>
      </c>
      <c r="BI1800" s="95">
        <v>1.0409999999999999</v>
      </c>
      <c r="BJ1800" s="96">
        <v>13.69</v>
      </c>
    </row>
    <row r="1801" spans="54:62" ht="13.8" x14ac:dyDescent="0.25">
      <c r="BB1801" s="187">
        <v>44635</v>
      </c>
      <c r="BC1801" s="180">
        <v>-0.40699999999999997</v>
      </c>
      <c r="BD1801" s="191">
        <v>44635</v>
      </c>
      <c r="BE1801" s="192">
        <v>0.27400000000000002</v>
      </c>
      <c r="BH1801" s="94">
        <v>44706</v>
      </c>
      <c r="BI1801" s="95">
        <v>1.0509999999999999</v>
      </c>
      <c r="BJ1801" s="96">
        <v>13.69</v>
      </c>
    </row>
    <row r="1802" spans="54:62" ht="13.8" x14ac:dyDescent="0.25">
      <c r="BB1802" s="187">
        <v>44636</v>
      </c>
      <c r="BC1802" s="180">
        <v>-0.39300000000000002</v>
      </c>
      <c r="BD1802" s="191">
        <v>44636</v>
      </c>
      <c r="BE1802" s="192">
        <v>0.27800000000000002</v>
      </c>
      <c r="BH1802" s="94">
        <v>44708</v>
      </c>
      <c r="BI1802" s="95">
        <v>1.0609999999999999</v>
      </c>
      <c r="BJ1802" s="96">
        <v>13.67</v>
      </c>
    </row>
    <row r="1803" spans="54:62" ht="13.8" x14ac:dyDescent="0.25">
      <c r="BB1803" s="187">
        <v>44637</v>
      </c>
      <c r="BC1803" s="180">
        <v>-0.40200000000000002</v>
      </c>
      <c r="BD1803" s="191">
        <v>44637</v>
      </c>
      <c r="BE1803" s="192">
        <v>0.28399999999999997</v>
      </c>
      <c r="BH1803" s="94">
        <v>44711</v>
      </c>
      <c r="BI1803" s="95">
        <v>1.07</v>
      </c>
      <c r="BJ1803" s="96">
        <v>13.66</v>
      </c>
    </row>
    <row r="1804" spans="54:62" ht="13.8" x14ac:dyDescent="0.25">
      <c r="BB1804" s="187">
        <v>44638</v>
      </c>
      <c r="BC1804" s="180">
        <v>-0.39300000000000002</v>
      </c>
      <c r="BD1804" s="191">
        <v>44638</v>
      </c>
      <c r="BE1804" s="192">
        <v>0.28999999999999998</v>
      </c>
      <c r="BH1804" s="94">
        <v>44712</v>
      </c>
      <c r="BI1804" s="95">
        <v>1.095</v>
      </c>
      <c r="BJ1804" s="96">
        <v>13.87</v>
      </c>
    </row>
    <row r="1805" spans="54:62" ht="13.8" x14ac:dyDescent="0.25">
      <c r="BB1805" s="187">
        <v>44641</v>
      </c>
      <c r="BC1805" s="180">
        <v>-0.39100000000000001</v>
      </c>
      <c r="BD1805" s="191">
        <v>44641</v>
      </c>
      <c r="BE1805" s="192">
        <v>0.29899999999999999</v>
      </c>
      <c r="BH1805" s="94">
        <v>44713</v>
      </c>
      <c r="BI1805" s="95">
        <v>1.1060000000000001</v>
      </c>
      <c r="BJ1805" s="96">
        <v>13.87</v>
      </c>
    </row>
    <row r="1806" spans="54:62" ht="13.8" x14ac:dyDescent="0.25">
      <c r="BB1806" s="187">
        <v>44642</v>
      </c>
      <c r="BC1806" s="180">
        <v>-0.39300000000000002</v>
      </c>
      <c r="BD1806" s="191">
        <v>44642</v>
      </c>
      <c r="BE1806" s="192">
        <v>0.31</v>
      </c>
      <c r="BH1806" s="94">
        <v>44714</v>
      </c>
      <c r="BI1806" s="95">
        <v>1.119</v>
      </c>
      <c r="BJ1806" s="96">
        <v>13.86</v>
      </c>
    </row>
    <row r="1807" spans="54:62" ht="13.8" x14ac:dyDescent="0.25">
      <c r="BB1807" s="187">
        <v>44643</v>
      </c>
      <c r="BC1807" s="180">
        <v>-0.39200000000000002</v>
      </c>
      <c r="BD1807" s="191">
        <v>44643</v>
      </c>
      <c r="BE1807" s="192">
        <v>0.31900000000000001</v>
      </c>
      <c r="BH1807" s="94">
        <v>44715</v>
      </c>
      <c r="BI1807" s="95">
        <v>1.135</v>
      </c>
      <c r="BJ1807" s="96">
        <v>13.86</v>
      </c>
    </row>
    <row r="1808" spans="54:62" ht="13.8" x14ac:dyDescent="0.25">
      <c r="BB1808" s="187">
        <v>44644</v>
      </c>
      <c r="BC1808" s="180">
        <v>-0.39700000000000002</v>
      </c>
      <c r="BD1808" s="191">
        <v>44644</v>
      </c>
      <c r="BE1808" s="192">
        <v>0.33200000000000002</v>
      </c>
      <c r="BH1808" s="94">
        <v>44719</v>
      </c>
      <c r="BI1808" s="95">
        <v>1.147</v>
      </c>
      <c r="BJ1808" s="96">
        <v>13.85</v>
      </c>
    </row>
    <row r="1809" spans="54:62" ht="13.8" x14ac:dyDescent="0.25">
      <c r="BB1809" s="187">
        <v>44645</v>
      </c>
      <c r="BC1809" s="180">
        <v>-0.39200000000000002</v>
      </c>
      <c r="BD1809" s="191">
        <v>44645</v>
      </c>
      <c r="BE1809" s="192">
        <v>0.34399999999999997</v>
      </c>
      <c r="BH1809" s="94">
        <v>44720</v>
      </c>
      <c r="BI1809" s="95">
        <v>1.161</v>
      </c>
      <c r="BJ1809" s="96">
        <v>13.84</v>
      </c>
    </row>
    <row r="1810" spans="54:62" ht="13.8" x14ac:dyDescent="0.25">
      <c r="BB1810" s="187">
        <v>44648</v>
      </c>
      <c r="BC1810" s="180">
        <v>-0.38800000000000001</v>
      </c>
      <c r="BD1810" s="191">
        <v>44648</v>
      </c>
      <c r="BE1810" s="192">
        <v>0.36</v>
      </c>
      <c r="BH1810" s="94">
        <v>44721</v>
      </c>
      <c r="BI1810" s="95">
        <v>1.1819999999999999</v>
      </c>
      <c r="BJ1810" s="96">
        <v>13.81</v>
      </c>
    </row>
    <row r="1811" spans="54:62" ht="13.8" x14ac:dyDescent="0.25">
      <c r="BB1811" s="187">
        <v>44649</v>
      </c>
      <c r="BC1811" s="180">
        <v>-0.38100000000000001</v>
      </c>
      <c r="BD1811" s="191">
        <v>44649</v>
      </c>
      <c r="BE1811" s="192">
        <v>0.38700000000000001</v>
      </c>
      <c r="BH1811" s="94">
        <v>44722</v>
      </c>
      <c r="BI1811" s="95">
        <v>1.2090000000000001</v>
      </c>
      <c r="BJ1811" s="96">
        <v>13.8</v>
      </c>
    </row>
    <row r="1812" spans="54:62" ht="13.8" x14ac:dyDescent="0.25">
      <c r="BB1812" s="187">
        <v>44650</v>
      </c>
      <c r="BC1812" s="180">
        <v>-0.371</v>
      </c>
      <c r="BD1812" s="191">
        <v>44650</v>
      </c>
      <c r="BE1812" s="192">
        <v>0.42799999999999999</v>
      </c>
      <c r="BH1812" s="94">
        <v>44725</v>
      </c>
      <c r="BI1812" s="95">
        <v>1.2490000000000001</v>
      </c>
      <c r="BJ1812" s="96">
        <v>13.79</v>
      </c>
    </row>
    <row r="1813" spans="54:62" ht="13.8" x14ac:dyDescent="0.25">
      <c r="BB1813" s="187">
        <v>44651</v>
      </c>
      <c r="BC1813" s="180">
        <v>-0.36699999999999999</v>
      </c>
      <c r="BD1813" s="191">
        <v>44651</v>
      </c>
      <c r="BE1813" s="192">
        <v>0.44900000000000001</v>
      </c>
      <c r="BH1813" s="94">
        <v>44726</v>
      </c>
      <c r="BI1813" s="95">
        <v>1.2929999999999999</v>
      </c>
      <c r="BJ1813" s="96">
        <v>13.79</v>
      </c>
    </row>
    <row r="1814" spans="54:62" ht="13.8" x14ac:dyDescent="0.25">
      <c r="BB1814" s="187">
        <v>44652</v>
      </c>
      <c r="BC1814" s="180">
        <v>-0.36199999999999999</v>
      </c>
      <c r="BD1814" s="191">
        <v>44652</v>
      </c>
      <c r="BE1814" s="192">
        <v>0.47399999999999998</v>
      </c>
      <c r="BH1814" s="94">
        <v>44727</v>
      </c>
      <c r="BI1814" s="95">
        <v>1.333</v>
      </c>
      <c r="BJ1814" s="96">
        <v>13.79</v>
      </c>
    </row>
    <row r="1815" spans="54:62" ht="13.8" x14ac:dyDescent="0.25">
      <c r="BB1815" s="187">
        <v>44655</v>
      </c>
      <c r="BC1815" s="180">
        <v>-0.35799999999999998</v>
      </c>
      <c r="BD1815" s="191">
        <v>44655</v>
      </c>
      <c r="BE1815" s="192">
        <v>0.497</v>
      </c>
      <c r="BH1815" s="94">
        <v>44729</v>
      </c>
      <c r="BI1815" s="95">
        <v>1.371</v>
      </c>
      <c r="BJ1815" s="96">
        <v>13.78</v>
      </c>
    </row>
    <row r="1816" spans="54:62" ht="13.8" x14ac:dyDescent="0.25">
      <c r="BB1816" s="187">
        <v>44656</v>
      </c>
      <c r="BC1816" s="180">
        <v>-0.375</v>
      </c>
      <c r="BD1816" s="191">
        <v>44656</v>
      </c>
      <c r="BE1816" s="192">
        <v>0.52200000000000002</v>
      </c>
      <c r="BH1816" s="94">
        <v>44732</v>
      </c>
      <c r="BI1816" s="95">
        <v>1.405</v>
      </c>
      <c r="BJ1816" s="96">
        <v>13.78</v>
      </c>
    </row>
    <row r="1817" spans="54:62" ht="13.8" x14ac:dyDescent="0.25">
      <c r="BB1817" s="187">
        <v>44657</v>
      </c>
      <c r="BC1817" s="180">
        <v>-0.36099999999999999</v>
      </c>
      <c r="BD1817" s="191">
        <v>44657</v>
      </c>
      <c r="BE1817" s="192">
        <v>0.54600000000000004</v>
      </c>
      <c r="BH1817" s="94">
        <v>44733</v>
      </c>
      <c r="BI1817" s="95">
        <v>1.448</v>
      </c>
      <c r="BJ1817" s="96">
        <v>13.77</v>
      </c>
    </row>
    <row r="1818" spans="54:62" ht="13.8" x14ac:dyDescent="0.25">
      <c r="BB1818" s="187">
        <v>44658</v>
      </c>
      <c r="BC1818" s="180">
        <v>-0.35499999999999998</v>
      </c>
      <c r="BD1818" s="191">
        <v>44658</v>
      </c>
      <c r="BE1818" s="192">
        <v>0.57099999999999995</v>
      </c>
      <c r="BH1818" s="94">
        <v>44734</v>
      </c>
      <c r="BI1818" s="95">
        <v>1.4850000000000001</v>
      </c>
      <c r="BJ1818" s="96">
        <v>13.77</v>
      </c>
    </row>
    <row r="1819" spans="54:62" ht="13.8" x14ac:dyDescent="0.25">
      <c r="BB1819" s="187">
        <v>44659</v>
      </c>
      <c r="BC1819" s="180">
        <v>-0.35</v>
      </c>
      <c r="BD1819" s="191">
        <v>44659</v>
      </c>
      <c r="BE1819" s="192">
        <v>0.59099999999999997</v>
      </c>
      <c r="BH1819" s="94">
        <v>44735</v>
      </c>
      <c r="BI1819" s="95">
        <v>1.5089999999999999</v>
      </c>
      <c r="BJ1819" s="96">
        <v>13.77</v>
      </c>
    </row>
    <row r="1820" spans="54:62" ht="13.8" x14ac:dyDescent="0.25">
      <c r="BB1820" s="187">
        <v>44662</v>
      </c>
      <c r="BC1820" s="180">
        <v>-0.33400000000000002</v>
      </c>
      <c r="BD1820" s="191">
        <v>44662</v>
      </c>
      <c r="BE1820" s="192">
        <v>0.61199999999999999</v>
      </c>
      <c r="BH1820" s="94">
        <v>44736</v>
      </c>
      <c r="BI1820" s="95">
        <v>1.532</v>
      </c>
      <c r="BJ1820" s="96">
        <v>13.76</v>
      </c>
    </row>
    <row r="1821" spans="54:62" ht="13.8" x14ac:dyDescent="0.25">
      <c r="BB1821" s="187">
        <v>44663</v>
      </c>
      <c r="BC1821" s="180">
        <v>-0.32</v>
      </c>
      <c r="BD1821" s="191">
        <v>44663</v>
      </c>
      <c r="BE1821" s="192">
        <v>0.63300000000000001</v>
      </c>
      <c r="BH1821" s="94">
        <v>44739</v>
      </c>
      <c r="BI1821" s="95">
        <v>1.5609999999999999</v>
      </c>
      <c r="BJ1821" s="96">
        <v>13.76</v>
      </c>
    </row>
    <row r="1822" spans="54:62" ht="13.8" x14ac:dyDescent="0.25">
      <c r="BB1822" s="187">
        <v>44664</v>
      </c>
      <c r="BC1822" s="180">
        <v>-0.32800000000000001</v>
      </c>
      <c r="BD1822" s="191">
        <v>44664</v>
      </c>
      <c r="BE1822" s="192">
        <v>0.65300000000000002</v>
      </c>
      <c r="BH1822" s="94">
        <v>44740</v>
      </c>
      <c r="BI1822" s="95">
        <v>1.593</v>
      </c>
      <c r="BJ1822" s="96">
        <v>13.76</v>
      </c>
    </row>
    <row r="1823" spans="54:62" ht="13.8" x14ac:dyDescent="0.25">
      <c r="BB1823" s="187">
        <v>44665</v>
      </c>
      <c r="BC1823" s="180">
        <v>-0.317</v>
      </c>
      <c r="BD1823" s="191">
        <v>44665</v>
      </c>
      <c r="BE1823" s="192">
        <v>0.67100000000000004</v>
      </c>
      <c r="BH1823" s="94">
        <v>44741</v>
      </c>
      <c r="BI1823" s="95">
        <v>1.6180000000000001</v>
      </c>
      <c r="BJ1823" s="96">
        <v>13.72</v>
      </c>
    </row>
    <row r="1824" spans="54:62" ht="13.8" x14ac:dyDescent="0.25">
      <c r="BB1824" s="187">
        <v>44666</v>
      </c>
      <c r="BC1824" s="180">
        <v>-0.317</v>
      </c>
      <c r="BD1824" s="191">
        <v>44666</v>
      </c>
      <c r="BE1824" s="192">
        <v>0.68400000000000005</v>
      </c>
      <c r="BH1824" s="94">
        <v>44742</v>
      </c>
      <c r="BI1824" s="95">
        <v>1.633</v>
      </c>
      <c r="BJ1824" s="96">
        <v>13.72</v>
      </c>
    </row>
    <row r="1825" spans="54:62" ht="13.8" x14ac:dyDescent="0.25">
      <c r="BB1825" s="187">
        <v>44669</v>
      </c>
      <c r="BC1825" s="180">
        <v>-0.317</v>
      </c>
      <c r="BD1825" s="191"/>
      <c r="BE1825" s="193">
        <f>+BE1824</f>
        <v>0.68400000000000005</v>
      </c>
      <c r="BH1825" s="94">
        <v>44743</v>
      </c>
      <c r="BI1825" s="95">
        <v>1.641</v>
      </c>
      <c r="BJ1825" s="96">
        <v>13.72</v>
      </c>
    </row>
    <row r="1826" spans="54:62" ht="13.8" x14ac:dyDescent="0.25">
      <c r="BB1826" s="187">
        <v>44670</v>
      </c>
      <c r="BC1826" s="180">
        <v>-0.33300000000000002</v>
      </c>
      <c r="BD1826" s="191">
        <v>44670</v>
      </c>
      <c r="BE1826" s="192">
        <v>0.70699999999999996</v>
      </c>
      <c r="BH1826" s="94">
        <v>44746</v>
      </c>
      <c r="BI1826" s="95">
        <v>1.645</v>
      </c>
      <c r="BJ1826" s="96">
        <v>13.71</v>
      </c>
    </row>
    <row r="1827" spans="54:62" ht="13.8" x14ac:dyDescent="0.25">
      <c r="BB1827" s="187">
        <v>44671</v>
      </c>
      <c r="BC1827" s="180">
        <v>-0.33200000000000002</v>
      </c>
      <c r="BD1827" s="191">
        <v>44671</v>
      </c>
      <c r="BE1827" s="192">
        <v>0.754</v>
      </c>
      <c r="BH1827" s="94">
        <v>44747</v>
      </c>
      <c r="BI1827" s="95">
        <v>1.6459999999999999</v>
      </c>
      <c r="BJ1827" s="96">
        <v>13.71</v>
      </c>
    </row>
    <row r="1828" spans="54:62" ht="13.8" x14ac:dyDescent="0.25">
      <c r="BB1828" s="187">
        <v>44672</v>
      </c>
      <c r="BC1828" s="180">
        <v>-0.31</v>
      </c>
      <c r="BD1828" s="191">
        <v>44672</v>
      </c>
      <c r="BE1828" s="192">
        <v>0.77300000000000002</v>
      </c>
      <c r="BH1828" s="94">
        <v>44748</v>
      </c>
      <c r="BI1828" s="95">
        <v>1.641</v>
      </c>
      <c r="BJ1828" s="96">
        <v>13.7</v>
      </c>
    </row>
    <row r="1829" spans="54:62" ht="13.8" x14ac:dyDescent="0.25">
      <c r="BB1829" s="187">
        <v>44673</v>
      </c>
      <c r="BC1829" s="180">
        <v>-0.26800000000000002</v>
      </c>
      <c r="BD1829" s="191">
        <v>44673</v>
      </c>
      <c r="BE1829" s="192">
        <v>0.79400000000000004</v>
      </c>
      <c r="BH1829" s="94">
        <v>44749</v>
      </c>
      <c r="BI1829" s="95">
        <v>1.641</v>
      </c>
      <c r="BJ1829" s="96">
        <v>13.66</v>
      </c>
    </row>
    <row r="1830" spans="54:62" ht="13.8" x14ac:dyDescent="0.25">
      <c r="BB1830" s="187">
        <v>44676</v>
      </c>
      <c r="BC1830" s="180">
        <v>-0.23899999999999999</v>
      </c>
      <c r="BD1830" s="191">
        <v>44676</v>
      </c>
      <c r="BE1830" s="192">
        <v>0.81200000000000006</v>
      </c>
      <c r="BH1830" s="94">
        <v>44750</v>
      </c>
      <c r="BI1830" s="95">
        <v>1.637</v>
      </c>
      <c r="BJ1830" s="96">
        <v>13.66</v>
      </c>
    </row>
    <row r="1831" spans="54:62" ht="13.8" x14ac:dyDescent="0.25">
      <c r="BB1831" s="187">
        <v>44677</v>
      </c>
      <c r="BC1831" s="180">
        <v>-0.246</v>
      </c>
      <c r="BD1831" s="191">
        <v>44677</v>
      </c>
      <c r="BE1831" s="192">
        <v>0.82399999999999995</v>
      </c>
      <c r="BH1831" s="94">
        <v>44753</v>
      </c>
      <c r="BI1831" s="95">
        <v>1.6259999999999999</v>
      </c>
      <c r="BJ1831" s="96">
        <v>13.65</v>
      </c>
    </row>
    <row r="1832" spans="54:62" ht="13.8" x14ac:dyDescent="0.25">
      <c r="BB1832" s="187">
        <v>44678</v>
      </c>
      <c r="BC1832" s="180">
        <v>-0.251</v>
      </c>
      <c r="BD1832" s="191">
        <v>44678</v>
      </c>
      <c r="BE1832" s="192">
        <v>0.83299999999999996</v>
      </c>
      <c r="BH1832" s="94">
        <v>44754</v>
      </c>
      <c r="BI1832" s="95">
        <v>1.6020000000000001</v>
      </c>
      <c r="BJ1832" s="96">
        <v>13.65</v>
      </c>
    </row>
    <row r="1833" spans="54:62" ht="13.8" x14ac:dyDescent="0.25">
      <c r="BB1833" s="187">
        <v>44679</v>
      </c>
      <c r="BC1833" s="180">
        <v>-0.24199999999999999</v>
      </c>
      <c r="BD1833" s="191">
        <v>44679</v>
      </c>
      <c r="BE1833" s="192">
        <v>0.84199999999999997</v>
      </c>
      <c r="BH1833" s="94">
        <v>44755</v>
      </c>
      <c r="BI1833" s="95">
        <v>1.573</v>
      </c>
      <c r="BJ1833" s="96">
        <v>13.65</v>
      </c>
    </row>
    <row r="1834" spans="54:62" ht="13.8" x14ac:dyDescent="0.25">
      <c r="BB1834" s="187">
        <v>44680</v>
      </c>
      <c r="BC1834" s="180">
        <v>-0.22600000000000001</v>
      </c>
      <c r="BD1834" s="191">
        <v>44680</v>
      </c>
      <c r="BE1834" s="192">
        <v>0.86</v>
      </c>
      <c r="BH1834" s="94">
        <v>44756</v>
      </c>
      <c r="BI1834" s="95">
        <v>1.55</v>
      </c>
      <c r="BJ1834" s="96">
        <v>13.65</v>
      </c>
    </row>
    <row r="1835" spans="54:62" ht="13.8" x14ac:dyDescent="0.25">
      <c r="BB1835" s="187">
        <v>44683</v>
      </c>
      <c r="BC1835" s="180">
        <v>-0.20399999999999999</v>
      </c>
      <c r="BD1835" s="191">
        <v>44683</v>
      </c>
      <c r="BE1835" s="192">
        <v>0.877</v>
      </c>
      <c r="BF1835" s="111">
        <f>+(BC1835+BE1835)/2+0.37</f>
        <v>0.70650000000000002</v>
      </c>
      <c r="BH1835" s="94">
        <v>44757</v>
      </c>
      <c r="BI1835" s="95">
        <v>1.5629999999999999</v>
      </c>
      <c r="BJ1835" s="96">
        <v>14.15</v>
      </c>
    </row>
    <row r="1836" spans="54:62" ht="13.8" x14ac:dyDescent="0.25">
      <c r="BB1836" s="187">
        <v>44684</v>
      </c>
      <c r="BC1836" s="180">
        <v>-0.19800000000000001</v>
      </c>
      <c r="BD1836" s="191">
        <v>44684</v>
      </c>
      <c r="BE1836" s="192">
        <v>0.89800000000000002</v>
      </c>
      <c r="BH1836" s="94">
        <v>44760</v>
      </c>
      <c r="BI1836" s="95">
        <v>1.54</v>
      </c>
      <c r="BJ1836" s="96">
        <v>14.14</v>
      </c>
    </row>
    <row r="1837" spans="54:62" ht="13.8" x14ac:dyDescent="0.25">
      <c r="BB1837" s="187">
        <v>44685</v>
      </c>
      <c r="BC1837" s="180">
        <v>-0.20499999999999999</v>
      </c>
      <c r="BD1837" s="191">
        <v>44685</v>
      </c>
      <c r="BE1837" s="192">
        <v>0.91700000000000004</v>
      </c>
      <c r="BH1837" s="94">
        <v>44761</v>
      </c>
      <c r="BI1837" s="95">
        <v>1.514</v>
      </c>
      <c r="BJ1837" s="96">
        <v>14.14</v>
      </c>
    </row>
    <row r="1838" spans="54:62" ht="13.8" x14ac:dyDescent="0.25">
      <c r="BB1838" s="187">
        <v>44686</v>
      </c>
      <c r="BC1838" s="180">
        <v>-0.20599999999999999</v>
      </c>
      <c r="BD1838" s="191">
        <v>44686</v>
      </c>
      <c r="BE1838" s="192">
        <v>0.92900000000000005</v>
      </c>
      <c r="BH1838" s="94">
        <v>44762</v>
      </c>
      <c r="BI1838" s="95">
        <v>1.4930000000000001</v>
      </c>
      <c r="BJ1838" s="96">
        <v>14.14</v>
      </c>
    </row>
    <row r="1839" spans="54:62" ht="13.8" x14ac:dyDescent="0.25">
      <c r="BB1839" s="187">
        <v>44687</v>
      </c>
      <c r="BC1839" s="180">
        <v>-0.20599999999999999</v>
      </c>
      <c r="BD1839" s="191">
        <v>44687</v>
      </c>
      <c r="BE1839" s="192">
        <v>0.94799999999999995</v>
      </c>
      <c r="BH1839" s="94">
        <v>44763</v>
      </c>
      <c r="BI1839" s="95">
        <v>1.4830000000000001</v>
      </c>
      <c r="BJ1839" s="96">
        <v>14.13</v>
      </c>
    </row>
    <row r="1840" spans="54:62" ht="13.8" x14ac:dyDescent="0.25">
      <c r="BB1840" s="187">
        <v>44690</v>
      </c>
      <c r="BC1840" s="180">
        <v>-0.183</v>
      </c>
      <c r="BD1840" s="191">
        <v>44690</v>
      </c>
      <c r="BE1840" s="192">
        <v>0.96599999999999997</v>
      </c>
      <c r="BH1840" s="94">
        <v>44764</v>
      </c>
      <c r="BI1840" s="95">
        <v>1.4650000000000001</v>
      </c>
      <c r="BJ1840" s="96">
        <v>14.13</v>
      </c>
    </row>
    <row r="1841" spans="54:62" ht="13.8" x14ac:dyDescent="0.25">
      <c r="BB1841" s="187">
        <v>44691</v>
      </c>
      <c r="BC1841" s="180">
        <v>-0.20200000000000001</v>
      </c>
      <c r="BD1841" s="191">
        <v>44691</v>
      </c>
      <c r="BE1841" s="192">
        <v>0.97499999999999998</v>
      </c>
      <c r="BH1841" s="94">
        <v>44767</v>
      </c>
      <c r="BI1841" s="95">
        <v>1.4419999999999999</v>
      </c>
      <c r="BJ1841" s="96">
        <v>14.12</v>
      </c>
    </row>
    <row r="1842" spans="54:62" ht="13.8" x14ac:dyDescent="0.25">
      <c r="BB1842" s="187">
        <v>44692</v>
      </c>
      <c r="BC1842" s="180">
        <v>-0.20799999999999999</v>
      </c>
      <c r="BD1842" s="191">
        <v>44692</v>
      </c>
      <c r="BE1842" s="192">
        <v>0.98199999999999998</v>
      </c>
      <c r="BH1842" s="94">
        <v>44768</v>
      </c>
      <c r="BI1842" s="95">
        <v>1.411</v>
      </c>
      <c r="BJ1842" s="96">
        <v>14.12</v>
      </c>
    </row>
    <row r="1843" spans="54:62" ht="13.8" x14ac:dyDescent="0.25">
      <c r="BB1843" s="187">
        <v>44693</v>
      </c>
      <c r="BC1843" s="180">
        <v>-0.21099999999999999</v>
      </c>
      <c r="BD1843" s="191">
        <v>44693</v>
      </c>
      <c r="BE1843" s="192">
        <v>0.98699999999999999</v>
      </c>
      <c r="BH1843" s="94">
        <v>44769</v>
      </c>
      <c r="BI1843" s="95">
        <v>1.383</v>
      </c>
      <c r="BJ1843" s="96">
        <v>14.12</v>
      </c>
    </row>
    <row r="1844" spans="54:62" ht="13.8" x14ac:dyDescent="0.25">
      <c r="BB1844" s="187">
        <v>44694</v>
      </c>
      <c r="BC1844" s="180">
        <v>-0.20899999999999999</v>
      </c>
      <c r="BD1844" s="191">
        <v>44694</v>
      </c>
      <c r="BE1844" s="192">
        <v>0.99299999999999999</v>
      </c>
      <c r="BH1844" s="94">
        <v>44770</v>
      </c>
      <c r="BI1844" s="95">
        <v>1.36</v>
      </c>
      <c r="BJ1844" s="96">
        <v>14.11</v>
      </c>
    </row>
    <row r="1845" spans="54:62" ht="13.8" x14ac:dyDescent="0.25">
      <c r="BB1845" s="187">
        <v>44697</v>
      </c>
      <c r="BC1845" s="180">
        <v>-0.192</v>
      </c>
      <c r="BD1845" s="191">
        <v>44697</v>
      </c>
      <c r="BE1845" s="192">
        <v>0.995</v>
      </c>
      <c r="BH1845" s="94">
        <v>44771</v>
      </c>
      <c r="BI1845" s="95">
        <v>1.341</v>
      </c>
      <c r="BJ1845" s="96">
        <v>14.11</v>
      </c>
    </row>
    <row r="1846" spans="54:62" ht="13.8" x14ac:dyDescent="0.25">
      <c r="BB1846" s="187">
        <v>44698</v>
      </c>
      <c r="BC1846" s="180">
        <v>-0.16600000000000001</v>
      </c>
      <c r="BD1846" s="191">
        <v>44698</v>
      </c>
      <c r="BE1846" s="192">
        <v>1.0009999999999999</v>
      </c>
      <c r="BH1846" s="94">
        <v>44774</v>
      </c>
      <c r="BI1846" s="95">
        <v>1.319</v>
      </c>
      <c r="BJ1846" s="96">
        <v>14.1</v>
      </c>
    </row>
    <row r="1847" spans="54:62" ht="13.8" x14ac:dyDescent="0.25">
      <c r="BB1847" s="187">
        <v>44699</v>
      </c>
      <c r="BC1847" s="180">
        <v>-0.126</v>
      </c>
      <c r="BD1847" s="191">
        <v>44699</v>
      </c>
      <c r="BE1847" s="192">
        <v>1.0109999999999999</v>
      </c>
      <c r="BH1847" s="94">
        <v>44775</v>
      </c>
      <c r="BI1847" s="95">
        <v>1.296</v>
      </c>
      <c r="BJ1847" s="96">
        <v>14.1</v>
      </c>
    </row>
    <row r="1848" spans="54:62" ht="13.8" x14ac:dyDescent="0.25">
      <c r="BB1848" s="187">
        <v>44700</v>
      </c>
      <c r="BC1848" s="180">
        <v>-9.6000000000000002E-2</v>
      </c>
      <c r="BD1848" s="191">
        <v>44700</v>
      </c>
      <c r="BE1848" s="192">
        <v>1.0169999999999999</v>
      </c>
      <c r="BH1848" s="94">
        <v>44776</v>
      </c>
      <c r="BI1848" s="95">
        <v>1.284</v>
      </c>
      <c r="BJ1848" s="96">
        <v>14.1</v>
      </c>
    </row>
    <row r="1849" spans="54:62" ht="13.8" x14ac:dyDescent="0.25">
      <c r="BB1849" s="187">
        <v>44701</v>
      </c>
      <c r="BC1849" s="180">
        <v>-7.8E-2</v>
      </c>
      <c r="BD1849" s="191">
        <v>44701</v>
      </c>
      <c r="BE1849" s="192">
        <v>1.0209999999999999</v>
      </c>
      <c r="BH1849" s="94">
        <v>44777</v>
      </c>
      <c r="BI1849" s="95">
        <v>1.266</v>
      </c>
      <c r="BJ1849" s="96">
        <v>14.09</v>
      </c>
    </row>
    <row r="1850" spans="54:62" ht="13.8" x14ac:dyDescent="0.25">
      <c r="BB1850" s="187">
        <v>44704</v>
      </c>
      <c r="BC1850" s="180">
        <v>-8.5000000000000006E-2</v>
      </c>
      <c r="BD1850" s="191">
        <v>44704</v>
      </c>
      <c r="BE1850" s="192">
        <v>1.0289999999999999</v>
      </c>
      <c r="BH1850" s="94">
        <v>44778</v>
      </c>
      <c r="BI1850" s="95">
        <v>1.248</v>
      </c>
      <c r="BJ1850" s="96">
        <v>14.09</v>
      </c>
    </row>
    <row r="1851" spans="54:62" ht="13.8" x14ac:dyDescent="0.25">
      <c r="BB1851" s="187">
        <v>44705</v>
      </c>
      <c r="BC1851" s="180">
        <v>-7.2999999999999995E-2</v>
      </c>
      <c r="BD1851" s="191">
        <v>44705</v>
      </c>
      <c r="BE1851" s="192">
        <v>1.0409999999999999</v>
      </c>
      <c r="BH1851" s="94">
        <v>44781</v>
      </c>
      <c r="BI1851" s="95">
        <v>1.234</v>
      </c>
      <c r="BJ1851" s="96">
        <v>14.08</v>
      </c>
    </row>
    <row r="1852" spans="54:62" ht="13.8" x14ac:dyDescent="0.25">
      <c r="BB1852" s="187">
        <v>44706</v>
      </c>
      <c r="BC1852" s="180">
        <v>-6.2E-2</v>
      </c>
      <c r="BD1852" s="191">
        <v>44706</v>
      </c>
      <c r="BE1852" s="192">
        <v>1.0509999999999999</v>
      </c>
      <c r="BH1852" s="94">
        <v>44782</v>
      </c>
      <c r="BI1852" s="95">
        <v>1.2290000000000001</v>
      </c>
      <c r="BJ1852" s="96">
        <v>14.08</v>
      </c>
    </row>
    <row r="1853" spans="54:62" ht="13.8" x14ac:dyDescent="0.25">
      <c r="BB1853" s="187">
        <v>44707</v>
      </c>
      <c r="BC1853" s="180">
        <v>-6.0999999999999999E-2</v>
      </c>
      <c r="BD1853" s="191"/>
      <c r="BE1853" s="193">
        <f>+BE1852</f>
        <v>1.0509999999999999</v>
      </c>
      <c r="BH1853" s="94">
        <v>44783</v>
      </c>
      <c r="BI1853" s="95">
        <v>1.2190000000000001</v>
      </c>
      <c r="BJ1853" s="96">
        <v>14.08</v>
      </c>
    </row>
    <row r="1854" spans="54:62" ht="13.8" x14ac:dyDescent="0.25">
      <c r="BB1854" s="187">
        <v>44708</v>
      </c>
      <c r="BC1854" s="180">
        <v>-7.5999999999999998E-2</v>
      </c>
      <c r="BD1854" s="191">
        <v>44708</v>
      </c>
      <c r="BE1854" s="192">
        <v>1.0609999999999999</v>
      </c>
      <c r="BH1854" s="94">
        <v>44784</v>
      </c>
      <c r="BI1854" s="95">
        <v>1.21</v>
      </c>
      <c r="BJ1854" s="96">
        <v>14.08</v>
      </c>
    </row>
    <row r="1855" spans="54:62" ht="13.8" x14ac:dyDescent="0.25">
      <c r="BB1855" s="187">
        <v>44711</v>
      </c>
      <c r="BC1855" s="180">
        <v>-6.8000000000000005E-2</v>
      </c>
      <c r="BD1855" s="191">
        <v>44711</v>
      </c>
      <c r="BE1855" s="192">
        <v>1.07</v>
      </c>
      <c r="BH1855" s="94">
        <v>44785</v>
      </c>
      <c r="BI1855" s="95">
        <v>1.206</v>
      </c>
      <c r="BJ1855" s="96">
        <v>14.08</v>
      </c>
    </row>
    <row r="1856" spans="54:62" ht="13.8" x14ac:dyDescent="0.25">
      <c r="BB1856" s="187">
        <v>44712</v>
      </c>
      <c r="BC1856" s="180">
        <v>-4.4999999999999998E-2</v>
      </c>
      <c r="BD1856" s="191">
        <v>44712</v>
      </c>
      <c r="BE1856" s="192">
        <v>1.095</v>
      </c>
      <c r="BH1856" s="94">
        <v>44789</v>
      </c>
      <c r="BI1856" s="95">
        <v>1.198</v>
      </c>
      <c r="BJ1856" s="96">
        <v>14.06</v>
      </c>
    </row>
    <row r="1857" spans="54:62" ht="13.8" x14ac:dyDescent="0.25">
      <c r="BB1857" s="187">
        <v>44713</v>
      </c>
      <c r="BC1857" s="180">
        <v>-3.4000000000000002E-2</v>
      </c>
      <c r="BD1857" s="191">
        <v>44713</v>
      </c>
      <c r="BE1857" s="192">
        <v>1.1060000000000001</v>
      </c>
      <c r="BH1857" s="94">
        <v>44790</v>
      </c>
      <c r="BI1857" s="95">
        <v>1.1919999999999999</v>
      </c>
      <c r="BJ1857" s="96">
        <v>14.06</v>
      </c>
    </row>
    <row r="1858" spans="54:62" ht="13.8" x14ac:dyDescent="0.25">
      <c r="BB1858" s="187">
        <v>44714</v>
      </c>
      <c r="BC1858" s="180">
        <v>-1.7000000000000001E-2</v>
      </c>
      <c r="BD1858" s="191">
        <v>44714</v>
      </c>
      <c r="BE1858" s="192">
        <v>1.119</v>
      </c>
      <c r="BH1858" s="94">
        <v>44791</v>
      </c>
      <c r="BI1858" s="95">
        <v>1.1870000000000001</v>
      </c>
      <c r="BJ1858" s="96">
        <v>14.02</v>
      </c>
    </row>
    <row r="1859" spans="54:62" ht="13.8" x14ac:dyDescent="0.25">
      <c r="BB1859" s="187">
        <v>44715</v>
      </c>
      <c r="BC1859" s="180">
        <v>-8.0000000000000002E-3</v>
      </c>
      <c r="BD1859" s="191">
        <v>44715</v>
      </c>
      <c r="BE1859" s="192">
        <v>1.135</v>
      </c>
      <c r="BH1859" s="94">
        <v>44792</v>
      </c>
      <c r="BI1859" s="95">
        <v>1.1879999999999999</v>
      </c>
      <c r="BJ1859" s="96">
        <v>14.01</v>
      </c>
    </row>
    <row r="1860" spans="54:62" ht="13.8" x14ac:dyDescent="0.25">
      <c r="BB1860" s="187">
        <v>44718</v>
      </c>
      <c r="BC1860" s="180">
        <v>8.9999999999999993E-3</v>
      </c>
      <c r="BD1860" s="191"/>
      <c r="BE1860" s="193">
        <f>+BE1859</f>
        <v>1.135</v>
      </c>
      <c r="BH1860" s="94">
        <v>44795</v>
      </c>
      <c r="BI1860" s="95">
        <v>1.2</v>
      </c>
      <c r="BJ1860" s="96">
        <v>14.01</v>
      </c>
    </row>
    <row r="1861" spans="54:62" ht="13.8" x14ac:dyDescent="0.25">
      <c r="BB1861" s="187">
        <v>44719</v>
      </c>
      <c r="BC1861" s="180">
        <v>2.9000000000000001E-2</v>
      </c>
      <c r="BD1861" s="191">
        <v>44719</v>
      </c>
      <c r="BE1861" s="192">
        <v>1.147</v>
      </c>
      <c r="BH1861" s="94">
        <v>44796</v>
      </c>
      <c r="BI1861" s="95">
        <v>1.216</v>
      </c>
      <c r="BJ1861" s="96">
        <v>14</v>
      </c>
    </row>
    <row r="1862" spans="54:62" ht="13.8" x14ac:dyDescent="0.25">
      <c r="BB1862" s="187">
        <v>44720</v>
      </c>
      <c r="BC1862" s="180">
        <v>3.4000000000000002E-2</v>
      </c>
      <c r="BD1862" s="191">
        <v>44720</v>
      </c>
      <c r="BE1862" s="192">
        <v>1.161</v>
      </c>
      <c r="BH1862" s="94">
        <v>44797</v>
      </c>
      <c r="BI1862" s="95">
        <v>1.238</v>
      </c>
      <c r="BJ1862" s="96">
        <v>14</v>
      </c>
    </row>
    <row r="1863" spans="54:62" ht="13.8" x14ac:dyDescent="0.25">
      <c r="BB1863" s="187">
        <v>44721</v>
      </c>
      <c r="BC1863" s="180">
        <v>6.3E-2</v>
      </c>
      <c r="BD1863" s="191">
        <v>44721</v>
      </c>
      <c r="BE1863" s="192">
        <v>1.1819999999999999</v>
      </c>
      <c r="BH1863" s="94">
        <v>44798</v>
      </c>
      <c r="BI1863" s="95">
        <v>1.2589999999999999</v>
      </c>
      <c r="BJ1863" s="96">
        <v>14</v>
      </c>
    </row>
    <row r="1864" spans="54:62" ht="13.8" x14ac:dyDescent="0.25">
      <c r="BB1864" s="187">
        <v>44722</v>
      </c>
      <c r="BC1864" s="180">
        <v>8.3000000000000004E-2</v>
      </c>
      <c r="BD1864" s="191">
        <v>44722</v>
      </c>
      <c r="BE1864" s="192">
        <v>1.2090000000000001</v>
      </c>
      <c r="BH1864" s="94">
        <v>44799</v>
      </c>
      <c r="BI1864" s="95">
        <v>1.286</v>
      </c>
      <c r="BJ1864" s="96">
        <v>13.99</v>
      </c>
    </row>
    <row r="1865" spans="54:62" ht="13.8" x14ac:dyDescent="0.25">
      <c r="BB1865" s="187">
        <v>44725</v>
      </c>
      <c r="BC1865" s="180">
        <v>0.108</v>
      </c>
      <c r="BD1865" s="191">
        <v>44725</v>
      </c>
      <c r="BE1865" s="192">
        <v>1.2490000000000001</v>
      </c>
      <c r="BH1865" s="94">
        <v>44802</v>
      </c>
      <c r="BI1865" s="95">
        <v>1.3220000000000001</v>
      </c>
      <c r="BJ1865" s="96">
        <v>13.99</v>
      </c>
    </row>
    <row r="1866" spans="54:62" ht="13.8" x14ac:dyDescent="0.25">
      <c r="BB1866" s="187">
        <v>44726</v>
      </c>
      <c r="BC1866" s="180">
        <v>0.17499999999999999</v>
      </c>
      <c r="BD1866" s="191">
        <v>44726</v>
      </c>
      <c r="BE1866" s="192">
        <v>1.2929999999999999</v>
      </c>
      <c r="BH1866" s="94">
        <v>44803</v>
      </c>
      <c r="BI1866" s="95">
        <v>1.361</v>
      </c>
      <c r="BJ1866" s="96">
        <v>13.98</v>
      </c>
    </row>
    <row r="1867" spans="54:62" ht="13.8" x14ac:dyDescent="0.25">
      <c r="BB1867" s="187">
        <v>44727</v>
      </c>
      <c r="BC1867" s="180">
        <v>0.23699999999999999</v>
      </c>
      <c r="BD1867" s="191">
        <v>44727</v>
      </c>
      <c r="BE1867" s="192">
        <v>1.333</v>
      </c>
      <c r="BH1867" s="94">
        <v>44804</v>
      </c>
      <c r="BI1867" s="95">
        <v>1.4039999999999999</v>
      </c>
      <c r="BJ1867" s="96">
        <v>13.98</v>
      </c>
    </row>
    <row r="1868" spans="54:62" ht="13.8" x14ac:dyDescent="0.25">
      <c r="BB1868" s="187">
        <v>44728</v>
      </c>
      <c r="BC1868" s="180">
        <v>0.249</v>
      </c>
      <c r="BD1868" s="191"/>
      <c r="BE1868" s="193">
        <f>+BE1867</f>
        <v>1.333</v>
      </c>
      <c r="BH1868" s="94">
        <v>44805</v>
      </c>
      <c r="BI1868" s="95">
        <v>1.4430000000000001</v>
      </c>
      <c r="BJ1868" s="96">
        <v>13.98</v>
      </c>
    </row>
    <row r="1869" spans="54:62" ht="13.8" x14ac:dyDescent="0.25">
      <c r="BB1869" s="187">
        <v>44729</v>
      </c>
      <c r="BC1869" s="180">
        <v>0.29099999999999998</v>
      </c>
      <c r="BD1869" s="191">
        <v>44729</v>
      </c>
      <c r="BE1869" s="192">
        <v>1.371</v>
      </c>
      <c r="BH1869" s="94">
        <v>44806</v>
      </c>
      <c r="BI1869" s="95">
        <v>1.4810000000000001</v>
      </c>
      <c r="BJ1869" s="96">
        <v>13.98</v>
      </c>
    </row>
    <row r="1870" spans="54:62" ht="13.8" x14ac:dyDescent="0.25">
      <c r="BB1870" s="187">
        <v>44732</v>
      </c>
      <c r="BC1870" s="180">
        <v>0.27300000000000002</v>
      </c>
      <c r="BD1870" s="191">
        <v>44732</v>
      </c>
      <c r="BE1870" s="192">
        <v>1.405</v>
      </c>
      <c r="BH1870" s="94">
        <v>44809</v>
      </c>
      <c r="BI1870" s="95">
        <v>1.5189999999999999</v>
      </c>
      <c r="BJ1870" s="96">
        <v>13.97</v>
      </c>
    </row>
    <row r="1871" spans="54:62" ht="13.8" x14ac:dyDescent="0.25">
      <c r="BB1871" s="187">
        <v>44733</v>
      </c>
      <c r="BC1871" s="180">
        <v>0.28899999999999998</v>
      </c>
      <c r="BD1871" s="191">
        <v>44733</v>
      </c>
      <c r="BE1871" s="192">
        <v>1.448</v>
      </c>
      <c r="BH1871" s="94">
        <v>44810</v>
      </c>
      <c r="BI1871" s="95">
        <v>1.5529999999999999</v>
      </c>
      <c r="BJ1871" s="96">
        <v>13.96</v>
      </c>
    </row>
    <row r="1872" spans="54:62" ht="13.8" x14ac:dyDescent="0.25">
      <c r="BB1872" s="187">
        <v>44734</v>
      </c>
      <c r="BC1872" s="180">
        <v>0.29099999999999998</v>
      </c>
      <c r="BD1872" s="191">
        <v>44734</v>
      </c>
      <c r="BE1872" s="192">
        <v>1.4850000000000001</v>
      </c>
      <c r="BH1872" s="94">
        <v>44811</v>
      </c>
      <c r="BI1872" s="95">
        <v>1.585</v>
      </c>
      <c r="BJ1872" s="96">
        <v>13.96</v>
      </c>
    </row>
    <row r="1873" spans="54:62" ht="13.8" x14ac:dyDescent="0.25">
      <c r="BB1873" s="187">
        <v>44735</v>
      </c>
      <c r="BC1873" s="180">
        <v>0.27300000000000002</v>
      </c>
      <c r="BD1873" s="191">
        <v>44735</v>
      </c>
      <c r="BE1873" s="192">
        <v>1.5089999999999999</v>
      </c>
      <c r="BH1873" s="94">
        <v>44812</v>
      </c>
      <c r="BI1873" s="95">
        <v>1.6240000000000001</v>
      </c>
      <c r="BJ1873" s="96">
        <v>13.91</v>
      </c>
    </row>
    <row r="1874" spans="54:62" ht="13.8" x14ac:dyDescent="0.25">
      <c r="BB1874" s="187">
        <v>44736</v>
      </c>
      <c r="BC1874" s="180">
        <v>0.223</v>
      </c>
      <c r="BD1874" s="191">
        <v>44736</v>
      </c>
      <c r="BE1874" s="192">
        <v>1.532</v>
      </c>
      <c r="BH1874" s="94">
        <v>44813</v>
      </c>
      <c r="BI1874" s="95">
        <v>1.663</v>
      </c>
      <c r="BJ1874" s="96">
        <v>13.9</v>
      </c>
    </row>
    <row r="1875" spans="54:62" ht="13.8" x14ac:dyDescent="0.25">
      <c r="BB1875" s="187">
        <v>44739</v>
      </c>
      <c r="BC1875" s="180">
        <v>0.223</v>
      </c>
      <c r="BD1875" s="191">
        <v>44739</v>
      </c>
      <c r="BE1875" s="192">
        <v>1.5609999999999999</v>
      </c>
      <c r="BH1875" s="94">
        <v>44816</v>
      </c>
      <c r="BI1875" s="95">
        <v>1.7</v>
      </c>
      <c r="BJ1875" s="96">
        <v>13.9</v>
      </c>
    </row>
    <row r="1876" spans="54:62" ht="13.8" x14ac:dyDescent="0.25">
      <c r="BB1876" s="187">
        <v>44740</v>
      </c>
      <c r="BC1876" s="180">
        <v>0.22500000000000001</v>
      </c>
      <c r="BD1876" s="191">
        <v>44740</v>
      </c>
      <c r="BE1876" s="192">
        <v>1.593</v>
      </c>
      <c r="BH1876" s="94">
        <v>44817</v>
      </c>
      <c r="BI1876" s="95">
        <v>1.738</v>
      </c>
      <c r="BJ1876" s="96">
        <v>13.89</v>
      </c>
    </row>
    <row r="1877" spans="54:62" ht="13.8" x14ac:dyDescent="0.25">
      <c r="BB1877" s="187">
        <v>44741</v>
      </c>
      <c r="BC1877" s="180">
        <v>0.27800000000000002</v>
      </c>
      <c r="BD1877" s="191">
        <v>44741</v>
      </c>
      <c r="BE1877" s="192">
        <v>1.6180000000000001</v>
      </c>
      <c r="BH1877" s="94">
        <v>44818</v>
      </c>
      <c r="BI1877" s="95">
        <v>1.7729999999999999</v>
      </c>
      <c r="BJ1877" s="96">
        <v>13.89</v>
      </c>
    </row>
    <row r="1878" spans="54:62" ht="13.8" x14ac:dyDescent="0.25">
      <c r="BB1878" s="187">
        <v>44742</v>
      </c>
      <c r="BC1878" s="180">
        <v>0.26300000000000001</v>
      </c>
      <c r="BD1878" s="191">
        <v>44742</v>
      </c>
      <c r="BE1878" s="192">
        <v>1.633</v>
      </c>
      <c r="BH1878" s="94">
        <v>44819</v>
      </c>
      <c r="BI1878" s="95">
        <v>1.8069999999999999</v>
      </c>
      <c r="BJ1878" s="96">
        <v>13.89</v>
      </c>
    </row>
    <row r="1879" spans="54:62" ht="13.8" x14ac:dyDescent="0.25">
      <c r="BB1879" s="187">
        <v>44743</v>
      </c>
      <c r="BC1879" s="180">
        <v>0.23799999999999999</v>
      </c>
      <c r="BD1879" s="191">
        <v>44743</v>
      </c>
      <c r="BE1879" s="192">
        <v>1.641</v>
      </c>
      <c r="BH1879" s="94">
        <v>44820</v>
      </c>
      <c r="BI1879" s="95">
        <v>1.8380000000000001</v>
      </c>
      <c r="BJ1879" s="96">
        <v>13.89</v>
      </c>
    </row>
    <row r="1880" spans="54:62" ht="13.8" x14ac:dyDescent="0.25">
      <c r="BB1880" s="187">
        <v>44746</v>
      </c>
      <c r="BC1880" s="180">
        <v>0.24099999999999999</v>
      </c>
      <c r="BD1880" s="191">
        <v>44746</v>
      </c>
      <c r="BE1880" s="192">
        <v>1.645</v>
      </c>
      <c r="BH1880" s="94">
        <v>44823</v>
      </c>
      <c r="BI1880" s="95">
        <v>1.869</v>
      </c>
      <c r="BJ1880" s="96">
        <v>13.88</v>
      </c>
    </row>
    <row r="1881" spans="54:62" ht="13.8" x14ac:dyDescent="0.25">
      <c r="BB1881" s="187">
        <v>44747</v>
      </c>
      <c r="BC1881" s="180">
        <v>0.23400000000000001</v>
      </c>
      <c r="BD1881" s="191">
        <v>44747</v>
      </c>
      <c r="BE1881" s="192">
        <v>1.6459999999999999</v>
      </c>
      <c r="BH1881" s="94">
        <v>44824</v>
      </c>
      <c r="BI1881" s="95">
        <v>1.9019999999999999</v>
      </c>
      <c r="BJ1881" s="96">
        <v>13.87</v>
      </c>
    </row>
    <row r="1882" spans="54:62" ht="13.8" x14ac:dyDescent="0.25">
      <c r="BB1882" s="187">
        <v>44748</v>
      </c>
      <c r="BC1882" s="180">
        <v>0.22600000000000001</v>
      </c>
      <c r="BD1882" s="191">
        <v>44748</v>
      </c>
      <c r="BE1882" s="192">
        <v>1.641</v>
      </c>
      <c r="BH1882" s="94">
        <v>44825</v>
      </c>
      <c r="BI1882" s="95">
        <v>1.9330000000000001</v>
      </c>
      <c r="BJ1882" s="96">
        <v>13.87</v>
      </c>
    </row>
    <row r="1883" spans="54:62" ht="13.8" x14ac:dyDescent="0.25">
      <c r="BB1883" s="187">
        <v>44749</v>
      </c>
      <c r="BC1883" s="180">
        <v>0.23799999999999999</v>
      </c>
      <c r="BD1883" s="191">
        <v>44749</v>
      </c>
      <c r="BE1883" s="192">
        <v>1.641</v>
      </c>
      <c r="BH1883" s="94">
        <v>44826</v>
      </c>
      <c r="BI1883" s="95">
        <v>1.9670000000000001</v>
      </c>
      <c r="BJ1883" s="96">
        <v>13.87</v>
      </c>
    </row>
    <row r="1884" spans="54:62" ht="13.8" x14ac:dyDescent="0.25">
      <c r="BB1884" s="187">
        <v>44750</v>
      </c>
      <c r="BC1884" s="180">
        <v>0.32200000000000001</v>
      </c>
      <c r="BD1884" s="191">
        <v>44750</v>
      </c>
      <c r="BE1884" s="192">
        <v>1.637</v>
      </c>
      <c r="BH1884" s="94">
        <v>44827</v>
      </c>
      <c r="BI1884" s="95">
        <v>2.0009999999999999</v>
      </c>
      <c r="BJ1884" s="96">
        <v>13.87</v>
      </c>
    </row>
    <row r="1885" spans="54:62" ht="13.8" x14ac:dyDescent="0.25">
      <c r="BB1885" s="187">
        <v>44753</v>
      </c>
      <c r="BC1885" s="180">
        <v>0.36499999999999999</v>
      </c>
      <c r="BD1885" s="191">
        <v>44753</v>
      </c>
      <c r="BE1885" s="192">
        <v>1.6259999999999999</v>
      </c>
      <c r="BH1885" s="94">
        <v>44830</v>
      </c>
      <c r="BI1885" s="95">
        <v>2.0329999999999999</v>
      </c>
      <c r="BJ1885" s="96">
        <v>13.83</v>
      </c>
    </row>
    <row r="1886" spans="54:62" ht="13.8" x14ac:dyDescent="0.25">
      <c r="BB1886" s="187">
        <v>44754</v>
      </c>
      <c r="BC1886" s="180">
        <v>0.379</v>
      </c>
      <c r="BD1886" s="191">
        <v>44754</v>
      </c>
      <c r="BE1886" s="192">
        <v>1.6020000000000001</v>
      </c>
      <c r="BH1886" s="94">
        <v>44831</v>
      </c>
      <c r="BI1886" s="95">
        <v>2.0659999999999998</v>
      </c>
      <c r="BJ1886" s="96">
        <v>13.82</v>
      </c>
    </row>
    <row r="1887" spans="54:62" ht="13.8" x14ac:dyDescent="0.25">
      <c r="BB1887" s="187">
        <v>44755</v>
      </c>
      <c r="BC1887" s="180">
        <v>0.36299999999999999</v>
      </c>
      <c r="BD1887" s="191">
        <v>44755</v>
      </c>
      <c r="BE1887" s="192">
        <v>1.573</v>
      </c>
      <c r="BH1887" s="94">
        <v>44832</v>
      </c>
      <c r="BI1887" s="95">
        <v>2.1030000000000002</v>
      </c>
      <c r="BJ1887" s="96">
        <v>13.68</v>
      </c>
    </row>
    <row r="1888" spans="54:62" ht="13.8" x14ac:dyDescent="0.25">
      <c r="BB1888" s="187">
        <v>44756</v>
      </c>
      <c r="BC1888" s="180">
        <v>0.44800000000000001</v>
      </c>
      <c r="BD1888" s="191">
        <v>44756</v>
      </c>
      <c r="BE1888" s="192">
        <v>1.55</v>
      </c>
      <c r="BH1888" s="94">
        <v>44833</v>
      </c>
      <c r="BI1888" s="95">
        <v>2.1349999999999998</v>
      </c>
      <c r="BJ1888" s="96">
        <v>13.68</v>
      </c>
    </row>
    <row r="1889" spans="54:62" ht="13.8" x14ac:dyDescent="0.25">
      <c r="BB1889" s="187">
        <v>44757</v>
      </c>
      <c r="BC1889" s="180">
        <v>0.53200000000000003</v>
      </c>
      <c r="BD1889" s="191">
        <v>44757</v>
      </c>
      <c r="BE1889" s="192">
        <v>1.5629999999999999</v>
      </c>
      <c r="BH1889" s="94">
        <v>44834</v>
      </c>
      <c r="BI1889" s="95">
        <v>2.1629999999999998</v>
      </c>
      <c r="BJ1889" s="96">
        <v>13.68</v>
      </c>
    </row>
    <row r="1890" spans="54:62" ht="13.8" x14ac:dyDescent="0.25">
      <c r="BB1890" s="187">
        <v>44760</v>
      </c>
      <c r="BC1890" s="180">
        <v>0.503</v>
      </c>
      <c r="BD1890" s="191">
        <v>44760</v>
      </c>
      <c r="BE1890" s="192">
        <v>1.54</v>
      </c>
      <c r="BH1890" s="94">
        <v>44837</v>
      </c>
      <c r="BI1890" s="95">
        <v>2.1869999999999998</v>
      </c>
      <c r="BJ1890" s="96">
        <v>13.67</v>
      </c>
    </row>
    <row r="1891" spans="54:62" ht="13.8" x14ac:dyDescent="0.25">
      <c r="BB1891" s="187">
        <v>44761</v>
      </c>
      <c r="BC1891" s="180">
        <v>0.53400000000000003</v>
      </c>
      <c r="BD1891" s="191">
        <v>44761</v>
      </c>
      <c r="BE1891" s="192">
        <v>1.514</v>
      </c>
      <c r="BH1891" s="94">
        <v>44838</v>
      </c>
      <c r="BI1891" s="95">
        <v>2.2040000000000002</v>
      </c>
      <c r="BJ1891" s="96">
        <v>13.67</v>
      </c>
    </row>
    <row r="1892" spans="54:62" ht="13.8" x14ac:dyDescent="0.25">
      <c r="BB1892" s="187">
        <v>44762</v>
      </c>
      <c r="BC1892" s="180">
        <v>0.63500000000000001</v>
      </c>
      <c r="BD1892" s="191">
        <v>44762</v>
      </c>
      <c r="BE1892" s="192">
        <v>1.4930000000000001</v>
      </c>
      <c r="BH1892" s="94">
        <v>44839</v>
      </c>
      <c r="BI1892" s="95">
        <v>2.2269999999999999</v>
      </c>
      <c r="BJ1892" s="96">
        <v>13.66</v>
      </c>
    </row>
    <row r="1893" spans="54:62" ht="13.8" x14ac:dyDescent="0.25">
      <c r="BB1893" s="187">
        <v>44763</v>
      </c>
      <c r="BC1893" s="180">
        <v>0.63200000000000001</v>
      </c>
      <c r="BD1893" s="191">
        <v>44763</v>
      </c>
      <c r="BE1893" s="192">
        <v>1.4830000000000001</v>
      </c>
      <c r="BH1893" s="94">
        <v>44840</v>
      </c>
      <c r="BI1893" s="95">
        <v>2.2519999999999998</v>
      </c>
      <c r="BJ1893" s="96">
        <v>13.7</v>
      </c>
    </row>
    <row r="1894" spans="54:62" ht="13.8" x14ac:dyDescent="0.25">
      <c r="BB1894" s="187">
        <v>44764</v>
      </c>
      <c r="BC1894" s="180">
        <v>0.70599999999999996</v>
      </c>
      <c r="BD1894" s="191">
        <v>44764</v>
      </c>
      <c r="BE1894" s="192">
        <v>1.4650000000000001</v>
      </c>
      <c r="BH1894" s="94">
        <v>44841</v>
      </c>
      <c r="BI1894" s="95">
        <v>2.2770000000000001</v>
      </c>
      <c r="BJ1894" s="96">
        <v>13.7</v>
      </c>
    </row>
    <row r="1895" spans="54:62" ht="13.8" x14ac:dyDescent="0.25">
      <c r="BB1895" s="187">
        <v>44767</v>
      </c>
      <c r="BC1895" s="180">
        <v>0.63300000000000001</v>
      </c>
      <c r="BD1895" s="191">
        <v>44767</v>
      </c>
      <c r="BE1895" s="192">
        <v>1.4419999999999999</v>
      </c>
      <c r="BH1895" s="94">
        <v>44844</v>
      </c>
      <c r="BI1895" s="95">
        <v>2.3050000000000002</v>
      </c>
      <c r="BJ1895" s="96">
        <v>13.69</v>
      </c>
    </row>
    <row r="1896" spans="54:62" ht="13.8" x14ac:dyDescent="0.25">
      <c r="BB1896" s="187">
        <v>44768</v>
      </c>
      <c r="BC1896" s="180">
        <v>0.623</v>
      </c>
      <c r="BD1896" s="191">
        <v>44768</v>
      </c>
      <c r="BE1896" s="192">
        <v>1.411</v>
      </c>
      <c r="BH1896" s="94">
        <v>44845</v>
      </c>
      <c r="BI1896" s="95">
        <v>2.3359999999999999</v>
      </c>
      <c r="BJ1896" s="96">
        <v>13.69</v>
      </c>
    </row>
    <row r="1897" spans="54:62" ht="13.8" x14ac:dyDescent="0.25">
      <c r="BB1897" s="187">
        <v>44769</v>
      </c>
      <c r="BC1897" s="180">
        <v>0.63100000000000001</v>
      </c>
      <c r="BD1897" s="191">
        <v>44769</v>
      </c>
      <c r="BE1897" s="192">
        <v>1.383</v>
      </c>
      <c r="BH1897" s="94">
        <v>44846</v>
      </c>
      <c r="BI1897" s="95">
        <v>2.367</v>
      </c>
      <c r="BJ1897" s="96">
        <v>13.69</v>
      </c>
    </row>
    <row r="1898" spans="54:62" ht="13.8" x14ac:dyDescent="0.25">
      <c r="BB1898" s="187">
        <v>44770</v>
      </c>
      <c r="BC1898" s="180">
        <v>0.66</v>
      </c>
      <c r="BD1898" s="191">
        <v>44770</v>
      </c>
      <c r="BE1898" s="192">
        <v>1.36</v>
      </c>
      <c r="BH1898" s="94">
        <v>44847</v>
      </c>
      <c r="BI1898" s="95">
        <v>2.3959999999999999</v>
      </c>
      <c r="BJ1898" s="96">
        <v>13.68</v>
      </c>
    </row>
    <row r="1899" spans="54:62" ht="13.8" x14ac:dyDescent="0.25">
      <c r="BB1899" s="187">
        <v>44771</v>
      </c>
      <c r="BC1899" s="180">
        <v>0.65300000000000002</v>
      </c>
      <c r="BD1899" s="191">
        <v>44771</v>
      </c>
      <c r="BE1899" s="192">
        <v>1.341</v>
      </c>
      <c r="BH1899" s="94">
        <v>44848</v>
      </c>
      <c r="BI1899" s="95">
        <v>2.42</v>
      </c>
      <c r="BJ1899" s="96">
        <v>13.68</v>
      </c>
    </row>
    <row r="1900" spans="54:62" ht="13.8" x14ac:dyDescent="0.25">
      <c r="BB1900" s="187">
        <v>44774</v>
      </c>
      <c r="BC1900" s="180">
        <v>0.65400000000000003</v>
      </c>
      <c r="BD1900" s="191">
        <v>44774</v>
      </c>
      <c r="BE1900" s="192">
        <v>1.319</v>
      </c>
      <c r="BH1900" s="94">
        <v>44851</v>
      </c>
      <c r="BI1900" s="95">
        <v>2.444</v>
      </c>
      <c r="BJ1900" s="96">
        <v>13.67</v>
      </c>
    </row>
    <row r="1901" spans="54:62" ht="13.8" x14ac:dyDescent="0.25">
      <c r="BB1901" s="187">
        <v>44775</v>
      </c>
      <c r="BC1901" s="180">
        <v>0.65200000000000002</v>
      </c>
      <c r="BD1901" s="191">
        <v>44775</v>
      </c>
      <c r="BE1901" s="192">
        <v>1.296</v>
      </c>
      <c r="BH1901" s="94">
        <v>44852</v>
      </c>
      <c r="BI1901" s="95">
        <v>2.4649999999999999</v>
      </c>
      <c r="BJ1901" s="96">
        <v>13.67</v>
      </c>
    </row>
    <row r="1902" spans="54:62" ht="13.8" x14ac:dyDescent="0.25">
      <c r="BB1902" s="187">
        <v>44776</v>
      </c>
      <c r="BC1902" s="180">
        <v>0.66700000000000004</v>
      </c>
      <c r="BD1902" s="191">
        <v>44776</v>
      </c>
      <c r="BE1902" s="192">
        <v>1.284</v>
      </c>
      <c r="BH1902" s="94">
        <v>44853</v>
      </c>
      <c r="BI1902" s="95">
        <v>2.488</v>
      </c>
      <c r="BJ1902" s="96">
        <v>13.67</v>
      </c>
    </row>
    <row r="1903" spans="54:62" ht="13.8" x14ac:dyDescent="0.25">
      <c r="BB1903" s="187">
        <v>44777</v>
      </c>
      <c r="BC1903" s="180">
        <v>0.68899999999999995</v>
      </c>
      <c r="BD1903" s="191">
        <v>44777</v>
      </c>
      <c r="BE1903" s="192">
        <v>1.266</v>
      </c>
      <c r="BH1903" s="94">
        <v>44854</v>
      </c>
      <c r="BI1903" s="95">
        <v>2.552</v>
      </c>
      <c r="BJ1903" s="96">
        <v>14.29</v>
      </c>
    </row>
    <row r="1904" spans="54:62" ht="13.8" x14ac:dyDescent="0.25">
      <c r="BB1904" s="187">
        <v>44778</v>
      </c>
      <c r="BC1904" s="180">
        <v>0.67800000000000005</v>
      </c>
      <c r="BD1904" s="191">
        <v>44778</v>
      </c>
      <c r="BE1904" s="192">
        <v>1.248</v>
      </c>
      <c r="BH1904" s="94">
        <v>44855</v>
      </c>
      <c r="BI1904" s="95">
        <v>2.5750000000000002</v>
      </c>
      <c r="BJ1904" s="96">
        <v>14.29</v>
      </c>
    </row>
    <row r="1905" spans="54:62" ht="13.8" x14ac:dyDescent="0.25">
      <c r="BB1905" s="187">
        <v>44781</v>
      </c>
      <c r="BC1905" s="180">
        <v>0.72899999999999998</v>
      </c>
      <c r="BD1905" s="191">
        <v>44781</v>
      </c>
      <c r="BE1905" s="192">
        <v>1.234</v>
      </c>
      <c r="BH1905" s="94">
        <v>44858</v>
      </c>
      <c r="BI1905" s="95">
        <v>2.5859999999999999</v>
      </c>
      <c r="BJ1905" s="96">
        <v>14.23</v>
      </c>
    </row>
    <row r="1906" spans="54:62" ht="13.8" x14ac:dyDescent="0.25">
      <c r="BB1906" s="187">
        <v>44782</v>
      </c>
      <c r="BC1906" s="180">
        <v>0.73699999999999999</v>
      </c>
      <c r="BD1906" s="191">
        <v>44782</v>
      </c>
      <c r="BE1906" s="192">
        <v>1.2290000000000001</v>
      </c>
      <c r="BH1906" s="94">
        <v>44859</v>
      </c>
      <c r="BI1906" s="95">
        <v>2.593</v>
      </c>
      <c r="BJ1906" s="96">
        <v>14.22</v>
      </c>
    </row>
    <row r="1907" spans="54:62" ht="13.8" x14ac:dyDescent="0.25">
      <c r="BB1907" s="187">
        <v>44783</v>
      </c>
      <c r="BC1907" s="180">
        <v>0.77400000000000002</v>
      </c>
      <c r="BD1907" s="191">
        <v>44783</v>
      </c>
      <c r="BE1907" s="192">
        <v>1.2190000000000001</v>
      </c>
      <c r="BH1907" s="94">
        <v>44861</v>
      </c>
      <c r="BI1907" s="95">
        <v>2.593</v>
      </c>
      <c r="BJ1907" s="96">
        <v>14.22</v>
      </c>
    </row>
    <row r="1908" spans="54:62" ht="13.8" x14ac:dyDescent="0.25">
      <c r="BB1908" s="187">
        <v>44784</v>
      </c>
      <c r="BC1908" s="180">
        <v>0.76400000000000001</v>
      </c>
      <c r="BD1908" s="191">
        <v>44784</v>
      </c>
      <c r="BE1908" s="192">
        <v>1.21</v>
      </c>
      <c r="BH1908" s="94">
        <v>44862</v>
      </c>
      <c r="BI1908" s="95">
        <v>2.5880000000000001</v>
      </c>
      <c r="BJ1908" s="96">
        <v>14.22</v>
      </c>
    </row>
    <row r="1909" spans="54:62" ht="13.8" x14ac:dyDescent="0.25">
      <c r="BB1909" s="187">
        <v>44785</v>
      </c>
      <c r="BC1909" s="180">
        <v>0.76600000000000001</v>
      </c>
      <c r="BD1909" s="191">
        <v>44785</v>
      </c>
      <c r="BE1909" s="192">
        <v>1.206</v>
      </c>
      <c r="BH1909" s="94">
        <v>44865</v>
      </c>
      <c r="BI1909" s="95">
        <v>2.5910000000000002</v>
      </c>
      <c r="BJ1909" s="96">
        <v>14.21</v>
      </c>
    </row>
    <row r="1910" spans="54:62" ht="13.8" x14ac:dyDescent="0.25">
      <c r="BB1910" s="187">
        <v>44788</v>
      </c>
      <c r="BC1910" s="180">
        <v>0.745</v>
      </c>
      <c r="BD1910" s="191"/>
      <c r="BE1910" s="193">
        <f>+BE1909</f>
        <v>1.206</v>
      </c>
      <c r="BH1910" s="94">
        <v>44867</v>
      </c>
      <c r="BI1910" s="95">
        <v>2.5990000000000002</v>
      </c>
      <c r="BJ1910" s="96">
        <v>14.2</v>
      </c>
    </row>
    <row r="1911" spans="54:62" ht="13.8" x14ac:dyDescent="0.25">
      <c r="BB1911" s="187">
        <v>44789</v>
      </c>
      <c r="BC1911" s="180">
        <v>0.73499999999999999</v>
      </c>
      <c r="BD1911" s="191">
        <v>44789</v>
      </c>
      <c r="BE1911" s="192">
        <v>1.198</v>
      </c>
      <c r="BH1911" s="94">
        <v>44868</v>
      </c>
      <c r="BI1911" s="95">
        <v>2.6190000000000002</v>
      </c>
      <c r="BJ1911" s="96">
        <v>14.2</v>
      </c>
    </row>
    <row r="1912" spans="54:62" ht="13.8" x14ac:dyDescent="0.25">
      <c r="BB1912" s="187">
        <v>44790</v>
      </c>
      <c r="BC1912" s="180">
        <v>0.753</v>
      </c>
      <c r="BD1912" s="191">
        <v>44790</v>
      </c>
      <c r="BE1912" s="192">
        <v>1.1919999999999999</v>
      </c>
      <c r="BH1912" s="94">
        <v>44869</v>
      </c>
      <c r="BI1912" s="95">
        <v>2.6339999999999999</v>
      </c>
      <c r="BJ1912" s="96">
        <v>14.2</v>
      </c>
    </row>
    <row r="1913" spans="54:62" ht="13.8" x14ac:dyDescent="0.25">
      <c r="BB1913" s="187">
        <v>44791</v>
      </c>
      <c r="BC1913" s="180">
        <v>0.82599999999999996</v>
      </c>
      <c r="BD1913" s="191">
        <v>44791</v>
      </c>
      <c r="BE1913" s="192">
        <v>1.1870000000000001</v>
      </c>
      <c r="BH1913" s="94">
        <v>44872</v>
      </c>
      <c r="BI1913" s="95">
        <v>2.6469999999999998</v>
      </c>
      <c r="BJ1913" s="96">
        <v>14.19</v>
      </c>
    </row>
    <row r="1914" spans="54:62" ht="13.8" x14ac:dyDescent="0.25">
      <c r="BB1914" s="187">
        <v>44792</v>
      </c>
      <c r="BC1914" s="180">
        <v>0.86199999999999999</v>
      </c>
      <c r="BD1914" s="191">
        <v>44792</v>
      </c>
      <c r="BE1914" s="192">
        <v>1.1879999999999999</v>
      </c>
      <c r="BH1914" s="94">
        <v>44873</v>
      </c>
      <c r="BI1914" s="95">
        <v>2.6549999999999998</v>
      </c>
      <c r="BJ1914" s="96">
        <v>14.19</v>
      </c>
    </row>
    <row r="1915" spans="54:62" ht="13.8" x14ac:dyDescent="0.25">
      <c r="BB1915" s="187">
        <v>44795</v>
      </c>
      <c r="BC1915" s="180">
        <v>0.90800000000000003</v>
      </c>
      <c r="BD1915" s="191">
        <v>44795</v>
      </c>
      <c r="BE1915" s="192">
        <v>1.2</v>
      </c>
      <c r="BH1915" s="94">
        <v>44874</v>
      </c>
      <c r="BI1915" s="95">
        <v>2.6579999999999999</v>
      </c>
      <c r="BJ1915" s="96">
        <v>14.18</v>
      </c>
    </row>
    <row r="1916" spans="54:62" ht="13.8" x14ac:dyDescent="0.25">
      <c r="BB1916" s="187">
        <v>44796</v>
      </c>
      <c r="BC1916" s="180">
        <v>0.92600000000000005</v>
      </c>
      <c r="BD1916" s="191">
        <v>44796</v>
      </c>
      <c r="BE1916" s="192">
        <v>1.216</v>
      </c>
      <c r="BH1916" s="94">
        <v>44875</v>
      </c>
      <c r="BI1916" s="95">
        <v>2.6509999999999998</v>
      </c>
      <c r="BJ1916" s="96">
        <v>14.14</v>
      </c>
    </row>
    <row r="1917" spans="54:62" ht="13.8" x14ac:dyDescent="0.25">
      <c r="BB1917" s="187">
        <v>44797</v>
      </c>
      <c r="BC1917" s="180">
        <v>0.94699999999999995</v>
      </c>
      <c r="BD1917" s="191">
        <v>44797</v>
      </c>
      <c r="BE1917" s="192">
        <v>1.238</v>
      </c>
      <c r="BH1917" s="94">
        <v>44876</v>
      </c>
      <c r="BI1917" s="95">
        <v>2.6419999999999999</v>
      </c>
      <c r="BJ1917" s="96">
        <v>14.13</v>
      </c>
    </row>
    <row r="1918" spans="54:62" ht="13.8" x14ac:dyDescent="0.25">
      <c r="BB1918" s="187">
        <v>44798</v>
      </c>
      <c r="BC1918" s="180">
        <v>0.98399999999999999</v>
      </c>
      <c r="BD1918" s="191">
        <v>44798</v>
      </c>
      <c r="BE1918" s="192">
        <v>1.2589999999999999</v>
      </c>
      <c r="BH1918" s="94">
        <v>44879</v>
      </c>
      <c r="BI1918" s="95">
        <v>2.6349999999999998</v>
      </c>
      <c r="BJ1918" s="96">
        <v>14.13</v>
      </c>
    </row>
    <row r="1919" spans="54:62" ht="13.8" x14ac:dyDescent="0.25">
      <c r="BB1919" s="187">
        <v>44799</v>
      </c>
      <c r="BC1919" s="180">
        <v>0.98299999999999998</v>
      </c>
      <c r="BD1919" s="191">
        <v>44799</v>
      </c>
      <c r="BE1919" s="192">
        <v>1.286</v>
      </c>
      <c r="BH1919" s="94">
        <v>44880</v>
      </c>
      <c r="BI1919" s="95">
        <v>2.63</v>
      </c>
      <c r="BJ1919" s="96">
        <v>14.12</v>
      </c>
    </row>
    <row r="1920" spans="54:62" ht="13.8" x14ac:dyDescent="0.25">
      <c r="BB1920" s="187">
        <v>44802</v>
      </c>
      <c r="BC1920" s="180">
        <v>1.077</v>
      </c>
      <c r="BD1920" s="191">
        <v>44802</v>
      </c>
      <c r="BE1920" s="192">
        <v>1.3220000000000001</v>
      </c>
      <c r="BH1920" s="94">
        <v>44881</v>
      </c>
      <c r="BI1920" s="95">
        <v>2.62</v>
      </c>
      <c r="BJ1920" s="96">
        <v>14.12</v>
      </c>
    </row>
    <row r="1921" spans="54:64" ht="13.8" x14ac:dyDescent="0.25">
      <c r="BB1921" s="187">
        <v>44803</v>
      </c>
      <c r="BC1921" s="180">
        <v>1.1930000000000001</v>
      </c>
      <c r="BD1921" s="191">
        <v>44803</v>
      </c>
      <c r="BE1921" s="192">
        <v>1.361</v>
      </c>
      <c r="BH1921" s="94">
        <v>44882</v>
      </c>
      <c r="BI1921" s="95">
        <v>2.6070000000000002</v>
      </c>
      <c r="BJ1921" s="96">
        <v>14.12</v>
      </c>
    </row>
    <row r="1922" spans="54:64" ht="13.8" x14ac:dyDescent="0.25">
      <c r="BB1922" s="187">
        <v>44804</v>
      </c>
      <c r="BC1922" s="180">
        <v>1.2030000000000001</v>
      </c>
      <c r="BD1922" s="191">
        <v>44804</v>
      </c>
      <c r="BE1922" s="192">
        <v>1.4039999999999999</v>
      </c>
      <c r="BH1922" s="94">
        <v>44883</v>
      </c>
      <c r="BI1922" s="95">
        <v>2.5920000000000001</v>
      </c>
      <c r="BJ1922" s="96">
        <v>14.12</v>
      </c>
    </row>
    <row r="1923" spans="54:64" ht="13.8" x14ac:dyDescent="0.25">
      <c r="BB1923" s="187">
        <v>44805</v>
      </c>
      <c r="BC1923" s="180">
        <v>1.24</v>
      </c>
      <c r="BD1923" s="191">
        <v>44805</v>
      </c>
      <c r="BE1923" s="192">
        <v>1.4430000000000001</v>
      </c>
      <c r="BH1923" s="94">
        <v>44886</v>
      </c>
      <c r="BI1923" s="95">
        <v>2.5720000000000001</v>
      </c>
      <c r="BJ1923" s="96">
        <v>14.11</v>
      </c>
    </row>
    <row r="1924" spans="54:64" ht="13.8" x14ac:dyDescent="0.25">
      <c r="BB1924" s="187">
        <v>44806</v>
      </c>
      <c r="BC1924" s="180">
        <v>1.29</v>
      </c>
      <c r="BD1924" s="191">
        <v>44806</v>
      </c>
      <c r="BE1924" s="192">
        <v>1.4810000000000001</v>
      </c>
      <c r="BH1924" s="94">
        <v>44887</v>
      </c>
      <c r="BI1924" s="95">
        <v>2.5499999999999998</v>
      </c>
      <c r="BJ1924" s="96">
        <v>14.1</v>
      </c>
    </row>
    <row r="1925" spans="54:64" ht="13.8" x14ac:dyDescent="0.25">
      <c r="BB1925" s="187">
        <v>44809</v>
      </c>
      <c r="BC1925" s="180">
        <v>1.298</v>
      </c>
      <c r="BD1925" s="191">
        <v>44809</v>
      </c>
      <c r="BE1925" s="192">
        <v>1.5189999999999999</v>
      </c>
      <c r="BH1925" s="94">
        <v>44888</v>
      </c>
      <c r="BI1925" s="95">
        <v>2.5329999999999999</v>
      </c>
      <c r="BJ1925" s="96">
        <v>14.11</v>
      </c>
    </row>
    <row r="1926" spans="54:64" ht="13.8" x14ac:dyDescent="0.25">
      <c r="BB1926" s="187">
        <v>44810</v>
      </c>
      <c r="BC1926" s="180">
        <v>1.337</v>
      </c>
      <c r="BD1926" s="191">
        <v>44810</v>
      </c>
      <c r="BE1926" s="192">
        <v>1.5529999999999999</v>
      </c>
      <c r="BH1926" s="94">
        <v>44889</v>
      </c>
      <c r="BI1926" s="95">
        <v>2.5139999999999998</v>
      </c>
      <c r="BJ1926" s="96">
        <v>14.11</v>
      </c>
    </row>
    <row r="1927" spans="54:64" ht="13.8" x14ac:dyDescent="0.25">
      <c r="BB1927" s="187">
        <v>44811</v>
      </c>
      <c r="BC1927" s="180">
        <v>1.363</v>
      </c>
      <c r="BD1927" s="191">
        <v>44811</v>
      </c>
      <c r="BE1927" s="192">
        <v>1.585</v>
      </c>
      <c r="BH1927" s="94">
        <v>44890</v>
      </c>
      <c r="BI1927" s="95">
        <v>2.504</v>
      </c>
      <c r="BJ1927" s="96">
        <v>14.1</v>
      </c>
    </row>
    <row r="1928" spans="54:64" ht="13.8" x14ac:dyDescent="0.25">
      <c r="BB1928" s="187">
        <v>44812</v>
      </c>
      <c r="BC1928" s="180">
        <v>1.3540000000000001</v>
      </c>
      <c r="BD1928" s="191">
        <v>44812</v>
      </c>
      <c r="BE1928" s="192">
        <v>1.6240000000000001</v>
      </c>
      <c r="BH1928" s="94">
        <v>44893</v>
      </c>
      <c r="BI1928" s="95">
        <v>2.4990000000000001</v>
      </c>
      <c r="BJ1928" s="96">
        <v>14.13</v>
      </c>
    </row>
    <row r="1929" spans="54:64" ht="13.8" x14ac:dyDescent="0.25">
      <c r="BB1929" s="187">
        <v>44813</v>
      </c>
      <c r="BC1929" s="180">
        <v>1.4419999999999999</v>
      </c>
      <c r="BD1929" s="191">
        <v>44813</v>
      </c>
      <c r="BE1929" s="192">
        <v>1.663</v>
      </c>
      <c r="BH1929" s="94">
        <v>44894</v>
      </c>
      <c r="BI1929" s="95">
        <v>2.4870000000000001</v>
      </c>
      <c r="BJ1929" s="96">
        <v>14.13</v>
      </c>
    </row>
    <row r="1930" spans="54:64" ht="13.8" x14ac:dyDescent="0.25">
      <c r="BB1930" s="187">
        <v>44816</v>
      </c>
      <c r="BC1930" s="180">
        <v>1.494</v>
      </c>
      <c r="BD1930" s="191">
        <v>44816</v>
      </c>
      <c r="BE1930" s="192">
        <v>1.7</v>
      </c>
      <c r="BH1930" s="94">
        <v>44895</v>
      </c>
      <c r="BI1930" s="95">
        <v>2.476</v>
      </c>
      <c r="BJ1930" s="96">
        <v>14.13</v>
      </c>
    </row>
    <row r="1931" spans="54:64" ht="13.8" x14ac:dyDescent="0.25">
      <c r="BB1931" s="187">
        <v>44817</v>
      </c>
      <c r="BC1931" s="180">
        <v>1.538</v>
      </c>
      <c r="BD1931" s="191">
        <v>44817</v>
      </c>
      <c r="BE1931" s="192">
        <v>1.738</v>
      </c>
      <c r="BH1931" s="94">
        <v>44896</v>
      </c>
      <c r="BI1931" s="95">
        <v>2.456</v>
      </c>
      <c r="BJ1931" s="96">
        <v>14.13</v>
      </c>
    </row>
    <row r="1932" spans="54:64" ht="13.8" x14ac:dyDescent="0.25">
      <c r="BB1932" s="187">
        <v>44818</v>
      </c>
      <c r="BC1932" s="180">
        <v>1.548</v>
      </c>
      <c r="BD1932" s="191">
        <v>44818</v>
      </c>
      <c r="BE1932" s="192">
        <v>1.7729999999999999</v>
      </c>
      <c r="BH1932" s="94">
        <v>44897</v>
      </c>
      <c r="BI1932" s="95">
        <v>2.4329999999999998</v>
      </c>
      <c r="BJ1932" s="96">
        <v>14.12</v>
      </c>
    </row>
    <row r="1933" spans="54:64" ht="13.8" x14ac:dyDescent="0.25">
      <c r="BB1933" s="187">
        <v>44819</v>
      </c>
      <c r="BC1933" s="180">
        <v>1.6080000000000001</v>
      </c>
      <c r="BD1933" s="191">
        <v>44819</v>
      </c>
      <c r="BE1933" s="192">
        <v>1.8069999999999999</v>
      </c>
      <c r="BH1933" s="388"/>
      <c r="BI1933" s="388"/>
      <c r="BJ1933" s="388"/>
    </row>
    <row r="1934" spans="54:64" ht="12.75" customHeight="1" x14ac:dyDescent="0.25">
      <c r="BB1934" s="187">
        <v>44820</v>
      </c>
      <c r="BC1934" s="180">
        <v>1.6719999999999999</v>
      </c>
      <c r="BD1934" s="191">
        <v>44820</v>
      </c>
      <c r="BE1934" s="192">
        <v>1.8380000000000001</v>
      </c>
      <c r="BH1934" s="386" t="s">
        <v>395</v>
      </c>
      <c r="BI1934" s="386"/>
      <c r="BJ1934" s="386"/>
    </row>
    <row r="1935" spans="54:64" ht="14.4" thickBot="1" x14ac:dyDescent="0.3">
      <c r="BB1935" s="187">
        <v>44823</v>
      </c>
      <c r="BC1935" s="180">
        <v>1.7370000000000001</v>
      </c>
      <c r="BD1935" s="191">
        <v>44823</v>
      </c>
      <c r="BE1935" s="192">
        <v>1.869</v>
      </c>
    </row>
    <row r="1936" spans="54:64" ht="16.8" thickTop="1" thickBot="1" x14ac:dyDescent="0.3">
      <c r="BB1936" s="187">
        <v>44824</v>
      </c>
      <c r="BC1936" s="180">
        <v>1.74</v>
      </c>
      <c r="BD1936" s="191">
        <v>44824</v>
      </c>
      <c r="BE1936" s="192">
        <v>1.9019999999999999</v>
      </c>
      <c r="BH1936" s="98" t="s">
        <v>396</v>
      </c>
      <c r="BI1936" s="99" t="s">
        <v>397</v>
      </c>
      <c r="BJ1936" s="99" t="s">
        <v>398</v>
      </c>
      <c r="BK1936" s="100" t="s">
        <v>399</v>
      </c>
      <c r="BL1936" s="101" t="s">
        <v>400</v>
      </c>
    </row>
    <row r="1937" spans="54:57" ht="14.4" thickTop="1" x14ac:dyDescent="0.25">
      <c r="BB1937" s="187">
        <v>44825</v>
      </c>
      <c r="BC1937" s="180">
        <v>1.766</v>
      </c>
      <c r="BD1937" s="191">
        <v>44825</v>
      </c>
      <c r="BE1937" s="192">
        <v>1.9330000000000001</v>
      </c>
    </row>
    <row r="1938" spans="54:57" ht="13.8" x14ac:dyDescent="0.25">
      <c r="BB1938" s="187">
        <v>44826</v>
      </c>
      <c r="BC1938" s="180">
        <v>1.7629999999999999</v>
      </c>
      <c r="BD1938" s="191">
        <v>44826</v>
      </c>
      <c r="BE1938" s="192">
        <v>1.9670000000000001</v>
      </c>
    </row>
    <row r="1939" spans="54:57" ht="13.8" x14ac:dyDescent="0.25">
      <c r="BB1939" s="187">
        <v>44827</v>
      </c>
      <c r="BC1939" s="180">
        <v>1.8029999999999999</v>
      </c>
      <c r="BD1939" s="191">
        <v>44827</v>
      </c>
      <c r="BE1939" s="192">
        <v>2.0009999999999999</v>
      </c>
    </row>
    <row r="1940" spans="54:57" ht="13.8" x14ac:dyDescent="0.25">
      <c r="BB1940" s="187">
        <v>44830</v>
      </c>
      <c r="BC1940" s="180">
        <v>1.8029999999999999</v>
      </c>
      <c r="BD1940" s="191">
        <v>44830</v>
      </c>
      <c r="BE1940" s="192">
        <v>2.0329999999999999</v>
      </c>
    </row>
    <row r="1941" spans="54:57" ht="13.8" x14ac:dyDescent="0.25">
      <c r="BB1941" s="187">
        <v>44831</v>
      </c>
      <c r="BC1941" s="180">
        <v>1.851</v>
      </c>
      <c r="BD1941" s="191">
        <v>44831</v>
      </c>
      <c r="BE1941" s="192">
        <v>2.0659999999999998</v>
      </c>
    </row>
    <row r="1942" spans="54:57" ht="13.8" x14ac:dyDescent="0.25">
      <c r="BB1942" s="187">
        <v>44832</v>
      </c>
      <c r="BC1942" s="180">
        <v>1.8580000000000001</v>
      </c>
      <c r="BD1942" s="191">
        <v>44832</v>
      </c>
      <c r="BE1942" s="192">
        <v>2.1030000000000002</v>
      </c>
    </row>
    <row r="1943" spans="54:57" ht="13.8" x14ac:dyDescent="0.25">
      <c r="BB1943" s="187">
        <v>44833</v>
      </c>
      <c r="BC1943" s="180">
        <v>1.8</v>
      </c>
      <c r="BD1943" s="191">
        <v>44833</v>
      </c>
      <c r="BE1943" s="192">
        <v>2.1349999999999998</v>
      </c>
    </row>
    <row r="1944" spans="54:57" ht="13.8" x14ac:dyDescent="0.25">
      <c r="BB1944" s="187">
        <v>44834</v>
      </c>
      <c r="BC1944" s="180">
        <v>1.8089999999999999</v>
      </c>
      <c r="BD1944" s="191">
        <v>44834</v>
      </c>
      <c r="BE1944" s="192">
        <v>2.1629999999999998</v>
      </c>
    </row>
    <row r="1945" spans="54:57" ht="13.8" x14ac:dyDescent="0.25">
      <c r="BB1945" s="187">
        <v>44837</v>
      </c>
      <c r="BC1945" s="180">
        <v>1.7749999999999999</v>
      </c>
      <c r="BD1945" s="191">
        <v>44837</v>
      </c>
      <c r="BE1945" s="192">
        <v>2.1869999999999998</v>
      </c>
    </row>
    <row r="1946" spans="54:57" ht="13.8" x14ac:dyDescent="0.25">
      <c r="BB1946" s="187">
        <v>44838</v>
      </c>
      <c r="BC1946" s="180">
        <v>1.762</v>
      </c>
      <c r="BD1946" s="191">
        <v>44838</v>
      </c>
      <c r="BE1946" s="192">
        <v>2.2040000000000002</v>
      </c>
    </row>
    <row r="1947" spans="54:57" ht="13.8" x14ac:dyDescent="0.25">
      <c r="BB1947" s="187">
        <v>44839</v>
      </c>
      <c r="BC1947" s="180">
        <v>1.7310000000000001</v>
      </c>
      <c r="BD1947" s="191">
        <v>44839</v>
      </c>
      <c r="BE1947" s="192">
        <v>2.2269999999999999</v>
      </c>
    </row>
    <row r="1948" spans="54:57" ht="13.8" x14ac:dyDescent="0.25">
      <c r="BB1948" s="187">
        <v>44840</v>
      </c>
      <c r="BC1948" s="180">
        <v>1.8380000000000001</v>
      </c>
      <c r="BD1948" s="191">
        <v>44840</v>
      </c>
      <c r="BE1948" s="192">
        <v>2.2519999999999998</v>
      </c>
    </row>
    <row r="1949" spans="54:57" ht="13.8" x14ac:dyDescent="0.25">
      <c r="BB1949" s="187">
        <v>44841</v>
      </c>
      <c r="BC1949" s="180">
        <v>1.897</v>
      </c>
      <c r="BD1949" s="191">
        <v>44841</v>
      </c>
      <c r="BE1949" s="192">
        <v>2.2770000000000001</v>
      </c>
    </row>
    <row r="1950" spans="54:57" ht="13.8" x14ac:dyDescent="0.25">
      <c r="BB1950" s="187">
        <v>44844</v>
      </c>
      <c r="BC1950" s="180">
        <v>1.962</v>
      </c>
      <c r="BD1950" s="191">
        <v>44844</v>
      </c>
      <c r="BE1950" s="192">
        <v>2.3050000000000002</v>
      </c>
    </row>
    <row r="1951" spans="54:57" ht="13.8" x14ac:dyDescent="0.25">
      <c r="BB1951" s="187">
        <v>44845</v>
      </c>
      <c r="BC1951" s="180">
        <v>2.0030000000000001</v>
      </c>
      <c r="BD1951" s="191">
        <v>44845</v>
      </c>
      <c r="BE1951" s="192">
        <v>2.3359999999999999</v>
      </c>
    </row>
    <row r="1952" spans="54:57" ht="13.8" x14ac:dyDescent="0.25">
      <c r="BB1952" s="187">
        <v>44846</v>
      </c>
      <c r="BC1952" s="180">
        <v>1.998</v>
      </c>
      <c r="BD1952" s="191">
        <v>44846</v>
      </c>
      <c r="BE1952" s="192">
        <v>2.367</v>
      </c>
    </row>
    <row r="1953" spans="54:58" ht="13.8" x14ac:dyDescent="0.25">
      <c r="BB1953" s="187">
        <v>44847</v>
      </c>
      <c r="BC1953" s="180">
        <v>2.012</v>
      </c>
      <c r="BD1953" s="191">
        <v>44847</v>
      </c>
      <c r="BE1953" s="192">
        <v>2.3959999999999999</v>
      </c>
    </row>
    <row r="1954" spans="54:58" ht="13.8" x14ac:dyDescent="0.25">
      <c r="BB1954" s="187">
        <v>44848</v>
      </c>
      <c r="BC1954" s="180">
        <v>2.0270000000000001</v>
      </c>
      <c r="BD1954" s="191">
        <v>44848</v>
      </c>
      <c r="BE1954" s="192">
        <v>2.42</v>
      </c>
    </row>
    <row r="1955" spans="54:58" ht="13.8" x14ac:dyDescent="0.25">
      <c r="BB1955" s="187">
        <v>44851</v>
      </c>
      <c r="BC1955" s="180">
        <v>2.032</v>
      </c>
      <c r="BD1955" s="191">
        <v>44851</v>
      </c>
      <c r="BE1955" s="192">
        <v>2.444</v>
      </c>
    </row>
    <row r="1956" spans="54:58" ht="13.8" x14ac:dyDescent="0.25">
      <c r="BB1956" s="187">
        <v>44852</v>
      </c>
      <c r="BC1956" s="180">
        <v>2.0379999999999998</v>
      </c>
      <c r="BD1956" s="191">
        <v>44852</v>
      </c>
      <c r="BE1956" s="192">
        <v>2.4649999999999999</v>
      </c>
    </row>
    <row r="1957" spans="54:58" ht="13.8" x14ac:dyDescent="0.25">
      <c r="BB1957" s="187">
        <v>44853</v>
      </c>
      <c r="BC1957" s="180">
        <v>2.0569999999999999</v>
      </c>
      <c r="BD1957" s="191">
        <v>44853</v>
      </c>
      <c r="BE1957" s="192">
        <v>2.488</v>
      </c>
    </row>
    <row r="1958" spans="54:58" ht="13.8" x14ac:dyDescent="0.25">
      <c r="BB1958" s="187">
        <v>44854</v>
      </c>
      <c r="BC1958" s="180">
        <v>2.0830000000000002</v>
      </c>
      <c r="BD1958" s="191">
        <v>44854</v>
      </c>
      <c r="BE1958" s="192">
        <v>2.552</v>
      </c>
    </row>
    <row r="1959" spans="54:58" ht="13.8" x14ac:dyDescent="0.25">
      <c r="BB1959" s="187">
        <v>44855</v>
      </c>
      <c r="BC1959" s="180">
        <v>2.1070000000000002</v>
      </c>
      <c r="BD1959" s="191">
        <v>44855</v>
      </c>
      <c r="BE1959" s="192">
        <v>2.5750000000000002</v>
      </c>
    </row>
    <row r="1960" spans="54:58" ht="13.8" x14ac:dyDescent="0.25">
      <c r="BB1960" s="187">
        <v>44858</v>
      </c>
      <c r="BC1960" s="180">
        <v>2.1320000000000001</v>
      </c>
      <c r="BD1960" s="191">
        <v>44858</v>
      </c>
      <c r="BE1960" s="192">
        <v>2.5859999999999999</v>
      </c>
    </row>
    <row r="1961" spans="54:58" ht="13.8" x14ac:dyDescent="0.25">
      <c r="BB1961" s="187">
        <v>44859</v>
      </c>
      <c r="BC1961" s="180">
        <v>2.1059999999999999</v>
      </c>
      <c r="BD1961" s="191">
        <v>44859</v>
      </c>
      <c r="BE1961" s="192">
        <v>2.593</v>
      </c>
    </row>
    <row r="1962" spans="54:58" ht="13.8" x14ac:dyDescent="0.25">
      <c r="BB1962" s="187">
        <v>44860</v>
      </c>
      <c r="BC1962" s="180">
        <v>2.1030000000000002</v>
      </c>
      <c r="BD1962" s="191"/>
      <c r="BE1962" s="193">
        <f>+BE1961</f>
        <v>2.593</v>
      </c>
    </row>
    <row r="1963" spans="54:58" ht="13.8" x14ac:dyDescent="0.25">
      <c r="BB1963" s="187">
        <v>44861</v>
      </c>
      <c r="BC1963" s="180">
        <v>2.1179999999999999</v>
      </c>
      <c r="BD1963" s="191">
        <v>44861</v>
      </c>
      <c r="BE1963" s="192">
        <v>2.593</v>
      </c>
    </row>
    <row r="1964" spans="54:58" ht="13.8" x14ac:dyDescent="0.25">
      <c r="BB1964" s="187">
        <v>44862</v>
      </c>
      <c r="BC1964" s="180">
        <v>2.0339999999999998</v>
      </c>
      <c r="BD1964" s="191">
        <v>44862</v>
      </c>
      <c r="BE1964" s="192">
        <v>2.5880000000000001</v>
      </c>
    </row>
    <row r="1965" spans="54:58" ht="13.8" x14ac:dyDescent="0.25">
      <c r="BB1965" s="187">
        <v>44865</v>
      </c>
      <c r="BC1965" s="180">
        <v>2.13</v>
      </c>
      <c r="BD1965" s="191">
        <v>44865</v>
      </c>
      <c r="BE1965" s="192">
        <v>2.5910000000000002</v>
      </c>
    </row>
    <row r="1966" spans="54:58" ht="13.8" x14ac:dyDescent="0.25">
      <c r="BB1966" s="187">
        <v>44866</v>
      </c>
      <c r="BC1966" s="180">
        <v>2.1680000000000001</v>
      </c>
      <c r="BD1966" s="191"/>
      <c r="BE1966" s="193">
        <f>+BE1965</f>
        <v>2.5910000000000002</v>
      </c>
      <c r="BF1966" s="111">
        <f>+(BC1966+BE1966)/2+0.37</f>
        <v>2.7495000000000003</v>
      </c>
    </row>
    <row r="1967" spans="54:58" ht="13.8" x14ac:dyDescent="0.25">
      <c r="BB1967" s="187">
        <v>44867</v>
      </c>
      <c r="BC1967" s="180">
        <v>2.198</v>
      </c>
      <c r="BD1967" s="191">
        <v>44867</v>
      </c>
      <c r="BE1967" s="192">
        <v>2.5990000000000002</v>
      </c>
    </row>
    <row r="1968" spans="54:58" ht="13.8" x14ac:dyDescent="0.25">
      <c r="BB1968" s="187">
        <v>44868</v>
      </c>
      <c r="BC1968" s="180">
        <v>2.2250000000000001</v>
      </c>
      <c r="BD1968" s="191">
        <v>44868</v>
      </c>
      <c r="BE1968" s="192">
        <v>2.6190000000000002</v>
      </c>
    </row>
    <row r="1969" spans="54:57" ht="13.8" x14ac:dyDescent="0.25">
      <c r="BB1969" s="187">
        <v>44869</v>
      </c>
      <c r="BC1969" s="180">
        <v>2.278</v>
      </c>
      <c r="BD1969" s="191">
        <v>44869</v>
      </c>
      <c r="BE1969" s="192">
        <v>2.6339999999999999</v>
      </c>
    </row>
    <row r="1970" spans="54:57" ht="13.8" x14ac:dyDescent="0.25">
      <c r="BB1970" s="187">
        <v>44872</v>
      </c>
      <c r="BC1970" s="180">
        <v>2.2959999999999998</v>
      </c>
      <c r="BD1970" s="191">
        <v>44872</v>
      </c>
      <c r="BE1970" s="192">
        <v>2.6469999999999998</v>
      </c>
    </row>
    <row r="1971" spans="54:57" ht="13.8" x14ac:dyDescent="0.25">
      <c r="BB1971" s="187">
        <v>44873</v>
      </c>
      <c r="BC1971" s="180">
        <v>2.3159999999999998</v>
      </c>
      <c r="BD1971" s="191">
        <v>44873</v>
      </c>
      <c r="BE1971" s="192">
        <v>2.6549999999999998</v>
      </c>
    </row>
    <row r="1972" spans="54:57" ht="13.8" x14ac:dyDescent="0.25">
      <c r="BB1972" s="187">
        <v>44874</v>
      </c>
      <c r="BC1972" s="180">
        <v>2.3330000000000002</v>
      </c>
      <c r="BD1972" s="191">
        <v>44874</v>
      </c>
      <c r="BE1972" s="192">
        <v>2.6579999999999999</v>
      </c>
    </row>
    <row r="1973" spans="54:57" ht="13.8" x14ac:dyDescent="0.25">
      <c r="BB1973" s="187">
        <v>44875</v>
      </c>
      <c r="BC1973" s="180">
        <v>2.319</v>
      </c>
      <c r="BD1973" s="191">
        <v>44875</v>
      </c>
      <c r="BE1973" s="192">
        <v>2.6509999999999998</v>
      </c>
    </row>
    <row r="1974" spans="54:57" ht="13.8" x14ac:dyDescent="0.25">
      <c r="BB1974" s="187">
        <v>44876</v>
      </c>
      <c r="BC1974" s="180">
        <v>2.2909999999999999</v>
      </c>
      <c r="BD1974" s="191">
        <v>44876</v>
      </c>
      <c r="BE1974" s="192">
        <v>2.6419999999999999</v>
      </c>
    </row>
    <row r="1975" spans="54:57" ht="13.8" x14ac:dyDescent="0.25">
      <c r="BB1975" s="187">
        <v>44879</v>
      </c>
      <c r="BC1975" s="180">
        <v>2.3370000000000002</v>
      </c>
      <c r="BD1975" s="191">
        <v>44879</v>
      </c>
      <c r="BE1975" s="192">
        <v>2.6349999999999998</v>
      </c>
    </row>
    <row r="1976" spans="54:57" ht="13.8" x14ac:dyDescent="0.25">
      <c r="BB1976" s="187">
        <v>44880</v>
      </c>
      <c r="BC1976" s="180">
        <v>2.2999999999999998</v>
      </c>
      <c r="BD1976" s="191">
        <v>44880</v>
      </c>
      <c r="BE1976" s="192">
        <v>2.63</v>
      </c>
    </row>
    <row r="1977" spans="54:57" ht="13.8" x14ac:dyDescent="0.25">
      <c r="BB1977" s="187">
        <v>44881</v>
      </c>
      <c r="BC1977" s="180">
        <v>2.3109999999999999</v>
      </c>
      <c r="BD1977" s="191">
        <v>44881</v>
      </c>
      <c r="BE1977" s="192">
        <v>2.62</v>
      </c>
    </row>
    <row r="1978" spans="54:57" ht="13.8" x14ac:dyDescent="0.25">
      <c r="BB1978" s="187">
        <v>44882</v>
      </c>
      <c r="BC1978" s="180">
        <v>2.294</v>
      </c>
      <c r="BD1978" s="191">
        <v>44882</v>
      </c>
      <c r="BE1978" s="192">
        <v>2.6070000000000002</v>
      </c>
    </row>
    <row r="1979" spans="54:57" ht="13.8" x14ac:dyDescent="0.25">
      <c r="BB1979" s="187">
        <v>44883</v>
      </c>
      <c r="BC1979" s="180">
        <v>2.3420000000000001</v>
      </c>
      <c r="BD1979" s="191">
        <v>44883</v>
      </c>
      <c r="BE1979" s="192">
        <v>2.5920000000000001</v>
      </c>
    </row>
    <row r="1980" spans="54:57" ht="13.8" x14ac:dyDescent="0.25">
      <c r="BB1980" s="187">
        <v>44886</v>
      </c>
      <c r="BC1980" s="180">
        <v>2.327</v>
      </c>
      <c r="BD1980" s="191">
        <v>44886</v>
      </c>
      <c r="BE1980" s="192">
        <v>2.5720000000000001</v>
      </c>
    </row>
    <row r="1981" spans="54:57" ht="13.8" x14ac:dyDescent="0.25">
      <c r="BB1981" s="187">
        <v>44887</v>
      </c>
      <c r="BC1981" s="180">
        <v>2.3380000000000001</v>
      </c>
      <c r="BD1981" s="191">
        <v>44887</v>
      </c>
      <c r="BE1981" s="192">
        <v>2.5499999999999998</v>
      </c>
    </row>
    <row r="1982" spans="54:57" ht="13.8" x14ac:dyDescent="0.25">
      <c r="BB1982" s="187">
        <v>44888</v>
      </c>
      <c r="BC1982" s="180">
        <v>2.36</v>
      </c>
      <c r="BD1982" s="191">
        <v>44888</v>
      </c>
      <c r="BE1982" s="192">
        <v>2.5329999999999999</v>
      </c>
    </row>
    <row r="1983" spans="54:57" ht="13.8" x14ac:dyDescent="0.25">
      <c r="BB1983" s="187">
        <v>44889</v>
      </c>
      <c r="BC1983" s="180">
        <v>2.3679999999999999</v>
      </c>
      <c r="BD1983" s="191">
        <v>44889</v>
      </c>
      <c r="BE1983" s="192">
        <v>2.5139999999999998</v>
      </c>
    </row>
    <row r="1984" spans="54:57" ht="13.8" x14ac:dyDescent="0.25">
      <c r="BB1984" s="187">
        <v>44890</v>
      </c>
      <c r="BC1984" s="180">
        <v>2.3740000000000001</v>
      </c>
      <c r="BD1984" s="191">
        <v>44890</v>
      </c>
      <c r="BE1984" s="192">
        <v>2.504</v>
      </c>
    </row>
    <row r="1985" spans="54:57" ht="13.8" x14ac:dyDescent="0.25">
      <c r="BB1985" s="187">
        <v>44893</v>
      </c>
      <c r="BC1985" s="180">
        <v>2.4359999999999999</v>
      </c>
      <c r="BD1985" s="191">
        <v>44893</v>
      </c>
      <c r="BE1985" s="192">
        <v>2.4990000000000001</v>
      </c>
    </row>
    <row r="1986" spans="54:57" ht="13.8" x14ac:dyDescent="0.25">
      <c r="BB1986" s="187">
        <v>44894</v>
      </c>
      <c r="BC1986" s="180">
        <v>2.4420000000000002</v>
      </c>
      <c r="BD1986" s="191">
        <v>44894</v>
      </c>
      <c r="BE1986" s="192">
        <v>2.4870000000000001</v>
      </c>
    </row>
    <row r="1987" spans="54:57" ht="13.8" x14ac:dyDescent="0.25">
      <c r="BB1987" s="187">
        <v>44895</v>
      </c>
      <c r="BC1987" s="180">
        <v>2.4140000000000001</v>
      </c>
      <c r="BD1987" s="191">
        <v>44895</v>
      </c>
      <c r="BE1987" s="192">
        <v>2.476</v>
      </c>
    </row>
    <row r="1988" spans="54:57" ht="13.8" x14ac:dyDescent="0.25">
      <c r="BB1988" s="187">
        <v>44896</v>
      </c>
      <c r="BC1988" s="180">
        <v>2.4049999999999998</v>
      </c>
      <c r="BD1988" s="191">
        <v>44896</v>
      </c>
      <c r="BE1988" s="192">
        <v>2.456</v>
      </c>
    </row>
    <row r="1989" spans="54:57" ht="13.8" x14ac:dyDescent="0.25">
      <c r="BB1989" s="187">
        <v>44897</v>
      </c>
      <c r="BC1989" s="180">
        <v>2.4060000000000001</v>
      </c>
      <c r="BD1989" s="191">
        <v>44897</v>
      </c>
      <c r="BE1989" s="192">
        <v>2.4329999999999998</v>
      </c>
    </row>
    <row r="1990" spans="54:57" x14ac:dyDescent="0.25">
      <c r="BB1990" s="187">
        <v>44900</v>
      </c>
      <c r="BC1990" s="180">
        <v>2.4359999999999999</v>
      </c>
    </row>
    <row r="1991" spans="54:57" x14ac:dyDescent="0.25">
      <c r="BB1991" s="187">
        <v>44901</v>
      </c>
      <c r="BC1991" s="180">
        <v>2.4430000000000001</v>
      </c>
    </row>
    <row r="1992" spans="54:57" x14ac:dyDescent="0.25">
      <c r="BB1992" s="187">
        <v>44902</v>
      </c>
      <c r="BC1992" s="180">
        <v>2.4420000000000002</v>
      </c>
    </row>
    <row r="1993" spans="54:57" x14ac:dyDescent="0.25">
      <c r="BB1993" s="187">
        <v>44903</v>
      </c>
      <c r="BC1993" s="180">
        <v>2.456</v>
      </c>
    </row>
    <row r="1994" spans="54:57" x14ac:dyDescent="0.25">
      <c r="BB1994" s="187">
        <v>44904</v>
      </c>
      <c r="BC1994" s="180">
        <v>2.4660000000000002</v>
      </c>
    </row>
    <row r="1995" spans="54:57" x14ac:dyDescent="0.25">
      <c r="BB1995" s="187">
        <v>44907</v>
      </c>
      <c r="BC1995" s="180">
        <v>2.5270000000000001</v>
      </c>
    </row>
    <row r="1996" spans="54:57" x14ac:dyDescent="0.25">
      <c r="BB1996" s="187">
        <v>44908</v>
      </c>
      <c r="BC1996" s="180">
        <v>2.4790000000000001</v>
      </c>
    </row>
    <row r="1997" spans="54:57" x14ac:dyDescent="0.25">
      <c r="BB1997" s="187">
        <v>44909</v>
      </c>
      <c r="BC1997" s="180">
        <v>2.5190000000000001</v>
      </c>
    </row>
    <row r="1998" spans="54:57" x14ac:dyDescent="0.25">
      <c r="BB1998" s="102"/>
    </row>
    <row r="1999" spans="54:57" x14ac:dyDescent="0.25">
      <c r="BB1999" s="102"/>
    </row>
    <row r="2000" spans="54:57" x14ac:dyDescent="0.25">
      <c r="BB2000" s="102"/>
    </row>
    <row r="2001" spans="54:54" x14ac:dyDescent="0.25">
      <c r="BB2001" s="102"/>
    </row>
    <row r="2002" spans="54:54" x14ac:dyDescent="0.25">
      <c r="BB2002" s="102"/>
    </row>
    <row r="2003" spans="54:54" x14ac:dyDescent="0.25">
      <c r="BB2003" s="102"/>
    </row>
    <row r="2004" spans="54:54" x14ac:dyDescent="0.25">
      <c r="BB2004" s="102"/>
    </row>
    <row r="2005" spans="54:54" x14ac:dyDescent="0.25">
      <c r="BB2005" s="102"/>
    </row>
    <row r="2006" spans="54:54" x14ac:dyDescent="0.25">
      <c r="BB2006" s="102"/>
    </row>
    <row r="2007" spans="54:54" x14ac:dyDescent="0.25">
      <c r="BB2007" s="102"/>
    </row>
    <row r="2008" spans="54:54" x14ac:dyDescent="0.25">
      <c r="BB2008" s="102"/>
    </row>
    <row r="2009" spans="54:54" x14ac:dyDescent="0.25">
      <c r="BB2009" s="102"/>
    </row>
    <row r="2010" spans="54:54" x14ac:dyDescent="0.25">
      <c r="BB2010" s="102"/>
    </row>
    <row r="2011" spans="54:54" x14ac:dyDescent="0.25">
      <c r="BB2011" s="102"/>
    </row>
    <row r="2012" spans="54:54" x14ac:dyDescent="0.25">
      <c r="BB2012" s="102"/>
    </row>
    <row r="2013" spans="54:54" x14ac:dyDescent="0.25">
      <c r="BB2013" s="102"/>
    </row>
    <row r="2014" spans="54:54" x14ac:dyDescent="0.25">
      <c r="BB2014" s="102"/>
    </row>
    <row r="2015" spans="54:54" x14ac:dyDescent="0.25">
      <c r="BB2015" s="102"/>
    </row>
    <row r="2016" spans="54:54" x14ac:dyDescent="0.25">
      <c r="BB2016" s="102"/>
    </row>
    <row r="2017" spans="54:54" x14ac:dyDescent="0.25">
      <c r="BB2017" s="102"/>
    </row>
    <row r="2018" spans="54:54" x14ac:dyDescent="0.25">
      <c r="BB2018" s="102"/>
    </row>
    <row r="2019" spans="54:54" x14ac:dyDescent="0.25">
      <c r="BB2019" s="102"/>
    </row>
    <row r="2020" spans="54:54" x14ac:dyDescent="0.25">
      <c r="BB2020" s="102"/>
    </row>
    <row r="2021" spans="54:54" x14ac:dyDescent="0.25">
      <c r="BB2021" s="102"/>
    </row>
    <row r="2022" spans="54:54" x14ac:dyDescent="0.25">
      <c r="BB2022" s="102"/>
    </row>
    <row r="2023" spans="54:54" x14ac:dyDescent="0.25">
      <c r="BB2023" s="102"/>
    </row>
    <row r="2024" spans="54:54" x14ac:dyDescent="0.25">
      <c r="BB2024" s="102"/>
    </row>
    <row r="2025" spans="54:54" x14ac:dyDescent="0.25">
      <c r="BB2025" s="102"/>
    </row>
    <row r="2026" spans="54:54" x14ac:dyDescent="0.25">
      <c r="BB2026" s="102"/>
    </row>
    <row r="2027" spans="54:54" x14ac:dyDescent="0.25">
      <c r="BB2027" s="102"/>
    </row>
    <row r="2028" spans="54:54" x14ac:dyDescent="0.25">
      <c r="BB2028" s="102"/>
    </row>
    <row r="2029" spans="54:54" x14ac:dyDescent="0.25">
      <c r="BB2029" s="102"/>
    </row>
    <row r="2030" spans="54:54" x14ac:dyDescent="0.25">
      <c r="BB2030" s="102"/>
    </row>
    <row r="2031" spans="54:54" x14ac:dyDescent="0.25">
      <c r="BB2031" s="102"/>
    </row>
  </sheetData>
  <autoFilter ref="BB8:BF1997" xr:uid="{00000000-0001-0000-0000-000000000000}"/>
  <mergeCells count="6">
    <mergeCell ref="U2:X2"/>
    <mergeCell ref="BH14:BJ14"/>
    <mergeCell ref="BH1933:BJ1933"/>
    <mergeCell ref="BH1934:BJ1934"/>
    <mergeCell ref="AC2:AF2"/>
    <mergeCell ref="Y2:AB2"/>
  </mergeCells>
  <phoneticPr fontId="15" type="noConversion"/>
  <hyperlinks>
    <hyperlink ref="BH4" r:id="rId2" display="https://www.oenb.at/isaweb/report.do?report=2.11.1" xr:uid="{3A14F11F-643D-4A82-8579-E1DE0DC6FF21}"/>
    <hyperlink ref="BH8" r:id="rId3" display="https://www.oenb.at/isaweb/meta.jsp;jsessionid=21D02462B6829581EA2DC8549133B43A?lang=DE&amp;pos=VDBZIUDRB" xr:uid="{E54321C1-E850-42D1-A8DE-12F7BC65DF4F}"/>
    <hyperlink ref="BH9" r:id="rId4" display="https://www.oenb.at/isaweb/meta.jsp;jsessionid=21D02462B6829581EA2DC8549133B43A?lang=DE&amp;pos=VDBZIUDRB" xr:uid="{10BFB8D2-62BD-4D45-89C6-53A3A7C6BA49}"/>
    <hyperlink ref="BI12" r:id="rId5" display="https://www.oenb.at/isaweb/meta.jsp;jsessionid=21D02462B6829581EA2DC8549133B43A?lang=DE&amp;pos=VDBZIUDRB" xr:uid="{B365EE09-39E9-47FE-B927-690A333EF34B}"/>
    <hyperlink ref="BI13" r:id="rId6" display="https://www.oenb.at/isaweb/meta.jsp;jsessionid=21D02462B6829581EA2DC8549133B43A?lang=DE&amp;pos=VDBZIUDRB" xr:uid="{949AEA07-3BF2-4295-8F52-3223F864F086}"/>
    <hyperlink ref="BJ11" r:id="rId7" display="https://www.oenb.at/isaweb/meta.jsp;jsessionid=21D02462B6829581EA2DC8549133B43A?lang=DE&amp;pos=VDBZIUDRBRLZ" xr:uid="{85CF2853-C265-4D8D-9F74-AC2787A5DB7F}"/>
    <hyperlink ref="BJ12" r:id="rId8" display="https://www.oenb.at/isaweb/meta.jsp;jsessionid=21D02462B6829581EA2DC8549133B43A?lang=DE&amp;pos=VDBZIUDRBRLZ" xr:uid="{AEA93997-ECE7-42A5-BDCE-A3B5300DF5C5}"/>
    <hyperlink ref="BH1934" r:id="rId9" display="https://www.oenb.at/" xr:uid="{23F27754-D4AE-4D48-A7E4-4CFB22A9D609}"/>
  </hyperlinks>
  <pageMargins left="0.7" right="0.7" top="0.78740157499999996" bottom="0.78740157499999996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5" r:id="rId13" name="Control 1">
          <controlPr defaultSize="0" r:id="rId14">
            <anchor moveWithCells="1">
              <from>
                <xdr:col>60</xdr:col>
                <xdr:colOff>30480</xdr:colOff>
                <xdr:row>2050</xdr:row>
                <xdr:rowOff>137160</xdr:rowOff>
              </from>
              <to>
                <xdr:col>60</xdr:col>
                <xdr:colOff>259080</xdr:colOff>
                <xdr:row>2052</xdr:row>
                <xdr:rowOff>22860</xdr:rowOff>
              </to>
            </anchor>
          </controlPr>
        </control>
      </mc:Choice>
      <mc:Fallback>
        <control shapeId="1025" r:id="rId13" name="Control 1"/>
      </mc:Fallback>
    </mc:AlternateContent>
    <mc:AlternateContent xmlns:mc="http://schemas.openxmlformats.org/markup-compatibility/2006">
      <mc:Choice Requires="x14">
        <control shapeId="1026" r:id="rId15" name="Control 2">
          <controlPr defaultSize="0" r:id="rId16">
            <anchor moveWithCells="1">
              <from>
                <xdr:col>61</xdr:col>
                <xdr:colOff>45720</xdr:colOff>
                <xdr:row>2050</xdr:row>
                <xdr:rowOff>137160</xdr:rowOff>
              </from>
              <to>
                <xdr:col>61</xdr:col>
                <xdr:colOff>274320</xdr:colOff>
                <xdr:row>2052</xdr:row>
                <xdr:rowOff>22860</xdr:rowOff>
              </to>
            </anchor>
          </controlPr>
        </control>
      </mc:Choice>
      <mc:Fallback>
        <control shapeId="1026" r:id="rId15" name="Control 2"/>
      </mc:Fallback>
    </mc:AlternateContent>
    <mc:AlternateContent xmlns:mc="http://schemas.openxmlformats.org/markup-compatibility/2006">
      <mc:Choice Requires="x14">
        <control shapeId="1027" r:id="rId17" name="Control 3">
          <controlPr defaultSize="0" r:id="rId18">
            <anchor moveWithCells="1">
              <from>
                <xdr:col>63</xdr:col>
                <xdr:colOff>45720</xdr:colOff>
                <xdr:row>2050</xdr:row>
                <xdr:rowOff>137160</xdr:rowOff>
              </from>
              <to>
                <xdr:col>63</xdr:col>
                <xdr:colOff>274320</xdr:colOff>
                <xdr:row>2052</xdr:row>
                <xdr:rowOff>22860</xdr:rowOff>
              </to>
            </anchor>
          </controlPr>
        </control>
      </mc:Choice>
      <mc:Fallback>
        <control shapeId="1027" r:id="rId17" name="Control 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84BDA-9E88-41F3-B382-36B8F12DA0E5}">
  <dimension ref="A3:E13"/>
  <sheetViews>
    <sheetView workbookViewId="0">
      <selection activeCell="A62" sqref="A62"/>
    </sheetView>
  </sheetViews>
  <sheetFormatPr baseColWidth="10" defaultRowHeight="13.2" x14ac:dyDescent="0.25"/>
  <cols>
    <col min="1" max="1" width="17.5546875" bestFit="1" customWidth="1"/>
    <col min="3" max="3" width="13.5546875" bestFit="1" customWidth="1"/>
  </cols>
  <sheetData>
    <row r="3" spans="1:5" x14ac:dyDescent="0.25">
      <c r="B3" s="2" t="s">
        <v>429</v>
      </c>
    </row>
    <row r="5" spans="1:5" x14ac:dyDescent="0.25">
      <c r="B5" s="2" t="s">
        <v>427</v>
      </c>
      <c r="C5" s="2">
        <v>11415</v>
      </c>
      <c r="D5" s="2" t="s">
        <v>428</v>
      </c>
    </row>
    <row r="6" spans="1:5" x14ac:dyDescent="0.25">
      <c r="B6" t="s">
        <v>432</v>
      </c>
    </row>
    <row r="7" spans="1:5" x14ac:dyDescent="0.25">
      <c r="A7" s="1" t="s">
        <v>431</v>
      </c>
      <c r="B7" s="7">
        <v>3750</v>
      </c>
      <c r="C7" s="195">
        <f>+B7/C5</f>
        <v>0.32851511169513797</v>
      </c>
      <c r="D7" t="s">
        <v>433</v>
      </c>
    </row>
    <row r="8" spans="1:5" x14ac:dyDescent="0.25">
      <c r="A8" s="1" t="s">
        <v>430</v>
      </c>
      <c r="B8" s="7">
        <v>29140</v>
      </c>
      <c r="C8" s="195">
        <f>+B8/C5</f>
        <v>2.5527814279456855</v>
      </c>
      <c r="D8" t="s">
        <v>433</v>
      </c>
    </row>
    <row r="9" spans="1:5" x14ac:dyDescent="0.25">
      <c r="A9" s="1" t="s">
        <v>426</v>
      </c>
      <c r="C9" s="198">
        <f>+-(C8-D9)</f>
        <v>-1.2777814279456856</v>
      </c>
      <c r="D9" s="197">
        <v>1.2749999999999999</v>
      </c>
    </row>
    <row r="10" spans="1:5" x14ac:dyDescent="0.25">
      <c r="B10" s="1" t="s">
        <v>425</v>
      </c>
      <c r="C10" s="199">
        <f>SUM(C7:C9)</f>
        <v>1.6035151116951378</v>
      </c>
      <c r="D10" t="s">
        <v>433</v>
      </c>
    </row>
    <row r="13" spans="1:5" x14ac:dyDescent="0.25">
      <c r="C13" s="200" t="s">
        <v>434</v>
      </c>
      <c r="D13" s="200">
        <v>126.58</v>
      </c>
      <c r="E13" s="200" t="s">
        <v>428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Tabelle1 (2)</vt:lpstr>
      <vt:lpstr>Tabelle1</vt:lpstr>
      <vt:lpstr>Tabelle2</vt:lpstr>
      <vt:lpstr>Tabelle1!optionen</vt:lpstr>
      <vt:lpstr>'Tabelle1 (2)'!optionen</vt:lpstr>
    </vt:vector>
  </TitlesOfParts>
  <Company>Erste Group Bank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</dc:creator>
  <cp:lastModifiedBy>Primetzhofer Alexandra 0663 EH</cp:lastModifiedBy>
  <dcterms:created xsi:type="dcterms:W3CDTF">2018-03-27T09:08:24Z</dcterms:created>
  <dcterms:modified xsi:type="dcterms:W3CDTF">2022-12-16T10:06:33Z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2022-05-30T09:49:07Z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1d432974-5749-4431-993a-82abc438cbdb</vt:lpwstr>
  </property>
  <property fmtid="{D5CDD505-2E9C-101B-9397-08002B2CF9AE}" pid="8" name="MSIP_Label_38939b85-7e40-4a1d-91e1-0e84c3b219d7_ContentBits">
    <vt:lpwstr>0</vt:lpwstr>
  </property>
  <property fmtid="{D5CDD505-2E9C-101B-9397-08002B2CF9AE}" pid="9" name="SpreadsheetBuilder_1">
    <vt:lpwstr>eyIwIjoiSGlzdG9yeSIsIjEiOjAsIjIiOjEsIjMiOjEsIjQiOjEsIjUiOjEsIjYiOjEsIjciOjEsIjgiOjAsIjkiOjEsIjEwIjoxLCIxMSI6MCwiMTIiOjB9</vt:lpwstr>
  </property>
</Properties>
</file>