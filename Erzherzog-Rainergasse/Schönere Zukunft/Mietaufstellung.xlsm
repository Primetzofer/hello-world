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erstegroup-my.sharepoint.com/personal/a960hfc_s-mxs_net/Documents/OD4BMigration/Erzherzog-Rainergasse/Schönere Zukunft/"/>
    </mc:Choice>
  </mc:AlternateContent>
  <xr:revisionPtr revIDLastSave="1086" documentId="13_ncr:1_{ECE33069-E13E-4AE7-8E37-867E723847E6}" xr6:coauthVersionLast="47" xr6:coauthVersionMax="47" xr10:uidLastSave="{0467F216-9768-4E4D-8C81-574F5CC0ED4F}"/>
  <bookViews>
    <workbookView xWindow="35835" yWindow="3420" windowWidth="22710" windowHeight="22380" xr2:uid="{00000000-000D-0000-FFFF-FFFF00000000}"/>
  </bookViews>
  <sheets>
    <sheet name="basierend auf Endabrechnung 21" sheetId="3" r:id="rId1"/>
    <sheet name="Tabelle1" sheetId="1" r:id="rId2"/>
    <sheet name="Tabelle3" sheetId="4" r:id="rId3"/>
    <sheet name="Tabelle2" sheetId="2" r:id="rId4"/>
    <sheet name="aktueller BA Kredit" sheetId="5" r:id="rId5"/>
  </sheets>
  <definedNames>
    <definedName name="_xlnm._FilterDatabase" localSheetId="0" hidden="1">'basierend auf Endabrechnung 21'!$BH$8:$BL$1997</definedName>
    <definedName name="_xlnm._FilterDatabase" localSheetId="1" hidden="1">Tabelle1!$BB$8:$BF$1997</definedName>
    <definedName name="_xlnm.Print_Area" localSheetId="0">'basierend auf Endabrechnung 21'!$A$26:$F$71</definedName>
    <definedName name="optionen" localSheetId="0">'basierend auf Endabrechnung 21'!$BN$1936</definedName>
    <definedName name="optionen" localSheetId="1">Tabelle1!$BH$1936</definedName>
    <definedName name="SpreadsheetBuilder_1" localSheetId="0" hidden="1">'basierend auf Endabrechnung 21'!$BH$3:$BI$9</definedName>
    <definedName name="SpreadsheetBuilder_1" hidden="1">Tabelle1!$BB$3:$BC$9</definedName>
  </definedNames>
  <calcPr calcId="191029"/>
  <pivotCaches>
    <pivotCache cacheId="8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8" i="3" l="1"/>
  <c r="I32" i="3"/>
  <c r="P28" i="5"/>
  <c r="P29" i="5"/>
  <c r="AM7" i="5"/>
  <c r="V43" i="3"/>
  <c r="AA78" i="5"/>
  <c r="AB78" i="5" s="1"/>
  <c r="AC78" i="5" s="1"/>
  <c r="AA79" i="5"/>
  <c r="AB79" i="5" s="1"/>
  <c r="AC79" i="5" s="1"/>
  <c r="AA80" i="5"/>
  <c r="AB80" i="5" s="1"/>
  <c r="AC80" i="5" s="1"/>
  <c r="AA81" i="5"/>
  <c r="AB81" i="5"/>
  <c r="AC81" i="5" s="1"/>
  <c r="AA82" i="5"/>
  <c r="AB82" i="5" s="1"/>
  <c r="AC82" i="5" s="1"/>
  <c r="AD7" i="5"/>
  <c r="AC7" i="5"/>
  <c r="AF7" i="5"/>
  <c r="AF8" i="5"/>
  <c r="AF9" i="5"/>
  <c r="AF10" i="5"/>
  <c r="AF11" i="5"/>
  <c r="AF12" i="5"/>
  <c r="AD27" i="5"/>
  <c r="AD8" i="5"/>
  <c r="AD25" i="5"/>
  <c r="AD16" i="5"/>
  <c r="AD20" i="5"/>
  <c r="AD14" i="5"/>
  <c r="AD13" i="5"/>
  <c r="AD19" i="5"/>
  <c r="AD17" i="5"/>
  <c r="AD15" i="5"/>
  <c r="AD21" i="5"/>
  <c r="AD24" i="5"/>
  <c r="AD18" i="5"/>
  <c r="AD23" i="5"/>
  <c r="AD12" i="5"/>
  <c r="AD26" i="5"/>
  <c r="AD22" i="5"/>
  <c r="AD11" i="5"/>
  <c r="AD9" i="5"/>
  <c r="AD10" i="5"/>
  <c r="AI27" i="5" l="1"/>
  <c r="AG7" i="5"/>
  <c r="AG10" i="5"/>
  <c r="AG9" i="5"/>
  <c r="AG11" i="5"/>
  <c r="AG22" i="5"/>
  <c r="AG26" i="5"/>
  <c r="AG12" i="5"/>
  <c r="AG23" i="5"/>
  <c r="AG18" i="5"/>
  <c r="AG24" i="5"/>
  <c r="AG21" i="5"/>
  <c r="AG15" i="5"/>
  <c r="AG17" i="5"/>
  <c r="AG19" i="5"/>
  <c r="AG13" i="5"/>
  <c r="AG14" i="5"/>
  <c r="AG20" i="5"/>
  <c r="AG16" i="5"/>
  <c r="AG25" i="5"/>
  <c r="AG8" i="5"/>
  <c r="AG27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18" i="5"/>
  <c r="AB9" i="5"/>
  <c r="AB10" i="5"/>
  <c r="AB11" i="5"/>
  <c r="AB12" i="5"/>
  <c r="AB13" i="5"/>
  <c r="AB14" i="5"/>
  <c r="AB15" i="5"/>
  <c r="AB16" i="5"/>
  <c r="AB17" i="5"/>
  <c r="AB7" i="5"/>
  <c r="AB8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9" i="5"/>
  <c r="AA10" i="5"/>
  <c r="AA8" i="5"/>
  <c r="AA7" i="5"/>
  <c r="AD5" i="5"/>
  <c r="AC5" i="5"/>
  <c r="AB5" i="5"/>
  <c r="AA5" i="5"/>
  <c r="D27" i="5"/>
  <c r="BI4" i="3"/>
  <c r="F45" i="3"/>
  <c r="F49" i="3"/>
  <c r="E33" i="3"/>
  <c r="F65" i="3"/>
  <c r="F66" i="3"/>
  <c r="I33" i="3"/>
  <c r="D36" i="3"/>
  <c r="D26" i="3"/>
  <c r="F27" i="3" s="1"/>
  <c r="I4" i="5"/>
  <c r="I3" i="5"/>
  <c r="I14" i="5"/>
  <c r="J14" i="5"/>
  <c r="K14" i="5" s="1"/>
  <c r="J4" i="5" s="1"/>
  <c r="K4" i="5" s="1"/>
  <c r="J8" i="5"/>
  <c r="K8" i="5" s="1"/>
  <c r="J3" i="5" s="1"/>
  <c r="K3" i="5" s="1"/>
  <c r="P35" i="5"/>
  <c r="P36" i="5"/>
  <c r="P37" i="5"/>
  <c r="P38" i="5"/>
  <c r="P39" i="5"/>
  <c r="Q40" i="5"/>
  <c r="P40" i="5" s="1"/>
  <c r="Q39" i="5"/>
  <c r="Q38" i="5"/>
  <c r="Q37" i="5"/>
  <c r="Q36" i="5"/>
  <c r="Q35" i="5"/>
  <c r="T39" i="5"/>
  <c r="C16" i="5"/>
  <c r="K16" i="5" s="1"/>
  <c r="N10" i="5"/>
  <c r="I32" i="5"/>
  <c r="I38" i="5"/>
  <c r="I44" i="5"/>
  <c r="I50" i="5"/>
  <c r="I56" i="5"/>
  <c r="I62" i="5"/>
  <c r="I68" i="5"/>
  <c r="I74" i="5"/>
  <c r="I80" i="5"/>
  <c r="I86" i="5"/>
  <c r="I92" i="5"/>
  <c r="I98" i="5"/>
  <c r="I104" i="5"/>
  <c r="I110" i="5"/>
  <c r="I116" i="5"/>
  <c r="I122" i="5"/>
  <c r="I128" i="5"/>
  <c r="I134" i="5"/>
  <c r="I140" i="5"/>
  <c r="I146" i="5"/>
  <c r="I152" i="5"/>
  <c r="I158" i="5"/>
  <c r="I164" i="5"/>
  <c r="I170" i="5"/>
  <c r="I176" i="5"/>
  <c r="I182" i="5"/>
  <c r="I188" i="5"/>
  <c r="I194" i="5"/>
  <c r="I200" i="5"/>
  <c r="I206" i="5"/>
  <c r="I212" i="5"/>
  <c r="I218" i="5"/>
  <c r="I224" i="5"/>
  <c r="I230" i="5"/>
  <c r="I236" i="5"/>
  <c r="I242" i="5"/>
  <c r="I248" i="5"/>
  <c r="I26" i="5"/>
  <c r="I20" i="5"/>
  <c r="C128" i="5"/>
  <c r="K128" i="5" s="1"/>
  <c r="C129" i="5"/>
  <c r="K129" i="5" s="1"/>
  <c r="C130" i="5"/>
  <c r="K130" i="5" s="1"/>
  <c r="C131" i="5"/>
  <c r="K131" i="5" s="1"/>
  <c r="C132" i="5"/>
  <c r="K132" i="5" s="1"/>
  <c r="C133" i="5"/>
  <c r="K133" i="5" s="1"/>
  <c r="C134" i="5"/>
  <c r="K134" i="5" s="1"/>
  <c r="C135" i="5"/>
  <c r="K135" i="5" s="1"/>
  <c r="C136" i="5"/>
  <c r="K136" i="5" s="1"/>
  <c r="C137" i="5"/>
  <c r="K137" i="5" s="1"/>
  <c r="C138" i="5"/>
  <c r="K138" i="5" s="1"/>
  <c r="C139" i="5"/>
  <c r="K139" i="5" s="1"/>
  <c r="C140" i="5"/>
  <c r="K140" i="5" s="1"/>
  <c r="C141" i="5"/>
  <c r="K141" i="5" s="1"/>
  <c r="C142" i="5"/>
  <c r="K142" i="5" s="1"/>
  <c r="C143" i="5"/>
  <c r="K143" i="5" s="1"/>
  <c r="C144" i="5"/>
  <c r="K144" i="5" s="1"/>
  <c r="C145" i="5"/>
  <c r="K145" i="5" s="1"/>
  <c r="C146" i="5"/>
  <c r="K146" i="5" s="1"/>
  <c r="C147" i="5"/>
  <c r="K147" i="5" s="1"/>
  <c r="C148" i="5"/>
  <c r="K148" i="5" s="1"/>
  <c r="C149" i="5"/>
  <c r="K149" i="5" s="1"/>
  <c r="C150" i="5"/>
  <c r="K150" i="5" s="1"/>
  <c r="C151" i="5"/>
  <c r="K151" i="5" s="1"/>
  <c r="C152" i="5"/>
  <c r="K152" i="5" s="1"/>
  <c r="C153" i="5"/>
  <c r="K153" i="5" s="1"/>
  <c r="C154" i="5"/>
  <c r="K154" i="5" s="1"/>
  <c r="C155" i="5"/>
  <c r="K155" i="5" s="1"/>
  <c r="C156" i="5"/>
  <c r="K156" i="5" s="1"/>
  <c r="C157" i="5"/>
  <c r="K157" i="5" s="1"/>
  <c r="C158" i="5"/>
  <c r="K158" i="5" s="1"/>
  <c r="C159" i="5"/>
  <c r="K159" i="5" s="1"/>
  <c r="C160" i="5"/>
  <c r="K160" i="5" s="1"/>
  <c r="C161" i="5"/>
  <c r="K161" i="5" s="1"/>
  <c r="C162" i="5"/>
  <c r="K162" i="5" s="1"/>
  <c r="C163" i="5"/>
  <c r="K163" i="5" s="1"/>
  <c r="C164" i="5"/>
  <c r="K164" i="5" s="1"/>
  <c r="C165" i="5"/>
  <c r="K165" i="5" s="1"/>
  <c r="C166" i="5"/>
  <c r="K166" i="5" s="1"/>
  <c r="C167" i="5"/>
  <c r="K167" i="5" s="1"/>
  <c r="C168" i="5"/>
  <c r="K168" i="5" s="1"/>
  <c r="C169" i="5"/>
  <c r="K169" i="5" s="1"/>
  <c r="C170" i="5"/>
  <c r="K170" i="5" s="1"/>
  <c r="C171" i="5"/>
  <c r="K171" i="5" s="1"/>
  <c r="C172" i="5"/>
  <c r="K172" i="5" s="1"/>
  <c r="C173" i="5"/>
  <c r="K173" i="5" s="1"/>
  <c r="C174" i="5"/>
  <c r="K174" i="5" s="1"/>
  <c r="C175" i="5"/>
  <c r="K175" i="5" s="1"/>
  <c r="C176" i="5"/>
  <c r="K176" i="5" s="1"/>
  <c r="C177" i="5"/>
  <c r="K177" i="5" s="1"/>
  <c r="C178" i="5"/>
  <c r="K178" i="5" s="1"/>
  <c r="C179" i="5"/>
  <c r="K179" i="5" s="1"/>
  <c r="C180" i="5"/>
  <c r="K180" i="5" s="1"/>
  <c r="C181" i="5"/>
  <c r="K181" i="5" s="1"/>
  <c r="C182" i="5"/>
  <c r="K182" i="5" s="1"/>
  <c r="C183" i="5"/>
  <c r="K183" i="5" s="1"/>
  <c r="C184" i="5"/>
  <c r="K184" i="5" s="1"/>
  <c r="C185" i="5"/>
  <c r="K185" i="5" s="1"/>
  <c r="C186" i="5"/>
  <c r="K186" i="5" s="1"/>
  <c r="C187" i="5"/>
  <c r="K187" i="5" s="1"/>
  <c r="C188" i="5"/>
  <c r="K188" i="5" s="1"/>
  <c r="C189" i="5"/>
  <c r="K189" i="5" s="1"/>
  <c r="C190" i="5"/>
  <c r="K190" i="5" s="1"/>
  <c r="C191" i="5"/>
  <c r="K191" i="5" s="1"/>
  <c r="C192" i="5"/>
  <c r="K192" i="5" s="1"/>
  <c r="C193" i="5"/>
  <c r="K193" i="5" s="1"/>
  <c r="C194" i="5"/>
  <c r="K194" i="5" s="1"/>
  <c r="C195" i="5"/>
  <c r="K195" i="5" s="1"/>
  <c r="C196" i="5"/>
  <c r="K196" i="5" s="1"/>
  <c r="C197" i="5"/>
  <c r="K197" i="5" s="1"/>
  <c r="C198" i="5"/>
  <c r="K198" i="5" s="1"/>
  <c r="C199" i="5"/>
  <c r="K199" i="5" s="1"/>
  <c r="C200" i="5"/>
  <c r="K200" i="5" s="1"/>
  <c r="C201" i="5"/>
  <c r="K201" i="5" s="1"/>
  <c r="C202" i="5"/>
  <c r="K202" i="5" s="1"/>
  <c r="C203" i="5"/>
  <c r="K203" i="5" s="1"/>
  <c r="C204" i="5"/>
  <c r="K204" i="5" s="1"/>
  <c r="C205" i="5"/>
  <c r="K205" i="5" s="1"/>
  <c r="C206" i="5"/>
  <c r="K206" i="5" s="1"/>
  <c r="C207" i="5"/>
  <c r="K207" i="5" s="1"/>
  <c r="C208" i="5"/>
  <c r="K208" i="5" s="1"/>
  <c r="C209" i="5"/>
  <c r="K209" i="5" s="1"/>
  <c r="C210" i="5"/>
  <c r="K210" i="5" s="1"/>
  <c r="C211" i="5"/>
  <c r="K211" i="5" s="1"/>
  <c r="C212" i="5"/>
  <c r="K212" i="5" s="1"/>
  <c r="C213" i="5"/>
  <c r="K213" i="5" s="1"/>
  <c r="C214" i="5"/>
  <c r="K214" i="5" s="1"/>
  <c r="C215" i="5"/>
  <c r="K215" i="5" s="1"/>
  <c r="C216" i="5"/>
  <c r="K216" i="5" s="1"/>
  <c r="C217" i="5"/>
  <c r="K217" i="5" s="1"/>
  <c r="C218" i="5"/>
  <c r="K218" i="5" s="1"/>
  <c r="C219" i="5"/>
  <c r="K219" i="5" s="1"/>
  <c r="C220" i="5"/>
  <c r="K220" i="5" s="1"/>
  <c r="C221" i="5"/>
  <c r="K221" i="5" s="1"/>
  <c r="C222" i="5"/>
  <c r="K222" i="5" s="1"/>
  <c r="C223" i="5"/>
  <c r="K223" i="5" s="1"/>
  <c r="C224" i="5"/>
  <c r="K224" i="5" s="1"/>
  <c r="C225" i="5"/>
  <c r="K225" i="5" s="1"/>
  <c r="C226" i="5"/>
  <c r="K226" i="5" s="1"/>
  <c r="C227" i="5"/>
  <c r="K227" i="5" s="1"/>
  <c r="C228" i="5"/>
  <c r="K228" i="5" s="1"/>
  <c r="C229" i="5"/>
  <c r="K229" i="5" s="1"/>
  <c r="C230" i="5"/>
  <c r="K230" i="5" s="1"/>
  <c r="C231" i="5"/>
  <c r="K231" i="5" s="1"/>
  <c r="C232" i="5"/>
  <c r="K232" i="5" s="1"/>
  <c r="C233" i="5"/>
  <c r="K233" i="5" s="1"/>
  <c r="C234" i="5"/>
  <c r="K234" i="5" s="1"/>
  <c r="C235" i="5"/>
  <c r="K235" i="5" s="1"/>
  <c r="C236" i="5"/>
  <c r="K236" i="5" s="1"/>
  <c r="C237" i="5"/>
  <c r="K237" i="5" s="1"/>
  <c r="C238" i="5"/>
  <c r="K238" i="5" s="1"/>
  <c r="C239" i="5"/>
  <c r="K239" i="5" s="1"/>
  <c r="C240" i="5"/>
  <c r="K240" i="5" s="1"/>
  <c r="C241" i="5"/>
  <c r="K241" i="5" s="1"/>
  <c r="C242" i="5"/>
  <c r="K242" i="5" s="1"/>
  <c r="C243" i="5"/>
  <c r="K243" i="5" s="1"/>
  <c r="C244" i="5"/>
  <c r="K244" i="5" s="1"/>
  <c r="C245" i="5"/>
  <c r="K245" i="5" s="1"/>
  <c r="C246" i="5"/>
  <c r="K246" i="5" s="1"/>
  <c r="C247" i="5"/>
  <c r="K247" i="5" s="1"/>
  <c r="C248" i="5"/>
  <c r="B129" i="5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T29" i="5"/>
  <c r="W4" i="5"/>
  <c r="V4" i="5"/>
  <c r="E16" i="5" l="1"/>
  <c r="T27" i="5"/>
  <c r="N25" i="5"/>
  <c r="N5" i="5"/>
  <c r="N20" i="5"/>
  <c r="U1" i="5"/>
  <c r="U6" i="5"/>
  <c r="U16" i="5"/>
  <c r="V19" i="5"/>
  <c r="U9" i="5"/>
  <c r="V9" i="5"/>
  <c r="U4" i="5"/>
  <c r="V14" i="5"/>
  <c r="G10" i="3"/>
  <c r="B21" i="1"/>
  <c r="T24" i="5"/>
  <c r="T23" i="5"/>
  <c r="U21" i="5"/>
  <c r="R25" i="5"/>
  <c r="Q25" i="5"/>
  <c r="P25" i="5"/>
  <c r="T25" i="5"/>
  <c r="T19" i="5"/>
  <c r="T18" i="5"/>
  <c r="S20" i="5"/>
  <c r="R20" i="5"/>
  <c r="Q20" i="5"/>
  <c r="P20" i="5"/>
  <c r="T20" i="5"/>
  <c r="R15" i="5"/>
  <c r="S15" i="5"/>
  <c r="Q15" i="5"/>
  <c r="P15" i="5"/>
  <c r="T13" i="5"/>
  <c r="T14" i="5" s="1"/>
  <c r="T15" i="5" s="1"/>
  <c r="T10" i="5"/>
  <c r="T5" i="5"/>
  <c r="G3" i="5"/>
  <c r="Q10" i="5"/>
  <c r="P10" i="5"/>
  <c r="T8" i="5"/>
  <c r="T9" i="5" s="1"/>
  <c r="T4" i="5"/>
  <c r="O1" i="1"/>
  <c r="N1" i="1"/>
  <c r="T3" i="5"/>
  <c r="Q5" i="5"/>
  <c r="P5" i="5"/>
  <c r="C17" i="5"/>
  <c r="K17" i="5" s="1"/>
  <c r="C18" i="5"/>
  <c r="K18" i="5" s="1"/>
  <c r="C19" i="5"/>
  <c r="K19" i="5" s="1"/>
  <c r="C20" i="5"/>
  <c r="K20" i="5" s="1"/>
  <c r="C21" i="5"/>
  <c r="K21" i="5" s="1"/>
  <c r="C22" i="5"/>
  <c r="K22" i="5" s="1"/>
  <c r="C23" i="5"/>
  <c r="K23" i="5" s="1"/>
  <c r="C24" i="5"/>
  <c r="K24" i="5" s="1"/>
  <c r="C25" i="5"/>
  <c r="K25" i="5" s="1"/>
  <c r="C26" i="5"/>
  <c r="K26" i="5" s="1"/>
  <c r="C27" i="5"/>
  <c r="K27" i="5" s="1"/>
  <c r="C28" i="5"/>
  <c r="K28" i="5" s="1"/>
  <c r="C29" i="5"/>
  <c r="K29" i="5" s="1"/>
  <c r="C30" i="5"/>
  <c r="K30" i="5" s="1"/>
  <c r="C31" i="5"/>
  <c r="K31" i="5" s="1"/>
  <c r="C32" i="5"/>
  <c r="K32" i="5" s="1"/>
  <c r="C33" i="5"/>
  <c r="K33" i="5" s="1"/>
  <c r="C34" i="5"/>
  <c r="K34" i="5" s="1"/>
  <c r="C35" i="5"/>
  <c r="K35" i="5" s="1"/>
  <c r="C36" i="5"/>
  <c r="K36" i="5" s="1"/>
  <c r="C37" i="5"/>
  <c r="K37" i="5" s="1"/>
  <c r="C38" i="5"/>
  <c r="K38" i="5" s="1"/>
  <c r="C39" i="5"/>
  <c r="K39" i="5" s="1"/>
  <c r="C40" i="5"/>
  <c r="K40" i="5" s="1"/>
  <c r="C41" i="5"/>
  <c r="K41" i="5" s="1"/>
  <c r="C42" i="5"/>
  <c r="K42" i="5" s="1"/>
  <c r="C43" i="5"/>
  <c r="K43" i="5" s="1"/>
  <c r="C44" i="5"/>
  <c r="K44" i="5" s="1"/>
  <c r="C45" i="5"/>
  <c r="K45" i="5" s="1"/>
  <c r="C46" i="5"/>
  <c r="K46" i="5" s="1"/>
  <c r="C47" i="5"/>
  <c r="K47" i="5" s="1"/>
  <c r="C48" i="5"/>
  <c r="K48" i="5" s="1"/>
  <c r="C49" i="5"/>
  <c r="K49" i="5" s="1"/>
  <c r="C50" i="5"/>
  <c r="K50" i="5" s="1"/>
  <c r="C51" i="5"/>
  <c r="K51" i="5" s="1"/>
  <c r="C52" i="5"/>
  <c r="K52" i="5" s="1"/>
  <c r="C53" i="5"/>
  <c r="K53" i="5" s="1"/>
  <c r="C54" i="5"/>
  <c r="K54" i="5" s="1"/>
  <c r="C55" i="5"/>
  <c r="K55" i="5" s="1"/>
  <c r="C56" i="5"/>
  <c r="K56" i="5" s="1"/>
  <c r="C57" i="5"/>
  <c r="K57" i="5" s="1"/>
  <c r="C58" i="5"/>
  <c r="K58" i="5" s="1"/>
  <c r="C59" i="5"/>
  <c r="K59" i="5" s="1"/>
  <c r="C60" i="5"/>
  <c r="K60" i="5" s="1"/>
  <c r="C61" i="5"/>
  <c r="K61" i="5" s="1"/>
  <c r="C62" i="5"/>
  <c r="K62" i="5" s="1"/>
  <c r="C63" i="5"/>
  <c r="K63" i="5" s="1"/>
  <c r="C64" i="5"/>
  <c r="K64" i="5" s="1"/>
  <c r="C65" i="5"/>
  <c r="K65" i="5" s="1"/>
  <c r="C66" i="5"/>
  <c r="K66" i="5" s="1"/>
  <c r="C67" i="5"/>
  <c r="K67" i="5" s="1"/>
  <c r="C68" i="5"/>
  <c r="K68" i="5" s="1"/>
  <c r="C69" i="5"/>
  <c r="K69" i="5" s="1"/>
  <c r="C70" i="5"/>
  <c r="K70" i="5" s="1"/>
  <c r="C71" i="5"/>
  <c r="K71" i="5" s="1"/>
  <c r="C72" i="5"/>
  <c r="K72" i="5" s="1"/>
  <c r="C73" i="5"/>
  <c r="K73" i="5" s="1"/>
  <c r="C74" i="5"/>
  <c r="K74" i="5" s="1"/>
  <c r="C75" i="5"/>
  <c r="K75" i="5" s="1"/>
  <c r="C76" i="5"/>
  <c r="K76" i="5" s="1"/>
  <c r="C77" i="5"/>
  <c r="K77" i="5" s="1"/>
  <c r="C78" i="5"/>
  <c r="K78" i="5" s="1"/>
  <c r="C79" i="5"/>
  <c r="K79" i="5" s="1"/>
  <c r="C80" i="5"/>
  <c r="K80" i="5" s="1"/>
  <c r="C81" i="5"/>
  <c r="K81" i="5" s="1"/>
  <c r="C82" i="5"/>
  <c r="K82" i="5" s="1"/>
  <c r="C83" i="5"/>
  <c r="K83" i="5" s="1"/>
  <c r="C84" i="5"/>
  <c r="K84" i="5" s="1"/>
  <c r="C85" i="5"/>
  <c r="K85" i="5" s="1"/>
  <c r="C86" i="5"/>
  <c r="K86" i="5" s="1"/>
  <c r="C87" i="5"/>
  <c r="K87" i="5" s="1"/>
  <c r="C88" i="5"/>
  <c r="K88" i="5" s="1"/>
  <c r="C89" i="5"/>
  <c r="K89" i="5" s="1"/>
  <c r="C90" i="5"/>
  <c r="K90" i="5" s="1"/>
  <c r="C91" i="5"/>
  <c r="K91" i="5" s="1"/>
  <c r="C92" i="5"/>
  <c r="K92" i="5" s="1"/>
  <c r="C93" i="5"/>
  <c r="K93" i="5" s="1"/>
  <c r="C94" i="5"/>
  <c r="K94" i="5" s="1"/>
  <c r="C95" i="5"/>
  <c r="K95" i="5" s="1"/>
  <c r="C96" i="5"/>
  <c r="K96" i="5" s="1"/>
  <c r="C97" i="5"/>
  <c r="K97" i="5" s="1"/>
  <c r="C98" i="5"/>
  <c r="K98" i="5" s="1"/>
  <c r="C99" i="5"/>
  <c r="K99" i="5" s="1"/>
  <c r="C100" i="5"/>
  <c r="K100" i="5" s="1"/>
  <c r="C101" i="5"/>
  <c r="K101" i="5" s="1"/>
  <c r="C102" i="5"/>
  <c r="K102" i="5" s="1"/>
  <c r="C103" i="5"/>
  <c r="K103" i="5" s="1"/>
  <c r="C104" i="5"/>
  <c r="K104" i="5" s="1"/>
  <c r="C105" i="5"/>
  <c r="K105" i="5" s="1"/>
  <c r="C106" i="5"/>
  <c r="K106" i="5" s="1"/>
  <c r="C107" i="5"/>
  <c r="K107" i="5" s="1"/>
  <c r="C108" i="5"/>
  <c r="K108" i="5" s="1"/>
  <c r="C109" i="5"/>
  <c r="K109" i="5" s="1"/>
  <c r="C110" i="5"/>
  <c r="K110" i="5" s="1"/>
  <c r="C111" i="5"/>
  <c r="K111" i="5" s="1"/>
  <c r="C112" i="5"/>
  <c r="K112" i="5" s="1"/>
  <c r="C113" i="5"/>
  <c r="K113" i="5" s="1"/>
  <c r="C114" i="5"/>
  <c r="K114" i="5" s="1"/>
  <c r="C115" i="5"/>
  <c r="K115" i="5" s="1"/>
  <c r="C116" i="5"/>
  <c r="K116" i="5" s="1"/>
  <c r="C117" i="5"/>
  <c r="K117" i="5" s="1"/>
  <c r="C118" i="5"/>
  <c r="K118" i="5" s="1"/>
  <c r="C119" i="5"/>
  <c r="K119" i="5" s="1"/>
  <c r="C120" i="5"/>
  <c r="K120" i="5" s="1"/>
  <c r="C121" i="5"/>
  <c r="K121" i="5" s="1"/>
  <c r="C122" i="5"/>
  <c r="K122" i="5" s="1"/>
  <c r="C123" i="5"/>
  <c r="K123" i="5" s="1"/>
  <c r="C124" i="5"/>
  <c r="K124" i="5" s="1"/>
  <c r="C125" i="5"/>
  <c r="K125" i="5" s="1"/>
  <c r="C126" i="5"/>
  <c r="K126" i="5" s="1"/>
  <c r="C127" i="5"/>
  <c r="K127" i="5" s="1"/>
  <c r="I8" i="5"/>
  <c r="C5" i="5"/>
  <c r="B9" i="5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D16" i="5" l="1"/>
  <c r="F16" i="5" s="1"/>
  <c r="E17" i="5" s="1"/>
  <c r="D17" i="5" l="1"/>
  <c r="F17" i="5" s="1"/>
  <c r="E18" i="5" l="1"/>
  <c r="D18" i="5" l="1"/>
  <c r="F18" i="5" s="1"/>
  <c r="E19" i="5" s="1"/>
  <c r="D19" i="5" l="1"/>
  <c r="F19" i="5" s="1"/>
  <c r="E20" i="5" s="1"/>
  <c r="D20" i="5" l="1"/>
  <c r="F20" i="5" s="1"/>
  <c r="E21" i="5" s="1"/>
  <c r="D21" i="5" l="1"/>
  <c r="F21" i="5" s="1"/>
  <c r="E22" i="5" s="1"/>
  <c r="D22" i="5" l="1"/>
  <c r="F22" i="5" s="1"/>
  <c r="E23" i="5" s="1"/>
  <c r="D35" i="1"/>
  <c r="D23" i="5" l="1"/>
  <c r="F23" i="5" s="1"/>
  <c r="E24" i="5" s="1"/>
  <c r="D24" i="5" l="1"/>
  <c r="F24" i="5" s="1"/>
  <c r="E25" i="5" s="1"/>
  <c r="D25" i="5" l="1"/>
  <c r="F25" i="5" s="1"/>
  <c r="E26" i="5" s="1"/>
  <c r="D26" i="5" l="1"/>
  <c r="G26" i="5" s="1"/>
  <c r="E27" i="5" s="1"/>
  <c r="E76" i="3"/>
  <c r="B76" i="3"/>
  <c r="B75" i="3"/>
  <c r="E75" i="3"/>
  <c r="E74" i="3"/>
  <c r="B74" i="3"/>
  <c r="B35" i="3"/>
  <c r="E35" i="3"/>
  <c r="W43" i="3"/>
  <c r="AF36" i="3"/>
  <c r="B25" i="3"/>
  <c r="G27" i="3"/>
  <c r="AB34" i="1"/>
  <c r="S1975" i="4"/>
  <c r="S1976" i="4"/>
  <c r="S1977" i="4"/>
  <c r="S1978" i="4"/>
  <c r="S1979" i="4"/>
  <c r="S1980" i="4"/>
  <c r="S1981" i="4"/>
  <c r="S1982" i="4"/>
  <c r="S1983" i="4"/>
  <c r="S1984" i="4"/>
  <c r="S1985" i="4"/>
  <c r="S1986" i="4"/>
  <c r="S1988" i="4"/>
  <c r="S1989" i="4"/>
  <c r="S1990" i="4"/>
  <c r="S1991" i="4"/>
  <c r="S1992" i="4"/>
  <c r="S1993" i="4"/>
  <c r="S1994" i="4"/>
  <c r="S1995" i="4"/>
  <c r="S1996" i="4"/>
  <c r="S1997" i="4"/>
  <c r="S1987" i="4"/>
  <c r="D28" i="4"/>
  <c r="D29" i="4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27" i="4"/>
  <c r="D26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9" i="4"/>
  <c r="R1966" i="4"/>
  <c r="R1835" i="4"/>
  <c r="R1705" i="4"/>
  <c r="R1575" i="4"/>
  <c r="R1445" i="4"/>
  <c r="R1314" i="4"/>
  <c r="R1184" i="4"/>
  <c r="R1052" i="4"/>
  <c r="R923" i="4"/>
  <c r="R791" i="4"/>
  <c r="R662" i="4"/>
  <c r="R530" i="4"/>
  <c r="R401" i="4"/>
  <c r="R270" i="4"/>
  <c r="R140" i="4"/>
  <c r="R9" i="4"/>
  <c r="J78" i="4"/>
  <c r="H78" i="4" s="1"/>
  <c r="J77" i="4"/>
  <c r="H77" i="4"/>
  <c r="J76" i="4"/>
  <c r="H76" i="4" s="1"/>
  <c r="J75" i="4"/>
  <c r="H75" i="4"/>
  <c r="J74" i="4"/>
  <c r="H74" i="4"/>
  <c r="J73" i="4"/>
  <c r="H73" i="4"/>
  <c r="J72" i="4"/>
  <c r="H72" i="4" s="1"/>
  <c r="J71" i="4"/>
  <c r="H71" i="4" s="1"/>
  <c r="J70" i="4"/>
  <c r="H70" i="4"/>
  <c r="J69" i="4"/>
  <c r="H69" i="4"/>
  <c r="J68" i="4"/>
  <c r="H68" i="4" s="1"/>
  <c r="J67" i="4"/>
  <c r="H67" i="4" s="1"/>
  <c r="J66" i="4"/>
  <c r="H66" i="4"/>
  <c r="J65" i="4"/>
  <c r="H65" i="4" s="1"/>
  <c r="J64" i="4"/>
  <c r="H64" i="4"/>
  <c r="J63" i="4"/>
  <c r="H63" i="4"/>
  <c r="J62" i="4"/>
  <c r="H62" i="4" s="1"/>
  <c r="J61" i="4"/>
  <c r="H61" i="4" s="1"/>
  <c r="J60" i="4"/>
  <c r="H60" i="4"/>
  <c r="J59" i="4"/>
  <c r="H59" i="4"/>
  <c r="J58" i="4"/>
  <c r="H58" i="4" s="1"/>
  <c r="J57" i="4"/>
  <c r="H57" i="4" s="1"/>
  <c r="J56" i="4"/>
  <c r="H56" i="4" s="1"/>
  <c r="J55" i="4"/>
  <c r="H55" i="4"/>
  <c r="J54" i="4"/>
  <c r="H54" i="4" s="1"/>
  <c r="J53" i="4"/>
  <c r="H53" i="4" s="1"/>
  <c r="J52" i="4"/>
  <c r="H52" i="4" s="1"/>
  <c r="J51" i="4"/>
  <c r="H51" i="4" s="1"/>
  <c r="J50" i="4"/>
  <c r="H50" i="4"/>
  <c r="J49" i="4"/>
  <c r="H49" i="4"/>
  <c r="J48" i="4"/>
  <c r="H48" i="4" s="1"/>
  <c r="J47" i="4"/>
  <c r="H47" i="4"/>
  <c r="J46" i="4"/>
  <c r="H46" i="4" s="1"/>
  <c r="J45" i="4"/>
  <c r="H45" i="4" s="1"/>
  <c r="J44" i="4"/>
  <c r="H44" i="4"/>
  <c r="J43" i="4"/>
  <c r="H43" i="4" s="1"/>
  <c r="J42" i="4"/>
  <c r="H42" i="4" s="1"/>
  <c r="J41" i="4"/>
  <c r="H41" i="4" s="1"/>
  <c r="J40" i="4"/>
  <c r="H40" i="4"/>
  <c r="J39" i="4"/>
  <c r="H39" i="4" s="1"/>
  <c r="J38" i="4"/>
  <c r="H38" i="4" s="1"/>
  <c r="J37" i="4"/>
  <c r="H37" i="4"/>
  <c r="J36" i="4"/>
  <c r="H36" i="4"/>
  <c r="J35" i="4"/>
  <c r="H35" i="4"/>
  <c r="J34" i="4"/>
  <c r="H34" i="4"/>
  <c r="J33" i="4"/>
  <c r="H33" i="4" s="1"/>
  <c r="J32" i="4"/>
  <c r="H32" i="4" s="1"/>
  <c r="J31" i="4"/>
  <c r="H31" i="4" s="1"/>
  <c r="J30" i="4"/>
  <c r="H30" i="4"/>
  <c r="J29" i="4"/>
  <c r="H29" i="4"/>
  <c r="J28" i="4"/>
  <c r="H28" i="4"/>
  <c r="J27" i="4"/>
  <c r="H27" i="4"/>
  <c r="J26" i="4"/>
  <c r="H26" i="4" s="1"/>
  <c r="J25" i="4"/>
  <c r="H25" i="4"/>
  <c r="C10" i="4"/>
  <c r="C7" i="4"/>
  <c r="BE1991" i="1"/>
  <c r="BE1992" i="1"/>
  <c r="BE1993" i="1"/>
  <c r="BE1994" i="1"/>
  <c r="BE1995" i="1"/>
  <c r="BE1996" i="1"/>
  <c r="BE1997" i="1"/>
  <c r="BE1998" i="1"/>
  <c r="BE1999" i="1"/>
  <c r="BE2000" i="1"/>
  <c r="BE1990" i="1"/>
  <c r="BC4" i="1"/>
  <c r="E39" i="3"/>
  <c r="I27" i="3"/>
  <c r="J27" i="3" s="1"/>
  <c r="I28" i="3"/>
  <c r="J39" i="3"/>
  <c r="I39" i="3"/>
  <c r="H46" i="3"/>
  <c r="H48" i="3" s="1"/>
  <c r="J45" i="3"/>
  <c r="J46" i="3"/>
  <c r="B38" i="3"/>
  <c r="E38" i="3"/>
  <c r="C39" i="3"/>
  <c r="B39" i="3"/>
  <c r="J30" i="3"/>
  <c r="C57" i="3"/>
  <c r="I30" i="3"/>
  <c r="C62" i="3"/>
  <c r="F39" i="3"/>
  <c r="F57" i="3"/>
  <c r="F62" i="3"/>
  <c r="F51" i="3"/>
  <c r="F47" i="3"/>
  <c r="F43" i="3"/>
  <c r="C51" i="3"/>
  <c r="C47" i="3"/>
  <c r="C43" i="3"/>
  <c r="I37" i="3"/>
  <c r="D37" i="3"/>
  <c r="D32" i="3"/>
  <c r="B32" i="3"/>
  <c r="M36" i="3"/>
  <c r="L37" i="3" s="1"/>
  <c r="K37" i="3"/>
  <c r="W8" i="3"/>
  <c r="V10" i="3"/>
  <c r="U6" i="3"/>
  <c r="U7" i="3"/>
  <c r="U8" i="3"/>
  <c r="U9" i="3"/>
  <c r="U5" i="3"/>
  <c r="Q10" i="3"/>
  <c r="T27" i="3"/>
  <c r="P29" i="3"/>
  <c r="J10" i="3"/>
  <c r="J53" i="1"/>
  <c r="K53" i="1"/>
  <c r="I54" i="1"/>
  <c r="F54" i="1"/>
  <c r="H34" i="3"/>
  <c r="BK1966" i="3"/>
  <c r="BL1966" i="3" s="1"/>
  <c r="BK1962" i="3"/>
  <c r="BK1910" i="3"/>
  <c r="BK1868" i="3"/>
  <c r="BK1860" i="3"/>
  <c r="BK1853" i="3"/>
  <c r="BL1835" i="3"/>
  <c r="BK1825" i="3"/>
  <c r="BK1753" i="3"/>
  <c r="BK1744" i="3"/>
  <c r="BK1732" i="3"/>
  <c r="BL1705" i="3"/>
  <c r="BK1701" i="3"/>
  <c r="BK1598" i="3"/>
  <c r="BK1590" i="3"/>
  <c r="BK1583" i="3"/>
  <c r="BL1575" i="3"/>
  <c r="BK1555" i="3"/>
  <c r="BK1492" i="3"/>
  <c r="BK1489" i="3"/>
  <c r="BK1483" i="3"/>
  <c r="BK1484" i="3" s="1"/>
  <c r="BK1471" i="3"/>
  <c r="BL1445" i="3"/>
  <c r="BK1440" i="3"/>
  <c r="BK1343" i="3"/>
  <c r="BK1335" i="3"/>
  <c r="BK1328" i="3"/>
  <c r="BL1314" i="3"/>
  <c r="BK1300" i="3"/>
  <c r="BK1230" i="3"/>
  <c r="BK1227" i="3"/>
  <c r="BK1221" i="3"/>
  <c r="BK1222" i="3" s="1"/>
  <c r="BK1223" i="3" s="1"/>
  <c r="BL1184" i="3"/>
  <c r="BK1128" i="3"/>
  <c r="BK1088" i="3"/>
  <c r="BK1080" i="3"/>
  <c r="BK1073" i="3"/>
  <c r="BK1052" i="3"/>
  <c r="BL1052" i="3" s="1"/>
  <c r="BK1045" i="3"/>
  <c r="BK966" i="3"/>
  <c r="BK960" i="3"/>
  <c r="BK961" i="3" s="1"/>
  <c r="BK962" i="3" s="1"/>
  <c r="BK923" i="3"/>
  <c r="BL923" i="3" s="1"/>
  <c r="BK919" i="3"/>
  <c r="BK867" i="3"/>
  <c r="BK813" i="3"/>
  <c r="BK805" i="3"/>
  <c r="BK798" i="3"/>
  <c r="BK791" i="3"/>
  <c r="BL791" i="3" s="1"/>
  <c r="BK770" i="3"/>
  <c r="BK705" i="3"/>
  <c r="BK700" i="3"/>
  <c r="BK701" i="3" s="1"/>
  <c r="BK689" i="3"/>
  <c r="BK662" i="3"/>
  <c r="BL662" i="3" s="1"/>
  <c r="BK658" i="3"/>
  <c r="BK606" i="3"/>
  <c r="BK563" i="3"/>
  <c r="BK555" i="3"/>
  <c r="BK548" i="3"/>
  <c r="BK530" i="3"/>
  <c r="BL530" i="3" s="1"/>
  <c r="BK519" i="3"/>
  <c r="BK520" i="3" s="1"/>
  <c r="BK449" i="3"/>
  <c r="BK440" i="3"/>
  <c r="BK428" i="3"/>
  <c r="BL401" i="3"/>
  <c r="BK397" i="3"/>
  <c r="BK345" i="3"/>
  <c r="BK292" i="3"/>
  <c r="BK280" i="3"/>
  <c r="BK273" i="3"/>
  <c r="BL270" i="3"/>
  <c r="BK245" i="3"/>
  <c r="BK187" i="3"/>
  <c r="BK184" i="3"/>
  <c r="BK178" i="3"/>
  <c r="BK179" i="3" s="1"/>
  <c r="BK166" i="3"/>
  <c r="BL140" i="3"/>
  <c r="BK135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AE79" i="3"/>
  <c r="T61" i="3"/>
  <c r="AE78" i="3"/>
  <c r="T60" i="3"/>
  <c r="AE77" i="3"/>
  <c r="T59" i="3"/>
  <c r="AE76" i="3"/>
  <c r="T58" i="3"/>
  <c r="R58" i="3"/>
  <c r="S58" i="3" s="1"/>
  <c r="N59" i="3"/>
  <c r="N108" i="3" s="1"/>
  <c r="L108" i="3" s="1"/>
  <c r="AE75" i="3"/>
  <c r="T57" i="3"/>
  <c r="AE74" i="3"/>
  <c r="T56" i="3"/>
  <c r="R56" i="3"/>
  <c r="S56" i="3" s="1"/>
  <c r="AE73" i="3"/>
  <c r="T55" i="3"/>
  <c r="AE72" i="3"/>
  <c r="T54" i="3"/>
  <c r="R54" i="3"/>
  <c r="S54" i="3" s="1"/>
  <c r="AE71" i="3"/>
  <c r="T53" i="3"/>
  <c r="AE70" i="3"/>
  <c r="T52" i="3"/>
  <c r="R52" i="3"/>
  <c r="S52" i="3" s="1"/>
  <c r="AE69" i="3"/>
  <c r="T51" i="3"/>
  <c r="AE68" i="3"/>
  <c r="T50" i="3"/>
  <c r="R50" i="3"/>
  <c r="S50" i="3" s="1"/>
  <c r="AE67" i="3"/>
  <c r="T49" i="3"/>
  <c r="AE66" i="3"/>
  <c r="T48" i="3"/>
  <c r="R48" i="3"/>
  <c r="S48" i="3" s="1"/>
  <c r="AE65" i="3"/>
  <c r="T47" i="3"/>
  <c r="AE64" i="3"/>
  <c r="T46" i="3"/>
  <c r="R46" i="3"/>
  <c r="S46" i="3" s="1"/>
  <c r="AE63" i="3"/>
  <c r="T45" i="3"/>
  <c r="AE62" i="3"/>
  <c r="T44" i="3"/>
  <c r="R44" i="3"/>
  <c r="S44" i="3" s="1"/>
  <c r="AE61" i="3"/>
  <c r="R43" i="3"/>
  <c r="G44" i="3"/>
  <c r="G45" i="3" s="1"/>
  <c r="G46" i="3" s="1"/>
  <c r="AE60" i="3"/>
  <c r="AE59" i="3"/>
  <c r="AE58" i="3"/>
  <c r="Z40" i="3"/>
  <c r="T40" i="3"/>
  <c r="G41" i="3"/>
  <c r="AE57" i="3"/>
  <c r="AE56" i="3"/>
  <c r="AE55" i="3"/>
  <c r="AE54" i="3"/>
  <c r="W42" i="3"/>
  <c r="AE53" i="3"/>
  <c r="AE52" i="3"/>
  <c r="AE51" i="3"/>
  <c r="AE50" i="3"/>
  <c r="P36" i="3"/>
  <c r="O36" i="3" s="1"/>
  <c r="AE49" i="3"/>
  <c r="AA18" i="3"/>
  <c r="AA19" i="3" s="1"/>
  <c r="AE48" i="3"/>
  <c r="AA17" i="3"/>
  <c r="AE47" i="3"/>
  <c r="AE46" i="3"/>
  <c r="AE45" i="3"/>
  <c r="AE44" i="3"/>
  <c r="AE43" i="3"/>
  <c r="AE42" i="3"/>
  <c r="AE41" i="3"/>
  <c r="AE40" i="3"/>
  <c r="AE39" i="3"/>
  <c r="AE38" i="3"/>
  <c r="AE37" i="3"/>
  <c r="AE36" i="3"/>
  <c r="AE35" i="3"/>
  <c r="AG34" i="3"/>
  <c r="AE34" i="3"/>
  <c r="BK33" i="3"/>
  <c r="AE29" i="3"/>
  <c r="BK25" i="3"/>
  <c r="R19" i="3"/>
  <c r="Q19" i="3"/>
  <c r="P19" i="3"/>
  <c r="O19" i="3"/>
  <c r="N19" i="3"/>
  <c r="M19" i="3"/>
  <c r="L19" i="3"/>
  <c r="K19" i="3"/>
  <c r="J19" i="3"/>
  <c r="BK18" i="3"/>
  <c r="R10" i="3"/>
  <c r="P10" i="3"/>
  <c r="O10" i="3"/>
  <c r="N10" i="3"/>
  <c r="M10" i="3"/>
  <c r="L10" i="3"/>
  <c r="K10" i="3"/>
  <c r="BL9" i="3"/>
  <c r="S9" i="3"/>
  <c r="S8" i="3"/>
  <c r="S7" i="3"/>
  <c r="H7" i="3"/>
  <c r="S6" i="3"/>
  <c r="H6" i="3"/>
  <c r="S5" i="3"/>
  <c r="H5" i="3"/>
  <c r="Q2" i="3"/>
  <c r="P2" i="3"/>
  <c r="O2" i="3"/>
  <c r="N2" i="3"/>
  <c r="M2" i="3"/>
  <c r="L2" i="3"/>
  <c r="K2" i="3"/>
  <c r="J2" i="3"/>
  <c r="N60" i="1"/>
  <c r="G56" i="1"/>
  <c r="E60" i="1"/>
  <c r="I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76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77" i="1"/>
  <c r="H76" i="1"/>
  <c r="B57" i="1"/>
  <c r="B56" i="1"/>
  <c r="A56" i="1"/>
  <c r="Q58" i="1"/>
  <c r="J76" i="1"/>
  <c r="J74" i="1"/>
  <c r="B74" i="1" s="1"/>
  <c r="B75" i="1" s="1"/>
  <c r="J72" i="1"/>
  <c r="B72" i="1" s="1"/>
  <c r="B73" i="1" s="1"/>
  <c r="J70" i="1"/>
  <c r="B70" i="1" s="1"/>
  <c r="B71" i="1" s="1"/>
  <c r="J68" i="1"/>
  <c r="B68" i="1" s="1"/>
  <c r="B69" i="1" s="1"/>
  <c r="J66" i="1"/>
  <c r="B66" i="1" s="1"/>
  <c r="B67" i="1" s="1"/>
  <c r="J64" i="1"/>
  <c r="B64" i="1" s="1"/>
  <c r="B65" i="1" s="1"/>
  <c r="J62" i="1"/>
  <c r="B62" i="1" s="1"/>
  <c r="B63" i="1" s="1"/>
  <c r="I74" i="1"/>
  <c r="I72" i="1"/>
  <c r="I70" i="1"/>
  <c r="I68" i="1"/>
  <c r="I66" i="1"/>
  <c r="I64" i="1"/>
  <c r="I62" i="1"/>
  <c r="J61" i="1"/>
  <c r="B61" i="1"/>
  <c r="I61" i="1"/>
  <c r="K51" i="1"/>
  <c r="K50" i="1"/>
  <c r="L54" i="1"/>
  <c r="H52" i="1"/>
  <c r="I5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62" i="1"/>
  <c r="K58" i="1"/>
  <c r="A58" i="1"/>
  <c r="A61" i="1"/>
  <c r="A62" i="1"/>
  <c r="AL54" i="1"/>
  <c r="C49" i="1"/>
  <c r="C50" i="1" s="1"/>
  <c r="C48" i="1"/>
  <c r="C8" i="2"/>
  <c r="C9" i="2" s="1"/>
  <c r="C7" i="2"/>
  <c r="Y29" i="1"/>
  <c r="AI33" i="1"/>
  <c r="AI35" i="1"/>
  <c r="AI36" i="1"/>
  <c r="AI38" i="1"/>
  <c r="AI39" i="1"/>
  <c r="AI41" i="1"/>
  <c r="AI42" i="1"/>
  <c r="AI44" i="1"/>
  <c r="AI45" i="1"/>
  <c r="AI47" i="1"/>
  <c r="AI48" i="1"/>
  <c r="AI50" i="1"/>
  <c r="AI51" i="1"/>
  <c r="AI53" i="1"/>
  <c r="AI54" i="1"/>
  <c r="AI32" i="1"/>
  <c r="BF9" i="1"/>
  <c r="F2" i="1"/>
  <c r="G2" i="1"/>
  <c r="H2" i="1"/>
  <c r="I2" i="1"/>
  <c r="I1" i="1" s="1"/>
  <c r="J2" i="1"/>
  <c r="K2" i="1"/>
  <c r="E2" i="1"/>
  <c r="D2" i="1"/>
  <c r="BF140" i="1"/>
  <c r="BF1835" i="1"/>
  <c r="BF1705" i="1"/>
  <c r="BF1575" i="1"/>
  <c r="BF1445" i="1"/>
  <c r="BF1314" i="1"/>
  <c r="BF1184" i="1"/>
  <c r="BF401" i="1"/>
  <c r="BF270" i="1"/>
  <c r="BE18" i="1"/>
  <c r="BE33" i="1"/>
  <c r="BE25" i="1"/>
  <c r="BE135" i="1"/>
  <c r="BE166" i="1"/>
  <c r="BE187" i="1"/>
  <c r="BE184" i="1"/>
  <c r="BE178" i="1"/>
  <c r="BE179" i="1" s="1"/>
  <c r="BE245" i="1"/>
  <c r="BE273" i="1"/>
  <c r="BE280" i="1"/>
  <c r="BE292" i="1"/>
  <c r="BE345" i="1"/>
  <c r="BE397" i="1"/>
  <c r="BE428" i="1"/>
  <c r="BE449" i="1"/>
  <c r="BE440" i="1"/>
  <c r="BE530" i="1"/>
  <c r="BF530" i="1" s="1"/>
  <c r="BE519" i="1"/>
  <c r="BE520" i="1" s="1"/>
  <c r="BE548" i="1"/>
  <c r="BE563" i="1"/>
  <c r="BE555" i="1"/>
  <c r="BE606" i="1"/>
  <c r="BE662" i="1"/>
  <c r="BF662" i="1" s="1"/>
  <c r="BE658" i="1"/>
  <c r="BE689" i="1"/>
  <c r="BE705" i="1"/>
  <c r="BE700" i="1"/>
  <c r="BE701" i="1" s="1"/>
  <c r="BE770" i="1"/>
  <c r="BE791" i="1"/>
  <c r="BF791" i="1" s="1"/>
  <c r="BE798" i="1"/>
  <c r="BE813" i="1"/>
  <c r="BE805" i="1"/>
  <c r="BE867" i="1"/>
  <c r="BE923" i="1"/>
  <c r="BF923" i="1" s="1"/>
  <c r="BE919" i="1"/>
  <c r="BE966" i="1"/>
  <c r="BE960" i="1"/>
  <c r="BE961" i="1" s="1"/>
  <c r="BE962" i="1" s="1"/>
  <c r="BE1052" i="1"/>
  <c r="BF1052" i="1" s="1"/>
  <c r="BE1045" i="1"/>
  <c r="BE1073" i="1"/>
  <c r="BE1088" i="1"/>
  <c r="BE1080" i="1"/>
  <c r="BE1128" i="1"/>
  <c r="BE1221" i="1"/>
  <c r="BE1222" i="1" s="1"/>
  <c r="BE1223" i="1" s="1"/>
  <c r="BE1230" i="1"/>
  <c r="BE1227" i="1"/>
  <c r="BE1300" i="1"/>
  <c r="BE1328" i="1"/>
  <c r="BE1343" i="1"/>
  <c r="BE1335" i="1"/>
  <c r="BE1440" i="1"/>
  <c r="BE1471" i="1"/>
  <c r="BE1483" i="1"/>
  <c r="BE1484" i="1" s="1"/>
  <c r="BE1492" i="1"/>
  <c r="BE1489" i="1"/>
  <c r="BE1555" i="1"/>
  <c r="BE1583" i="1"/>
  <c r="BE1598" i="1"/>
  <c r="BE1590" i="1"/>
  <c r="BE1701" i="1"/>
  <c r="BE1732" i="1"/>
  <c r="BE1744" i="1"/>
  <c r="BE1753" i="1"/>
  <c r="BE1825" i="1"/>
  <c r="BE1853" i="1"/>
  <c r="BE1860" i="1"/>
  <c r="BE1868" i="1"/>
  <c r="BE1910" i="1"/>
  <c r="BE1962" i="1"/>
  <c r="BE1966" i="1"/>
  <c r="BF1966" i="1" s="1"/>
  <c r="AH11" i="1"/>
  <c r="AH21" i="1"/>
  <c r="B5" i="1"/>
  <c r="B6" i="1"/>
  <c r="B7" i="1"/>
  <c r="N50" i="1"/>
  <c r="M50" i="1" s="1"/>
  <c r="AD21" i="1"/>
  <c r="Z21" i="1"/>
  <c r="AD11" i="1"/>
  <c r="Z11" i="1"/>
  <c r="V21" i="1"/>
  <c r="V11" i="1"/>
  <c r="AE11" i="1"/>
  <c r="AE10" i="1"/>
  <c r="AE9" i="1"/>
  <c r="AE8" i="1"/>
  <c r="AA10" i="1"/>
  <c r="AA8" i="1"/>
  <c r="W10" i="1"/>
  <c r="W8" i="1"/>
  <c r="X10" i="1" s="1"/>
  <c r="AA20" i="1"/>
  <c r="AE21" i="1"/>
  <c r="AE20" i="1"/>
  <c r="AA21" i="1"/>
  <c r="W21" i="1"/>
  <c r="W20" i="1"/>
  <c r="T5" i="1"/>
  <c r="T6" i="1" s="1"/>
  <c r="T7" i="1" s="1"/>
  <c r="T8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M6" i="1"/>
  <c r="M7" i="1"/>
  <c r="S3" i="1"/>
  <c r="M5" i="1"/>
  <c r="M8" i="1"/>
  <c r="M9" i="1"/>
  <c r="K19" i="1"/>
  <c r="L19" i="1"/>
  <c r="K10" i="1"/>
  <c r="L10" i="1"/>
  <c r="D33" i="1"/>
  <c r="I38" i="1"/>
  <c r="J10" i="1"/>
  <c r="I19" i="1"/>
  <c r="J19" i="1"/>
  <c r="I10" i="1"/>
  <c r="AE31" i="1"/>
  <c r="BB9" i="1"/>
  <c r="F27" i="5" l="1"/>
  <c r="E28" i="5" s="1"/>
  <c r="C11" i="4"/>
  <c r="H106" i="3"/>
  <c r="H94" i="3"/>
  <c r="H85" i="3"/>
  <c r="H79" i="3"/>
  <c r="H111" i="3"/>
  <c r="H84" i="3"/>
  <c r="H105" i="3"/>
  <c r="H74" i="3"/>
  <c r="H101" i="3"/>
  <c r="H73" i="3"/>
  <c r="H95" i="3"/>
  <c r="H69" i="3"/>
  <c r="H63" i="3"/>
  <c r="H90" i="3"/>
  <c r="H62" i="3"/>
  <c r="H47" i="3"/>
  <c r="H103" i="3"/>
  <c r="H93" i="3"/>
  <c r="H82" i="3"/>
  <c r="H71" i="3"/>
  <c r="H61" i="3"/>
  <c r="H113" i="3"/>
  <c r="H102" i="3"/>
  <c r="H92" i="3"/>
  <c r="H81" i="3"/>
  <c r="H70" i="3"/>
  <c r="H58" i="3"/>
  <c r="H57" i="3"/>
  <c r="H110" i="3"/>
  <c r="H100" i="3"/>
  <c r="H89" i="3"/>
  <c r="H78" i="3"/>
  <c r="H68" i="3"/>
  <c r="H55" i="3"/>
  <c r="H109" i="3"/>
  <c r="H98" i="3"/>
  <c r="H87" i="3"/>
  <c r="H77" i="3"/>
  <c r="H66" i="3"/>
  <c r="H54" i="3"/>
  <c r="H108" i="3"/>
  <c r="H97" i="3"/>
  <c r="H86" i="3"/>
  <c r="H76" i="3"/>
  <c r="H65" i="3"/>
  <c r="H50" i="3"/>
  <c r="H112" i="3"/>
  <c r="H104" i="3"/>
  <c r="H96" i="3"/>
  <c r="H88" i="3"/>
  <c r="H80" i="3"/>
  <c r="H72" i="3"/>
  <c r="H64" i="3"/>
  <c r="H56" i="3"/>
  <c r="H53" i="3"/>
  <c r="H60" i="3"/>
  <c r="H52" i="3"/>
  <c r="H107" i="3"/>
  <c r="H99" i="3"/>
  <c r="H91" i="3"/>
  <c r="H83" i="3"/>
  <c r="H75" i="3"/>
  <c r="H67" i="3"/>
  <c r="H59" i="3"/>
  <c r="H51" i="3"/>
  <c r="H49" i="3"/>
  <c r="I36" i="3"/>
  <c r="I35" i="3"/>
  <c r="I34" i="3"/>
  <c r="H29" i="3"/>
  <c r="E32" i="3"/>
  <c r="G32" i="3" s="1"/>
  <c r="E37" i="3"/>
  <c r="H32" i="3"/>
  <c r="E36" i="3"/>
  <c r="P21" i="3"/>
  <c r="X8" i="3"/>
  <c r="W9" i="3" s="1"/>
  <c r="R21" i="3"/>
  <c r="L1" i="3"/>
  <c r="K1" i="3"/>
  <c r="H10" i="3"/>
  <c r="H3" i="3" s="1"/>
  <c r="Q21" i="3"/>
  <c r="M1" i="3"/>
  <c r="N63" i="3"/>
  <c r="L63" i="3" s="1"/>
  <c r="N70" i="3"/>
  <c r="L70" i="3" s="1"/>
  <c r="N73" i="3"/>
  <c r="L73" i="3" s="1"/>
  <c r="AF34" i="3"/>
  <c r="AH34" i="3" s="1"/>
  <c r="N61" i="3"/>
  <c r="L61" i="3" s="1"/>
  <c r="N67" i="3"/>
  <c r="L67" i="3" s="1"/>
  <c r="N84" i="3"/>
  <c r="L84" i="3" s="1"/>
  <c r="N88" i="3"/>
  <c r="L88" i="3" s="1"/>
  <c r="N91" i="3"/>
  <c r="L91" i="3" s="1"/>
  <c r="N102" i="3"/>
  <c r="L102" i="3" s="1"/>
  <c r="N64" i="3"/>
  <c r="L64" i="3" s="1"/>
  <c r="N74" i="3"/>
  <c r="L74" i="3" s="1"/>
  <c r="N77" i="3"/>
  <c r="L77" i="3" s="1"/>
  <c r="N81" i="3"/>
  <c r="L81" i="3" s="1"/>
  <c r="N68" i="3"/>
  <c r="L68" i="3" s="1"/>
  <c r="N71" i="3"/>
  <c r="L71" i="3" s="1"/>
  <c r="N92" i="3"/>
  <c r="L92" i="3" s="1"/>
  <c r="N103" i="3"/>
  <c r="L103" i="3" s="1"/>
  <c r="N62" i="3"/>
  <c r="L62" i="3" s="1"/>
  <c r="N65" i="3"/>
  <c r="L65" i="3" s="1"/>
  <c r="N78" i="3"/>
  <c r="L78" i="3" s="1"/>
  <c r="N82" i="3"/>
  <c r="L82" i="3" s="1"/>
  <c r="N85" i="3"/>
  <c r="L85" i="3" s="1"/>
  <c r="N89" i="3"/>
  <c r="L89" i="3" s="1"/>
  <c r="N75" i="3"/>
  <c r="L75" i="3" s="1"/>
  <c r="N99" i="3"/>
  <c r="L99" i="3" s="1"/>
  <c r="N105" i="3"/>
  <c r="L105" i="3" s="1"/>
  <c r="N60" i="3"/>
  <c r="L60" i="3" s="1"/>
  <c r="N66" i="3"/>
  <c r="L66" i="3" s="1"/>
  <c r="N69" i="3"/>
  <c r="L69" i="3" s="1"/>
  <c r="N90" i="3"/>
  <c r="L90" i="3" s="1"/>
  <c r="N76" i="3"/>
  <c r="L76" i="3" s="1"/>
  <c r="N80" i="3"/>
  <c r="L80" i="3" s="1"/>
  <c r="N83" i="3"/>
  <c r="L83" i="3" s="1"/>
  <c r="N87" i="3"/>
  <c r="L87" i="3" s="1"/>
  <c r="N100" i="3"/>
  <c r="L100" i="3" s="1"/>
  <c r="N106" i="3"/>
  <c r="L106" i="3" s="1"/>
  <c r="AA29" i="3"/>
  <c r="Z29" i="3"/>
  <c r="Z30" i="3" s="1"/>
  <c r="S19" i="3"/>
  <c r="AA20" i="3"/>
  <c r="S10" i="3"/>
  <c r="N109" i="3"/>
  <c r="L109" i="3" s="1"/>
  <c r="N93" i="3"/>
  <c r="L93" i="3" s="1"/>
  <c r="N86" i="3"/>
  <c r="L86" i="3" s="1"/>
  <c r="L59" i="3"/>
  <c r="N95" i="3"/>
  <c r="L95" i="3" s="1"/>
  <c r="N110" i="3"/>
  <c r="L110" i="3" s="1"/>
  <c r="N1" i="3"/>
  <c r="N21" i="3"/>
  <c r="N22" i="3" s="1"/>
  <c r="N72" i="3"/>
  <c r="L72" i="3" s="1"/>
  <c r="N79" i="3"/>
  <c r="L79" i="3" s="1"/>
  <c r="O21" i="3"/>
  <c r="O22" i="3" s="1"/>
  <c r="N96" i="3"/>
  <c r="L96" i="3" s="1"/>
  <c r="N112" i="3"/>
  <c r="L112" i="3" s="1"/>
  <c r="L58" i="3"/>
  <c r="L48" i="3"/>
  <c r="L55" i="3"/>
  <c r="L52" i="3"/>
  <c r="L56" i="3"/>
  <c r="L53" i="3"/>
  <c r="L43" i="3"/>
  <c r="L49" i="3"/>
  <c r="L47" i="3"/>
  <c r="L50" i="3"/>
  <c r="L54" i="3"/>
  <c r="L44" i="3"/>
  <c r="L51" i="3"/>
  <c r="L57" i="3"/>
  <c r="AG35" i="3"/>
  <c r="AF35" i="3" s="1"/>
  <c r="AH35" i="3" s="1"/>
  <c r="L45" i="3"/>
  <c r="L46" i="3"/>
  <c r="K21" i="3"/>
  <c r="M21" i="3"/>
  <c r="S43" i="3"/>
  <c r="O1" i="3"/>
  <c r="Q1" i="3"/>
  <c r="P1" i="3"/>
  <c r="J21" i="3"/>
  <c r="J22" i="3" s="1"/>
  <c r="L21" i="3"/>
  <c r="L22" i="3" s="1"/>
  <c r="P22" i="3"/>
  <c r="N97" i="3"/>
  <c r="L97" i="3" s="1"/>
  <c r="N107" i="3"/>
  <c r="L107" i="3" s="1"/>
  <c r="AC42" i="3"/>
  <c r="N94" i="3"/>
  <c r="L94" i="3" s="1"/>
  <c r="N104" i="3"/>
  <c r="L104" i="3" s="1"/>
  <c r="N101" i="3"/>
  <c r="L101" i="3" s="1"/>
  <c r="N111" i="3"/>
  <c r="L111" i="3" s="1"/>
  <c r="N98" i="3"/>
  <c r="L98" i="3" s="1"/>
  <c r="B77" i="1"/>
  <c r="B85" i="1" s="1"/>
  <c r="A57" i="1"/>
  <c r="T60" i="1"/>
  <c r="F67" i="1"/>
  <c r="F60" i="1"/>
  <c r="D61" i="1" s="1"/>
  <c r="C61" i="1" s="1"/>
  <c r="E61" i="1" s="1"/>
  <c r="F68" i="1"/>
  <c r="F69" i="1"/>
  <c r="F70" i="1"/>
  <c r="F71" i="1"/>
  <c r="F66" i="1"/>
  <c r="F72" i="1"/>
  <c r="F73" i="1"/>
  <c r="F62" i="1"/>
  <c r="F65" i="1"/>
  <c r="F74" i="1"/>
  <c r="F63" i="1"/>
  <c r="F75" i="1"/>
  <c r="F64" i="1"/>
  <c r="F61" i="1"/>
  <c r="AK54" i="1"/>
  <c r="A63" i="1"/>
  <c r="AK48" i="1"/>
  <c r="AK33" i="1"/>
  <c r="H1" i="1"/>
  <c r="C51" i="1"/>
  <c r="AK51" i="1"/>
  <c r="AK45" i="1"/>
  <c r="K1" i="1"/>
  <c r="J1" i="1"/>
  <c r="E1" i="1"/>
  <c r="AK42" i="1"/>
  <c r="AK39" i="1"/>
  <c r="AK36" i="1"/>
  <c r="G1" i="1"/>
  <c r="AE32" i="1"/>
  <c r="AE33" i="1"/>
  <c r="F1" i="1"/>
  <c r="C10" i="2"/>
  <c r="AF11" i="1"/>
  <c r="AB10" i="1"/>
  <c r="AG11" i="1" s="1"/>
  <c r="AI11" i="1" s="1"/>
  <c r="J21" i="1"/>
  <c r="J22" i="1" s="1"/>
  <c r="AF21" i="1"/>
  <c r="X21" i="1"/>
  <c r="I21" i="1"/>
  <c r="I22" i="1" s="1"/>
  <c r="M10" i="1"/>
  <c r="L21" i="1"/>
  <c r="AB21" i="1"/>
  <c r="K21" i="1"/>
  <c r="M19" i="1"/>
  <c r="Y34" i="1"/>
  <c r="H19" i="1"/>
  <c r="H10" i="1"/>
  <c r="K28" i="1" s="1"/>
  <c r="D28" i="5" l="1"/>
  <c r="F28" i="5" s="1"/>
  <c r="E29" i="5" s="1"/>
  <c r="C12" i="4"/>
  <c r="C49" i="3"/>
  <c r="F59" i="3"/>
  <c r="F68" i="3" s="1"/>
  <c r="F53" i="3"/>
  <c r="C59" i="3"/>
  <c r="C68" i="3" s="1"/>
  <c r="F41" i="3"/>
  <c r="F67" i="3" s="1"/>
  <c r="C41" i="3"/>
  <c r="C67" i="3" s="1"/>
  <c r="H30" i="3"/>
  <c r="I29" i="3"/>
  <c r="S22" i="3"/>
  <c r="C53" i="3"/>
  <c r="C45" i="3"/>
  <c r="C65" i="3" s="1"/>
  <c r="S21" i="3"/>
  <c r="U43" i="3"/>
  <c r="V44" i="3" s="1"/>
  <c r="U44" i="3" s="1"/>
  <c r="W44" i="3" s="1"/>
  <c r="I45" i="3"/>
  <c r="AG36" i="3"/>
  <c r="AH36" i="3" s="1"/>
  <c r="K22" i="3"/>
  <c r="M22" i="3"/>
  <c r="I22" i="3"/>
  <c r="I23" i="3" s="1"/>
  <c r="B110" i="1"/>
  <c r="B99" i="1"/>
  <c r="B79" i="1"/>
  <c r="B96" i="1"/>
  <c r="B94" i="1"/>
  <c r="B93" i="1"/>
  <c r="B113" i="1"/>
  <c r="B130" i="1"/>
  <c r="B89" i="1"/>
  <c r="B128" i="1"/>
  <c r="B106" i="1"/>
  <c r="B84" i="1"/>
  <c r="B86" i="1"/>
  <c r="B100" i="1"/>
  <c r="B124" i="1"/>
  <c r="B129" i="1"/>
  <c r="B123" i="1"/>
  <c r="B126" i="1"/>
  <c r="B103" i="1"/>
  <c r="B121" i="1"/>
  <c r="B114" i="1"/>
  <c r="B91" i="1"/>
  <c r="B92" i="1"/>
  <c r="B88" i="1"/>
  <c r="B78" i="1"/>
  <c r="B90" i="1"/>
  <c r="B108" i="1"/>
  <c r="B120" i="1"/>
  <c r="B125" i="1"/>
  <c r="B117" i="1"/>
  <c r="B111" i="1"/>
  <c r="B122" i="1"/>
  <c r="B102" i="1"/>
  <c r="B107" i="1"/>
  <c r="B112" i="1"/>
  <c r="B119" i="1"/>
  <c r="B104" i="1"/>
  <c r="B116" i="1"/>
  <c r="B95" i="1"/>
  <c r="B101" i="1"/>
  <c r="B81" i="1"/>
  <c r="B115" i="1"/>
  <c r="B109" i="1"/>
  <c r="B87" i="1"/>
  <c r="B127" i="1"/>
  <c r="B105" i="1"/>
  <c r="B118" i="1"/>
  <c r="B98" i="1"/>
  <c r="B80" i="1"/>
  <c r="B83" i="1"/>
  <c r="B97" i="1"/>
  <c r="B82" i="1"/>
  <c r="M61" i="1"/>
  <c r="L61" i="1" s="1"/>
  <c r="N61" i="1" s="1"/>
  <c r="M62" i="1" s="1"/>
  <c r="L62" i="1" s="1"/>
  <c r="N62" i="1" s="1"/>
  <c r="D62" i="1"/>
  <c r="C62" i="1" s="1"/>
  <c r="E62" i="1" s="1"/>
  <c r="D63" i="1" s="1"/>
  <c r="C63" i="1" s="1"/>
  <c r="E63" i="1" s="1"/>
  <c r="J24" i="1"/>
  <c r="J25" i="1" s="1"/>
  <c r="AG21" i="1"/>
  <c r="AI21" i="1" s="1"/>
  <c r="I24" i="1"/>
  <c r="I25" i="1" s="1"/>
  <c r="M22" i="1"/>
  <c r="M21" i="1"/>
  <c r="H21" i="1"/>
  <c r="D29" i="5" l="1"/>
  <c r="F29" i="5" s="1"/>
  <c r="E30" i="5" s="1"/>
  <c r="K29" i="3"/>
  <c r="C66" i="3"/>
  <c r="C71" i="3" s="1"/>
  <c r="G29" i="3"/>
  <c r="J29" i="3"/>
  <c r="V45" i="3"/>
  <c r="U45" i="3" s="1"/>
  <c r="W45" i="3" s="1"/>
  <c r="AG37" i="3"/>
  <c r="AF37" i="3" s="1"/>
  <c r="AH37" i="3" s="1"/>
  <c r="I46" i="3"/>
  <c r="K46" i="3" s="1"/>
  <c r="M63" i="1"/>
  <c r="L63" i="1" s="1"/>
  <c r="N63" i="1" s="1"/>
  <c r="M64" i="1" s="1"/>
  <c r="L64" i="1" s="1"/>
  <c r="N64" i="1" s="1"/>
  <c r="D64" i="1"/>
  <c r="C64" i="1" s="1"/>
  <c r="E64" i="1" s="1"/>
  <c r="D65" i="1" s="1"/>
  <c r="C65" i="1" s="1"/>
  <c r="E65" i="1" s="1"/>
  <c r="D66" i="1" s="1"/>
  <c r="C66" i="1" s="1"/>
  <c r="E66" i="1" s="1"/>
  <c r="D67" i="1" s="1"/>
  <c r="H22" i="1"/>
  <c r="H24" i="1"/>
  <c r="H25" i="1" s="1"/>
  <c r="Y68" i="1"/>
  <c r="Y69" i="1"/>
  <c r="Y70" i="1"/>
  <c r="Y71" i="1"/>
  <c r="Y72" i="1"/>
  <c r="Y73" i="1"/>
  <c r="Y74" i="1"/>
  <c r="Y75" i="1"/>
  <c r="Y76" i="1"/>
  <c r="Y77" i="1"/>
  <c r="Y78" i="1"/>
  <c r="Y79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AA34" i="1"/>
  <c r="Y35" i="1"/>
  <c r="N37" i="1"/>
  <c r="N31" i="1"/>
  <c r="N32" i="1" s="1"/>
  <c r="K36" i="1"/>
  <c r="K37" i="1"/>
  <c r="K35" i="1"/>
  <c r="K34" i="1"/>
  <c r="K33" i="1"/>
  <c r="K32" i="1"/>
  <c r="D10" i="1"/>
  <c r="D19" i="1"/>
  <c r="F10" i="1"/>
  <c r="F19" i="1"/>
  <c r="E19" i="1"/>
  <c r="E10" i="1"/>
  <c r="H28" i="1" s="1"/>
  <c r="G19" i="1"/>
  <c r="G10" i="1"/>
  <c r="D30" i="5" l="1"/>
  <c r="F30" i="5" s="1"/>
  <c r="E31" i="5" s="1"/>
  <c r="J47" i="3"/>
  <c r="I47" i="3" s="1"/>
  <c r="K47" i="3" s="1"/>
  <c r="AG38" i="3"/>
  <c r="AF38" i="3" s="1"/>
  <c r="AH38" i="3" s="1"/>
  <c r="V46" i="3"/>
  <c r="U46" i="3" s="1"/>
  <c r="W46" i="3" s="1"/>
  <c r="Z34" i="1"/>
  <c r="AA35" i="1" s="1"/>
  <c r="Z35" i="1" s="1"/>
  <c r="AB35" i="1" s="1"/>
  <c r="M65" i="1"/>
  <c r="L65" i="1" s="1"/>
  <c r="N65" i="1" s="1"/>
  <c r="C67" i="1"/>
  <c r="E67" i="1" s="1"/>
  <c r="D68" i="1" s="1"/>
  <c r="D28" i="1"/>
  <c r="J28" i="1"/>
  <c r="E28" i="1"/>
  <c r="I28" i="1"/>
  <c r="F21" i="1"/>
  <c r="F22" i="1" s="1"/>
  <c r="D21" i="1"/>
  <c r="D22" i="1" s="1"/>
  <c r="F28" i="1"/>
  <c r="B10" i="1"/>
  <c r="K38" i="1"/>
  <c r="E21" i="1"/>
  <c r="E22" i="1" s="1"/>
  <c r="G21" i="1"/>
  <c r="G24" i="1" s="1"/>
  <c r="G25" i="1" s="1"/>
  <c r="E42" i="1"/>
  <c r="G28" i="1"/>
  <c r="D31" i="5" l="1"/>
  <c r="F31" i="5" s="1"/>
  <c r="E32" i="5" s="1"/>
  <c r="AG39" i="3"/>
  <c r="AF39" i="3" s="1"/>
  <c r="AH39" i="3" s="1"/>
  <c r="V47" i="3"/>
  <c r="U47" i="3" s="1"/>
  <c r="W47" i="3" s="1"/>
  <c r="J48" i="3"/>
  <c r="I48" i="3" s="1"/>
  <c r="K48" i="3" s="1"/>
  <c r="M66" i="1"/>
  <c r="L66" i="1" s="1"/>
  <c r="N66" i="1" s="1"/>
  <c r="M67" i="1" s="1"/>
  <c r="L67" i="1" s="1"/>
  <c r="N67" i="1" s="1"/>
  <c r="M68" i="1" s="1"/>
  <c r="L68" i="1" s="1"/>
  <c r="N68" i="1" s="1"/>
  <c r="M69" i="1" s="1"/>
  <c r="C68" i="1"/>
  <c r="E68" i="1" s="1"/>
  <c r="D69" i="1" s="1"/>
  <c r="C22" i="1"/>
  <c r="C23" i="1" s="1"/>
  <c r="D38" i="1"/>
  <c r="D40" i="1" s="1"/>
  <c r="D41" i="1" s="1"/>
  <c r="B3" i="1"/>
  <c r="E24" i="1"/>
  <c r="AA36" i="1"/>
  <c r="Z36" i="1" s="1"/>
  <c r="AB36" i="1" s="1"/>
  <c r="F24" i="1"/>
  <c r="F25" i="1" s="1"/>
  <c r="G22" i="1"/>
  <c r="D32" i="5" l="1"/>
  <c r="F32" i="5" s="1"/>
  <c r="E33" i="5" s="1"/>
  <c r="J49" i="3"/>
  <c r="I49" i="3" s="1"/>
  <c r="K49" i="3" s="1"/>
  <c r="V48" i="3"/>
  <c r="U48" i="3" s="1"/>
  <c r="W48" i="3" s="1"/>
  <c r="AG40" i="3"/>
  <c r="AF40" i="3" s="1"/>
  <c r="AH40" i="3" s="1"/>
  <c r="L69" i="1"/>
  <c r="N69" i="1" s="1"/>
  <c r="M70" i="1" s="1"/>
  <c r="C69" i="1"/>
  <c r="E69" i="1" s="1"/>
  <c r="D70" i="1" s="1"/>
  <c r="G38" i="1"/>
  <c r="G40" i="1" s="1"/>
  <c r="AA37" i="1"/>
  <c r="Z37" i="1" s="1"/>
  <c r="AB37" i="1" s="1"/>
  <c r="D42" i="1"/>
  <c r="E25" i="1"/>
  <c r="D33" i="5" l="1"/>
  <c r="F33" i="5" s="1"/>
  <c r="E34" i="5" s="1"/>
  <c r="AG41" i="3"/>
  <c r="AF41" i="3" s="1"/>
  <c r="AH41" i="3" s="1"/>
  <c r="V49" i="3"/>
  <c r="U49" i="3" s="1"/>
  <c r="W49" i="3" s="1"/>
  <c r="J50" i="3"/>
  <c r="I50" i="3" s="1"/>
  <c r="K50" i="3" s="1"/>
  <c r="L70" i="1"/>
  <c r="N70" i="1" s="1"/>
  <c r="M71" i="1" s="1"/>
  <c r="C70" i="1"/>
  <c r="E70" i="1" s="1"/>
  <c r="D71" i="1" s="1"/>
  <c r="AA38" i="1"/>
  <c r="Z38" i="1" s="1"/>
  <c r="AB38" i="1" s="1"/>
  <c r="D34" i="5" l="1"/>
  <c r="F34" i="5" s="1"/>
  <c r="E35" i="5" s="1"/>
  <c r="J51" i="3"/>
  <c r="I51" i="3" s="1"/>
  <c r="K51" i="3" s="1"/>
  <c r="AG42" i="3"/>
  <c r="AF42" i="3" s="1"/>
  <c r="AH42" i="3" s="1"/>
  <c r="V50" i="3"/>
  <c r="U50" i="3" s="1"/>
  <c r="W50" i="3" s="1"/>
  <c r="L71" i="1"/>
  <c r="N71" i="1" s="1"/>
  <c r="M72" i="1" s="1"/>
  <c r="C71" i="1"/>
  <c r="E71" i="1" s="1"/>
  <c r="D72" i="1" s="1"/>
  <c r="AA39" i="1"/>
  <c r="Z39" i="1" s="1"/>
  <c r="AB39" i="1" s="1"/>
  <c r="D35" i="5" l="1"/>
  <c r="F35" i="5" s="1"/>
  <c r="E36" i="5" s="1"/>
  <c r="J52" i="3"/>
  <c r="I52" i="3" s="1"/>
  <c r="K52" i="3" s="1"/>
  <c r="V51" i="3"/>
  <c r="U51" i="3" s="1"/>
  <c r="W51" i="3" s="1"/>
  <c r="AG43" i="3"/>
  <c r="AF43" i="3" s="1"/>
  <c r="AH43" i="3" s="1"/>
  <c r="L72" i="1"/>
  <c r="N72" i="1" s="1"/>
  <c r="M73" i="1" s="1"/>
  <c r="C72" i="1"/>
  <c r="E72" i="1" s="1"/>
  <c r="D73" i="1" s="1"/>
  <c r="AA40" i="1"/>
  <c r="Z40" i="1" s="1"/>
  <c r="AB40" i="1" s="1"/>
  <c r="D36" i="5" l="1"/>
  <c r="F36" i="5" s="1"/>
  <c r="E37" i="5" s="1"/>
  <c r="V52" i="3"/>
  <c r="U52" i="3" s="1"/>
  <c r="W52" i="3" s="1"/>
  <c r="J53" i="3"/>
  <c r="I53" i="3" s="1"/>
  <c r="K53" i="3" s="1"/>
  <c r="AG44" i="3"/>
  <c r="AF44" i="3" s="1"/>
  <c r="AH44" i="3" s="1"/>
  <c r="L73" i="1"/>
  <c r="N73" i="1" s="1"/>
  <c r="M74" i="1" s="1"/>
  <c r="C73" i="1"/>
  <c r="E73" i="1" s="1"/>
  <c r="D74" i="1" s="1"/>
  <c r="AA41" i="1"/>
  <c r="Z41" i="1" s="1"/>
  <c r="AB41" i="1" s="1"/>
  <c r="D37" i="5" l="1"/>
  <c r="F37" i="5" s="1"/>
  <c r="E38" i="5" s="1"/>
  <c r="AG45" i="3"/>
  <c r="AF45" i="3" s="1"/>
  <c r="AH45" i="3" s="1"/>
  <c r="J54" i="3"/>
  <c r="I54" i="3" s="1"/>
  <c r="K54" i="3" s="1"/>
  <c r="V53" i="3"/>
  <c r="U53" i="3" s="1"/>
  <c r="W53" i="3" s="1"/>
  <c r="L74" i="1"/>
  <c r="N74" i="1" s="1"/>
  <c r="M75" i="1" s="1"/>
  <c r="C74" i="1"/>
  <c r="E74" i="1" s="1"/>
  <c r="D75" i="1" s="1"/>
  <c r="AA42" i="1"/>
  <c r="Z42" i="1" s="1"/>
  <c r="AB42" i="1" s="1"/>
  <c r="D38" i="5" l="1"/>
  <c r="F38" i="5" s="1"/>
  <c r="E39" i="5" s="1"/>
  <c r="G21" i="4"/>
  <c r="V54" i="3"/>
  <c r="U54" i="3" s="1"/>
  <c r="W54" i="3" s="1"/>
  <c r="J55" i="3"/>
  <c r="I55" i="3" s="1"/>
  <c r="K55" i="3" s="1"/>
  <c r="AG46" i="3"/>
  <c r="AF46" i="3" s="1"/>
  <c r="AH46" i="3" s="1"/>
  <c r="L75" i="1"/>
  <c r="N75" i="1" s="1"/>
  <c r="M76" i="1" s="1"/>
  <c r="C75" i="1"/>
  <c r="E75" i="1" s="1"/>
  <c r="AA43" i="1"/>
  <c r="Z43" i="1" s="1"/>
  <c r="AB43" i="1" s="1"/>
  <c r="D39" i="5" l="1"/>
  <c r="F39" i="5" s="1"/>
  <c r="E40" i="5" s="1"/>
  <c r="G22" i="4"/>
  <c r="AG47" i="3"/>
  <c r="AF47" i="3" s="1"/>
  <c r="AH47" i="3" s="1"/>
  <c r="J56" i="3"/>
  <c r="I56" i="3" s="1"/>
  <c r="K56" i="3" s="1"/>
  <c r="V55" i="3"/>
  <c r="U55" i="3" s="1"/>
  <c r="W55" i="3" s="1"/>
  <c r="D76" i="1"/>
  <c r="C76" i="1" s="1"/>
  <c r="E76" i="1" s="1"/>
  <c r="D77" i="1" s="1"/>
  <c r="L76" i="1"/>
  <c r="N76" i="1" s="1"/>
  <c r="M77" i="1" s="1"/>
  <c r="AA44" i="1"/>
  <c r="Z44" i="1" s="1"/>
  <c r="AB44" i="1" s="1"/>
  <c r="D40" i="5" l="1"/>
  <c r="F40" i="5" s="1"/>
  <c r="E41" i="5" s="1"/>
  <c r="G23" i="4"/>
  <c r="V56" i="3"/>
  <c r="U56" i="3" s="1"/>
  <c r="W56" i="3" s="1"/>
  <c r="AG48" i="3"/>
  <c r="AF48" i="3" s="1"/>
  <c r="AH48" i="3" s="1"/>
  <c r="J57" i="3"/>
  <c r="I57" i="3" s="1"/>
  <c r="K57" i="3" s="1"/>
  <c r="L77" i="1"/>
  <c r="N77" i="1" s="1"/>
  <c r="M78" i="1" s="1"/>
  <c r="C77" i="1"/>
  <c r="E77" i="1" s="1"/>
  <c r="D78" i="1" s="1"/>
  <c r="AA45" i="1"/>
  <c r="Z45" i="1" s="1"/>
  <c r="AB45" i="1" s="1"/>
  <c r="D41" i="5" l="1"/>
  <c r="F41" i="5" s="1"/>
  <c r="E42" i="5" s="1"/>
  <c r="J58" i="3"/>
  <c r="I58" i="3" s="1"/>
  <c r="K58" i="3" s="1"/>
  <c r="AG49" i="3"/>
  <c r="AF49" i="3" s="1"/>
  <c r="AH49" i="3" s="1"/>
  <c r="V57" i="3"/>
  <c r="U57" i="3" s="1"/>
  <c r="W57" i="3" s="1"/>
  <c r="L78" i="1"/>
  <c r="N78" i="1" s="1"/>
  <c r="M79" i="1" s="1"/>
  <c r="C78" i="1"/>
  <c r="E78" i="1" s="1"/>
  <c r="D79" i="1" s="1"/>
  <c r="AA46" i="1"/>
  <c r="Z46" i="1" s="1"/>
  <c r="AB46" i="1" s="1"/>
  <c r="D42" i="5" l="1"/>
  <c r="F42" i="5" s="1"/>
  <c r="E43" i="5" s="1"/>
  <c r="AG50" i="3"/>
  <c r="AF50" i="3" s="1"/>
  <c r="AH50" i="3" s="1"/>
  <c r="V58" i="3"/>
  <c r="U58" i="3" s="1"/>
  <c r="W58" i="3" s="1"/>
  <c r="J59" i="3"/>
  <c r="I59" i="3" s="1"/>
  <c r="K59" i="3" s="1"/>
  <c r="L79" i="1"/>
  <c r="N79" i="1" s="1"/>
  <c r="M80" i="1" s="1"/>
  <c r="C79" i="1"/>
  <c r="E79" i="1" s="1"/>
  <c r="D80" i="1" s="1"/>
  <c r="AA47" i="1"/>
  <c r="Z47" i="1" s="1"/>
  <c r="AB47" i="1" s="1"/>
  <c r="D43" i="5" l="1"/>
  <c r="F43" i="5" s="1"/>
  <c r="E44" i="5" s="1"/>
  <c r="F26" i="4"/>
  <c r="E26" i="4" s="1"/>
  <c r="G26" i="4" s="1"/>
  <c r="J60" i="3"/>
  <c r="I60" i="3" s="1"/>
  <c r="K60" i="3" s="1"/>
  <c r="V59" i="3"/>
  <c r="U59" i="3" s="1"/>
  <c r="W59" i="3" s="1"/>
  <c r="AG51" i="3"/>
  <c r="AF51" i="3" s="1"/>
  <c r="AH51" i="3" s="1"/>
  <c r="L80" i="1"/>
  <c r="N80" i="1" s="1"/>
  <c r="M81" i="1" s="1"/>
  <c r="C80" i="1"/>
  <c r="E80" i="1" s="1"/>
  <c r="D81" i="1" s="1"/>
  <c r="AA48" i="1"/>
  <c r="Z48" i="1" s="1"/>
  <c r="AB48" i="1" s="1"/>
  <c r="D44" i="5" l="1"/>
  <c r="F44" i="5" s="1"/>
  <c r="E45" i="5" s="1"/>
  <c r="F27" i="4"/>
  <c r="E27" i="4" s="1"/>
  <c r="G27" i="4" s="1"/>
  <c r="AG52" i="3"/>
  <c r="AF52" i="3" s="1"/>
  <c r="AH52" i="3" s="1"/>
  <c r="J61" i="3"/>
  <c r="I61" i="3" s="1"/>
  <c r="K61" i="3" s="1"/>
  <c r="V60" i="3"/>
  <c r="U60" i="3" s="1"/>
  <c r="W60" i="3" s="1"/>
  <c r="L81" i="1"/>
  <c r="N81" i="1" s="1"/>
  <c r="M82" i="1" s="1"/>
  <c r="C81" i="1"/>
  <c r="E81" i="1" s="1"/>
  <c r="D82" i="1" s="1"/>
  <c r="AA49" i="1"/>
  <c r="Z49" i="1" s="1"/>
  <c r="AB49" i="1" s="1"/>
  <c r="D45" i="5" l="1"/>
  <c r="F45" i="5" s="1"/>
  <c r="E46" i="5" s="1"/>
  <c r="F28" i="4"/>
  <c r="E28" i="4" s="1"/>
  <c r="G28" i="4" s="1"/>
  <c r="V61" i="3"/>
  <c r="U61" i="3" s="1"/>
  <c r="W61" i="3" s="1"/>
  <c r="AG53" i="3"/>
  <c r="AF53" i="3" s="1"/>
  <c r="AH53" i="3" s="1"/>
  <c r="J62" i="3"/>
  <c r="I62" i="3" s="1"/>
  <c r="K62" i="3" s="1"/>
  <c r="L82" i="1"/>
  <c r="N82" i="1" s="1"/>
  <c r="M83" i="1" s="1"/>
  <c r="C82" i="1"/>
  <c r="E82" i="1" s="1"/>
  <c r="D83" i="1" s="1"/>
  <c r="AA50" i="1"/>
  <c r="Z50" i="1" s="1"/>
  <c r="AB50" i="1" s="1"/>
  <c r="D46" i="5" l="1"/>
  <c r="F46" i="5" s="1"/>
  <c r="E47" i="5" s="1"/>
  <c r="F29" i="4"/>
  <c r="E29" i="4" s="1"/>
  <c r="G29" i="4" s="1"/>
  <c r="J63" i="3"/>
  <c r="I63" i="3" s="1"/>
  <c r="K63" i="3" s="1"/>
  <c r="AG54" i="3"/>
  <c r="AF54" i="3" s="1"/>
  <c r="AH54" i="3" s="1"/>
  <c r="V62" i="3"/>
  <c r="U62" i="3" s="1"/>
  <c r="W62" i="3" s="1"/>
  <c r="L83" i="1"/>
  <c r="N83" i="1" s="1"/>
  <c r="M84" i="1" s="1"/>
  <c r="C83" i="1"/>
  <c r="E83" i="1" s="1"/>
  <c r="D84" i="1" s="1"/>
  <c r="AA51" i="1"/>
  <c r="Z51" i="1" s="1"/>
  <c r="AB51" i="1" s="1"/>
  <c r="D47" i="5" l="1"/>
  <c r="F47" i="5" s="1"/>
  <c r="E48" i="5" s="1"/>
  <c r="F30" i="4"/>
  <c r="E30" i="4" s="1"/>
  <c r="G30" i="4" s="1"/>
  <c r="AG55" i="3"/>
  <c r="AF55" i="3" s="1"/>
  <c r="AH55" i="3" s="1"/>
  <c r="V63" i="3"/>
  <c r="U63" i="3" s="1"/>
  <c r="W63" i="3" s="1"/>
  <c r="J64" i="3"/>
  <c r="I64" i="3" s="1"/>
  <c r="K64" i="3" s="1"/>
  <c r="L84" i="1"/>
  <c r="N84" i="1" s="1"/>
  <c r="M85" i="1" s="1"/>
  <c r="C84" i="1"/>
  <c r="E84" i="1" s="1"/>
  <c r="D85" i="1" s="1"/>
  <c r="AA52" i="1"/>
  <c r="Z52" i="1" s="1"/>
  <c r="AB52" i="1" s="1"/>
  <c r="D48" i="5" l="1"/>
  <c r="F48" i="5" s="1"/>
  <c r="E49" i="5" s="1"/>
  <c r="F31" i="4"/>
  <c r="E31" i="4" s="1"/>
  <c r="G31" i="4" s="1"/>
  <c r="J65" i="3"/>
  <c r="I65" i="3" s="1"/>
  <c r="K65" i="3" s="1"/>
  <c r="V64" i="3"/>
  <c r="U64" i="3" s="1"/>
  <c r="W64" i="3" s="1"/>
  <c r="AG56" i="3"/>
  <c r="AF56" i="3" s="1"/>
  <c r="AH56" i="3" s="1"/>
  <c r="L85" i="1"/>
  <c r="N85" i="1" s="1"/>
  <c r="M86" i="1" s="1"/>
  <c r="C85" i="1"/>
  <c r="E85" i="1" s="1"/>
  <c r="D86" i="1" s="1"/>
  <c r="AA53" i="1"/>
  <c r="Z53" i="1" s="1"/>
  <c r="AB53" i="1" s="1"/>
  <c r="D49" i="5" l="1"/>
  <c r="F49" i="5" s="1"/>
  <c r="E50" i="5" s="1"/>
  <c r="F32" i="4"/>
  <c r="E32" i="4" s="1"/>
  <c r="G32" i="4" s="1"/>
  <c r="AG57" i="3"/>
  <c r="AF57" i="3" s="1"/>
  <c r="AH57" i="3" s="1"/>
  <c r="V65" i="3"/>
  <c r="U65" i="3" s="1"/>
  <c r="W65" i="3" s="1"/>
  <c r="J66" i="3"/>
  <c r="I66" i="3" s="1"/>
  <c r="K66" i="3" s="1"/>
  <c r="L86" i="1"/>
  <c r="N86" i="1" s="1"/>
  <c r="M87" i="1" s="1"/>
  <c r="C86" i="1"/>
  <c r="E86" i="1" s="1"/>
  <c r="D87" i="1" s="1"/>
  <c r="AA54" i="1"/>
  <c r="Z54" i="1" s="1"/>
  <c r="AB54" i="1" s="1"/>
  <c r="D50" i="5" l="1"/>
  <c r="F50" i="5" s="1"/>
  <c r="E51" i="5" s="1"/>
  <c r="F33" i="4"/>
  <c r="E33" i="4" s="1"/>
  <c r="G33" i="4" s="1"/>
  <c r="J67" i="3"/>
  <c r="I67" i="3" s="1"/>
  <c r="K67" i="3" s="1"/>
  <c r="V66" i="3"/>
  <c r="U66" i="3" s="1"/>
  <c r="W66" i="3" s="1"/>
  <c r="AG58" i="3"/>
  <c r="AF58" i="3" s="1"/>
  <c r="AH58" i="3" s="1"/>
  <c r="L87" i="1"/>
  <c r="N87" i="1" s="1"/>
  <c r="M88" i="1" s="1"/>
  <c r="C87" i="1"/>
  <c r="E87" i="1" s="1"/>
  <c r="D88" i="1" s="1"/>
  <c r="AA55" i="1"/>
  <c r="Z55" i="1" s="1"/>
  <c r="AB55" i="1" s="1"/>
  <c r="D51" i="5" l="1"/>
  <c r="F51" i="5" s="1"/>
  <c r="E52" i="5" s="1"/>
  <c r="F34" i="4"/>
  <c r="E34" i="4" s="1"/>
  <c r="G34" i="4" s="1"/>
  <c r="V67" i="3"/>
  <c r="U67" i="3" s="1"/>
  <c r="W67" i="3" s="1"/>
  <c r="J68" i="3"/>
  <c r="I68" i="3" s="1"/>
  <c r="K68" i="3" s="1"/>
  <c r="AG59" i="3"/>
  <c r="AF59" i="3" s="1"/>
  <c r="AH59" i="3" s="1"/>
  <c r="L88" i="1"/>
  <c r="N88" i="1" s="1"/>
  <c r="M89" i="1" s="1"/>
  <c r="C88" i="1"/>
  <c r="E88" i="1" s="1"/>
  <c r="D89" i="1" s="1"/>
  <c r="AA56" i="1"/>
  <c r="Z56" i="1" s="1"/>
  <c r="AB56" i="1" s="1"/>
  <c r="D52" i="5" l="1"/>
  <c r="F52" i="5" s="1"/>
  <c r="E53" i="5" s="1"/>
  <c r="F35" i="4"/>
  <c r="E35" i="4" s="1"/>
  <c r="G35" i="4" s="1"/>
  <c r="J69" i="3"/>
  <c r="I69" i="3" s="1"/>
  <c r="K69" i="3" s="1"/>
  <c r="V68" i="3"/>
  <c r="U68" i="3" s="1"/>
  <c r="W68" i="3" s="1"/>
  <c r="AG60" i="3"/>
  <c r="AF60" i="3" s="1"/>
  <c r="AH60" i="3" s="1"/>
  <c r="L89" i="1"/>
  <c r="N89" i="1" s="1"/>
  <c r="M90" i="1" s="1"/>
  <c r="C89" i="1"/>
  <c r="E89" i="1" s="1"/>
  <c r="D90" i="1" s="1"/>
  <c r="AA57" i="1"/>
  <c r="Z57" i="1" s="1"/>
  <c r="AB57" i="1" s="1"/>
  <c r="D53" i="5" l="1"/>
  <c r="F53" i="5" s="1"/>
  <c r="E54" i="5" s="1"/>
  <c r="F36" i="4"/>
  <c r="E36" i="4" s="1"/>
  <c r="G36" i="4" s="1"/>
  <c r="AG61" i="3"/>
  <c r="AF61" i="3" s="1"/>
  <c r="AH61" i="3" s="1"/>
  <c r="V69" i="3"/>
  <c r="U69" i="3" s="1"/>
  <c r="W69" i="3" s="1"/>
  <c r="J70" i="3"/>
  <c r="I70" i="3" s="1"/>
  <c r="K70" i="3" s="1"/>
  <c r="L90" i="1"/>
  <c r="N90" i="1" s="1"/>
  <c r="M91" i="1" s="1"/>
  <c r="C90" i="1"/>
  <c r="E90" i="1" s="1"/>
  <c r="D91" i="1" s="1"/>
  <c r="AA58" i="1"/>
  <c r="Z58" i="1" s="1"/>
  <c r="AB58" i="1" s="1"/>
  <c r="D54" i="5" l="1"/>
  <c r="F54" i="5" s="1"/>
  <c r="E55" i="5" s="1"/>
  <c r="F37" i="4"/>
  <c r="E37" i="4" s="1"/>
  <c r="G37" i="4" s="1"/>
  <c r="J71" i="3"/>
  <c r="I71" i="3" s="1"/>
  <c r="K71" i="3" s="1"/>
  <c r="V70" i="3"/>
  <c r="U70" i="3" s="1"/>
  <c r="W70" i="3" s="1"/>
  <c r="AG62" i="3"/>
  <c r="AF62" i="3" s="1"/>
  <c r="AH62" i="3" s="1"/>
  <c r="L91" i="1"/>
  <c r="N91" i="1" s="1"/>
  <c r="M92" i="1" s="1"/>
  <c r="C91" i="1"/>
  <c r="E91" i="1" s="1"/>
  <c r="D92" i="1" s="1"/>
  <c r="AA59" i="1"/>
  <c r="Z59" i="1" s="1"/>
  <c r="AB59" i="1" s="1"/>
  <c r="D55" i="5" l="1"/>
  <c r="F55" i="5" s="1"/>
  <c r="E56" i="5" s="1"/>
  <c r="F38" i="4"/>
  <c r="E38" i="4" s="1"/>
  <c r="G38" i="4" s="1"/>
  <c r="AG63" i="3"/>
  <c r="AF63" i="3" s="1"/>
  <c r="AH63" i="3" s="1"/>
  <c r="V71" i="3"/>
  <c r="U71" i="3" s="1"/>
  <c r="W71" i="3" s="1"/>
  <c r="J72" i="3"/>
  <c r="I72" i="3" s="1"/>
  <c r="K72" i="3" s="1"/>
  <c r="L92" i="1"/>
  <c r="N92" i="1" s="1"/>
  <c r="M93" i="1" s="1"/>
  <c r="C92" i="1"/>
  <c r="E92" i="1" s="1"/>
  <c r="D93" i="1" s="1"/>
  <c r="AA60" i="1"/>
  <c r="Z60" i="1" s="1"/>
  <c r="AB60" i="1" s="1"/>
  <c r="D56" i="5" l="1"/>
  <c r="F56" i="5" s="1"/>
  <c r="E57" i="5" s="1"/>
  <c r="F39" i="4"/>
  <c r="E39" i="4" s="1"/>
  <c r="G39" i="4" s="1"/>
  <c r="J73" i="3"/>
  <c r="I73" i="3" s="1"/>
  <c r="K73" i="3" s="1"/>
  <c r="V72" i="3"/>
  <c r="U72" i="3" s="1"/>
  <c r="W72" i="3" s="1"/>
  <c r="AG64" i="3"/>
  <c r="AF64" i="3" s="1"/>
  <c r="AH64" i="3" s="1"/>
  <c r="L93" i="1"/>
  <c r="N93" i="1" s="1"/>
  <c r="M94" i="1" s="1"/>
  <c r="C93" i="1"/>
  <c r="E93" i="1" s="1"/>
  <c r="D94" i="1" s="1"/>
  <c r="AA61" i="1"/>
  <c r="Z61" i="1" s="1"/>
  <c r="AB61" i="1" s="1"/>
  <c r="D57" i="5" l="1"/>
  <c r="F57" i="5" s="1"/>
  <c r="E58" i="5" s="1"/>
  <c r="F40" i="4"/>
  <c r="E40" i="4" s="1"/>
  <c r="G40" i="4" s="1"/>
  <c r="AG65" i="3"/>
  <c r="AF65" i="3" s="1"/>
  <c r="AH65" i="3" s="1"/>
  <c r="V73" i="3"/>
  <c r="U73" i="3" s="1"/>
  <c r="W73" i="3" s="1"/>
  <c r="J74" i="3"/>
  <c r="I74" i="3" s="1"/>
  <c r="K74" i="3" s="1"/>
  <c r="L94" i="1"/>
  <c r="N94" i="1" s="1"/>
  <c r="M95" i="1" s="1"/>
  <c r="C94" i="1"/>
  <c r="E94" i="1" s="1"/>
  <c r="D95" i="1" s="1"/>
  <c r="AA62" i="1"/>
  <c r="Z62" i="1" s="1"/>
  <c r="AB62" i="1" s="1"/>
  <c r="D58" i="5" l="1"/>
  <c r="F58" i="5" s="1"/>
  <c r="E59" i="5" s="1"/>
  <c r="F41" i="4"/>
  <c r="E41" i="4" s="1"/>
  <c r="G41" i="4" s="1"/>
  <c r="J75" i="3"/>
  <c r="I75" i="3" s="1"/>
  <c r="K75" i="3" s="1"/>
  <c r="V74" i="3"/>
  <c r="U74" i="3" s="1"/>
  <c r="W74" i="3" s="1"/>
  <c r="AG66" i="3"/>
  <c r="AF66" i="3" s="1"/>
  <c r="AH66" i="3" s="1"/>
  <c r="L95" i="1"/>
  <c r="N95" i="1" s="1"/>
  <c r="M96" i="1" s="1"/>
  <c r="C95" i="1"/>
  <c r="E95" i="1" s="1"/>
  <c r="D96" i="1" s="1"/>
  <c r="AA63" i="1"/>
  <c r="Z63" i="1" s="1"/>
  <c r="AB63" i="1" s="1"/>
  <c r="D59" i="5" l="1"/>
  <c r="F59" i="5" s="1"/>
  <c r="E60" i="5" s="1"/>
  <c r="F42" i="4"/>
  <c r="E42" i="4" s="1"/>
  <c r="G42" i="4" s="1"/>
  <c r="AG67" i="3"/>
  <c r="AF67" i="3" s="1"/>
  <c r="AH67" i="3" s="1"/>
  <c r="V75" i="3"/>
  <c r="U75" i="3" s="1"/>
  <c r="W75" i="3" s="1"/>
  <c r="J76" i="3"/>
  <c r="I76" i="3" s="1"/>
  <c r="K76" i="3" s="1"/>
  <c r="L96" i="1"/>
  <c r="N96" i="1" s="1"/>
  <c r="M97" i="1" s="1"/>
  <c r="C96" i="1"/>
  <c r="E96" i="1" s="1"/>
  <c r="D97" i="1" s="1"/>
  <c r="AA64" i="1"/>
  <c r="Z64" i="1" s="1"/>
  <c r="AB64" i="1" s="1"/>
  <c r="D60" i="5" l="1"/>
  <c r="F60" i="5" s="1"/>
  <c r="E61" i="5" s="1"/>
  <c r="F43" i="4"/>
  <c r="E43" i="4" s="1"/>
  <c r="G43" i="4" s="1"/>
  <c r="J77" i="3"/>
  <c r="I77" i="3" s="1"/>
  <c r="K77" i="3" s="1"/>
  <c r="AG68" i="3"/>
  <c r="AF68" i="3" s="1"/>
  <c r="AH68" i="3" s="1"/>
  <c r="V76" i="3"/>
  <c r="U76" i="3" s="1"/>
  <c r="W76" i="3" s="1"/>
  <c r="L97" i="1"/>
  <c r="N97" i="1" s="1"/>
  <c r="M98" i="1" s="1"/>
  <c r="C97" i="1"/>
  <c r="E97" i="1" s="1"/>
  <c r="D98" i="1" s="1"/>
  <c r="AA65" i="1"/>
  <c r="Z65" i="1" s="1"/>
  <c r="AB65" i="1" s="1"/>
  <c r="D61" i="5" l="1"/>
  <c r="F61" i="5" s="1"/>
  <c r="E62" i="5" s="1"/>
  <c r="F44" i="4"/>
  <c r="E44" i="4" s="1"/>
  <c r="G44" i="4" s="1"/>
  <c r="V77" i="3"/>
  <c r="U77" i="3" s="1"/>
  <c r="W77" i="3" s="1"/>
  <c r="AG69" i="3"/>
  <c r="AF69" i="3" s="1"/>
  <c r="AH69" i="3" s="1"/>
  <c r="J78" i="3"/>
  <c r="I78" i="3" s="1"/>
  <c r="K78" i="3" s="1"/>
  <c r="L98" i="1"/>
  <c r="N98" i="1" s="1"/>
  <c r="M99" i="1" s="1"/>
  <c r="C98" i="1"/>
  <c r="E98" i="1" s="1"/>
  <c r="D99" i="1" s="1"/>
  <c r="AA66" i="1"/>
  <c r="Z66" i="1" s="1"/>
  <c r="AB66" i="1" s="1"/>
  <c r="D62" i="5" l="1"/>
  <c r="F62" i="5" s="1"/>
  <c r="E63" i="5" s="1"/>
  <c r="F45" i="4"/>
  <c r="E45" i="4" s="1"/>
  <c r="G45" i="4" s="1"/>
  <c r="AG70" i="3"/>
  <c r="AF70" i="3" s="1"/>
  <c r="AH70" i="3" s="1"/>
  <c r="J79" i="3"/>
  <c r="I79" i="3" s="1"/>
  <c r="K79" i="3" s="1"/>
  <c r="V78" i="3"/>
  <c r="U78" i="3" s="1"/>
  <c r="W78" i="3" s="1"/>
  <c r="L99" i="1"/>
  <c r="N99" i="1" s="1"/>
  <c r="M100" i="1" s="1"/>
  <c r="C99" i="1"/>
  <c r="E99" i="1" s="1"/>
  <c r="D100" i="1" s="1"/>
  <c r="AA67" i="1"/>
  <c r="Z67" i="1" s="1"/>
  <c r="AB67" i="1" s="1"/>
  <c r="D63" i="5" l="1"/>
  <c r="F63" i="5" s="1"/>
  <c r="E64" i="5" s="1"/>
  <c r="F46" i="4"/>
  <c r="E46" i="4" s="1"/>
  <c r="G46" i="4" s="1"/>
  <c r="V79" i="3"/>
  <c r="U79" i="3" s="1"/>
  <c r="W79" i="3" s="1"/>
  <c r="J80" i="3"/>
  <c r="I80" i="3" s="1"/>
  <c r="K80" i="3" s="1"/>
  <c r="AG71" i="3"/>
  <c r="AF71" i="3" s="1"/>
  <c r="AH71" i="3" s="1"/>
  <c r="L100" i="1"/>
  <c r="N100" i="1" s="1"/>
  <c r="M101" i="1" s="1"/>
  <c r="C100" i="1"/>
  <c r="E100" i="1" s="1"/>
  <c r="D101" i="1" s="1"/>
  <c r="AA68" i="1"/>
  <c r="Z68" i="1" s="1"/>
  <c r="AB68" i="1" s="1"/>
  <c r="D64" i="5" l="1"/>
  <c r="F64" i="5" s="1"/>
  <c r="E65" i="5" s="1"/>
  <c r="F47" i="4"/>
  <c r="E47" i="4" s="1"/>
  <c r="G47" i="4" s="1"/>
  <c r="J81" i="3"/>
  <c r="I81" i="3" s="1"/>
  <c r="K81" i="3" s="1"/>
  <c r="V80" i="3"/>
  <c r="U80" i="3" s="1"/>
  <c r="W80" i="3" s="1"/>
  <c r="AG72" i="3"/>
  <c r="AF72" i="3" s="1"/>
  <c r="AH72" i="3" s="1"/>
  <c r="L101" i="1"/>
  <c r="N101" i="1" s="1"/>
  <c r="M102" i="1" s="1"/>
  <c r="C101" i="1"/>
  <c r="E101" i="1" s="1"/>
  <c r="D102" i="1" s="1"/>
  <c r="AA69" i="1"/>
  <c r="Z69" i="1" s="1"/>
  <c r="AB69" i="1" s="1"/>
  <c r="D65" i="5" l="1"/>
  <c r="F65" i="5" s="1"/>
  <c r="E66" i="5" s="1"/>
  <c r="F48" i="4"/>
  <c r="E48" i="4" s="1"/>
  <c r="G48" i="4" s="1"/>
  <c r="AG73" i="3"/>
  <c r="AF73" i="3" s="1"/>
  <c r="AH73" i="3" s="1"/>
  <c r="V81" i="3"/>
  <c r="U81" i="3" s="1"/>
  <c r="W81" i="3" s="1"/>
  <c r="J82" i="3"/>
  <c r="I82" i="3" s="1"/>
  <c r="K82" i="3" s="1"/>
  <c r="L102" i="1"/>
  <c r="N102" i="1" s="1"/>
  <c r="M103" i="1" s="1"/>
  <c r="C102" i="1"/>
  <c r="E102" i="1" s="1"/>
  <c r="D103" i="1" s="1"/>
  <c r="AA70" i="1"/>
  <c r="Z70" i="1" s="1"/>
  <c r="AB70" i="1" s="1"/>
  <c r="D66" i="5" l="1"/>
  <c r="F66" i="5" s="1"/>
  <c r="E67" i="5" s="1"/>
  <c r="F49" i="4"/>
  <c r="E49" i="4" s="1"/>
  <c r="G49" i="4" s="1"/>
  <c r="J83" i="3"/>
  <c r="I83" i="3" s="1"/>
  <c r="K83" i="3" s="1"/>
  <c r="V82" i="3"/>
  <c r="U82" i="3" s="1"/>
  <c r="W82" i="3" s="1"/>
  <c r="AG74" i="3"/>
  <c r="AF74" i="3" s="1"/>
  <c r="AH74" i="3" s="1"/>
  <c r="L103" i="1"/>
  <c r="N103" i="1" s="1"/>
  <c r="M104" i="1" s="1"/>
  <c r="C103" i="1"/>
  <c r="E103" i="1" s="1"/>
  <c r="D104" i="1" s="1"/>
  <c r="AA71" i="1"/>
  <c r="Z71" i="1" s="1"/>
  <c r="AB71" i="1" s="1"/>
  <c r="D67" i="5" l="1"/>
  <c r="F67" i="5" s="1"/>
  <c r="E68" i="5" s="1"/>
  <c r="F50" i="4"/>
  <c r="E50" i="4" s="1"/>
  <c r="G50" i="4" s="1"/>
  <c r="AG75" i="3"/>
  <c r="AF75" i="3" s="1"/>
  <c r="AH75" i="3" s="1"/>
  <c r="V83" i="3"/>
  <c r="U83" i="3" s="1"/>
  <c r="W83" i="3" s="1"/>
  <c r="J84" i="3"/>
  <c r="I84" i="3" s="1"/>
  <c r="K84" i="3" s="1"/>
  <c r="L104" i="1"/>
  <c r="N104" i="1" s="1"/>
  <c r="M105" i="1" s="1"/>
  <c r="C104" i="1"/>
  <c r="E104" i="1" s="1"/>
  <c r="D105" i="1" s="1"/>
  <c r="AA72" i="1"/>
  <c r="Z72" i="1" s="1"/>
  <c r="AB72" i="1" s="1"/>
  <c r="D68" i="5" l="1"/>
  <c r="F68" i="5" s="1"/>
  <c r="E69" i="5" s="1"/>
  <c r="F51" i="4"/>
  <c r="E51" i="4" s="1"/>
  <c r="G51" i="4" s="1"/>
  <c r="J85" i="3"/>
  <c r="I85" i="3" s="1"/>
  <c r="K85" i="3" s="1"/>
  <c r="V84" i="3"/>
  <c r="U84" i="3" s="1"/>
  <c r="W84" i="3" s="1"/>
  <c r="AG76" i="3"/>
  <c r="AF76" i="3" s="1"/>
  <c r="AH76" i="3" s="1"/>
  <c r="L105" i="1"/>
  <c r="N105" i="1" s="1"/>
  <c r="M106" i="1" s="1"/>
  <c r="C105" i="1"/>
  <c r="E105" i="1" s="1"/>
  <c r="D106" i="1" s="1"/>
  <c r="AA73" i="1"/>
  <c r="Z73" i="1" s="1"/>
  <c r="AB73" i="1" s="1"/>
  <c r="D69" i="5" l="1"/>
  <c r="F69" i="5" s="1"/>
  <c r="E70" i="5" s="1"/>
  <c r="F52" i="4"/>
  <c r="E52" i="4" s="1"/>
  <c r="G52" i="4" s="1"/>
  <c r="V85" i="3"/>
  <c r="U85" i="3" s="1"/>
  <c r="W85" i="3" s="1"/>
  <c r="J86" i="3"/>
  <c r="I86" i="3" s="1"/>
  <c r="K86" i="3" s="1"/>
  <c r="AG77" i="3"/>
  <c r="AF77" i="3" s="1"/>
  <c r="AH77" i="3" s="1"/>
  <c r="L106" i="1"/>
  <c r="N106" i="1" s="1"/>
  <c r="M107" i="1" s="1"/>
  <c r="C106" i="1"/>
  <c r="E106" i="1" s="1"/>
  <c r="D107" i="1" s="1"/>
  <c r="AA74" i="1"/>
  <c r="Z74" i="1" s="1"/>
  <c r="AB74" i="1" s="1"/>
  <c r="D70" i="5" l="1"/>
  <c r="F70" i="5" s="1"/>
  <c r="E71" i="5" s="1"/>
  <c r="F53" i="4"/>
  <c r="E53" i="4" s="1"/>
  <c r="G53" i="4" s="1"/>
  <c r="AG78" i="3"/>
  <c r="AF78" i="3" s="1"/>
  <c r="AH78" i="3" s="1"/>
  <c r="J87" i="3"/>
  <c r="I87" i="3" s="1"/>
  <c r="K87" i="3" s="1"/>
  <c r="V86" i="3"/>
  <c r="U86" i="3" s="1"/>
  <c r="W86" i="3" s="1"/>
  <c r="L107" i="1"/>
  <c r="N107" i="1" s="1"/>
  <c r="M108" i="1" s="1"/>
  <c r="C107" i="1"/>
  <c r="E107" i="1" s="1"/>
  <c r="D108" i="1" s="1"/>
  <c r="AA75" i="1"/>
  <c r="Z75" i="1" s="1"/>
  <c r="AB75" i="1" s="1"/>
  <c r="D71" i="5" l="1"/>
  <c r="F71" i="5" s="1"/>
  <c r="E72" i="5" s="1"/>
  <c r="F54" i="4"/>
  <c r="E54" i="4" s="1"/>
  <c r="G54" i="4" s="1"/>
  <c r="V87" i="3"/>
  <c r="U87" i="3" s="1"/>
  <c r="W87" i="3" s="1"/>
  <c r="J88" i="3"/>
  <c r="I88" i="3" s="1"/>
  <c r="K88" i="3" s="1"/>
  <c r="AG79" i="3"/>
  <c r="AF79" i="3" s="1"/>
  <c r="AH79" i="3" s="1"/>
  <c r="L108" i="1"/>
  <c r="N108" i="1" s="1"/>
  <c r="L109" i="1" s="1"/>
  <c r="C108" i="1"/>
  <c r="E108" i="1" s="1"/>
  <c r="D109" i="1" s="1"/>
  <c r="AA76" i="1"/>
  <c r="Z76" i="1" s="1"/>
  <c r="AB76" i="1" s="1"/>
  <c r="D72" i="5" l="1"/>
  <c r="F72" i="5" s="1"/>
  <c r="E73" i="5" s="1"/>
  <c r="F55" i="4"/>
  <c r="E55" i="4" s="1"/>
  <c r="G55" i="4" s="1"/>
  <c r="J89" i="3"/>
  <c r="I89" i="3" s="1"/>
  <c r="K89" i="3" s="1"/>
  <c r="V88" i="3"/>
  <c r="U88" i="3" s="1"/>
  <c r="W88" i="3" s="1"/>
  <c r="K109" i="1"/>
  <c r="M109" i="1" s="1"/>
  <c r="C109" i="1"/>
  <c r="E109" i="1" s="1"/>
  <c r="D110" i="1" s="1"/>
  <c r="AA77" i="1"/>
  <c r="Z77" i="1" s="1"/>
  <c r="AB77" i="1" s="1"/>
  <c r="D73" i="5" l="1"/>
  <c r="F73" i="5" s="1"/>
  <c r="E74" i="5" s="1"/>
  <c r="F56" i="4"/>
  <c r="E56" i="4" s="1"/>
  <c r="G56" i="4" s="1"/>
  <c r="V89" i="3"/>
  <c r="U89" i="3" s="1"/>
  <c r="W89" i="3" s="1"/>
  <c r="J90" i="3"/>
  <c r="I90" i="3" s="1"/>
  <c r="K90" i="3" s="1"/>
  <c r="C110" i="1"/>
  <c r="E110" i="1" s="1"/>
  <c r="AA78" i="1"/>
  <c r="Z78" i="1" s="1"/>
  <c r="AB78" i="1" s="1"/>
  <c r="D74" i="5" l="1"/>
  <c r="F74" i="5" s="1"/>
  <c r="E75" i="5" s="1"/>
  <c r="F57" i="4"/>
  <c r="E57" i="4" s="1"/>
  <c r="G57" i="4" s="1"/>
  <c r="J91" i="3"/>
  <c r="I91" i="3" s="1"/>
  <c r="K91" i="3" s="1"/>
  <c r="V90" i="3"/>
  <c r="U90" i="3" s="1"/>
  <c r="W90" i="3" s="1"/>
  <c r="D111" i="1"/>
  <c r="C111" i="1" s="1"/>
  <c r="E111" i="1" s="1"/>
  <c r="AA79" i="1"/>
  <c r="Z79" i="1" s="1"/>
  <c r="AB79" i="1" s="1"/>
  <c r="D75" i="5" l="1"/>
  <c r="F75" i="5" s="1"/>
  <c r="E76" i="5" s="1"/>
  <c r="F58" i="4"/>
  <c r="E58" i="4" s="1"/>
  <c r="G58" i="4" s="1"/>
  <c r="U91" i="3"/>
  <c r="T91" i="3" s="1"/>
  <c r="V91" i="3" s="1"/>
  <c r="J92" i="3"/>
  <c r="I92" i="3" s="1"/>
  <c r="K92" i="3" s="1"/>
  <c r="D112" i="1"/>
  <c r="C112" i="1" s="1"/>
  <c r="E112" i="1" s="1"/>
  <c r="D113" i="1" s="1"/>
  <c r="C113" i="1" s="1"/>
  <c r="E113" i="1" s="1"/>
  <c r="D76" i="5" l="1"/>
  <c r="F76" i="5" s="1"/>
  <c r="E77" i="5" s="1"/>
  <c r="F59" i="4"/>
  <c r="E59" i="4" s="1"/>
  <c r="G59" i="4" s="1"/>
  <c r="J93" i="3"/>
  <c r="I93" i="3" s="1"/>
  <c r="K93" i="3" s="1"/>
  <c r="D114" i="1"/>
  <c r="C114" i="1" s="1"/>
  <c r="E114" i="1" s="1"/>
  <c r="D77" i="5" l="1"/>
  <c r="F77" i="5" s="1"/>
  <c r="E78" i="5" s="1"/>
  <c r="F60" i="4"/>
  <c r="E60" i="4" s="1"/>
  <c r="G60" i="4" s="1"/>
  <c r="J94" i="3"/>
  <c r="I94" i="3" s="1"/>
  <c r="K94" i="3" s="1"/>
  <c r="D115" i="1"/>
  <c r="C115" i="1" s="1"/>
  <c r="E115" i="1" s="1"/>
  <c r="D78" i="5" l="1"/>
  <c r="F78" i="5" s="1"/>
  <c r="E79" i="5" s="1"/>
  <c r="F61" i="4"/>
  <c r="E61" i="4" s="1"/>
  <c r="G61" i="4" s="1"/>
  <c r="J95" i="3"/>
  <c r="I95" i="3" s="1"/>
  <c r="K95" i="3" s="1"/>
  <c r="D116" i="1"/>
  <c r="C116" i="1" s="1"/>
  <c r="E116" i="1" s="1"/>
  <c r="D117" i="1" s="1"/>
  <c r="C117" i="1" s="1"/>
  <c r="E117" i="1" s="1"/>
  <c r="D79" i="5" l="1"/>
  <c r="F79" i="5" s="1"/>
  <c r="E80" i="5" s="1"/>
  <c r="F62" i="4"/>
  <c r="E62" i="4" s="1"/>
  <c r="G62" i="4" s="1"/>
  <c r="J96" i="3"/>
  <c r="I96" i="3" s="1"/>
  <c r="K96" i="3" s="1"/>
  <c r="D118" i="1"/>
  <c r="C118" i="1" s="1"/>
  <c r="E118" i="1" s="1"/>
  <c r="D119" i="1" s="1"/>
  <c r="C119" i="1" s="1"/>
  <c r="E119" i="1" s="1"/>
  <c r="D80" i="5" l="1"/>
  <c r="F80" i="5" s="1"/>
  <c r="E81" i="5" s="1"/>
  <c r="F63" i="4"/>
  <c r="E63" i="4" s="1"/>
  <c r="G63" i="4" s="1"/>
  <c r="J97" i="3"/>
  <c r="I97" i="3" s="1"/>
  <c r="K97" i="3" s="1"/>
  <c r="D120" i="1"/>
  <c r="C120" i="1" s="1"/>
  <c r="E120" i="1" s="1"/>
  <c r="D121" i="1" s="1"/>
  <c r="C121" i="1" s="1"/>
  <c r="E121" i="1" s="1"/>
  <c r="D122" i="1" s="1"/>
  <c r="C122" i="1" s="1"/>
  <c r="E122" i="1" s="1"/>
  <c r="D81" i="5" l="1"/>
  <c r="F81" i="5" s="1"/>
  <c r="E82" i="5" s="1"/>
  <c r="F64" i="4"/>
  <c r="E64" i="4" s="1"/>
  <c r="G64" i="4" s="1"/>
  <c r="J98" i="3"/>
  <c r="I98" i="3" s="1"/>
  <c r="K98" i="3" s="1"/>
  <c r="D123" i="1"/>
  <c r="C123" i="1" s="1"/>
  <c r="E123" i="1" s="1"/>
  <c r="D124" i="1" s="1"/>
  <c r="C124" i="1" s="1"/>
  <c r="E124" i="1" s="1"/>
  <c r="D125" i="1" s="1"/>
  <c r="C125" i="1" s="1"/>
  <c r="E125" i="1" s="1"/>
  <c r="D82" i="5" l="1"/>
  <c r="F82" i="5" s="1"/>
  <c r="E83" i="5" s="1"/>
  <c r="F65" i="4"/>
  <c r="E65" i="4" s="1"/>
  <c r="G65" i="4" s="1"/>
  <c r="J99" i="3"/>
  <c r="I99" i="3" s="1"/>
  <c r="K99" i="3" s="1"/>
  <c r="D126" i="1"/>
  <c r="C126" i="1" s="1"/>
  <c r="E126" i="1" s="1"/>
  <c r="D127" i="1" s="1"/>
  <c r="C127" i="1" s="1"/>
  <c r="E127" i="1" s="1"/>
  <c r="D128" i="1" s="1"/>
  <c r="C128" i="1" s="1"/>
  <c r="E128" i="1" s="1"/>
  <c r="D129" i="1" s="1"/>
  <c r="D83" i="5" l="1"/>
  <c r="F83" i="5" s="1"/>
  <c r="E84" i="5" s="1"/>
  <c r="F66" i="4"/>
  <c r="E66" i="4" s="1"/>
  <c r="G66" i="4" s="1"/>
  <c r="J100" i="3"/>
  <c r="I100" i="3" s="1"/>
  <c r="K100" i="3" s="1"/>
  <c r="C129" i="1"/>
  <c r="E129" i="1" s="1"/>
  <c r="D130" i="1" s="1"/>
  <c r="D84" i="5" l="1"/>
  <c r="F84" i="5" s="1"/>
  <c r="E85" i="5" s="1"/>
  <c r="F67" i="4"/>
  <c r="E67" i="4" s="1"/>
  <c r="G67" i="4" s="1"/>
  <c r="J101" i="3"/>
  <c r="I101" i="3" s="1"/>
  <c r="K101" i="3" s="1"/>
  <c r="C130" i="1"/>
  <c r="E130" i="1" s="1"/>
  <c r="E133" i="1" s="1"/>
  <c r="D85" i="5" l="1"/>
  <c r="F85" i="5" s="1"/>
  <c r="E86" i="5" s="1"/>
  <c r="F68" i="4"/>
  <c r="E68" i="4" s="1"/>
  <c r="G68" i="4" s="1"/>
  <c r="J102" i="3"/>
  <c r="I102" i="3" s="1"/>
  <c r="K102" i="3" s="1"/>
  <c r="D86" i="5" l="1"/>
  <c r="F86" i="5" s="1"/>
  <c r="E87" i="5" s="1"/>
  <c r="F69" i="4"/>
  <c r="E69" i="4" s="1"/>
  <c r="G69" i="4" s="1"/>
  <c r="J103" i="3"/>
  <c r="I103" i="3" s="1"/>
  <c r="K103" i="3" s="1"/>
  <c r="D87" i="5" l="1"/>
  <c r="F87" i="5" s="1"/>
  <c r="E88" i="5" s="1"/>
  <c r="F70" i="4"/>
  <c r="E70" i="4" s="1"/>
  <c r="G70" i="4" s="1"/>
  <c r="J104" i="3"/>
  <c r="I104" i="3" s="1"/>
  <c r="K104" i="3" s="1"/>
  <c r="D88" i="5" l="1"/>
  <c r="F88" i="5" s="1"/>
  <c r="E89" i="5" s="1"/>
  <c r="F71" i="4"/>
  <c r="E71" i="4" s="1"/>
  <c r="G71" i="4" s="1"/>
  <c r="J105" i="3"/>
  <c r="I105" i="3" s="1"/>
  <c r="K105" i="3" s="1"/>
  <c r="D89" i="5" l="1"/>
  <c r="F89" i="5" s="1"/>
  <c r="E90" i="5" s="1"/>
  <c r="F72" i="4"/>
  <c r="E72" i="4" s="1"/>
  <c r="G72" i="4" s="1"/>
  <c r="J106" i="3"/>
  <c r="I106" i="3" s="1"/>
  <c r="K106" i="3" s="1"/>
  <c r="D90" i="5" l="1"/>
  <c r="F90" i="5" s="1"/>
  <c r="E91" i="5" s="1"/>
  <c r="F73" i="4"/>
  <c r="E73" i="4" s="1"/>
  <c r="G73" i="4" s="1"/>
  <c r="J107" i="3"/>
  <c r="I107" i="3" s="1"/>
  <c r="K107" i="3" s="1"/>
  <c r="D91" i="5" l="1"/>
  <c r="F91" i="5" s="1"/>
  <c r="E92" i="5" s="1"/>
  <c r="F74" i="4"/>
  <c r="E74" i="4" s="1"/>
  <c r="G74" i="4" s="1"/>
  <c r="J108" i="3"/>
  <c r="I108" i="3" s="1"/>
  <c r="K108" i="3" s="1"/>
  <c r="D92" i="5" l="1"/>
  <c r="F92" i="5" s="1"/>
  <c r="E93" i="5" s="1"/>
  <c r="F75" i="4"/>
  <c r="E75" i="4" s="1"/>
  <c r="G75" i="4" s="1"/>
  <c r="J109" i="3"/>
  <c r="I109" i="3" s="1"/>
  <c r="K109" i="3" s="1"/>
  <c r="D93" i="5" l="1"/>
  <c r="F93" i="5" s="1"/>
  <c r="E94" i="5" s="1"/>
  <c r="F76" i="4"/>
  <c r="E76" i="4" s="1"/>
  <c r="G76" i="4" s="1"/>
  <c r="J110" i="3"/>
  <c r="I110" i="3" s="1"/>
  <c r="K110" i="3" s="1"/>
  <c r="D94" i="5" l="1"/>
  <c r="F94" i="5" s="1"/>
  <c r="E95" i="5" s="1"/>
  <c r="F77" i="4"/>
  <c r="E77" i="4" s="1"/>
  <c r="G77" i="4" s="1"/>
  <c r="J111" i="3"/>
  <c r="I111" i="3" s="1"/>
  <c r="K111" i="3" s="1"/>
  <c r="D95" i="5" l="1"/>
  <c r="F95" i="5" s="1"/>
  <c r="E96" i="5" s="1"/>
  <c r="F78" i="4"/>
  <c r="E78" i="4" s="1"/>
  <c r="G78" i="4" s="1"/>
  <c r="J112" i="3"/>
  <c r="I112" i="3" s="1"/>
  <c r="K112" i="3" s="1"/>
  <c r="D96" i="5" l="1"/>
  <c r="F96" i="5" s="1"/>
  <c r="E97" i="5" s="1"/>
  <c r="F79" i="4"/>
  <c r="E79" i="4" s="1"/>
  <c r="G79" i="4" s="1"/>
  <c r="J113" i="3"/>
  <c r="I113" i="3" s="1"/>
  <c r="K113" i="3" s="1"/>
  <c r="F71" i="3"/>
  <c r="D97" i="5" l="1"/>
  <c r="F97" i="5" s="1"/>
  <c r="E98" i="5" s="1"/>
  <c r="D98" i="5" l="1"/>
  <c r="F98" i="5" s="1"/>
  <c r="E99" i="5" s="1"/>
  <c r="D99" i="5" l="1"/>
  <c r="F99" i="5" s="1"/>
  <c r="E100" i="5" s="1"/>
  <c r="D100" i="5" l="1"/>
  <c r="F100" i="5" s="1"/>
  <c r="E101" i="5" s="1"/>
  <c r="D101" i="5" l="1"/>
  <c r="F101" i="5" s="1"/>
  <c r="E102" i="5" s="1"/>
  <c r="D102" i="5" l="1"/>
  <c r="F102" i="5" s="1"/>
  <c r="E103" i="5" s="1"/>
  <c r="D103" i="5" l="1"/>
  <c r="F103" i="5" s="1"/>
  <c r="E104" i="5" s="1"/>
  <c r="D104" i="5" l="1"/>
  <c r="F104" i="5" s="1"/>
  <c r="E105" i="5" s="1"/>
  <c r="D105" i="5" l="1"/>
  <c r="F105" i="5" s="1"/>
  <c r="E106" i="5" s="1"/>
  <c r="D106" i="5" l="1"/>
  <c r="F106" i="5" s="1"/>
  <c r="E107" i="5" s="1"/>
  <c r="D107" i="5" l="1"/>
  <c r="F107" i="5" s="1"/>
  <c r="E108" i="5" s="1"/>
  <c r="D108" i="5" l="1"/>
  <c r="F108" i="5" s="1"/>
  <c r="E109" i="5" s="1"/>
  <c r="D109" i="5" l="1"/>
  <c r="F109" i="5" s="1"/>
  <c r="E110" i="5" s="1"/>
  <c r="D110" i="5" l="1"/>
  <c r="F110" i="5" s="1"/>
  <c r="E111" i="5" s="1"/>
  <c r="D111" i="5" l="1"/>
  <c r="F111" i="5" s="1"/>
  <c r="E112" i="5" s="1"/>
  <c r="D112" i="5" l="1"/>
  <c r="F112" i="5" s="1"/>
  <c r="E113" i="5" s="1"/>
  <c r="D113" i="5" l="1"/>
  <c r="F113" i="5" s="1"/>
  <c r="E114" i="5" s="1"/>
  <c r="D114" i="5" l="1"/>
  <c r="F114" i="5" s="1"/>
  <c r="E115" i="5" s="1"/>
  <c r="D115" i="5" l="1"/>
  <c r="F115" i="5" s="1"/>
  <c r="E116" i="5" s="1"/>
  <c r="D116" i="5" l="1"/>
  <c r="F116" i="5" s="1"/>
  <c r="E117" i="5" s="1"/>
  <c r="D117" i="5" l="1"/>
  <c r="F117" i="5" s="1"/>
  <c r="E118" i="5" s="1"/>
  <c r="D118" i="5" l="1"/>
  <c r="F118" i="5" s="1"/>
  <c r="E119" i="5" s="1"/>
  <c r="D119" i="5" l="1"/>
  <c r="F119" i="5" s="1"/>
  <c r="E120" i="5" s="1"/>
  <c r="D120" i="5" l="1"/>
  <c r="F120" i="5" s="1"/>
  <c r="E121" i="5" s="1"/>
  <c r="D121" i="5" l="1"/>
  <c r="F121" i="5" s="1"/>
  <c r="E122" i="5" s="1"/>
  <c r="D122" i="5" l="1"/>
  <c r="F122" i="5" s="1"/>
  <c r="E123" i="5" s="1"/>
  <c r="D123" i="5" l="1"/>
  <c r="F123" i="5" s="1"/>
  <c r="E124" i="5" s="1"/>
  <c r="D124" i="5" l="1"/>
  <c r="F124" i="5" s="1"/>
  <c r="E125" i="5" s="1"/>
  <c r="D125" i="5" l="1"/>
  <c r="F125" i="5" s="1"/>
  <c r="E126" i="5" s="1"/>
  <c r="D126" i="5" l="1"/>
  <c r="F126" i="5" s="1"/>
  <c r="E127" i="5" s="1"/>
  <c r="D127" i="5" l="1"/>
  <c r="F127" i="5" s="1"/>
  <c r="E128" i="5" l="1"/>
  <c r="D128" i="5" s="1"/>
  <c r="F128" i="5" s="1"/>
  <c r="E129" i="5" s="1"/>
  <c r="D129" i="5" s="1"/>
  <c r="F129" i="5" s="1"/>
  <c r="E130" i="5" s="1"/>
  <c r="D130" i="5" l="1"/>
  <c r="F130" i="5" s="1"/>
  <c r="E131" i="5" s="1"/>
  <c r="D131" i="5" l="1"/>
  <c r="F131" i="5" s="1"/>
  <c r="E132" i="5" s="1"/>
  <c r="D132" i="5" l="1"/>
  <c r="F132" i="5" s="1"/>
  <c r="E133" i="5" l="1"/>
  <c r="D133" i="5" s="1"/>
  <c r="F133" i="5" s="1"/>
  <c r="E134" i="5" l="1"/>
  <c r="D134" i="5" s="1"/>
  <c r="F134" i="5" s="1"/>
  <c r="E135" i="5" l="1"/>
  <c r="D135" i="5" s="1"/>
  <c r="F135" i="5" s="1"/>
  <c r="E136" i="5" s="1"/>
  <c r="D136" i="5" s="1"/>
  <c r="F136" i="5" s="1"/>
  <c r="E137" i="5" l="1"/>
  <c r="D137" i="5" s="1"/>
  <c r="F137" i="5" s="1"/>
  <c r="E138" i="5" s="1"/>
  <c r="D138" i="5" s="1"/>
  <c r="F138" i="5" s="1"/>
  <c r="E139" i="5" l="1"/>
  <c r="D139" i="5" s="1"/>
  <c r="F139" i="5" s="1"/>
  <c r="E140" i="5" s="1"/>
  <c r="D140" i="5" s="1"/>
  <c r="F140" i="5" s="1"/>
  <c r="E141" i="5" s="1"/>
  <c r="D141" i="5" s="1"/>
  <c r="F141" i="5" s="1"/>
  <c r="E142" i="5" l="1"/>
  <c r="D142" i="5" s="1"/>
  <c r="F142" i="5" s="1"/>
  <c r="E143" i="5" s="1"/>
  <c r="D143" i="5" s="1"/>
  <c r="F143" i="5" s="1"/>
  <c r="E144" i="5" s="1"/>
  <c r="D144" i="5" l="1"/>
  <c r="F144" i="5" s="1"/>
  <c r="E145" i="5" s="1"/>
  <c r="D145" i="5" l="1"/>
  <c r="F145" i="5" s="1"/>
  <c r="E146" i="5" l="1"/>
  <c r="D146" i="5" s="1"/>
  <c r="F146" i="5" s="1"/>
  <c r="E147" i="5" l="1"/>
  <c r="D147" i="5" s="1"/>
  <c r="F147" i="5" s="1"/>
  <c r="E148" i="5" l="1"/>
  <c r="D148" i="5" s="1"/>
  <c r="F148" i="5" s="1"/>
  <c r="E149" i="5" s="1"/>
  <c r="D149" i="5" s="1"/>
  <c r="F149" i="5" s="1"/>
  <c r="E150" i="5" l="1"/>
  <c r="D150" i="5" s="1"/>
  <c r="F150" i="5" s="1"/>
  <c r="E151" i="5" s="1"/>
  <c r="D151" i="5" s="1"/>
  <c r="F151" i="5" s="1"/>
  <c r="E152" i="5" s="1"/>
  <c r="D152" i="5" s="1"/>
  <c r="F152" i="5" s="1"/>
  <c r="E153" i="5" s="1"/>
  <c r="D153" i="5" l="1"/>
  <c r="F153" i="5" s="1"/>
  <c r="E154" i="5" s="1"/>
  <c r="D154" i="5" l="1"/>
  <c r="F154" i="5" s="1"/>
  <c r="E155" i="5" s="1"/>
  <c r="D155" i="5" l="1"/>
  <c r="F155" i="5" s="1"/>
  <c r="E156" i="5" s="1"/>
  <c r="D156" i="5" l="1"/>
  <c r="F156" i="5" s="1"/>
  <c r="E157" i="5" s="1"/>
  <c r="D157" i="5" l="1"/>
  <c r="F157" i="5" s="1"/>
  <c r="E158" i="5" s="1"/>
  <c r="D158" i="5" l="1"/>
  <c r="F158" i="5" s="1"/>
  <c r="E159" i="5" l="1"/>
  <c r="D159" i="5" s="1"/>
  <c r="F159" i="5" s="1"/>
  <c r="E160" i="5" l="1"/>
  <c r="D160" i="5" s="1"/>
  <c r="F160" i="5" s="1"/>
  <c r="E161" i="5" l="1"/>
  <c r="D161" i="5" s="1"/>
  <c r="F161" i="5" s="1"/>
  <c r="E162" i="5" s="1"/>
  <c r="D162" i="5" s="1"/>
  <c r="F162" i="5" s="1"/>
  <c r="E163" i="5" l="1"/>
  <c r="D163" i="5" s="1"/>
  <c r="F163" i="5" s="1"/>
  <c r="E164" i="5" s="1"/>
  <c r="D164" i="5" s="1"/>
  <c r="F164" i="5" s="1"/>
  <c r="E165" i="5" l="1"/>
  <c r="D165" i="5" s="1"/>
  <c r="F165" i="5" s="1"/>
  <c r="E166" i="5" l="1"/>
  <c r="D166" i="5" s="1"/>
  <c r="F166" i="5" s="1"/>
  <c r="E167" i="5" s="1"/>
  <c r="D167" i="5" s="1"/>
  <c r="F167" i="5" s="1"/>
  <c r="E168" i="5" l="1"/>
  <c r="D168" i="5" s="1"/>
  <c r="F168" i="5" s="1"/>
  <c r="E169" i="5" l="1"/>
  <c r="D169" i="5" s="1"/>
  <c r="F169" i="5" s="1"/>
  <c r="E170" i="5" l="1"/>
  <c r="D170" i="5" s="1"/>
  <c r="F170" i="5" s="1"/>
  <c r="E171" i="5" s="1"/>
  <c r="D171" i="5" s="1"/>
  <c r="F171" i="5" s="1"/>
  <c r="E172" i="5" s="1"/>
  <c r="D172" i="5" s="1"/>
  <c r="F172" i="5" s="1"/>
  <c r="E173" i="5" l="1"/>
  <c r="D173" i="5" s="1"/>
  <c r="F173" i="5" s="1"/>
  <c r="E174" i="5" s="1"/>
  <c r="D174" i="5" s="1"/>
  <c r="F174" i="5" s="1"/>
  <c r="E175" i="5" s="1"/>
  <c r="D175" i="5" s="1"/>
  <c r="F175" i="5" s="1"/>
  <c r="E176" i="5" l="1"/>
  <c r="D176" i="5" s="1"/>
  <c r="F176" i="5" s="1"/>
  <c r="E177" i="5" l="1"/>
  <c r="D177" i="5" s="1"/>
  <c r="F177" i="5" s="1"/>
  <c r="E178" i="5" l="1"/>
  <c r="D178" i="5" s="1"/>
  <c r="F178" i="5" s="1"/>
  <c r="E179" i="5" l="1"/>
  <c r="D179" i="5" s="1"/>
  <c r="F179" i="5" s="1"/>
  <c r="E180" i="5" s="1"/>
  <c r="D180" i="5" s="1"/>
  <c r="F180" i="5" s="1"/>
  <c r="E181" i="5" l="1"/>
  <c r="D181" i="5" s="1"/>
  <c r="F181" i="5" s="1"/>
  <c r="E182" i="5" s="1"/>
  <c r="D182" i="5" s="1"/>
  <c r="F182" i="5" s="1"/>
  <c r="E183" i="5" l="1"/>
  <c r="D183" i="5" s="1"/>
  <c r="F183" i="5" s="1"/>
  <c r="E184" i="5" l="1"/>
  <c r="D184" i="5" s="1"/>
  <c r="F184" i="5" s="1"/>
  <c r="E185" i="5" s="1"/>
  <c r="D185" i="5" s="1"/>
  <c r="F185" i="5" s="1"/>
  <c r="E186" i="5" l="1"/>
  <c r="D186" i="5" s="1"/>
  <c r="F186" i="5" s="1"/>
  <c r="E187" i="5" l="1"/>
  <c r="D187" i="5" s="1"/>
  <c r="F187" i="5" s="1"/>
  <c r="E188" i="5" s="1"/>
  <c r="D188" i="5" s="1"/>
  <c r="F188" i="5" s="1"/>
  <c r="E189" i="5" l="1"/>
  <c r="D189" i="5" s="1"/>
  <c r="F189" i="5" s="1"/>
  <c r="E190" i="5" l="1"/>
  <c r="D190" i="5" s="1"/>
  <c r="F190" i="5" s="1"/>
  <c r="E191" i="5" s="1"/>
  <c r="D191" i="5" s="1"/>
  <c r="F191" i="5" s="1"/>
  <c r="E192" i="5" s="1"/>
  <c r="D192" i="5" s="1"/>
  <c r="F192" i="5" s="1"/>
  <c r="E193" i="5" l="1"/>
  <c r="D193" i="5" s="1"/>
  <c r="F193" i="5" s="1"/>
  <c r="E194" i="5" l="1"/>
  <c r="D194" i="5" s="1"/>
  <c r="F194" i="5" s="1"/>
  <c r="E195" i="5" s="1"/>
  <c r="D195" i="5" s="1"/>
  <c r="F195" i="5" s="1"/>
  <c r="E196" i="5" l="1"/>
  <c r="D196" i="5" s="1"/>
  <c r="F196" i="5" s="1"/>
  <c r="E197" i="5" l="1"/>
  <c r="D197" i="5" s="1"/>
  <c r="F197" i="5" s="1"/>
  <c r="E198" i="5" s="1"/>
  <c r="D198" i="5" s="1"/>
  <c r="F198" i="5" s="1"/>
  <c r="E199" i="5" s="1"/>
  <c r="D199" i="5" s="1"/>
  <c r="F199" i="5" s="1"/>
  <c r="E200" i="5" l="1"/>
  <c r="D200" i="5" s="1"/>
  <c r="F200" i="5" s="1"/>
  <c r="E201" i="5" l="1"/>
  <c r="D201" i="5" s="1"/>
  <c r="F201" i="5" s="1"/>
  <c r="E202" i="5" l="1"/>
  <c r="D202" i="5" s="1"/>
  <c r="F202" i="5" s="1"/>
  <c r="E203" i="5" l="1"/>
  <c r="D203" i="5" s="1"/>
  <c r="F203" i="5" s="1"/>
  <c r="E204" i="5" l="1"/>
  <c r="D204" i="5" s="1"/>
  <c r="F204" i="5" s="1"/>
  <c r="E205" i="5" s="1"/>
  <c r="D205" i="5" s="1"/>
  <c r="F205" i="5" s="1"/>
  <c r="E206" i="5" s="1"/>
  <c r="D206" i="5" s="1"/>
  <c r="F206" i="5" s="1"/>
  <c r="E207" i="5" l="1"/>
  <c r="D207" i="5" s="1"/>
  <c r="F207" i="5" s="1"/>
  <c r="E208" i="5" s="1"/>
  <c r="D208" i="5" s="1"/>
  <c r="F208" i="5" s="1"/>
  <c r="E209" i="5" l="1"/>
  <c r="D209" i="5" s="1"/>
  <c r="F209" i="5" s="1"/>
  <c r="E210" i="5" l="1"/>
  <c r="D210" i="5" s="1"/>
  <c r="F210" i="5" s="1"/>
  <c r="E211" i="5" s="1"/>
  <c r="D211" i="5" s="1"/>
  <c r="F211" i="5" s="1"/>
  <c r="E212" i="5" l="1"/>
  <c r="D212" i="5" s="1"/>
  <c r="F212" i="5" s="1"/>
  <c r="E213" i="5" s="1"/>
  <c r="D213" i="5" s="1"/>
  <c r="F213" i="5" s="1"/>
  <c r="E214" i="5" s="1"/>
  <c r="D214" i="5" s="1"/>
  <c r="F214" i="5" s="1"/>
  <c r="E215" i="5" s="1"/>
  <c r="D215" i="5" s="1"/>
  <c r="F215" i="5" s="1"/>
  <c r="E216" i="5" s="1"/>
  <c r="D216" i="5" s="1"/>
  <c r="F216" i="5" s="1"/>
  <c r="E217" i="5" s="1"/>
  <c r="D217" i="5" s="1"/>
  <c r="F217" i="5" s="1"/>
  <c r="E218" i="5" s="1"/>
  <c r="D218" i="5" s="1"/>
  <c r="F218" i="5" s="1"/>
  <c r="E219" i="5" l="1"/>
  <c r="D219" i="5" s="1"/>
  <c r="F219" i="5" s="1"/>
  <c r="E220" i="5" l="1"/>
  <c r="D220" i="5" s="1"/>
  <c r="F220" i="5" s="1"/>
  <c r="E221" i="5" l="1"/>
  <c r="D221" i="5" s="1"/>
  <c r="F221" i="5" s="1"/>
  <c r="E222" i="5" s="1"/>
  <c r="D222" i="5" s="1"/>
  <c r="F222" i="5" s="1"/>
  <c r="E223" i="5" l="1"/>
  <c r="D223" i="5" s="1"/>
  <c r="F223" i="5" s="1"/>
  <c r="E224" i="5" s="1"/>
  <c r="D224" i="5" s="1"/>
  <c r="F224" i="5" s="1"/>
  <c r="E225" i="5" s="1"/>
  <c r="D225" i="5" s="1"/>
  <c r="F225" i="5" s="1"/>
  <c r="E226" i="5" l="1"/>
  <c r="D226" i="5" s="1"/>
  <c r="F226" i="5" s="1"/>
  <c r="E227" i="5" l="1"/>
  <c r="D227" i="5" s="1"/>
  <c r="F227" i="5" s="1"/>
  <c r="E228" i="5" l="1"/>
  <c r="D228" i="5" s="1"/>
  <c r="F228" i="5" s="1"/>
  <c r="E229" i="5" l="1"/>
  <c r="D229" i="5" s="1"/>
  <c r="F229" i="5" s="1"/>
  <c r="E230" i="5" s="1"/>
  <c r="D230" i="5" s="1"/>
  <c r="F230" i="5" s="1"/>
  <c r="E231" i="5" s="1"/>
  <c r="D231" i="5" s="1"/>
  <c r="F231" i="5" s="1"/>
  <c r="E232" i="5" s="1"/>
  <c r="D232" i="5" s="1"/>
  <c r="F232" i="5" s="1"/>
  <c r="E233" i="5" l="1"/>
  <c r="D233" i="5" s="1"/>
  <c r="F233" i="5" s="1"/>
  <c r="E234" i="5" l="1"/>
  <c r="D234" i="5" s="1"/>
  <c r="F234" i="5" s="1"/>
  <c r="E235" i="5" l="1"/>
  <c r="D235" i="5" s="1"/>
  <c r="F235" i="5" s="1"/>
  <c r="E236" i="5" s="1"/>
  <c r="D236" i="5" s="1"/>
  <c r="F236" i="5" s="1"/>
  <c r="E237" i="5" l="1"/>
  <c r="D237" i="5" s="1"/>
  <c r="F237" i="5" s="1"/>
  <c r="E238" i="5" s="1"/>
  <c r="D238" i="5" s="1"/>
  <c r="F238" i="5" s="1"/>
  <c r="E239" i="5" s="1"/>
  <c r="D239" i="5" s="1"/>
  <c r="F239" i="5" s="1"/>
  <c r="E240" i="5" l="1"/>
  <c r="D240" i="5" s="1"/>
  <c r="F240" i="5" s="1"/>
  <c r="E241" i="5" l="1"/>
  <c r="D241" i="5" s="1"/>
  <c r="F241" i="5" s="1"/>
  <c r="E242" i="5" l="1"/>
  <c r="D242" i="5" s="1"/>
  <c r="F242" i="5" s="1"/>
  <c r="E243" i="5" s="1"/>
  <c r="D243" i="5" s="1"/>
  <c r="F243" i="5" s="1"/>
  <c r="E244" i="5" s="1"/>
  <c r="D244" i="5" s="1"/>
  <c r="F244" i="5" s="1"/>
  <c r="E245" i="5" s="1"/>
  <c r="D245" i="5" s="1"/>
  <c r="F245" i="5" s="1"/>
  <c r="E246" i="5" s="1"/>
  <c r="D246" i="5" s="1"/>
  <c r="F246" i="5" s="1"/>
  <c r="E247" i="5" l="1"/>
  <c r="D247" i="5" s="1"/>
  <c r="F247" i="5" s="1"/>
  <c r="E248" i="5" s="1"/>
  <c r="D248" i="5" s="1"/>
  <c r="F248" i="5" s="1"/>
  <c r="K248" i="5" s="1"/>
  <c r="K15" i="5" s="1"/>
  <c r="L15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tc={091185F8-1508-4B59-8994-C6E4DCB54F8E}</author>
    <author>tc={3E00AF64-1F05-4F2B-B709-A8D5210CA598}</author>
    <author>Primetzhofer Alexandra DI.</author>
    <author>tc={CEC8F65F-B428-4EA3-9E63-CF5FAABDD112}</author>
  </authors>
  <commentList>
    <comment ref="G32" authorId="0" shapeId="0" xr:uid="{091185F8-1508-4B59-8994-C6E4DCB54F8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Umrechnungsfaktor</t>
      </text>
    </comment>
    <comment ref="L32" authorId="1" shapeId="0" xr:uid="{3E00AF64-1F05-4F2B-B709-A8D5210CA59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gemäss Endabrechnung 29.1.2021</t>
      </text>
    </comment>
    <comment ref="L37" authorId="2" shapeId="0" xr:uid="{49527030-7CB7-44B5-AAEA-B3511F61DC3C}">
      <text>
        <r>
          <rPr>
            <b/>
            <sz val="9"/>
            <color indexed="81"/>
            <rFont val="Segoe UI"/>
            <family val="2"/>
          </rPr>
          <t>Primetzhofer Alexandra DI.: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L38" authorId="3" shapeId="0" xr:uid="{CEC8F65F-B428-4EA3-9E63-CF5FAABDD11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Umrechnungsfaktor</t>
      </text>
    </comment>
  </commentList>
</comments>
</file>

<file path=xl/sharedStrings.xml><?xml version="1.0" encoding="utf-8"?>
<sst xmlns="http://schemas.openxmlformats.org/spreadsheetml/2006/main" count="4428" uniqueCount="586">
  <si>
    <t>Bankdarlehen mit AZ/1</t>
  </si>
  <si>
    <t>Bankdarlehen ohne AZ/1</t>
  </si>
  <si>
    <t>Annuitätenzuschuss / 1</t>
  </si>
  <si>
    <t>WBF mit AZ/RZ 1</t>
  </si>
  <si>
    <t>Annuitätensumme</t>
  </si>
  <si>
    <t>Betriebskosten</t>
  </si>
  <si>
    <t>Verwaltung</t>
  </si>
  <si>
    <t>EVB</t>
  </si>
  <si>
    <t>Rücklage</t>
  </si>
  <si>
    <t>Verwaltung Garage</t>
  </si>
  <si>
    <t>Abstellplatzmiete</t>
  </si>
  <si>
    <t>UST - Verwohung</t>
  </si>
  <si>
    <t>Gesamt Betrag</t>
  </si>
  <si>
    <t>Miete</t>
  </si>
  <si>
    <t>Kaution</t>
  </si>
  <si>
    <t>Eigenmittel</t>
  </si>
  <si>
    <t>Herstellungskosten</t>
  </si>
  <si>
    <t>Hauskosten</t>
  </si>
  <si>
    <t>geleistete Annutitäten</t>
  </si>
  <si>
    <t xml:space="preserve">bezahlt </t>
  </si>
  <si>
    <t>bezahlt</t>
  </si>
  <si>
    <t>ausständig</t>
  </si>
  <si>
    <t>zu bezahlen</t>
  </si>
  <si>
    <t>nach 10 Jahren</t>
  </si>
  <si>
    <t>an gen</t>
  </si>
  <si>
    <t>cash</t>
  </si>
  <si>
    <t>zinsen</t>
  </si>
  <si>
    <t>tilgung</t>
  </si>
  <si>
    <t>Schönere Zukunft</t>
  </si>
  <si>
    <t>offen</t>
  </si>
  <si>
    <t>datum</t>
  </si>
  <si>
    <t>annui</t>
  </si>
  <si>
    <t>saldo</t>
  </si>
  <si>
    <t>Guthaben</t>
  </si>
  <si>
    <t>Bankdarlehen ohne AZ/2</t>
  </si>
  <si>
    <t>Kontoauszug</t>
  </si>
  <si>
    <t>zinssatz</t>
  </si>
  <si>
    <t>Bank Austria Annuitäten</t>
  </si>
  <si>
    <t>gewichtets Mittel</t>
  </si>
  <si>
    <t>Annuität</t>
  </si>
  <si>
    <t>pro Monat</t>
  </si>
  <si>
    <t>D0000003</t>
  </si>
  <si>
    <t>Annuitäten gesamt</t>
  </si>
  <si>
    <t>Endabrechnung Finanzierung</t>
  </si>
  <si>
    <t xml:space="preserve">Hypothekardarlehen </t>
  </si>
  <si>
    <t>Wohnbauförderungsdarlehen</t>
  </si>
  <si>
    <t>einbezahlten Eigenmittel</t>
  </si>
  <si>
    <t>euribor</t>
  </si>
  <si>
    <t>Startdatum</t>
  </si>
  <si>
    <t>Enddatum</t>
  </si>
  <si>
    <t>EUR006M Index</t>
  </si>
  <si>
    <t>Dates</t>
  </si>
  <si>
    <t>Umlaufgewichtete Durchschnittsrendite für Bundesanleihen (tägliche Werte) (oenb.at)</t>
  </si>
  <si>
    <t>UDRB</t>
  </si>
  <si>
    <t>in % p. a.</t>
  </si>
  <si>
    <t>Durchschnittliche Restlaufzeit</t>
  </si>
  <si>
    <t>der UDRB in Jahren</t>
  </si>
  <si>
    <t>−0,005</t>
  </si>
  <si>
    <t>−0,014</t>
  </si>
  <si>
    <t>−0,023</t>
  </si>
  <si>
    <t>−0,032</t>
  </si>
  <si>
    <t>−0,042</t>
  </si>
  <si>
    <t>−0,052</t>
  </si>
  <si>
    <t>−0,059</t>
  </si>
  <si>
    <t>−0,069</t>
  </si>
  <si>
    <t>−0,080</t>
  </si>
  <si>
    <t>−0,088</t>
  </si>
  <si>
    <t>−0,097</t>
  </si>
  <si>
    <t>−0,105</t>
  </si>
  <si>
    <t>−0,112</t>
  </si>
  <si>
    <t>−0,121</t>
  </si>
  <si>
    <t>−0,129</t>
  </si>
  <si>
    <t>−0,137</t>
  </si>
  <si>
    <t>−0,145</t>
  </si>
  <si>
    <t>−0,147</t>
  </si>
  <si>
    <t>−0,150</t>
  </si>
  <si>
    <t>−0,153</t>
  </si>
  <si>
    <t>−0,156</t>
  </si>
  <si>
    <t>−0,160</t>
  </si>
  <si>
    <t>−0,163</t>
  </si>
  <si>
    <t>−0,167</t>
  </si>
  <si>
    <t>−0,166</t>
  </si>
  <si>
    <t>−0,170</t>
  </si>
  <si>
    <t>−0,172</t>
  </si>
  <si>
    <t>−0,175</t>
  </si>
  <si>
    <t>−0,178</t>
  </si>
  <si>
    <t>−0,180</t>
  </si>
  <si>
    <t>−0,183</t>
  </si>
  <si>
    <t>−0,187</t>
  </si>
  <si>
    <t>−0,191</t>
  </si>
  <si>
    <t>−0,194</t>
  </si>
  <si>
    <t>−0,196</t>
  </si>
  <si>
    <t>−0,197</t>
  </si>
  <si>
    <t>−0,195</t>
  </si>
  <si>
    <t>−0,193</t>
  </si>
  <si>
    <t>−0,192</t>
  </si>
  <si>
    <t>−0,182</t>
  </si>
  <si>
    <t>−0,154</t>
  </si>
  <si>
    <t>−0,152</t>
  </si>
  <si>
    <t>−0,148</t>
  </si>
  <si>
    <t>−0,146</t>
  </si>
  <si>
    <t>−0,144</t>
  </si>
  <si>
    <t>−0,159</t>
  </si>
  <si>
    <t>−0,161</t>
  </si>
  <si>
    <t>−0,162</t>
  </si>
  <si>
    <t>−0,158</t>
  </si>
  <si>
    <t>−0,155</t>
  </si>
  <si>
    <t>−0,143</t>
  </si>
  <si>
    <t>−0,142</t>
  </si>
  <si>
    <t>−0,139</t>
  </si>
  <si>
    <t>−0,136</t>
  </si>
  <si>
    <t>−0,133</t>
  </si>
  <si>
    <t>−0,128</t>
  </si>
  <si>
    <t>−0,119</t>
  </si>
  <si>
    <t>−0,109</t>
  </si>
  <si>
    <t>−0,100</t>
  </si>
  <si>
    <t>−0,075</t>
  </si>
  <si>
    <t>−0,066</t>
  </si>
  <si>
    <t>−0,061</t>
  </si>
  <si>
    <t>−0,057</t>
  </si>
  <si>
    <t>−0,054</t>
  </si>
  <si>
    <t>−0,050</t>
  </si>
  <si>
    <t>−0,043</t>
  </si>
  <si>
    <t>−0,033</t>
  </si>
  <si>
    <t>−0,020</t>
  </si>
  <si>
    <t>−0,010</t>
  </si>
  <si>
    <t>−0,004</t>
  </si>
  <si>
    <t>−0,011</t>
  </si>
  <si>
    <t>−0,018</t>
  </si>
  <si>
    <t>−0,024</t>
  </si>
  <si>
    <t>−0,028</t>
  </si>
  <si>
    <t>−0,034</t>
  </si>
  <si>
    <t>−0,049</t>
  </si>
  <si>
    <t>−0,055</t>
  </si>
  <si>
    <t>−0,068</t>
  </si>
  <si>
    <t>−0,077</t>
  </si>
  <si>
    <t>−0,086</t>
  </si>
  <si>
    <t>−0,096</t>
  </si>
  <si>
    <t>−0,106</t>
  </si>
  <si>
    <t>−0,115</t>
  </si>
  <si>
    <t>−0,125</t>
  </si>
  <si>
    <t>−0,132</t>
  </si>
  <si>
    <t>−0,140</t>
  </si>
  <si>
    <t>−0,149</t>
  </si>
  <si>
    <t>−0,200</t>
  </si>
  <si>
    <t>−0,202</t>
  </si>
  <si>
    <t>−0,179</t>
  </si>
  <si>
    <t>−0,206</t>
  </si>
  <si>
    <t>−0,210</t>
  </si>
  <si>
    <t>−0,214</t>
  </si>
  <si>
    <t>−0,217</t>
  </si>
  <si>
    <t>−0,221</t>
  </si>
  <si>
    <t>−0,224</t>
  </si>
  <si>
    <t>−0,230</t>
  </si>
  <si>
    <t>−0,237</t>
  </si>
  <si>
    <t>−0,245</t>
  </si>
  <si>
    <t>−0,258</t>
  </si>
  <si>
    <t>−0,271</t>
  </si>
  <si>
    <t>−0,285</t>
  </si>
  <si>
    <t>−0,299</t>
  </si>
  <si>
    <t>−0,312</t>
  </si>
  <si>
    <t>−0,324</t>
  </si>
  <si>
    <t>−0,339</t>
  </si>
  <si>
    <t>−0,351</t>
  </si>
  <si>
    <t>−0,364</t>
  </si>
  <si>
    <t>−0,375</t>
  </si>
  <si>
    <t>−0,385</t>
  </si>
  <si>
    <t>−0,394</t>
  </si>
  <si>
    <t>−0,405</t>
  </si>
  <si>
    <t>−0,415</t>
  </si>
  <si>
    <t>−0,427</t>
  </si>
  <si>
    <t>−0,437</t>
  </si>
  <si>
    <t>−0,447</t>
  </si>
  <si>
    <t>−0,455</t>
  </si>
  <si>
    <t>−0,462</t>
  </si>
  <si>
    <t>−0,466</t>
  </si>
  <si>
    <t>−0,467</t>
  </si>
  <si>
    <t>−0,464</t>
  </si>
  <si>
    <t>−0,460</t>
  </si>
  <si>
    <t>−0,456</t>
  </si>
  <si>
    <t>−0,446</t>
  </si>
  <si>
    <t>−0,419</t>
  </si>
  <si>
    <t>−0,412</t>
  </si>
  <si>
    <t>−0,400</t>
  </si>
  <si>
    <t>−0,388</t>
  </si>
  <si>
    <t>−0,382</t>
  </si>
  <si>
    <t>−0,376</t>
  </si>
  <si>
    <t>−0,370</t>
  </si>
  <si>
    <t>−0,362</t>
  </si>
  <si>
    <t>−0,358</t>
  </si>
  <si>
    <t>−0,356</t>
  </si>
  <si>
    <t>−0,355</t>
  </si>
  <si>
    <t>−0,348</t>
  </si>
  <si>
    <t>−0,345</t>
  </si>
  <si>
    <t>−0,341</t>
  </si>
  <si>
    <t>−0,333</t>
  </si>
  <si>
    <t>−0,325</t>
  </si>
  <si>
    <t>−0,318</t>
  </si>
  <si>
    <t>−0,311</t>
  </si>
  <si>
    <t>−0,303</t>
  </si>
  <si>
    <t>−0,294</t>
  </si>
  <si>
    <t>−0,286</t>
  </si>
  <si>
    <t>−0,278</t>
  </si>
  <si>
    <t>−0,262</t>
  </si>
  <si>
    <t>−0,252</t>
  </si>
  <si>
    <t>−0,242</t>
  </si>
  <si>
    <t>−0,231</t>
  </si>
  <si>
    <t>−0,222</t>
  </si>
  <si>
    <t>−0,215</t>
  </si>
  <si>
    <t>−0,207</t>
  </si>
  <si>
    <t>−0,201</t>
  </si>
  <si>
    <t>−0,198</t>
  </si>
  <si>
    <t>−0,190</t>
  </si>
  <si>
    <t>−0,188</t>
  </si>
  <si>
    <t>−0,189</t>
  </si>
  <si>
    <t>−0,185</t>
  </si>
  <si>
    <t>−0,186</t>
  </si>
  <si>
    <t>−0,173</t>
  </si>
  <si>
    <t>−0,168</t>
  </si>
  <si>
    <t>−0,169</t>
  </si>
  <si>
    <t>−0,164</t>
  </si>
  <si>
    <t>−0,157</t>
  </si>
  <si>
    <t>−0,151</t>
  </si>
  <si>
    <t>−0,174</t>
  </si>
  <si>
    <t>−0,199</t>
  </si>
  <si>
    <t>−0,203</t>
  </si>
  <si>
    <t>−0,208</t>
  </si>
  <si>
    <t>−0,223</t>
  </si>
  <si>
    <t>−0,244</t>
  </si>
  <si>
    <t>−0,251</t>
  </si>
  <si>
    <t>−0,265</t>
  </si>
  <si>
    <t>−0,272</t>
  </si>
  <si>
    <t>−0,283</t>
  </si>
  <si>
    <t>−0,289</t>
  </si>
  <si>
    <t>−0,304</t>
  </si>
  <si>
    <t>−0,310</t>
  </si>
  <si>
    <t>−0,317</t>
  </si>
  <si>
    <t>−0,342</t>
  </si>
  <si>
    <t>−0,353</t>
  </si>
  <si>
    <t>−0,366</t>
  </si>
  <si>
    <t>−0,386</t>
  </si>
  <si>
    <t>−0,395</t>
  </si>
  <si>
    <t>−0,390</t>
  </si>
  <si>
    <t>−0,379</t>
  </si>
  <si>
    <t>−0,363</t>
  </si>
  <si>
    <t>−0,349</t>
  </si>
  <si>
    <t>−0,335</t>
  </si>
  <si>
    <t>−0,322</t>
  </si>
  <si>
    <t>−0,306</t>
  </si>
  <si>
    <t>−0,287</t>
  </si>
  <si>
    <t>−0,268</t>
  </si>
  <si>
    <t>−0,256</t>
  </si>
  <si>
    <t>−0,232</t>
  </si>
  <si>
    <t>−0,216</t>
  </si>
  <si>
    <t>−0,110</t>
  </si>
  <si>
    <t>−0,091</t>
  </si>
  <si>
    <t>−0,081</t>
  </si>
  <si>
    <t>−0,076</t>
  </si>
  <si>
    <t>−0,078</t>
  </si>
  <si>
    <t>−0,087</t>
  </si>
  <si>
    <t>−0,093</t>
  </si>
  <si>
    <t>−0,099</t>
  </si>
  <si>
    <t>−0,101</t>
  </si>
  <si>
    <t>−0,117</t>
  </si>
  <si>
    <t>−0,120</t>
  </si>
  <si>
    <t>−0,127</t>
  </si>
  <si>
    <t>−0,184</t>
  </si>
  <si>
    <t>−0,209</t>
  </si>
  <si>
    <t>−0,218</t>
  </si>
  <si>
    <t>−0,239</t>
  </si>
  <si>
    <t>−0,246</t>
  </si>
  <si>
    <t>−0,238</t>
  </si>
  <si>
    <t>−0,234</t>
  </si>
  <si>
    <t>−0,229</t>
  </si>
  <si>
    <t>−0,225</t>
  </si>
  <si>
    <t>−0,227</t>
  </si>
  <si>
    <t>−0,226</t>
  </si>
  <si>
    <t>−0,236</t>
  </si>
  <si>
    <t>−0,250</t>
  </si>
  <si>
    <t>−0,255</t>
  </si>
  <si>
    <t>−0,257</t>
  </si>
  <si>
    <t>−0,263</t>
  </si>
  <si>
    <t>−0,270</t>
  </si>
  <si>
    <t>−0,277</t>
  </si>
  <si>
    <t>−0,282</t>
  </si>
  <si>
    <t>−0,291</t>
  </si>
  <si>
    <t>−0,296</t>
  </si>
  <si>
    <t>−0,302</t>
  </si>
  <si>
    <t>−0,305</t>
  </si>
  <si>
    <t>−0,309</t>
  </si>
  <si>
    <t>−0,315</t>
  </si>
  <si>
    <t>−0,319</t>
  </si>
  <si>
    <t>−0,326</t>
  </si>
  <si>
    <t>−0,329</t>
  </si>
  <si>
    <t>−0,334</t>
  </si>
  <si>
    <t>−0,340</t>
  </si>
  <si>
    <t>−0,344</t>
  </si>
  <si>
    <t>−0,354</t>
  </si>
  <si>
    <t>−0,371</t>
  </si>
  <si>
    <t>−0,378</t>
  </si>
  <si>
    <t>−0,377</t>
  </si>
  <si>
    <t>−0,380</t>
  </si>
  <si>
    <t>−0,381</t>
  </si>
  <si>
    <t>−0,367</t>
  </si>
  <si>
    <t>−0,361</t>
  </si>
  <si>
    <t>−0,360</t>
  </si>
  <si>
    <t>−0,359</t>
  </si>
  <si>
    <t>−0,352</t>
  </si>
  <si>
    <t>−0,373</t>
  </si>
  <si>
    <t>−0,383</t>
  </si>
  <si>
    <t>−0,392</t>
  </si>
  <si>
    <t>−0,399</t>
  </si>
  <si>
    <t>−0,402</t>
  </si>
  <si>
    <t>−0,409</t>
  </si>
  <si>
    <t>−0,413</t>
  </si>
  <si>
    <t>−0,424</t>
  </si>
  <si>
    <t>−0,428</t>
  </si>
  <si>
    <t>−0,432</t>
  </si>
  <si>
    <t>−0,435</t>
  </si>
  <si>
    <t>−0,433</t>
  </si>
  <si>
    <t>−0,438</t>
  </si>
  <si>
    <t>−0,442</t>
  </si>
  <si>
    <t>−0,450</t>
  </si>
  <si>
    <t>−0,459</t>
  </si>
  <si>
    <t>−0,468</t>
  </si>
  <si>
    <t>−0,472</t>
  </si>
  <si>
    <t>−0,474</t>
  </si>
  <si>
    <t>−0,473</t>
  </si>
  <si>
    <t>−0,471</t>
  </si>
  <si>
    <t>−0,469</t>
  </si>
  <si>
    <t>−0,465</t>
  </si>
  <si>
    <t>−0,463</t>
  </si>
  <si>
    <t>−0,453</t>
  </si>
  <si>
    <t>−0,454</t>
  </si>
  <si>
    <t>−0,458</t>
  </si>
  <si>
    <t>−0,451</t>
  </si>
  <si>
    <t>−0,448</t>
  </si>
  <si>
    <t>−0,440</t>
  </si>
  <si>
    <t>−0,436</t>
  </si>
  <si>
    <t>−0,434</t>
  </si>
  <si>
    <t>−0,429</t>
  </si>
  <si>
    <t>−0,423</t>
  </si>
  <si>
    <t>−0,410</t>
  </si>
  <si>
    <t>−0,408</t>
  </si>
  <si>
    <t>−0,404</t>
  </si>
  <si>
    <t>−0,328</t>
  </si>
  <si>
    <t>−0,298</t>
  </si>
  <si>
    <t>−0,292</t>
  </si>
  <si>
    <t>−0,280</t>
  </si>
  <si>
    <t>−0,275</t>
  </si>
  <si>
    <t>−0,269</t>
  </si>
  <si>
    <t>−0,259</t>
  </si>
  <si>
    <t>−0,254</t>
  </si>
  <si>
    <t>−0,253</t>
  </si>
  <si>
    <t>−0,260</t>
  </si>
  <si>
    <t>−0,264</t>
  </si>
  <si>
    <t>−0,267</t>
  </si>
  <si>
    <t>−0,266</t>
  </si>
  <si>
    <t>−0,261</t>
  </si>
  <si>
    <t>−0,243</t>
  </si>
  <si>
    <t>−0,240</t>
  </si>
  <si>
    <t>−0,235</t>
  </si>
  <si>
    <t>−0,220</t>
  </si>
  <si>
    <t>−0,138</t>
  </si>
  <si>
    <t>−0,135</t>
  </si>
  <si>
    <t>−0,134</t>
  </si>
  <si>
    <t>−0,131</t>
  </si>
  <si>
    <t>−0,165</t>
  </si>
  <si>
    <t>−0,171</t>
  </si>
  <si>
    <t>−0,177</t>
  </si>
  <si>
    <t>−0,248</t>
  </si>
  <si>
    <t>−0,300</t>
  </si>
  <si>
    <t>−0,307</t>
  </si>
  <si>
    <t>−0,314</t>
  </si>
  <si>
    <t>−0,330</t>
  </si>
  <si>
    <t>−0,357</t>
  </si>
  <si>
    <t>−0,346</t>
  </si>
  <si>
    <t>−0,323</t>
  </si>
  <si>
    <t>−0,249</t>
  </si>
  <si>
    <t>−0,204</t>
  </si>
  <si>
    <t>−0,126</t>
  </si>
  <si>
    <t>−0,176</t>
  </si>
  <si>
    <t>−0,212</t>
  </si>
  <si>
    <t>−0,219</t>
  </si>
  <si>
    <t>−0,211</t>
  </si>
  <si>
    <t>−0,114</t>
  </si>
  <si>
    <t>−0,104</t>
  </si>
  <si>
    <t>−0,094</t>
  </si>
  <si>
    <t>−0,067</t>
  </si>
  <si>
    <t>−0,056</t>
  </si>
  <si>
    <t>−0,048</t>
  </si>
  <si>
    <t>−0,039</t>
  </si>
  <si>
    <t>−0,026</t>
  </si>
  <si>
    <t>−0,015</t>
  </si>
  <si>
    <t>−0,008</t>
  </si>
  <si>
    <t>Quelle: OeNB.</t>
  </si>
  <si>
    <t>Sprache:</t>
  </si>
  <si>
    <t>Deutsch</t>
  </si>
  <si>
    <t>Englisch</t>
  </si>
  <si>
    <t>Zeitreihe:</t>
  </si>
  <si>
    <t>Tage:</t>
  </si>
  <si>
    <t>PX_LAST</t>
  </si>
  <si>
    <t>SMR</t>
  </si>
  <si>
    <t>6m Euribor + SMR Emittenten gesamt)/2 + 0,37%</t>
  </si>
  <si>
    <t>Date SMR</t>
  </si>
  <si>
    <t>Zinssatz</t>
  </si>
  <si>
    <t>Zeilenbeschriftungen</t>
  </si>
  <si>
    <t>Gesamtergebnis</t>
  </si>
  <si>
    <t>2015</t>
  </si>
  <si>
    <t>Qrtl2</t>
  </si>
  <si>
    <t>Qrtl4</t>
  </si>
  <si>
    <t>2016</t>
  </si>
  <si>
    <t>2017</t>
  </si>
  <si>
    <t>2018</t>
  </si>
  <si>
    <t>2019</t>
  </si>
  <si>
    <t>2020</t>
  </si>
  <si>
    <t>2021</t>
  </si>
  <si>
    <t>2022</t>
  </si>
  <si>
    <t>Summe von Zinssatz</t>
  </si>
  <si>
    <t>(Mehrere Elemente)</t>
  </si>
  <si>
    <t xml:space="preserve">Guthaben Annuitätten </t>
  </si>
  <si>
    <t>29.1.21 Endabrechnung Finanzierung</t>
  </si>
  <si>
    <t>p.a.</t>
  </si>
  <si>
    <t>6m</t>
  </si>
  <si>
    <t>%</t>
  </si>
  <si>
    <t>Mietbestandteil "Annuität"</t>
  </si>
  <si>
    <t>Förderung</t>
  </si>
  <si>
    <t>Nutzfläche</t>
  </si>
  <si>
    <t>m2</t>
  </si>
  <si>
    <t>Beispiel</t>
  </si>
  <si>
    <t>Hypothekardarlehen</t>
  </si>
  <si>
    <t>Kredit des Landes</t>
  </si>
  <si>
    <t>monatl. Annutitäten</t>
  </si>
  <si>
    <t>pro m2</t>
  </si>
  <si>
    <t>meine Nutzfläche</t>
  </si>
  <si>
    <t>Seit 51</t>
  </si>
  <si>
    <t>zins</t>
  </si>
  <si>
    <t>Bank Austria ohne AZ, Laufzeit 35 Jahre</t>
  </si>
  <si>
    <t>Wohnnutzfläche</t>
  </si>
  <si>
    <t>Nutzwert</t>
  </si>
  <si>
    <t>Gartenfläche</t>
  </si>
  <si>
    <t>Balkon</t>
  </si>
  <si>
    <t>Terrasse</t>
  </si>
  <si>
    <t>gesamt</t>
  </si>
  <si>
    <t>RH1</t>
  </si>
  <si>
    <t>Nutzfläche m2</t>
  </si>
  <si>
    <t xml:space="preserve">geleistet </t>
  </si>
  <si>
    <t>gleistet monatlich</t>
  </si>
  <si>
    <t>FWD</t>
  </si>
  <si>
    <t>Wohnbauförderung, Laufzeit 34 Jahre</t>
  </si>
  <si>
    <t>Bank Austria mit AZ, Laufzeit 25 Jahre</t>
  </si>
  <si>
    <t>RH 1</t>
  </si>
  <si>
    <t>GESAMT</t>
  </si>
  <si>
    <t>-&gt; Grund &amp; Baukosten</t>
  </si>
  <si>
    <t>RH1 Anteil</t>
  </si>
  <si>
    <t>-&gt; RH 1 Grund &amp; Baukosten</t>
  </si>
  <si>
    <t>Calyps FO</t>
  </si>
  <si>
    <r>
      <t>Nominale</t>
    </r>
    <r>
      <rPr>
        <sz val="10"/>
        <color rgb="FF1F497D"/>
        <rFont val="Arial"/>
        <family val="2"/>
      </rPr>
      <t xml:space="preserve"> </t>
    </r>
    <r>
      <rPr>
        <sz val="10"/>
        <color rgb="FFFF0000"/>
        <rFont val="Arial"/>
        <family val="2"/>
      </rPr>
      <t>€ 1.427.336,39 nach der Endabrechnung</t>
    </r>
  </si>
  <si>
    <r>
      <t>Startdatum</t>
    </r>
    <r>
      <rPr>
        <sz val="10"/>
        <color rgb="FF1F497D"/>
        <rFont val="Arial"/>
        <family val="2"/>
      </rPr>
      <t xml:space="preserve"> </t>
    </r>
    <r>
      <rPr>
        <sz val="10"/>
        <color rgb="FFFF0000"/>
        <rFont val="Arial"/>
        <family val="2"/>
      </rPr>
      <t>01.05.2016</t>
    </r>
  </si>
  <si>
    <r>
      <t xml:space="preserve">Enddatum </t>
    </r>
    <r>
      <rPr>
        <sz val="10"/>
        <color rgb="FFFF0000"/>
        <rFont val="Arial"/>
        <family val="2"/>
      </rPr>
      <t>01.11.2050</t>
    </r>
  </si>
  <si>
    <t xml:space="preserve">Fixingdatum </t>
  </si>
  <si>
    <r>
      <t>Zinszahlungsdatum</t>
    </r>
    <r>
      <rPr>
        <sz val="10"/>
        <color rgb="FF1F497D"/>
        <rFont val="Arial"/>
        <family val="2"/>
      </rPr>
      <t xml:space="preserve"> </t>
    </r>
    <r>
      <rPr>
        <sz val="10"/>
        <color rgb="FFFF0000"/>
        <rFont val="Arial"/>
        <family val="2"/>
      </rPr>
      <t>2x im Jahr 01.05./01.11.</t>
    </r>
  </si>
  <si>
    <r>
      <t>Bereits gefixte Zinssätze seit Startdatum</t>
    </r>
    <r>
      <rPr>
        <b/>
        <sz val="10"/>
        <color rgb="FF1F497D"/>
        <rFont val="Arial"/>
        <family val="2"/>
      </rPr>
      <t xml:space="preserve"> </t>
    </r>
    <r>
      <rPr>
        <b/>
        <sz val="10"/>
        <color rgb="FFFF0000"/>
        <rFont val="Arial"/>
        <family val="2"/>
      </rPr>
      <t>0,608% 0,3815%, 0,1805%, 0,323%, 0,442%, 0,3825%, 0,336%, 0,00001%, 0,96%</t>
    </r>
  </si>
  <si>
    <r>
      <t>daycount fraction -&gt; act/360 oder 30/360 für die Zinszahlungstage</t>
    </r>
    <r>
      <rPr>
        <sz val="10"/>
        <color rgb="FF1F497D"/>
        <rFont val="Arial"/>
        <family val="2"/>
      </rPr>
      <t xml:space="preserve"> </t>
    </r>
    <r>
      <rPr>
        <sz val="10"/>
        <color rgb="FFFF0000"/>
        <rFont val="Arial"/>
        <family val="2"/>
      </rPr>
      <t>klm/360</t>
    </r>
  </si>
  <si>
    <t xml:space="preserve">Forwardzinssätze von heute </t>
  </si>
  <si>
    <t>Info: 15/12/22</t>
  </si>
  <si>
    <t>DF</t>
  </si>
  <si>
    <t>0.97716977</t>
  </si>
  <si>
    <t>0.96371692</t>
  </si>
  <si>
    <t>0.95120896</t>
  </si>
  <si>
    <t>0.94042990</t>
  </si>
  <si>
    <t>0.92962277</t>
  </si>
  <si>
    <t>0.91948588</t>
  </si>
  <si>
    <t>0.90958461</t>
  </si>
  <si>
    <t>0.89978589</t>
  </si>
  <si>
    <t>0.89003827</t>
  </si>
  <si>
    <t>0.88044609</t>
  </si>
  <si>
    <t>0.87085267</t>
  </si>
  <si>
    <t>0.86141693</t>
  </si>
  <si>
    <t>0.85189407</t>
  </si>
  <si>
    <t>0.84236383</t>
  </si>
  <si>
    <t>0.83258685</t>
  </si>
  <si>
    <t>0.82302240</t>
  </si>
  <si>
    <t>0.81316276</t>
  </si>
  <si>
    <t>0.80318548</t>
  </si>
  <si>
    <t>0.79314491</t>
  </si>
  <si>
    <t>0.78329365</t>
  </si>
  <si>
    <t>0.77338861</t>
  </si>
  <si>
    <t>0.76376727</t>
  </si>
  <si>
    <t>0.75410915</t>
  </si>
  <si>
    <t>0.74518226</t>
  </si>
  <si>
    <t>0.73637594</t>
  </si>
  <si>
    <t>0.72776771</t>
  </si>
  <si>
    <t>0.71912072</t>
  </si>
  <si>
    <t>0.71071421</t>
  </si>
  <si>
    <t>0.70240598</t>
  </si>
  <si>
    <t>0.69566705</t>
  </si>
  <si>
    <t>0.68949716</t>
  </si>
  <si>
    <t>0.68344854</t>
  </si>
  <si>
    <t>0.67735405</t>
  </si>
  <si>
    <t>0.67137927</t>
  </si>
  <si>
    <t>0.66539240</t>
  </si>
  <si>
    <t>0.65955524</t>
  </si>
  <si>
    <t>0.65361017</t>
  </si>
  <si>
    <t>0.64793944</t>
  </si>
  <si>
    <t>0.64213034</t>
  </si>
  <si>
    <t>0.63764990</t>
  </si>
  <si>
    <t>0.63359877</t>
  </si>
  <si>
    <t>0.62957337</t>
  </si>
  <si>
    <t>0.62552974</t>
  </si>
  <si>
    <t>0.62157738</t>
  </si>
  <si>
    <t>0.61758511</t>
  </si>
  <si>
    <t>0.61368295</t>
  </si>
  <si>
    <t>0.60974138</t>
  </si>
  <si>
    <t>0.60588878</t>
  </si>
  <si>
    <t>0.60195511</t>
  </si>
  <si>
    <t>0.59852265</t>
  </si>
  <si>
    <t>0.59523782</t>
  </si>
  <si>
    <t>0.59197101</t>
  </si>
  <si>
    <t>0.58870433</t>
  </si>
  <si>
    <t>0.58549109</t>
  </si>
  <si>
    <t>zins SZ</t>
  </si>
  <si>
    <t>6m Euribor</t>
  </si>
  <si>
    <t>i</t>
  </si>
  <si>
    <t>Renditen österreichischer Bundesanleihen - Oesterreichische Nationalbank (OeNB)</t>
  </si>
  <si>
    <t>Kalkulation basierend auf Endabrechnung 29.01.2021</t>
  </si>
  <si>
    <t>WBF Darlehen</t>
  </si>
  <si>
    <t>Grundkosten</t>
  </si>
  <si>
    <t>SZ Eigenmittel</t>
  </si>
  <si>
    <t>Mieter Eigenmittel</t>
  </si>
  <si>
    <t>Gesamt</t>
  </si>
  <si>
    <t>HERSTELLUNGS-KOSTEN</t>
  </si>
  <si>
    <t>Guthaben Annuitäten</t>
  </si>
  <si>
    <t>Herstellungskosten Mietvertrag 2014</t>
  </si>
  <si>
    <t>Baukosten</t>
  </si>
  <si>
    <t>Finanzierung</t>
  </si>
  <si>
    <t>Wohnbauförderdarlehen</t>
  </si>
  <si>
    <t>SZ Eigenmitel</t>
  </si>
  <si>
    <t>D000089</t>
  </si>
  <si>
    <t xml:space="preserve">Nominale </t>
  </si>
  <si>
    <t>D000003</t>
  </si>
  <si>
    <t>BA</t>
  </si>
  <si>
    <t>Land NÖ WBF</t>
  </si>
  <si>
    <t>Land NÖ - Zuschuss</t>
  </si>
  <si>
    <t>Annuitäten 2017</t>
  </si>
  <si>
    <t>Annuitäten 2022</t>
  </si>
  <si>
    <r>
      <t>Nominale</t>
    </r>
    <r>
      <rPr>
        <b/>
        <sz val="10"/>
        <color rgb="FF1F497D"/>
        <rFont val="Arial"/>
        <family val="2"/>
      </rPr>
      <t xml:space="preserve"> </t>
    </r>
    <r>
      <rPr>
        <b/>
        <sz val="10"/>
        <color rgb="FFFF0000"/>
        <rFont val="Arial"/>
        <family val="2"/>
      </rPr>
      <t>€ 1.427.336,39 nach der Endabrechnung</t>
    </r>
  </si>
  <si>
    <t>gezahlt</t>
  </si>
  <si>
    <t>Gesamt Notional</t>
  </si>
  <si>
    <t>RH1 Notional</t>
  </si>
  <si>
    <t>Notional</t>
  </si>
  <si>
    <t>,</t>
  </si>
  <si>
    <r>
      <t xml:space="preserve">Bankdarlehen </t>
    </r>
    <r>
      <rPr>
        <b/>
        <sz val="14"/>
        <color theme="1" tint="4.9989318521683403E-2"/>
        <rFont val="Arial"/>
        <family val="2"/>
      </rPr>
      <t>mit</t>
    </r>
    <r>
      <rPr>
        <b/>
        <sz val="10"/>
        <color rgb="FFFF0000"/>
        <rFont val="Arial"/>
        <family val="2"/>
      </rPr>
      <t xml:space="preserve"> AZ/1</t>
    </r>
  </si>
  <si>
    <t>PV</t>
  </si>
  <si>
    <t>6m Euriobor +96 bps</t>
  </si>
  <si>
    <t>10J</t>
  </si>
  <si>
    <t>6m  Euribor /FWD</t>
  </si>
  <si>
    <t>Aufschlag</t>
  </si>
  <si>
    <t>Land NÖ</t>
  </si>
  <si>
    <t>Nominale</t>
  </si>
  <si>
    <t>Tilgung</t>
  </si>
  <si>
    <t>Zinsen</t>
  </si>
  <si>
    <t>Annuitäten</t>
  </si>
  <si>
    <t>BA 1</t>
  </si>
  <si>
    <t>BA 2</t>
  </si>
  <si>
    <t>Summe</t>
  </si>
  <si>
    <t>Zuschuss</t>
  </si>
  <si>
    <t>Zususchh RZ</t>
  </si>
  <si>
    <t>Objektsumme:</t>
  </si>
  <si>
    <t>ausstehend</t>
  </si>
  <si>
    <t xml:space="preserve">633 Nominale </t>
  </si>
  <si>
    <t xml:space="preserve">642 Nominale </t>
  </si>
  <si>
    <t xml:space="preserve">573 Nominale </t>
  </si>
  <si>
    <t xml:space="preserve">Start </t>
  </si>
  <si>
    <t>Ende</t>
  </si>
  <si>
    <t>Jahre</t>
  </si>
  <si>
    <t>Halbjahresraten</t>
  </si>
  <si>
    <t>Raten</t>
  </si>
  <si>
    <t>Fixing</t>
  </si>
  <si>
    <t>Zinszahlung</t>
  </si>
  <si>
    <t>Smr</t>
  </si>
  <si>
    <t>Zinssatz alt</t>
  </si>
  <si>
    <t>Zinssatz neu</t>
  </si>
  <si>
    <t>642, 633</t>
  </si>
  <si>
    <t>3m Euriobr</t>
  </si>
  <si>
    <t>Saldo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</si>
</sst>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* #,##0_-;\-* #,##0_-;_-* &quot;-&quot;??_-;_-@_-"/>
    <numFmt numFmtId="165" formatCode="0.0000%"/>
    <numFmt numFmtId="166" formatCode="0.00000"/>
    <numFmt numFmtId="167" formatCode="0.0000"/>
    <numFmt numFmtId="168" formatCode="dd\.mm\.yyyy"/>
    <numFmt numFmtId="169" formatCode="_-* #,##0.00000_-;\-* #,##0.00000_-;_-* &quot;-&quot;??_-;_-@_-"/>
    <numFmt numFmtId="170" formatCode="0.0"/>
    <numFmt numFmtId="171" formatCode="ddd\ dd/mm/yyyy"/>
    <numFmt numFmtId="172" formatCode="0.000%"/>
    <numFmt numFmtId="173" formatCode="#,##0.000000"/>
    <numFmt numFmtId="174" formatCode="0.00000%"/>
    <numFmt numFmtId="175" formatCode="&quot;€&quot;\ #,##0.00"/>
    <numFmt numFmtId="176" formatCode="General\ &quot;m2&quot;"/>
    <numFmt numFmtId="177" formatCode="0.00\ &quot;m2&quot;"/>
    <numFmt numFmtId="178" formatCode="_-* #,##0.000_-;\-* #,##0.000_-;_-* &quot;-&quot;??_-;_-@_-"/>
  </numFmts>
  <fonts count="5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B0F0"/>
      <name val="Arial"/>
      <family val="2"/>
    </font>
    <font>
      <b/>
      <sz val="10"/>
      <color rgb="FF00B0F0"/>
      <name val="Arial"/>
      <family val="2"/>
    </font>
    <font>
      <sz val="10"/>
      <color rgb="FF00B050"/>
      <name val="Arial"/>
      <family val="2"/>
    </font>
    <font>
      <b/>
      <sz val="10"/>
      <color rgb="FF00B050"/>
      <name val="Arial"/>
      <family val="2"/>
    </font>
    <font>
      <sz val="10"/>
      <color rgb="FF006100"/>
      <name val="Arial"/>
      <family val="2"/>
    </font>
    <font>
      <b/>
      <sz val="10"/>
      <color theme="3" tint="0.39997558519241921"/>
      <name val="Arial"/>
      <family val="2"/>
    </font>
    <font>
      <b/>
      <sz val="10"/>
      <color rgb="FFC00000"/>
      <name val="Arial"/>
      <family val="2"/>
    </font>
    <font>
      <sz val="10"/>
      <color theme="3" tint="0.39997558519241921"/>
      <name val="Arial"/>
      <family val="2"/>
    </font>
    <font>
      <b/>
      <i/>
      <sz val="10"/>
      <color theme="1"/>
      <name val="Arial"/>
      <family val="2"/>
    </font>
    <font>
      <sz val="10"/>
      <color theme="9" tint="-0.249977111117893"/>
      <name val="Arial"/>
      <family val="2"/>
    </font>
    <font>
      <b/>
      <sz val="10"/>
      <color theme="9" tint="-0.249977111117893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rgb="FF0066FF"/>
      <name val="Arial"/>
      <family val="2"/>
    </font>
    <font>
      <b/>
      <sz val="10"/>
      <color theme="5" tint="-0.249977111117893"/>
      <name val="Arial"/>
      <family val="2"/>
    </font>
    <font>
      <i/>
      <sz val="10"/>
      <color theme="1"/>
      <name val="Arial"/>
      <family val="2"/>
    </font>
    <font>
      <b/>
      <sz val="10"/>
      <color theme="0"/>
      <name val="Arial"/>
      <family val="2"/>
    </font>
    <font>
      <b/>
      <sz val="16"/>
      <color theme="1"/>
      <name val="Arial"/>
      <family val="2"/>
    </font>
    <font>
      <b/>
      <sz val="10"/>
      <color rgb="FF0070C0"/>
      <name val="Arial"/>
      <family val="2"/>
    </font>
    <font>
      <b/>
      <sz val="16"/>
      <color rgb="FFFF0000"/>
      <name val="Arial"/>
      <family val="2"/>
    </font>
    <font>
      <b/>
      <sz val="14"/>
      <color theme="1"/>
      <name val="Arial"/>
      <family val="2"/>
    </font>
    <font>
      <b/>
      <sz val="14"/>
      <color rgb="FFFF0000"/>
      <name val="Arial"/>
      <family val="2"/>
    </font>
    <font>
      <b/>
      <sz val="12"/>
      <color theme="1" tint="4.9989318521683403E-2"/>
      <name val="Arial"/>
      <family val="2"/>
    </font>
    <font>
      <sz val="10"/>
      <color rgb="FF0066FF"/>
      <name val="Arial"/>
      <family val="2"/>
    </font>
    <font>
      <sz val="10"/>
      <color rgb="FF1F497D"/>
      <name val="Arial"/>
      <family val="2"/>
    </font>
    <font>
      <b/>
      <sz val="10"/>
      <color rgb="FF1F497D"/>
      <name val="Arial"/>
      <family val="2"/>
    </font>
    <font>
      <b/>
      <sz val="12"/>
      <color rgb="FF0066FF"/>
      <name val="Arial"/>
      <family val="2"/>
    </font>
    <font>
      <b/>
      <sz val="10"/>
      <color rgb="FF0066FF"/>
      <name val="Arial"/>
      <family val="2"/>
    </font>
    <font>
      <b/>
      <sz val="14"/>
      <color rgb="FF0066FF"/>
      <name val="Arial"/>
      <family val="2"/>
    </font>
    <font>
      <i/>
      <sz val="10"/>
      <color rgb="FF0066FF"/>
      <name val="Arial"/>
      <family val="2"/>
    </font>
    <font>
      <sz val="18"/>
      <color theme="1"/>
      <name val="Arial"/>
      <family val="2"/>
    </font>
    <font>
      <b/>
      <i/>
      <sz val="10"/>
      <color rgb="FF0066FF"/>
      <name val="Arial"/>
      <family val="2"/>
    </font>
    <font>
      <b/>
      <sz val="18"/>
      <color theme="1"/>
      <name val="Arial"/>
      <family val="2"/>
    </font>
    <font>
      <sz val="10"/>
      <color rgb="FF000000"/>
      <name val="Arial"/>
      <family val="2"/>
    </font>
    <font>
      <b/>
      <sz val="14"/>
      <color theme="1" tint="4.9989318521683403E-2"/>
      <name val="Arial"/>
      <family val="2"/>
    </font>
    <font>
      <sz val="10"/>
      <color rgb="FF0070C0"/>
      <name val="Arial"/>
      <family val="2"/>
    </font>
    <font>
      <sz val="10"/>
      <color theme="5" tint="-0.249977111117893"/>
      <name val="Arial"/>
      <family val="2"/>
    </font>
    <font>
      <sz val="10"/>
      <color theme="1"/>
      <name val="Arial Unicode MS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Inter"/>
      <family val="2"/>
    </font>
    <font>
      <sz val="11"/>
      <color theme="0"/>
      <name val="Inter"/>
      <family val="2"/>
    </font>
    <font>
      <sz val="10"/>
      <color theme="8" tint="-0.249977111117893"/>
      <name val="Arial"/>
      <family val="2"/>
    </font>
    <font>
      <sz val="10"/>
      <color theme="0"/>
      <name val="Inter"/>
      <family val="2"/>
    </font>
    <font>
      <sz val="11"/>
      <color theme="8" tint="0.59999389629810485"/>
      <name val="Inter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CF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013473"/>
      </right>
      <top/>
      <bottom/>
      <diagonal/>
    </border>
    <border>
      <left/>
      <right style="medium">
        <color rgb="FFFFFFFF"/>
      </right>
      <top/>
      <bottom/>
      <diagonal/>
    </border>
    <border>
      <left style="thick">
        <color rgb="FFE9ECF3"/>
      </left>
      <right/>
      <top style="thick">
        <color rgb="FFE9ECF3"/>
      </top>
      <bottom style="thick">
        <color rgb="FFE9ECF3"/>
      </bottom>
      <diagonal/>
    </border>
    <border>
      <left/>
      <right/>
      <top style="thick">
        <color rgb="FFE9ECF3"/>
      </top>
      <bottom style="thick">
        <color rgb="FFE9ECF3"/>
      </bottom>
      <diagonal/>
    </border>
    <border>
      <left/>
      <right style="thick">
        <color rgb="FFE9ECF3"/>
      </right>
      <top style="thick">
        <color rgb="FFE9ECF3"/>
      </top>
      <bottom style="thick">
        <color rgb="FFE9ECF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7" fillId="2" borderId="0" applyNumberFormat="0" applyBorder="0" applyAlignment="0" applyProtection="0"/>
    <xf numFmtId="0" fontId="14" fillId="4" borderId="0" applyNumberFormat="0" applyBorder="0" applyAlignment="0" applyProtection="0"/>
    <xf numFmtId="9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27" borderId="0" applyNumberFormat="0" applyBorder="0" applyAlignment="0" applyProtection="0"/>
    <xf numFmtId="0" fontId="51" fillId="28" borderId="0" applyNumberFormat="0" applyBorder="0" applyAlignment="0" applyProtection="0"/>
    <xf numFmtId="0" fontId="51" fillId="29" borderId="0" applyNumberFormat="0" applyBorder="0" applyAlignment="0" applyProtection="0"/>
    <xf numFmtId="0" fontId="51" fillId="30" borderId="0" applyNumberFormat="0" applyBorder="0" applyAlignment="0" applyProtection="0"/>
  </cellStyleXfs>
  <cellXfs count="655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horizontal="center"/>
    </xf>
    <xf numFmtId="43" fontId="3" fillId="0" borderId="0" xfId="1" applyFont="1"/>
    <xf numFmtId="43" fontId="0" fillId="0" borderId="0" xfId="1" applyFont="1"/>
    <xf numFmtId="43" fontId="2" fillId="0" borderId="0" xfId="0" applyNumberFormat="1" applyFont="1" applyAlignment="1">
      <alignment horizontal="right"/>
    </xf>
    <xf numFmtId="43" fontId="2" fillId="0" borderId="0" xfId="1" applyFont="1" applyAlignment="1">
      <alignment horizontal="right"/>
    </xf>
    <xf numFmtId="0" fontId="5" fillId="0" borderId="0" xfId="0" applyFont="1" applyAlignment="1">
      <alignment horizontal="right"/>
    </xf>
    <xf numFmtId="43" fontId="6" fillId="0" borderId="1" xfId="1" applyFont="1" applyBorder="1"/>
    <xf numFmtId="43" fontId="2" fillId="0" borderId="0" xfId="1" applyFont="1"/>
    <xf numFmtId="0" fontId="2" fillId="3" borderId="0" xfId="0" applyFont="1" applyFill="1" applyAlignment="1">
      <alignment horizontal="right"/>
    </xf>
    <xf numFmtId="43" fontId="2" fillId="3" borderId="0" xfId="1" applyFont="1" applyFill="1"/>
    <xf numFmtId="0" fontId="2" fillId="0" borderId="1" xfId="0" applyFont="1" applyBorder="1" applyAlignment="1">
      <alignment horizontal="center"/>
    </xf>
    <xf numFmtId="43" fontId="0" fillId="0" borderId="0" xfId="0" applyNumberFormat="1"/>
    <xf numFmtId="0" fontId="0" fillId="3" borderId="0" xfId="0" applyFill="1" applyAlignment="1">
      <alignment horizontal="right"/>
    </xf>
    <xf numFmtId="43" fontId="0" fillId="3" borderId="0" xfId="1" applyFont="1" applyFill="1"/>
    <xf numFmtId="43" fontId="8" fillId="0" borderId="0" xfId="1" applyFont="1"/>
    <xf numFmtId="0" fontId="0" fillId="0" borderId="0" xfId="0" applyFill="1" applyAlignment="1">
      <alignment horizontal="right"/>
    </xf>
    <xf numFmtId="43" fontId="0" fillId="0" borderId="0" xfId="1" applyFont="1" applyFill="1"/>
    <xf numFmtId="0" fontId="9" fillId="0" borderId="2" xfId="0" applyFont="1" applyBorder="1" applyAlignment="1">
      <alignment horizontal="right"/>
    </xf>
    <xf numFmtId="43" fontId="9" fillId="0" borderId="3" xfId="0" applyNumberFormat="1" applyFont="1" applyBorder="1"/>
    <xf numFmtId="0" fontId="9" fillId="0" borderId="3" xfId="0" applyFont="1" applyBorder="1"/>
    <xf numFmtId="0" fontId="0" fillId="0" borderId="4" xfId="0" applyBorder="1"/>
    <xf numFmtId="14" fontId="0" fillId="0" borderId="0" xfId="0" applyNumberFormat="1"/>
    <xf numFmtId="14" fontId="9" fillId="0" borderId="0" xfId="0" applyNumberFormat="1" applyFont="1"/>
    <xf numFmtId="0" fontId="10" fillId="0" borderId="0" xfId="0" applyFont="1" applyAlignment="1">
      <alignment horizontal="right"/>
    </xf>
    <xf numFmtId="0" fontId="11" fillId="0" borderId="0" xfId="0" applyFont="1"/>
    <xf numFmtId="0" fontId="8" fillId="0" borderId="0" xfId="0" applyFont="1" applyFill="1" applyAlignment="1">
      <alignment horizontal="right"/>
    </xf>
    <xf numFmtId="43" fontId="8" fillId="0" borderId="0" xfId="1" applyFont="1" applyFill="1"/>
    <xf numFmtId="0" fontId="12" fillId="0" borderId="0" xfId="0" applyFont="1"/>
    <xf numFmtId="14" fontId="13" fillId="0" borderId="0" xfId="0" applyNumberFormat="1" applyFont="1"/>
    <xf numFmtId="43" fontId="13" fillId="0" borderId="0" xfId="1" applyFont="1"/>
    <xf numFmtId="43" fontId="12" fillId="0" borderId="0" xfId="0" applyNumberFormat="1" applyFont="1"/>
    <xf numFmtId="0" fontId="10" fillId="0" borderId="0" xfId="0" applyFont="1"/>
    <xf numFmtId="164" fontId="10" fillId="0" borderId="0" xfId="1" applyNumberFormat="1" applyFont="1"/>
    <xf numFmtId="164" fontId="8" fillId="0" borderId="0" xfId="1" applyNumberFormat="1" applyFont="1"/>
    <xf numFmtId="14" fontId="10" fillId="0" borderId="0" xfId="0" applyNumberFormat="1" applyFont="1"/>
    <xf numFmtId="164" fontId="2" fillId="0" borderId="0" xfId="0" applyNumberFormat="1" applyFont="1"/>
    <xf numFmtId="14" fontId="7" fillId="2" borderId="0" xfId="2" applyNumberFormat="1"/>
    <xf numFmtId="43" fontId="7" fillId="2" borderId="0" xfId="1" applyFont="1" applyFill="1"/>
    <xf numFmtId="43" fontId="14" fillId="4" borderId="0" xfId="3" applyNumberFormat="1"/>
    <xf numFmtId="43" fontId="0" fillId="0" borderId="0" xfId="1" applyFont="1" applyAlignment="1">
      <alignment horizontal="center"/>
    </xf>
    <xf numFmtId="9" fontId="0" fillId="0" borderId="0" xfId="4" applyFont="1"/>
    <xf numFmtId="9" fontId="2" fillId="5" borderId="0" xfId="4" applyFont="1" applyFill="1"/>
    <xf numFmtId="0" fontId="0" fillId="6" borderId="0" xfId="0" applyFill="1"/>
    <xf numFmtId="0" fontId="2" fillId="6" borderId="0" xfId="0" applyFont="1" applyFill="1"/>
    <xf numFmtId="9" fontId="2" fillId="6" borderId="0" xfId="4" applyFont="1" applyFill="1"/>
    <xf numFmtId="0" fontId="16" fillId="6" borderId="0" xfId="0" applyFont="1" applyFill="1" applyAlignment="1">
      <alignment horizontal="right"/>
    </xf>
    <xf numFmtId="0" fontId="2" fillId="0" borderId="1" xfId="0" applyFont="1" applyBorder="1"/>
    <xf numFmtId="0" fontId="0" fillId="0" borderId="1" xfId="0" applyBorder="1" applyAlignment="1">
      <alignment horizontal="center"/>
    </xf>
    <xf numFmtId="9" fontId="16" fillId="0" borderId="1" xfId="4" applyFont="1" applyBorder="1"/>
    <xf numFmtId="43" fontId="16" fillId="0" borderId="0" xfId="0" applyNumberFormat="1" applyFont="1"/>
    <xf numFmtId="43" fontId="16" fillId="0" borderId="0" xfId="1" applyFont="1"/>
    <xf numFmtId="164" fontId="16" fillId="0" borderId="0" xfId="1" applyNumberFormat="1" applyFont="1"/>
    <xf numFmtId="0" fontId="0" fillId="7" borderId="0" xfId="0" applyFill="1" applyAlignment="1">
      <alignment horizontal="right"/>
    </xf>
    <xf numFmtId="0" fontId="0" fillId="7" borderId="0" xfId="0" applyFill="1"/>
    <xf numFmtId="166" fontId="0" fillId="0" borderId="0" xfId="0" applyNumberFormat="1"/>
    <xf numFmtId="167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5" xfId="0" applyBorder="1"/>
    <xf numFmtId="0" fontId="0" fillId="0" borderId="0" xfId="0" applyBorder="1"/>
    <xf numFmtId="0" fontId="10" fillId="0" borderId="6" xfId="0" applyFont="1" applyBorder="1"/>
    <xf numFmtId="0" fontId="0" fillId="8" borderId="5" xfId="0" applyFill="1" applyBorder="1"/>
    <xf numFmtId="0" fontId="0" fillId="8" borderId="0" xfId="0" applyFill="1" applyBorder="1"/>
    <xf numFmtId="0" fontId="10" fillId="8" borderId="6" xfId="0" applyFont="1" applyFill="1" applyBorder="1"/>
    <xf numFmtId="1" fontId="0" fillId="0" borderId="0" xfId="0" applyNumberFormat="1" applyBorder="1"/>
    <xf numFmtId="164" fontId="10" fillId="9" borderId="6" xfId="0" applyNumberFormat="1" applyFont="1" applyFill="1" applyBorder="1"/>
    <xf numFmtId="0" fontId="0" fillId="0" borderId="8" xfId="0" applyBorder="1"/>
    <xf numFmtId="0" fontId="0" fillId="0" borderId="9" xfId="0" applyBorder="1"/>
    <xf numFmtId="0" fontId="10" fillId="0" borderId="10" xfId="0" applyFont="1" applyBorder="1"/>
    <xf numFmtId="0" fontId="2" fillId="10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15" xfId="0" applyNumberFormat="1" applyBorder="1"/>
    <xf numFmtId="14" fontId="0" fillId="8" borderId="15" xfId="0" applyNumberFormat="1" applyFill="1" applyBorder="1"/>
    <xf numFmtId="14" fontId="0" fillId="0" borderId="11" xfId="0" applyNumberFormat="1" applyBorder="1"/>
    <xf numFmtId="0" fontId="0" fillId="0" borderId="15" xfId="0" applyBorder="1"/>
    <xf numFmtId="0" fontId="16" fillId="11" borderId="0" xfId="0" applyFont="1" applyFill="1" applyBorder="1" applyAlignment="1">
      <alignment horizontal="left"/>
    </xf>
    <xf numFmtId="0" fontId="0" fillId="11" borderId="0" xfId="0" applyFill="1" applyBorder="1"/>
    <xf numFmtId="0" fontId="0" fillId="0" borderId="1" xfId="0" applyBorder="1" applyAlignment="1">
      <alignment horizontal="right"/>
    </xf>
    <xf numFmtId="0" fontId="0" fillId="0" borderId="1" xfId="0" applyBorder="1"/>
    <xf numFmtId="9" fontId="0" fillId="0" borderId="1" xfId="4" applyFont="1" applyBorder="1"/>
    <xf numFmtId="0" fontId="16" fillId="11" borderId="1" xfId="0" applyFont="1" applyFill="1" applyBorder="1"/>
    <xf numFmtId="0" fontId="16" fillId="12" borderId="1" xfId="0" applyFont="1" applyFill="1" applyBorder="1"/>
    <xf numFmtId="0" fontId="16" fillId="10" borderId="1" xfId="0" applyFont="1" applyFill="1" applyBorder="1"/>
    <xf numFmtId="0" fontId="18" fillId="0" borderId="0" xfId="5"/>
    <xf numFmtId="0" fontId="19" fillId="0" borderId="0" xfId="0" applyFont="1" applyAlignment="1">
      <alignment horizontal="left" vertical="top" wrapText="1"/>
    </xf>
    <xf numFmtId="0" fontId="18" fillId="0" borderId="0" xfId="5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18" fillId="0" borderId="16" xfId="5" applyBorder="1" applyAlignment="1">
      <alignment horizontal="left" vertical="top" wrapText="1"/>
    </xf>
    <xf numFmtId="14" fontId="19" fillId="13" borderId="17" xfId="0" applyNumberFormat="1" applyFont="1" applyFill="1" applyBorder="1" applyAlignment="1">
      <alignment horizontal="left" vertical="top"/>
    </xf>
    <xf numFmtId="0" fontId="20" fillId="14" borderId="16" xfId="0" applyFont="1" applyFill="1" applyBorder="1" applyAlignment="1">
      <alignment horizontal="right" wrapText="1"/>
    </xf>
    <xf numFmtId="0" fontId="20" fillId="14" borderId="17" xfId="0" applyFont="1" applyFill="1" applyBorder="1" applyAlignment="1">
      <alignment horizontal="right" wrapText="1"/>
    </xf>
    <xf numFmtId="0" fontId="18" fillId="0" borderId="0" xfId="5" applyAlignment="1">
      <alignment horizontal="left" vertical="top" wrapText="1"/>
    </xf>
    <xf numFmtId="0" fontId="22" fillId="14" borderId="18" xfId="0" applyFont="1" applyFill="1" applyBorder="1" applyAlignment="1">
      <alignment horizontal="left" vertical="top" wrapText="1"/>
    </xf>
    <xf numFmtId="0" fontId="21" fillId="14" borderId="19" xfId="0" applyFont="1" applyFill="1" applyBorder="1" applyAlignment="1">
      <alignment horizontal="left" vertical="top" wrapText="1"/>
    </xf>
    <xf numFmtId="0" fontId="22" fillId="14" borderId="19" xfId="0" applyFont="1" applyFill="1" applyBorder="1" applyAlignment="1">
      <alignment horizontal="left" vertical="top" wrapText="1"/>
    </xf>
    <xf numFmtId="0" fontId="21" fillId="14" borderId="20" xfId="0" applyFont="1" applyFill="1" applyBorder="1" applyAlignment="1">
      <alignment horizontal="left" vertical="top" wrapText="1"/>
    </xf>
    <xf numFmtId="168" fontId="0" fillId="0" borderId="0" xfId="0" applyNumberFormat="1"/>
    <xf numFmtId="0" fontId="2" fillId="15" borderId="1" xfId="0" applyFont="1" applyFill="1" applyBorder="1" applyAlignment="1">
      <alignment horizontal="center"/>
    </xf>
    <xf numFmtId="0" fontId="0" fillId="15" borderId="0" xfId="0" applyFill="1"/>
    <xf numFmtId="0" fontId="0" fillId="15" borderId="22" xfId="0" applyFill="1" applyBorder="1"/>
    <xf numFmtId="0" fontId="2" fillId="16" borderId="1" xfId="0" applyFont="1" applyFill="1" applyBorder="1" applyAlignment="1">
      <alignment horizontal="center" vertical="center"/>
    </xf>
    <xf numFmtId="10" fontId="0" fillId="16" borderId="23" xfId="0" applyNumberFormat="1" applyFill="1" applyBorder="1"/>
    <xf numFmtId="0" fontId="0" fillId="16" borderId="24" xfId="0" applyFill="1" applyBorder="1"/>
    <xf numFmtId="0" fontId="2" fillId="16" borderId="25" xfId="0" applyFont="1" applyFill="1" applyBorder="1"/>
    <xf numFmtId="0" fontId="2" fillId="16" borderId="26" xfId="0" applyFont="1" applyFill="1" applyBorder="1"/>
    <xf numFmtId="169" fontId="24" fillId="0" borderId="0" xfId="1" applyNumberFormat="1" applyFont="1" applyAlignment="1">
      <alignment horizontal="center"/>
    </xf>
    <xf numFmtId="43" fontId="2" fillId="17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18" borderId="27" xfId="0" applyFill="1" applyBorder="1"/>
    <xf numFmtId="0" fontId="0" fillId="18" borderId="28" xfId="0" applyFill="1" applyBorder="1"/>
    <xf numFmtId="0" fontId="0" fillId="18" borderId="29" xfId="0" applyFill="1" applyBorder="1"/>
    <xf numFmtId="0" fontId="0" fillId="18" borderId="30" xfId="0" applyFill="1" applyBorder="1"/>
    <xf numFmtId="0" fontId="0" fillId="18" borderId="0" xfId="0" applyFill="1" applyBorder="1"/>
    <xf numFmtId="0" fontId="0" fillId="18" borderId="31" xfId="0" applyFill="1" applyBorder="1"/>
    <xf numFmtId="0" fontId="0" fillId="18" borderId="0" xfId="0" applyFill="1" applyBorder="1" applyAlignment="1">
      <alignment horizontal="right"/>
    </xf>
    <xf numFmtId="43" fontId="0" fillId="18" borderId="0" xfId="1" applyFont="1" applyFill="1" applyBorder="1"/>
    <xf numFmtId="0" fontId="0" fillId="18" borderId="32" xfId="0" applyFill="1" applyBorder="1"/>
    <xf numFmtId="0" fontId="0" fillId="18" borderId="34" xfId="0" applyFill="1" applyBorder="1"/>
    <xf numFmtId="14" fontId="0" fillId="8" borderId="11" xfId="0" applyNumberFormat="1" applyFill="1" applyBorder="1"/>
    <xf numFmtId="0" fontId="0" fillId="8" borderId="8" xfId="0" applyFill="1" applyBorder="1"/>
    <xf numFmtId="0" fontId="0" fillId="8" borderId="9" xfId="0" applyFill="1" applyBorder="1"/>
    <xf numFmtId="0" fontId="10" fillId="8" borderId="10" xfId="0" applyFont="1" applyFill="1" applyBorder="1"/>
    <xf numFmtId="1" fontId="0" fillId="0" borderId="9" xfId="0" applyNumberFormat="1" applyBorder="1"/>
    <xf numFmtId="0" fontId="2" fillId="18" borderId="2" xfId="0" applyFont="1" applyFill="1" applyBorder="1"/>
    <xf numFmtId="0" fontId="2" fillId="18" borderId="3" xfId="0" applyFont="1" applyFill="1" applyBorder="1"/>
    <xf numFmtId="0" fontId="2" fillId="18" borderId="4" xfId="0" applyFont="1" applyFill="1" applyBorder="1"/>
    <xf numFmtId="14" fontId="0" fillId="8" borderId="10" xfId="0" applyNumberFormat="1" applyFill="1" applyBorder="1"/>
    <xf numFmtId="0" fontId="0" fillId="18" borderId="2" xfId="0" applyFill="1" applyBorder="1"/>
    <xf numFmtId="0" fontId="2" fillId="18" borderId="4" xfId="0" applyFont="1" applyFill="1" applyBorder="1" applyAlignment="1">
      <alignment horizontal="right"/>
    </xf>
    <xf numFmtId="14" fontId="0" fillId="0" borderId="14" xfId="0" applyNumberFormat="1" applyBorder="1"/>
    <xf numFmtId="0" fontId="0" fillId="0" borderId="23" xfId="0" applyBorder="1"/>
    <xf numFmtId="0" fontId="0" fillId="0" borderId="24" xfId="0" applyBorder="1"/>
    <xf numFmtId="0" fontId="10" fillId="0" borderId="22" xfId="0" applyFont="1" applyBorder="1"/>
    <xf numFmtId="0" fontId="2" fillId="0" borderId="14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14" fontId="0" fillId="8" borderId="14" xfId="0" applyNumberFormat="1" applyFill="1" applyBorder="1"/>
    <xf numFmtId="0" fontId="0" fillId="8" borderId="23" xfId="0" applyFill="1" applyBorder="1"/>
    <xf numFmtId="0" fontId="0" fillId="8" borderId="24" xfId="0" applyFill="1" applyBorder="1"/>
    <xf numFmtId="0" fontId="10" fillId="8" borderId="22" xfId="0" applyFont="1" applyFill="1" applyBorder="1"/>
    <xf numFmtId="1" fontId="0" fillId="0" borderId="24" xfId="0" applyNumberFormat="1" applyBorder="1"/>
    <xf numFmtId="164" fontId="8" fillId="0" borderId="9" xfId="1" applyNumberFormat="1" applyFont="1" applyBorder="1"/>
    <xf numFmtId="0" fontId="0" fillId="0" borderId="10" xfId="0" applyBorder="1"/>
    <xf numFmtId="164" fontId="10" fillId="9" borderId="10" xfId="0" applyNumberFormat="1" applyFont="1" applyFill="1" applyBorder="1"/>
    <xf numFmtId="1" fontId="0" fillId="8" borderId="24" xfId="0" applyNumberFormat="1" applyFill="1" applyBorder="1"/>
    <xf numFmtId="164" fontId="10" fillId="8" borderId="22" xfId="0" applyNumberFormat="1" applyFont="1" applyFill="1" applyBorder="1"/>
    <xf numFmtId="1" fontId="0" fillId="8" borderId="9" xfId="0" applyNumberFormat="1" applyFill="1" applyBorder="1"/>
    <xf numFmtId="164" fontId="10" fillId="8" borderId="10" xfId="0" applyNumberFormat="1" applyFont="1" applyFill="1" applyBorder="1"/>
    <xf numFmtId="43" fontId="0" fillId="8" borderId="23" xfId="1" applyFont="1" applyFill="1" applyBorder="1"/>
    <xf numFmtId="43" fontId="0" fillId="8" borderId="24" xfId="1" applyFont="1" applyFill="1" applyBorder="1"/>
    <xf numFmtId="43" fontId="0" fillId="8" borderId="8" xfId="1" applyFont="1" applyFill="1" applyBorder="1"/>
    <xf numFmtId="164" fontId="8" fillId="8" borderId="9" xfId="1" applyNumberFormat="1" applyFont="1" applyFill="1" applyBorder="1"/>
    <xf numFmtId="0" fontId="2" fillId="18" borderId="33" xfId="0" applyFont="1" applyFill="1" applyBorder="1" applyAlignment="1">
      <alignment horizontal="right"/>
    </xf>
    <xf numFmtId="43" fontId="2" fillId="18" borderId="33" xfId="1" applyFont="1" applyFill="1" applyBorder="1"/>
    <xf numFmtId="43" fontId="17" fillId="18" borderId="0" xfId="0" applyNumberFormat="1" applyFont="1" applyFill="1" applyBorder="1"/>
    <xf numFmtId="14" fontId="0" fillId="9" borderId="0" xfId="0" applyNumberFormat="1" applyFill="1"/>
    <xf numFmtId="43" fontId="0" fillId="9" borderId="0" xfId="1" applyFont="1" applyFill="1"/>
    <xf numFmtId="14" fontId="0" fillId="16" borderId="0" xfId="0" applyNumberFormat="1" applyFill="1"/>
    <xf numFmtId="43" fontId="0" fillId="16" borderId="0" xfId="1" applyFont="1" applyFill="1"/>
    <xf numFmtId="43" fontId="2" fillId="18" borderId="21" xfId="1" applyFont="1" applyFill="1" applyBorder="1"/>
    <xf numFmtId="0" fontId="25" fillId="18" borderId="30" xfId="0" applyFont="1" applyFill="1" applyBorder="1"/>
    <xf numFmtId="0" fontId="25" fillId="18" borderId="0" xfId="0" applyFont="1" applyFill="1" applyBorder="1" applyAlignment="1">
      <alignment horizontal="right"/>
    </xf>
    <xf numFmtId="43" fontId="25" fillId="18" borderId="0" xfId="1" applyFont="1" applyFill="1" applyBorder="1"/>
    <xf numFmtId="14" fontId="0" fillId="0" borderId="9" xfId="0" applyNumberFormat="1" applyBorder="1"/>
    <xf numFmtId="43" fontId="0" fillId="0" borderId="9" xfId="1" applyFont="1" applyBorder="1"/>
    <xf numFmtId="0" fontId="0" fillId="16" borderId="0" xfId="0" applyFill="1"/>
    <xf numFmtId="167" fontId="0" fillId="16" borderId="0" xfId="0" applyNumberFormat="1" applyFill="1"/>
    <xf numFmtId="165" fontId="2" fillId="3" borderId="12" xfId="0" applyNumberFormat="1" applyFont="1" applyFill="1" applyBorder="1"/>
    <xf numFmtId="167" fontId="0" fillId="3" borderId="0" xfId="0" applyNumberFormat="1" applyFill="1"/>
    <xf numFmtId="167" fontId="17" fillId="16" borderId="0" xfId="0" applyNumberFormat="1" applyFont="1" applyFill="1"/>
    <xf numFmtId="14" fontId="16" fillId="18" borderId="28" xfId="0" applyNumberFormat="1" applyFont="1" applyFill="1" applyBorder="1"/>
    <xf numFmtId="0" fontId="0" fillId="19" borderId="0" xfId="0" applyFill="1"/>
    <xf numFmtId="14" fontId="0" fillId="19" borderId="0" xfId="0" applyNumberFormat="1" applyFill="1" applyAlignment="1">
      <alignment horizontal="center"/>
    </xf>
    <xf numFmtId="14" fontId="0" fillId="19" borderId="0" xfId="0" applyNumberFormat="1" applyFill="1"/>
    <xf numFmtId="0" fontId="2" fillId="19" borderId="0" xfId="0" applyFont="1" applyFill="1"/>
    <xf numFmtId="0" fontId="2" fillId="19" borderId="1" xfId="0" applyFont="1" applyFill="1" applyBorder="1" applyAlignment="1">
      <alignment horizontal="center"/>
    </xf>
    <xf numFmtId="168" fontId="0" fillId="19" borderId="0" xfId="0" applyNumberFormat="1" applyFill="1" applyAlignment="1">
      <alignment vertical="center"/>
    </xf>
    <xf numFmtId="0" fontId="0" fillId="19" borderId="0" xfId="0" applyFill="1" applyAlignment="1">
      <alignment vertical="center"/>
    </xf>
    <xf numFmtId="168" fontId="0" fillId="19" borderId="0" xfId="0" applyNumberFormat="1" applyFill="1"/>
    <xf numFmtId="0" fontId="0" fillId="15" borderId="0" xfId="0" applyFill="1" applyAlignment="1">
      <alignment horizontal="center"/>
    </xf>
    <xf numFmtId="14" fontId="19" fillId="15" borderId="17" xfId="0" applyNumberFormat="1" applyFont="1" applyFill="1" applyBorder="1" applyAlignment="1">
      <alignment horizontal="left" vertical="center"/>
    </xf>
    <xf numFmtId="0" fontId="20" fillId="15" borderId="16" xfId="0" applyFont="1" applyFill="1" applyBorder="1" applyAlignment="1">
      <alignment horizontal="right" vertical="center" wrapText="1"/>
    </xf>
    <xf numFmtId="14" fontId="19" fillId="15" borderId="17" xfId="0" applyNumberFormat="1" applyFont="1" applyFill="1" applyBorder="1" applyAlignment="1">
      <alignment horizontal="left" vertical="top"/>
    </xf>
    <xf numFmtId="0" fontId="20" fillId="15" borderId="16" xfId="0" applyFont="1" applyFill="1" applyBorder="1" applyAlignment="1">
      <alignment horizontal="right" wrapText="1"/>
    </xf>
    <xf numFmtId="0" fontId="23" fillId="15" borderId="16" xfId="0" applyFont="1" applyFill="1" applyBorder="1" applyAlignment="1">
      <alignment horizontal="right" wrapText="1"/>
    </xf>
    <xf numFmtId="0" fontId="17" fillId="0" borderId="0" xfId="0" applyFont="1" applyAlignment="1">
      <alignment horizontal="center"/>
    </xf>
    <xf numFmtId="2" fontId="0" fillId="0" borderId="0" xfId="0" applyNumberFormat="1"/>
    <xf numFmtId="170" fontId="0" fillId="0" borderId="0" xfId="0" applyNumberFormat="1"/>
    <xf numFmtId="167" fontId="0" fillId="0" borderId="0" xfId="1" applyNumberFormat="1" applyFont="1"/>
    <xf numFmtId="167" fontId="0" fillId="0" borderId="9" xfId="0" applyNumberFormat="1" applyBorder="1"/>
    <xf numFmtId="167" fontId="2" fillId="0" borderId="0" xfId="0" applyNumberFormat="1" applyFont="1"/>
    <xf numFmtId="0" fontId="16" fillId="0" borderId="0" xfId="0" applyFont="1"/>
    <xf numFmtId="0" fontId="2" fillId="0" borderId="28" xfId="0" applyFont="1" applyBorder="1"/>
    <xf numFmtId="0" fontId="0" fillId="0" borderId="28" xfId="0" applyBorder="1"/>
    <xf numFmtId="0" fontId="0" fillId="0" borderId="30" xfId="0" applyBorder="1"/>
    <xf numFmtId="0" fontId="0" fillId="0" borderId="31" xfId="0" applyBorder="1"/>
    <xf numFmtId="43" fontId="0" fillId="0" borderId="0" xfId="1" applyFont="1" applyBorder="1"/>
    <xf numFmtId="0" fontId="0" fillId="0" borderId="34" xfId="0" applyBorder="1"/>
    <xf numFmtId="0" fontId="0" fillId="20" borderId="27" xfId="0" applyFill="1" applyBorder="1"/>
    <xf numFmtId="0" fontId="2" fillId="20" borderId="28" xfId="0" applyFont="1" applyFill="1" applyBorder="1"/>
    <xf numFmtId="0" fontId="0" fillId="20" borderId="28" xfId="0" applyFill="1" applyBorder="1"/>
    <xf numFmtId="0" fontId="0" fillId="20" borderId="29" xfId="0" applyFill="1" applyBorder="1"/>
    <xf numFmtId="0" fontId="0" fillId="20" borderId="30" xfId="0" applyFill="1" applyBorder="1"/>
    <xf numFmtId="0" fontId="2" fillId="20" borderId="0" xfId="0" applyFont="1" applyFill="1" applyBorder="1"/>
    <xf numFmtId="0" fontId="2" fillId="20" borderId="31" xfId="0" applyFont="1" applyFill="1" applyBorder="1"/>
    <xf numFmtId="0" fontId="0" fillId="20" borderId="0" xfId="0" applyFill="1" applyBorder="1"/>
    <xf numFmtId="0" fontId="0" fillId="20" borderId="31" xfId="0" applyFill="1" applyBorder="1"/>
    <xf numFmtId="0" fontId="0" fillId="20" borderId="30" xfId="0" applyFill="1" applyBorder="1" applyAlignment="1">
      <alignment horizontal="right"/>
    </xf>
    <xf numFmtId="43" fontId="0" fillId="20" borderId="0" xfId="1" applyFont="1" applyFill="1" applyBorder="1"/>
    <xf numFmtId="2" fontId="0" fillId="20" borderId="0" xfId="0" applyNumberFormat="1" applyFill="1" applyBorder="1"/>
    <xf numFmtId="167" fontId="0" fillId="20" borderId="9" xfId="0" applyNumberFormat="1" applyFill="1" applyBorder="1"/>
    <xf numFmtId="167" fontId="0" fillId="20" borderId="31" xfId="1" applyNumberFormat="1" applyFont="1" applyFill="1" applyBorder="1"/>
    <xf numFmtId="0" fontId="0" fillId="20" borderId="32" xfId="0" applyFill="1" applyBorder="1"/>
    <xf numFmtId="0" fontId="0" fillId="20" borderId="33" xfId="0" applyFill="1" applyBorder="1" applyAlignment="1">
      <alignment horizontal="right"/>
    </xf>
    <xf numFmtId="167" fontId="2" fillId="20" borderId="33" xfId="0" applyNumberFormat="1" applyFont="1" applyFill="1" applyBorder="1"/>
    <xf numFmtId="0" fontId="0" fillId="20" borderId="34" xfId="0" applyFill="1" applyBorder="1"/>
    <xf numFmtId="0" fontId="0" fillId="20" borderId="0" xfId="0" applyFill="1"/>
    <xf numFmtId="0" fontId="0" fillId="20" borderId="0" xfId="0" applyFill="1" applyAlignment="1">
      <alignment horizontal="center"/>
    </xf>
    <xf numFmtId="9" fontId="0" fillId="20" borderId="0" xfId="0" applyNumberFormat="1" applyFill="1"/>
    <xf numFmtId="0" fontId="0" fillId="20" borderId="0" xfId="0" applyFill="1" applyAlignment="1">
      <alignment horizontal="right"/>
    </xf>
    <xf numFmtId="0" fontId="27" fillId="20" borderId="0" xfId="0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71" fontId="0" fillId="0" borderId="14" xfId="0" applyNumberFormat="1" applyBorder="1"/>
    <xf numFmtId="171" fontId="0" fillId="0" borderId="11" xfId="0" applyNumberFormat="1" applyBorder="1"/>
    <xf numFmtId="171" fontId="0" fillId="8" borderId="14" xfId="0" applyNumberFormat="1" applyFill="1" applyBorder="1"/>
    <xf numFmtId="171" fontId="0" fillId="8" borderId="11" xfId="0" applyNumberFormat="1" applyFill="1" applyBorder="1"/>
    <xf numFmtId="171" fontId="2" fillId="21" borderId="14" xfId="0" applyNumberFormat="1" applyFont="1" applyFill="1" applyBorder="1"/>
    <xf numFmtId="171" fontId="0" fillId="0" borderId="0" xfId="0" applyNumberFormat="1" applyFill="1" applyBorder="1"/>
    <xf numFmtId="43" fontId="2" fillId="11" borderId="0" xfId="1" applyFont="1" applyFill="1"/>
    <xf numFmtId="171" fontId="0" fillId="0" borderId="8" xfId="0" applyNumberFormat="1" applyBorder="1"/>
    <xf numFmtId="43" fontId="2" fillId="11" borderId="21" xfId="1" applyFont="1" applyFill="1" applyBorder="1"/>
    <xf numFmtId="43" fontId="1" fillId="0" borderId="0" xfId="1" applyFont="1"/>
    <xf numFmtId="9" fontId="0" fillId="0" borderId="30" xfId="0" applyNumberFormat="1" applyBorder="1"/>
    <xf numFmtId="9" fontId="0" fillId="0" borderId="32" xfId="0" applyNumberFormat="1" applyBorder="1"/>
    <xf numFmtId="0" fontId="0" fillId="0" borderId="35" xfId="0" applyFont="1" applyBorder="1"/>
    <xf numFmtId="0" fontId="2" fillId="0" borderId="29" xfId="0" applyFont="1" applyBorder="1" applyAlignment="1">
      <alignment horizontal="center"/>
    </xf>
    <xf numFmtId="0" fontId="0" fillId="22" borderId="0" xfId="0" applyFill="1" applyBorder="1"/>
    <xf numFmtId="0" fontId="0" fillId="22" borderId="9" xfId="0" applyFont="1" applyFill="1" applyBorder="1"/>
    <xf numFmtId="0" fontId="16" fillId="22" borderId="33" xfId="0" applyFont="1" applyFill="1" applyBorder="1"/>
    <xf numFmtId="0" fontId="0" fillId="22" borderId="29" xfId="0" applyFill="1" applyBorder="1"/>
    <xf numFmtId="171" fontId="2" fillId="21" borderId="22" xfId="0" applyNumberFormat="1" applyFont="1" applyFill="1" applyBorder="1"/>
    <xf numFmtId="0" fontId="0" fillId="22" borderId="31" xfId="0" applyFill="1" applyBorder="1"/>
    <xf numFmtId="165" fontId="0" fillId="10" borderId="0" xfId="4" applyNumberFormat="1" applyFont="1" applyFill="1"/>
    <xf numFmtId="0" fontId="2" fillId="11" borderId="1" xfId="0" applyFont="1" applyFill="1" applyBorder="1" applyAlignment="1">
      <alignment horizontal="center"/>
    </xf>
    <xf numFmtId="43" fontId="16" fillId="12" borderId="0" xfId="1" applyFont="1" applyFill="1" applyAlignment="1">
      <alignment horizontal="right"/>
    </xf>
    <xf numFmtId="43" fontId="0" fillId="6" borderId="0" xfId="1" applyFont="1" applyFill="1"/>
    <xf numFmtId="0" fontId="26" fillId="6" borderId="12" xfId="0" applyFont="1" applyFill="1" applyBorder="1" applyAlignment="1">
      <alignment horizontal="center" wrapText="1"/>
    </xf>
    <xf numFmtId="0" fontId="26" fillId="6" borderId="7" xfId="0" applyFont="1" applyFill="1" applyBorder="1" applyAlignment="1">
      <alignment horizontal="center" vertical="center"/>
    </xf>
    <xf numFmtId="171" fontId="0" fillId="12" borderId="11" xfId="0" applyNumberFormat="1" applyFill="1" applyBorder="1"/>
    <xf numFmtId="43" fontId="0" fillId="12" borderId="0" xfId="1" applyFont="1" applyFill="1"/>
    <xf numFmtId="43" fontId="14" fillId="6" borderId="0" xfId="1" applyNumberFormat="1" applyFont="1" applyFill="1"/>
    <xf numFmtId="43" fontId="14" fillId="6" borderId="0" xfId="0" applyNumberFormat="1" applyFont="1" applyFill="1"/>
    <xf numFmtId="43" fontId="14" fillId="6" borderId="0" xfId="1" applyFont="1" applyFill="1"/>
    <xf numFmtId="43" fontId="0" fillId="20" borderId="0" xfId="0" applyNumberFormat="1" applyFill="1"/>
    <xf numFmtId="43" fontId="28" fillId="12" borderId="0" xfId="1" applyFont="1" applyFill="1" applyAlignment="1">
      <alignment horizontal="right"/>
    </xf>
    <xf numFmtId="0" fontId="14" fillId="23" borderId="0" xfId="0" applyFont="1" applyFill="1" applyBorder="1" applyAlignment="1">
      <alignment horizontal="center"/>
    </xf>
    <xf numFmtId="165" fontId="14" fillId="23" borderId="0" xfId="4" applyNumberFormat="1" applyFont="1" applyFill="1"/>
    <xf numFmtId="0" fontId="14" fillId="23" borderId="21" xfId="0" applyFont="1" applyFill="1" applyBorder="1" applyAlignment="1">
      <alignment horizontal="center"/>
    </xf>
    <xf numFmtId="0" fontId="17" fillId="0" borderId="31" xfId="0" applyFont="1" applyBorder="1"/>
    <xf numFmtId="0" fontId="16" fillId="0" borderId="27" xfId="0" applyFont="1" applyBorder="1" applyAlignment="1">
      <alignment horizontal="center"/>
    </xf>
    <xf numFmtId="0" fontId="16" fillId="0" borderId="28" xfId="0" applyFont="1" applyBorder="1" applyAlignment="1">
      <alignment horizontal="center"/>
    </xf>
    <xf numFmtId="9" fontId="0" fillId="20" borderId="0" xfId="0" applyNumberFormat="1" applyFill="1" applyAlignment="1">
      <alignment horizontal="left"/>
    </xf>
    <xf numFmtId="172" fontId="0" fillId="20" borderId="0" xfId="4" applyNumberFormat="1" applyFont="1" applyFill="1"/>
    <xf numFmtId="0" fontId="0" fillId="20" borderId="0" xfId="0" quotePrefix="1" applyFill="1"/>
    <xf numFmtId="43" fontId="0" fillId="20" borderId="0" xfId="1" applyFont="1" applyFill="1"/>
    <xf numFmtId="10" fontId="29" fillId="20" borderId="2" xfId="4" applyNumberFormat="1" applyFont="1" applyFill="1" applyBorder="1"/>
    <xf numFmtId="0" fontId="29" fillId="20" borderId="4" xfId="0" applyFont="1" applyFill="1" applyBorder="1"/>
    <xf numFmtId="0" fontId="29" fillId="22" borderId="30" xfId="0" applyFont="1" applyFill="1" applyBorder="1"/>
    <xf numFmtId="0" fontId="29" fillId="22" borderId="31" xfId="0" applyFont="1" applyFill="1" applyBorder="1"/>
    <xf numFmtId="0" fontId="29" fillId="22" borderId="32" xfId="0" applyFont="1" applyFill="1" applyBorder="1"/>
    <xf numFmtId="0" fontId="29" fillId="22" borderId="34" xfId="0" applyFont="1" applyFill="1" applyBorder="1"/>
    <xf numFmtId="0" fontId="0" fillId="20" borderId="4" xfId="0" quotePrefix="1" applyFill="1" applyBorder="1"/>
    <xf numFmtId="0" fontId="30" fillId="20" borderId="0" xfId="0" applyFont="1" applyFill="1"/>
    <xf numFmtId="43" fontId="31" fillId="10" borderId="0" xfId="0" applyNumberFormat="1" applyFont="1" applyFill="1"/>
    <xf numFmtId="43" fontId="17" fillId="20" borderId="2" xfId="1" applyFont="1" applyFill="1" applyBorder="1"/>
    <xf numFmtId="0" fontId="32" fillId="22" borderId="27" xfId="0" applyFont="1" applyFill="1" applyBorder="1" applyAlignment="1">
      <alignment horizontal="left"/>
    </xf>
    <xf numFmtId="173" fontId="0" fillId="0" borderId="0" xfId="0" applyNumberFormat="1"/>
    <xf numFmtId="173" fontId="1" fillId="0" borderId="0" xfId="1" applyNumberFormat="1" applyFont="1"/>
    <xf numFmtId="173" fontId="0" fillId="0" borderId="5" xfId="0" applyNumberFormat="1" applyBorder="1"/>
    <xf numFmtId="43" fontId="33" fillId="20" borderId="0" xfId="1" applyFont="1" applyFill="1" applyAlignment="1">
      <alignment horizontal="center"/>
    </xf>
    <xf numFmtId="43" fontId="26" fillId="6" borderId="0" xfId="0" applyNumberFormat="1" applyFont="1" applyFill="1"/>
    <xf numFmtId="171" fontId="0" fillId="0" borderId="23" xfId="0" applyNumberFormat="1" applyBorder="1"/>
    <xf numFmtId="43" fontId="0" fillId="0" borderId="21" xfId="1" applyFont="1" applyBorder="1"/>
    <xf numFmtId="14" fontId="33" fillId="20" borderId="0" xfId="0" applyNumberFormat="1" applyFont="1" applyFill="1"/>
    <xf numFmtId="0" fontId="1" fillId="20" borderId="0" xfId="0" applyFont="1" applyFill="1" applyAlignment="1">
      <alignment horizontal="left" vertical="center" indent="1"/>
    </xf>
    <xf numFmtId="0" fontId="2" fillId="20" borderId="0" xfId="0" applyFont="1" applyFill="1" applyAlignment="1">
      <alignment horizontal="left" vertical="center" indent="1"/>
    </xf>
    <xf numFmtId="171" fontId="0" fillId="8" borderId="15" xfId="0" applyNumberFormat="1" applyFill="1" applyBorder="1"/>
    <xf numFmtId="43" fontId="0" fillId="0" borderId="24" xfId="1" applyFont="1" applyBorder="1"/>
    <xf numFmtId="43" fontId="0" fillId="3" borderId="24" xfId="1" applyFont="1" applyFill="1" applyBorder="1"/>
    <xf numFmtId="165" fontId="0" fillId="10" borderId="24" xfId="4" applyNumberFormat="1" applyFont="1" applyFill="1" applyBorder="1"/>
    <xf numFmtId="0" fontId="0" fillId="9" borderId="0" xfId="0" applyFill="1"/>
    <xf numFmtId="0" fontId="0" fillId="9" borderId="0" xfId="0" applyFill="1" applyAlignment="1">
      <alignment horizontal="center"/>
    </xf>
    <xf numFmtId="0" fontId="16" fillId="9" borderId="0" xfId="0" applyFont="1" applyFill="1" applyBorder="1" applyAlignment="1">
      <alignment horizontal="left"/>
    </xf>
    <xf numFmtId="0" fontId="0" fillId="9" borderId="0" xfId="0" applyFill="1" applyBorder="1"/>
    <xf numFmtId="1" fontId="0" fillId="9" borderId="0" xfId="0" applyNumberFormat="1" applyFill="1" applyBorder="1"/>
    <xf numFmtId="164" fontId="0" fillId="9" borderId="0" xfId="0" applyNumberFormat="1" applyFill="1"/>
    <xf numFmtId="0" fontId="0" fillId="9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 wrapText="1"/>
    </xf>
    <xf numFmtId="0" fontId="8" fillId="9" borderId="0" xfId="0" applyFon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  <xf numFmtId="0" fontId="10" fillId="9" borderId="0" xfId="0" applyFont="1" applyFill="1" applyBorder="1" applyAlignment="1">
      <alignment horizontal="center" vertical="center" wrapText="1"/>
    </xf>
    <xf numFmtId="14" fontId="0" fillId="9" borderId="0" xfId="0" applyNumberFormat="1" applyFill="1" applyBorder="1"/>
    <xf numFmtId="0" fontId="10" fillId="9" borderId="0" xfId="0" applyFont="1" applyFill="1" applyBorder="1"/>
    <xf numFmtId="164" fontId="10" fillId="9" borderId="0" xfId="0" applyNumberFormat="1" applyFont="1" applyFill="1" applyBorder="1"/>
    <xf numFmtId="164" fontId="8" fillId="9" borderId="0" xfId="1" applyNumberFormat="1" applyFont="1" applyFill="1" applyBorder="1"/>
    <xf numFmtId="164" fontId="0" fillId="9" borderId="0" xfId="0" applyNumberFormat="1" applyFill="1" applyBorder="1"/>
    <xf numFmtId="43" fontId="0" fillId="9" borderId="0" xfId="1" applyFont="1" applyFill="1" applyBorder="1"/>
    <xf numFmtId="0" fontId="0" fillId="10" borderId="12" xfId="0" applyFill="1" applyBorder="1" applyAlignment="1">
      <alignment horizontal="center"/>
    </xf>
    <xf numFmtId="9" fontId="16" fillId="0" borderId="12" xfId="4" applyFont="1" applyBorder="1"/>
    <xf numFmtId="167" fontId="0" fillId="9" borderId="0" xfId="0" applyNumberFormat="1" applyFill="1" applyBorder="1"/>
    <xf numFmtId="0" fontId="17" fillId="9" borderId="0" xfId="0" applyFont="1" applyFill="1" applyBorder="1" applyAlignment="1">
      <alignment horizontal="center"/>
    </xf>
    <xf numFmtId="167" fontId="17" fillId="9" borderId="0" xfId="0" applyNumberFormat="1" applyFont="1" applyFill="1" applyBorder="1"/>
    <xf numFmtId="0" fontId="0" fillId="9" borderId="27" xfId="0" applyFill="1" applyBorder="1"/>
    <xf numFmtId="0" fontId="0" fillId="0" borderId="28" xfId="0" applyBorder="1" applyAlignment="1">
      <alignment horizontal="right"/>
    </xf>
    <xf numFmtId="43" fontId="0" fillId="0" borderId="28" xfId="1" applyFont="1" applyBorder="1"/>
    <xf numFmtId="0" fontId="0" fillId="9" borderId="28" xfId="0" applyFill="1" applyBorder="1"/>
    <xf numFmtId="0" fontId="0" fillId="9" borderId="29" xfId="0" applyFill="1" applyBorder="1"/>
    <xf numFmtId="0" fontId="0" fillId="9" borderId="30" xfId="0" applyFill="1" applyBorder="1"/>
    <xf numFmtId="0" fontId="0" fillId="0" borderId="0" xfId="0" applyBorder="1" applyAlignment="1">
      <alignment horizontal="right"/>
    </xf>
    <xf numFmtId="0" fontId="0" fillId="9" borderId="31" xfId="0" applyFill="1" applyBorder="1"/>
    <xf numFmtId="0" fontId="0" fillId="9" borderId="30" xfId="0" applyFill="1" applyBorder="1" applyAlignment="1">
      <alignment horizontal="center"/>
    </xf>
    <xf numFmtId="43" fontId="0" fillId="0" borderId="0" xfId="1" applyFont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16" fillId="6" borderId="0" xfId="0" applyFont="1" applyFill="1" applyBorder="1" applyAlignment="1">
      <alignment horizontal="right"/>
    </xf>
    <xf numFmtId="0" fontId="0" fillId="6" borderId="0" xfId="0" applyFill="1" applyBorder="1"/>
    <xf numFmtId="0" fontId="2" fillId="6" borderId="0" xfId="0" applyFont="1" applyFill="1" applyBorder="1"/>
    <xf numFmtId="9" fontId="2" fillId="6" borderId="0" xfId="4" applyFont="1" applyFill="1" applyBorder="1"/>
    <xf numFmtId="9" fontId="0" fillId="0" borderId="0" xfId="4" applyFont="1" applyBorder="1"/>
    <xf numFmtId="0" fontId="3" fillId="0" borderId="0" xfId="0" applyFont="1" applyBorder="1" applyAlignment="1">
      <alignment horizontal="right"/>
    </xf>
    <xf numFmtId="0" fontId="4" fillId="0" borderId="0" xfId="0" applyFont="1" applyBorder="1"/>
    <xf numFmtId="0" fontId="11" fillId="0" borderId="0" xfId="0" applyFont="1" applyBorder="1"/>
    <xf numFmtId="0" fontId="0" fillId="9" borderId="32" xfId="0" applyFill="1" applyBorder="1"/>
    <xf numFmtId="0" fontId="0" fillId="9" borderId="33" xfId="0" applyFill="1" applyBorder="1"/>
    <xf numFmtId="0" fontId="0" fillId="9" borderId="34" xfId="0" applyFill="1" applyBorder="1"/>
    <xf numFmtId="0" fontId="33" fillId="0" borderId="0" xfId="0" applyFont="1"/>
    <xf numFmtId="170" fontId="33" fillId="0" borderId="0" xfId="0" applyNumberFormat="1" applyFont="1"/>
    <xf numFmtId="173" fontId="33" fillId="0" borderId="0" xfId="0" applyNumberFormat="1" applyFont="1"/>
    <xf numFmtId="173" fontId="33" fillId="0" borderId="0" xfId="1" applyNumberFormat="1" applyFont="1"/>
    <xf numFmtId="173" fontId="33" fillId="0" borderId="5" xfId="0" applyNumberFormat="1" applyFont="1" applyBorder="1"/>
    <xf numFmtId="164" fontId="16" fillId="9" borderId="0" xfId="1" applyNumberFormat="1" applyFont="1" applyFill="1"/>
    <xf numFmtId="43" fontId="16" fillId="9" borderId="0" xfId="1" applyFont="1" applyFill="1"/>
    <xf numFmtId="0" fontId="0" fillId="0" borderId="1" xfId="0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33" fillId="9" borderId="21" xfId="0" applyFont="1" applyFill="1" applyBorder="1" applyAlignment="1">
      <alignment horizontal="center" vertical="center"/>
    </xf>
    <xf numFmtId="0" fontId="14" fillId="23" borderId="0" xfId="0" applyFont="1" applyFill="1" applyBorder="1" applyAlignment="1">
      <alignment horizontal="center" vertical="center"/>
    </xf>
    <xf numFmtId="0" fontId="33" fillId="0" borderId="21" xfId="0" applyFont="1" applyFill="1" applyBorder="1" applyAlignment="1">
      <alignment horizontal="center" vertical="center"/>
    </xf>
    <xf numFmtId="174" fontId="0" fillId="0" borderId="0" xfId="4" applyNumberFormat="1" applyFont="1"/>
    <xf numFmtId="0" fontId="0" fillId="20" borderId="1" xfId="0" applyFill="1" applyBorder="1" applyAlignment="1">
      <alignment horizontal="center"/>
    </xf>
    <xf numFmtId="0" fontId="2" fillId="20" borderId="11" xfId="0" applyFont="1" applyFill="1" applyBorder="1" applyAlignment="1">
      <alignment horizontal="center"/>
    </xf>
    <xf numFmtId="0" fontId="2" fillId="20" borderId="1" xfId="0" applyFont="1" applyFill="1" applyBorder="1" applyAlignment="1">
      <alignment horizontal="center"/>
    </xf>
    <xf numFmtId="171" fontId="0" fillId="20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right"/>
    </xf>
    <xf numFmtId="0" fontId="0" fillId="7" borderId="1" xfId="0" applyFill="1" applyBorder="1"/>
    <xf numFmtId="9" fontId="0" fillId="7" borderId="12" xfId="4" applyFont="1" applyFill="1" applyBorder="1"/>
    <xf numFmtId="0" fontId="2" fillId="20" borderId="0" xfId="0" applyFont="1" applyFill="1" applyAlignment="1">
      <alignment horizontal="right"/>
    </xf>
    <xf numFmtId="0" fontId="2" fillId="20" borderId="0" xfId="0" applyFont="1" applyFill="1"/>
    <xf numFmtId="0" fontId="0" fillId="20" borderId="1" xfId="0" applyFill="1" applyBorder="1"/>
    <xf numFmtId="0" fontId="2" fillId="2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 wrapText="1"/>
    </xf>
    <xf numFmtId="0" fontId="11" fillId="20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/>
    </xf>
    <xf numFmtId="0" fontId="36" fillId="21" borderId="1" xfId="0" applyFont="1" applyFill="1" applyBorder="1" applyAlignment="1">
      <alignment horizontal="center"/>
    </xf>
    <xf numFmtId="0" fontId="2" fillId="21" borderId="1" xfId="0" applyFont="1" applyFill="1" applyBorder="1" applyAlignment="1">
      <alignment horizontal="center" vertical="center" wrapText="1"/>
    </xf>
    <xf numFmtId="0" fontId="17" fillId="20" borderId="0" xfId="0" applyFont="1" applyFill="1" applyBorder="1"/>
    <xf numFmtId="0" fontId="33" fillId="18" borderId="27" xfId="0" applyFont="1" applyFill="1" applyBorder="1"/>
    <xf numFmtId="14" fontId="37" fillId="18" borderId="28" xfId="0" applyNumberFormat="1" applyFont="1" applyFill="1" applyBorder="1"/>
    <xf numFmtId="0" fontId="33" fillId="18" borderId="28" xfId="0" applyFont="1" applyFill="1" applyBorder="1"/>
    <xf numFmtId="0" fontId="33" fillId="18" borderId="29" xfId="0" applyFont="1" applyFill="1" applyBorder="1"/>
    <xf numFmtId="0" fontId="37" fillId="18" borderId="2" xfId="0" applyFont="1" applyFill="1" applyBorder="1"/>
    <xf numFmtId="0" fontId="37" fillId="18" borderId="3" xfId="0" applyFont="1" applyFill="1" applyBorder="1"/>
    <xf numFmtId="0" fontId="37" fillId="18" borderId="4" xfId="0" applyFont="1" applyFill="1" applyBorder="1"/>
    <xf numFmtId="0" fontId="33" fillId="18" borderId="30" xfId="0" applyFont="1" applyFill="1" applyBorder="1"/>
    <xf numFmtId="0" fontId="33" fillId="18" borderId="0" xfId="0" applyFont="1" applyFill="1" applyBorder="1" applyAlignment="1">
      <alignment horizontal="right"/>
    </xf>
    <xf numFmtId="43" fontId="33" fillId="18" borderId="0" xfId="1" applyFont="1" applyFill="1" applyBorder="1"/>
    <xf numFmtId="0" fontId="33" fillId="18" borderId="31" xfId="0" applyFont="1" applyFill="1" applyBorder="1"/>
    <xf numFmtId="0" fontId="39" fillId="18" borderId="30" xfId="0" applyFont="1" applyFill="1" applyBorder="1"/>
    <xf numFmtId="0" fontId="39" fillId="18" borderId="0" xfId="0" applyFont="1" applyFill="1" applyBorder="1" applyAlignment="1">
      <alignment horizontal="right"/>
    </xf>
    <xf numFmtId="43" fontId="39" fillId="18" borderId="0" xfId="1" applyFont="1" applyFill="1" applyBorder="1"/>
    <xf numFmtId="43" fontId="33" fillId="18" borderId="0" xfId="0" applyNumberFormat="1" applyFont="1" applyFill="1" applyBorder="1"/>
    <xf numFmtId="43" fontId="37" fillId="18" borderId="21" xfId="1" applyFont="1" applyFill="1" applyBorder="1"/>
    <xf numFmtId="0" fontId="33" fillId="18" borderId="0" xfId="0" applyFont="1" applyFill="1" applyBorder="1"/>
    <xf numFmtId="0" fontId="33" fillId="18" borderId="34" xfId="0" applyFont="1" applyFill="1" applyBorder="1"/>
    <xf numFmtId="43" fontId="2" fillId="20" borderId="0" xfId="1" applyFont="1" applyFill="1"/>
    <xf numFmtId="0" fontId="10" fillId="20" borderId="0" xfId="0" applyFont="1" applyFill="1" applyBorder="1"/>
    <xf numFmtId="168" fontId="0" fillId="20" borderId="0" xfId="0" applyNumberFormat="1" applyFill="1"/>
    <xf numFmtId="14" fontId="19" fillId="20" borderId="17" xfId="0" applyNumberFormat="1" applyFont="1" applyFill="1" applyBorder="1" applyAlignment="1">
      <alignment horizontal="left" vertical="top"/>
    </xf>
    <xf numFmtId="0" fontId="20" fillId="20" borderId="16" xfId="0" applyFont="1" applyFill="1" applyBorder="1" applyAlignment="1">
      <alignment horizontal="right" wrapText="1"/>
    </xf>
    <xf numFmtId="0" fontId="20" fillId="20" borderId="17" xfId="0" applyFont="1" applyFill="1" applyBorder="1" applyAlignment="1">
      <alignment horizontal="right" wrapText="1"/>
    </xf>
    <xf numFmtId="0" fontId="23" fillId="20" borderId="16" xfId="0" applyFont="1" applyFill="1" applyBorder="1" applyAlignment="1">
      <alignment horizontal="right" wrapText="1"/>
    </xf>
    <xf numFmtId="0" fontId="17" fillId="18" borderId="32" xfId="0" applyFont="1" applyFill="1" applyBorder="1"/>
    <xf numFmtId="0" fontId="16" fillId="18" borderId="33" xfId="0" applyFont="1" applyFill="1" applyBorder="1" applyAlignment="1">
      <alignment horizontal="right"/>
    </xf>
    <xf numFmtId="43" fontId="16" fillId="18" borderId="33" xfId="1" applyFont="1" applyFill="1" applyBorder="1"/>
    <xf numFmtId="43" fontId="2" fillId="9" borderId="0" xfId="0" applyNumberFormat="1" applyFont="1" applyFill="1" applyBorder="1" applyAlignment="1">
      <alignment horizontal="right"/>
    </xf>
    <xf numFmtId="43" fontId="16" fillId="9" borderId="0" xfId="0" applyNumberFormat="1" applyFont="1" applyFill="1" applyBorder="1"/>
    <xf numFmtId="43" fontId="2" fillId="9" borderId="33" xfId="1" applyFont="1" applyFill="1" applyBorder="1" applyAlignment="1">
      <alignment horizontal="right"/>
    </xf>
    <xf numFmtId="0" fontId="0" fillId="9" borderId="0" xfId="0" applyFill="1" applyBorder="1" applyAlignment="1">
      <alignment horizontal="right"/>
    </xf>
    <xf numFmtId="0" fontId="5" fillId="9" borderId="0" xfId="0" applyFont="1" applyFill="1" applyBorder="1" applyAlignment="1">
      <alignment horizontal="right"/>
    </xf>
    <xf numFmtId="171" fontId="2" fillId="21" borderId="1" xfId="0" applyNumberFormat="1" applyFont="1" applyFill="1" applyBorder="1"/>
    <xf numFmtId="175" fontId="0" fillId="20" borderId="0" xfId="0" applyNumberFormat="1" applyFill="1"/>
    <xf numFmtId="172" fontId="0" fillId="9" borderId="0" xfId="0" applyNumberFormat="1" applyFill="1" applyBorder="1"/>
    <xf numFmtId="9" fontId="0" fillId="9" borderId="0" xfId="0" applyNumberFormat="1" applyFill="1" applyBorder="1"/>
    <xf numFmtId="43" fontId="0" fillId="9" borderId="31" xfId="1" applyFont="1" applyFill="1" applyBorder="1"/>
    <xf numFmtId="175" fontId="16" fillId="20" borderId="0" xfId="0" applyNumberFormat="1" applyFont="1" applyFill="1" applyBorder="1" applyAlignment="1">
      <alignment horizontal="center" vertical="center"/>
    </xf>
    <xf numFmtId="175" fontId="30" fillId="9" borderId="1" xfId="1" applyNumberFormat="1" applyFont="1" applyFill="1" applyBorder="1" applyAlignment="1">
      <alignment vertical="center"/>
    </xf>
    <xf numFmtId="0" fontId="0" fillId="20" borderId="1" xfId="0" applyFill="1" applyBorder="1" applyAlignment="1">
      <alignment horizontal="center" vertical="center"/>
    </xf>
    <xf numFmtId="175" fontId="0" fillId="20" borderId="12" xfId="0" applyNumberFormat="1" applyFill="1" applyBorder="1" applyAlignment="1">
      <alignment horizontal="right" vertical="center"/>
    </xf>
    <xf numFmtId="175" fontId="2" fillId="20" borderId="1" xfId="0" applyNumberFormat="1" applyFont="1" applyFill="1" applyBorder="1"/>
    <xf numFmtId="175" fontId="38" fillId="9" borderId="1" xfId="1" applyNumberFormat="1" applyFont="1" applyFill="1" applyBorder="1" applyAlignment="1">
      <alignment vertical="center"/>
    </xf>
    <xf numFmtId="176" fontId="0" fillId="20" borderId="0" xfId="0" applyNumberFormat="1" applyFill="1"/>
    <xf numFmtId="0" fontId="33" fillId="20" borderId="1" xfId="0" applyFont="1" applyFill="1" applyBorder="1"/>
    <xf numFmtId="175" fontId="33" fillId="20" borderId="1" xfId="0" applyNumberFormat="1" applyFont="1" applyFill="1" applyBorder="1" applyAlignment="1">
      <alignment horizontal="right" vertical="center"/>
    </xf>
    <xf numFmtId="175" fontId="37" fillId="20" borderId="1" xfId="0" applyNumberFormat="1" applyFont="1" applyFill="1" applyBorder="1"/>
    <xf numFmtId="0" fontId="37" fillId="24" borderId="1" xfId="0" applyFont="1" applyFill="1" applyBorder="1" applyAlignment="1">
      <alignment horizontal="center"/>
    </xf>
    <xf numFmtId="175" fontId="1" fillId="9" borderId="1" xfId="1" applyNumberFormat="1" applyFont="1" applyFill="1" applyBorder="1" applyAlignment="1">
      <alignment horizontal="right"/>
    </xf>
    <xf numFmtId="175" fontId="33" fillId="9" borderId="1" xfId="1" applyNumberFormat="1" applyFont="1" applyFill="1" applyBorder="1" applyAlignment="1">
      <alignment horizontal="right"/>
    </xf>
    <xf numFmtId="176" fontId="0" fillId="0" borderId="1" xfId="0" applyNumberFormat="1" applyFont="1" applyBorder="1" applyAlignment="1">
      <alignment horizontal="center" vertical="center"/>
    </xf>
    <xf numFmtId="177" fontId="33" fillId="0" borderId="1" xfId="0" applyNumberFormat="1" applyFont="1" applyBorder="1" applyAlignment="1">
      <alignment horizontal="center" vertical="center"/>
    </xf>
    <xf numFmtId="175" fontId="33" fillId="7" borderId="1" xfId="1" applyNumberFormat="1" applyFont="1" applyFill="1" applyBorder="1" applyAlignment="1">
      <alignment horizontal="right"/>
    </xf>
    <xf numFmtId="175" fontId="0" fillId="11" borderId="1" xfId="0" applyNumberFormat="1" applyFill="1" applyBorder="1" applyAlignment="1">
      <alignment horizontal="left" vertical="center"/>
    </xf>
    <xf numFmtId="0" fontId="33" fillId="7" borderId="1" xfId="0" applyFont="1" applyFill="1" applyBorder="1"/>
    <xf numFmtId="0" fontId="0" fillId="20" borderId="6" xfId="0" applyFill="1" applyBorder="1"/>
    <xf numFmtId="0" fontId="33" fillId="20" borderId="6" xfId="0" applyFont="1" applyFill="1" applyBorder="1"/>
    <xf numFmtId="175" fontId="33" fillId="7" borderId="6" xfId="0" applyNumberFormat="1" applyFont="1" applyFill="1" applyBorder="1" applyAlignment="1">
      <alignment horizontal="left"/>
    </xf>
    <xf numFmtId="0" fontId="33" fillId="20" borderId="6" xfId="0" applyFont="1" applyFill="1" applyBorder="1" applyAlignment="1">
      <alignment horizontal="left"/>
    </xf>
    <xf numFmtId="175" fontId="33" fillId="20" borderId="6" xfId="0" applyNumberFormat="1" applyFont="1" applyFill="1" applyBorder="1" applyAlignment="1">
      <alignment horizontal="left"/>
    </xf>
    <xf numFmtId="175" fontId="37" fillId="20" borderId="6" xfId="0" applyNumberFormat="1" applyFont="1" applyFill="1" applyBorder="1" applyAlignment="1">
      <alignment horizontal="left"/>
    </xf>
    <xf numFmtId="0" fontId="0" fillId="0" borderId="7" xfId="0" applyBorder="1" applyAlignment="1">
      <alignment horizontal="center" vertical="center"/>
    </xf>
    <xf numFmtId="171" fontId="0" fillId="0" borderId="22" xfId="0" applyNumberFormat="1" applyBorder="1"/>
    <xf numFmtId="171" fontId="0" fillId="0" borderId="9" xfId="0" applyNumberFormat="1" applyBorder="1"/>
    <xf numFmtId="171" fontId="0" fillId="8" borderId="22" xfId="0" applyNumberFormat="1" applyFill="1" applyBorder="1"/>
    <xf numFmtId="171" fontId="0" fillId="8" borderId="10" xfId="0" applyNumberFormat="1" applyFill="1" applyBorder="1"/>
    <xf numFmtId="171" fontId="0" fillId="0" borderId="10" xfId="0" applyNumberFormat="1" applyBorder="1"/>
    <xf numFmtId="171" fontId="0" fillId="8" borderId="6" xfId="0" applyNumberFormat="1" applyFill="1" applyBorder="1"/>
    <xf numFmtId="171" fontId="0" fillId="0" borderId="24" xfId="0" applyNumberFormat="1" applyBorder="1"/>
    <xf numFmtId="175" fontId="0" fillId="20" borderId="14" xfId="0" applyNumberFormat="1" applyFont="1" applyFill="1" applyBorder="1"/>
    <xf numFmtId="175" fontId="37" fillId="20" borderId="14" xfId="0" applyNumberFormat="1" applyFont="1" applyFill="1" applyBorder="1"/>
    <xf numFmtId="0" fontId="33" fillId="20" borderId="23" xfId="0" applyFont="1" applyFill="1" applyBorder="1"/>
    <xf numFmtId="175" fontId="33" fillId="20" borderId="0" xfId="0" applyNumberFormat="1" applyFont="1" applyFill="1" applyBorder="1" applyAlignment="1">
      <alignment horizontal="left"/>
    </xf>
    <xf numFmtId="0" fontId="37" fillId="7" borderId="5" xfId="0" applyFont="1" applyFill="1" applyBorder="1"/>
    <xf numFmtId="14" fontId="33" fillId="20" borderId="5" xfId="0" applyNumberFormat="1" applyFont="1" applyFill="1" applyBorder="1" applyAlignment="1">
      <alignment vertical="center"/>
    </xf>
    <xf numFmtId="175" fontId="33" fillId="20" borderId="0" xfId="0" applyNumberFormat="1" applyFont="1" applyFill="1" applyBorder="1" applyAlignment="1">
      <alignment horizontal="left" vertical="center"/>
    </xf>
    <xf numFmtId="14" fontId="33" fillId="20" borderId="0" xfId="0" applyNumberFormat="1" applyFont="1" applyFill="1" applyBorder="1" applyAlignment="1">
      <alignment vertical="center"/>
    </xf>
    <xf numFmtId="14" fontId="33" fillId="7" borderId="5" xfId="0" applyNumberFormat="1" applyFont="1" applyFill="1" applyBorder="1" applyAlignment="1">
      <alignment vertical="center"/>
    </xf>
    <xf numFmtId="175" fontId="33" fillId="7" borderId="0" xfId="0" applyNumberFormat="1" applyFont="1" applyFill="1" applyBorder="1" applyAlignment="1">
      <alignment horizontal="left" vertical="center"/>
    </xf>
    <xf numFmtId="14" fontId="33" fillId="7" borderId="0" xfId="0" applyNumberFormat="1" applyFont="1" applyFill="1" applyBorder="1" applyAlignment="1">
      <alignment vertical="center"/>
    </xf>
    <xf numFmtId="0" fontId="37" fillId="20" borderId="5" xfId="0" applyFont="1" applyFill="1" applyBorder="1"/>
    <xf numFmtId="14" fontId="33" fillId="20" borderId="8" xfId="0" applyNumberFormat="1" applyFont="1" applyFill="1" applyBorder="1" applyAlignment="1">
      <alignment vertical="center"/>
    </xf>
    <xf numFmtId="175" fontId="33" fillId="20" borderId="9" xfId="0" applyNumberFormat="1" applyFont="1" applyFill="1" applyBorder="1" applyAlignment="1">
      <alignment horizontal="left" vertical="center"/>
    </xf>
    <xf numFmtId="175" fontId="33" fillId="20" borderId="10" xfId="0" applyNumberFormat="1" applyFont="1" applyFill="1" applyBorder="1" applyAlignment="1">
      <alignment horizontal="left"/>
    </xf>
    <xf numFmtId="175" fontId="33" fillId="20" borderId="9" xfId="0" applyNumberFormat="1" applyFont="1" applyFill="1" applyBorder="1" applyAlignment="1">
      <alignment horizontal="left"/>
    </xf>
    <xf numFmtId="0" fontId="0" fillId="20" borderId="9" xfId="0" applyFill="1" applyBorder="1"/>
    <xf numFmtId="175" fontId="0" fillId="25" borderId="1" xfId="0" applyNumberFormat="1" applyFill="1" applyBorder="1" applyAlignment="1">
      <alignment horizontal="right" vertical="center"/>
    </xf>
    <xf numFmtId="175" fontId="0" fillId="20" borderId="24" xfId="0" applyNumberFormat="1" applyFill="1" applyBorder="1"/>
    <xf numFmtId="0" fontId="38" fillId="20" borderId="14" xfId="0" applyFont="1" applyFill="1" applyBorder="1"/>
    <xf numFmtId="0" fontId="3" fillId="20" borderId="8" xfId="0" applyFont="1" applyFill="1" applyBorder="1"/>
    <xf numFmtId="175" fontId="4" fillId="0" borderId="9" xfId="0" applyNumberFormat="1" applyFont="1" applyBorder="1"/>
    <xf numFmtId="175" fontId="4" fillId="0" borderId="10" xfId="0" applyNumberFormat="1" applyFont="1" applyBorder="1"/>
    <xf numFmtId="0" fontId="37" fillId="7" borderId="0" xfId="0" applyFont="1" applyFill="1" applyBorder="1" applyAlignment="1">
      <alignment horizontal="right"/>
    </xf>
    <xf numFmtId="0" fontId="37" fillId="20" borderId="0" xfId="0" applyFont="1" applyFill="1" applyBorder="1" applyAlignment="1">
      <alignment horizontal="right"/>
    </xf>
    <xf numFmtId="175" fontId="33" fillId="7" borderId="10" xfId="0" applyNumberFormat="1" applyFont="1" applyFill="1" applyBorder="1" applyAlignment="1">
      <alignment horizontal="left"/>
    </xf>
    <xf numFmtId="175" fontId="33" fillId="7" borderId="14" xfId="0" applyNumberFormat="1" applyFont="1" applyFill="1" applyBorder="1" applyAlignment="1">
      <alignment horizontal="left"/>
    </xf>
    <xf numFmtId="0" fontId="33" fillId="7" borderId="11" xfId="0" applyFont="1" applyFill="1" applyBorder="1"/>
    <xf numFmtId="0" fontId="33" fillId="20" borderId="22" xfId="0" applyFont="1" applyFill="1" applyBorder="1" applyAlignment="1">
      <alignment horizontal="left"/>
    </xf>
    <xf numFmtId="175" fontId="33" fillId="20" borderId="24" xfId="0" applyNumberFormat="1" applyFont="1" applyFill="1" applyBorder="1" applyAlignment="1">
      <alignment horizontal="left"/>
    </xf>
    <xf numFmtId="0" fontId="0" fillId="20" borderId="24" xfId="0" applyFill="1" applyBorder="1"/>
    <xf numFmtId="0" fontId="0" fillId="20" borderId="22" xfId="0" applyFill="1" applyBorder="1"/>
    <xf numFmtId="175" fontId="2" fillId="9" borderId="1" xfId="1" applyNumberFormat="1" applyFont="1" applyFill="1" applyBorder="1" applyAlignment="1">
      <alignment horizontal="right"/>
    </xf>
    <xf numFmtId="175" fontId="2" fillId="20" borderId="0" xfId="0" applyNumberFormat="1" applyFont="1" applyFill="1"/>
    <xf numFmtId="175" fontId="30" fillId="9" borderId="7" xfId="1" applyNumberFormat="1" applyFont="1" applyFill="1" applyBorder="1" applyAlignment="1">
      <alignment vertical="center"/>
    </xf>
    <xf numFmtId="9" fontId="2" fillId="24" borderId="12" xfId="0" applyNumberFormat="1" applyFont="1" applyFill="1" applyBorder="1" applyAlignment="1">
      <alignment horizontal="center"/>
    </xf>
    <xf numFmtId="177" fontId="33" fillId="0" borderId="14" xfId="0" applyNumberFormat="1" applyFont="1" applyBorder="1" applyAlignment="1">
      <alignment horizontal="center" vertical="center"/>
    </xf>
    <xf numFmtId="0" fontId="0" fillId="20" borderId="8" xfId="0" applyFill="1" applyBorder="1"/>
    <xf numFmtId="10" fontId="40" fillId="26" borderId="21" xfId="4" applyNumberFormat="1" applyFont="1" applyFill="1" applyBorder="1" applyAlignment="1">
      <alignment horizontal="center" vertical="center"/>
    </xf>
    <xf numFmtId="10" fontId="38" fillId="26" borderId="21" xfId="4" applyNumberFormat="1" applyFont="1" applyFill="1" applyBorder="1" applyAlignment="1">
      <alignment horizontal="center"/>
    </xf>
    <xf numFmtId="175" fontId="0" fillId="20" borderId="0" xfId="1" applyNumberFormat="1" applyFont="1" applyFill="1"/>
    <xf numFmtId="175" fontId="2" fillId="20" borderId="0" xfId="0" applyNumberFormat="1" applyFont="1" applyFill="1" applyBorder="1"/>
    <xf numFmtId="175" fontId="0" fillId="20" borderId="0" xfId="0" applyNumberFormat="1" applyFill="1" applyBorder="1"/>
    <xf numFmtId="175" fontId="0" fillId="20" borderId="0" xfId="1" applyNumberFormat="1" applyFont="1" applyFill="1" applyAlignment="1">
      <alignment horizontal="right"/>
    </xf>
    <xf numFmtId="0" fontId="0" fillId="20" borderId="14" xfId="0" applyFill="1" applyBorder="1"/>
    <xf numFmtId="175" fontId="37" fillId="20" borderId="2" xfId="0" applyNumberFormat="1" applyFont="1" applyFill="1" applyBorder="1" applyAlignment="1">
      <alignment horizontal="left"/>
    </xf>
    <xf numFmtId="175" fontId="0" fillId="25" borderId="36" xfId="0" applyNumberFormat="1" applyFill="1" applyBorder="1" applyAlignment="1">
      <alignment horizontal="left" vertical="center"/>
    </xf>
    <xf numFmtId="175" fontId="37" fillId="7" borderId="2" xfId="0" applyNumberFormat="1" applyFont="1" applyFill="1" applyBorder="1" applyAlignment="1">
      <alignment horizontal="left"/>
    </xf>
    <xf numFmtId="175" fontId="0" fillId="7" borderId="36" xfId="0" applyNumberFormat="1" applyFill="1" applyBorder="1" applyAlignment="1">
      <alignment horizontal="left" vertical="center"/>
    </xf>
    <xf numFmtId="0" fontId="33" fillId="7" borderId="14" xfId="0" applyFont="1" applyFill="1" applyBorder="1"/>
    <xf numFmtId="0" fontId="33" fillId="7" borderId="15" xfId="0" applyFont="1" applyFill="1" applyBorder="1"/>
    <xf numFmtId="175" fontId="41" fillId="20" borderId="0" xfId="0" applyNumberFormat="1" applyFont="1" applyFill="1" applyBorder="1" applyAlignment="1">
      <alignment horizontal="left"/>
    </xf>
    <xf numFmtId="175" fontId="0" fillId="7" borderId="36" xfId="0" applyNumberFormat="1" applyFont="1" applyFill="1" applyBorder="1" applyAlignment="1">
      <alignment horizontal="left" vertical="center"/>
    </xf>
    <xf numFmtId="175" fontId="1" fillId="25" borderId="1" xfId="1" applyNumberFormat="1" applyFont="1" applyFill="1" applyBorder="1" applyAlignment="1">
      <alignment horizontal="right"/>
    </xf>
    <xf numFmtId="175" fontId="1" fillId="7" borderId="1" xfId="1" applyNumberFormat="1" applyFont="1" applyFill="1" applyBorder="1" applyAlignment="1">
      <alignment horizontal="right"/>
    </xf>
    <xf numFmtId="175" fontId="11" fillId="11" borderId="1" xfId="1" applyNumberFormat="1" applyFont="1" applyFill="1" applyBorder="1" applyAlignment="1">
      <alignment horizontal="right" vertical="center"/>
    </xf>
    <xf numFmtId="175" fontId="41" fillId="11" borderId="1" xfId="1" applyNumberFormat="1" applyFont="1" applyFill="1" applyBorder="1" applyAlignment="1">
      <alignment horizontal="right" vertical="center"/>
    </xf>
    <xf numFmtId="0" fontId="16" fillId="11" borderId="11" xfId="0" applyFont="1" applyFill="1" applyBorder="1" applyAlignment="1">
      <alignment horizontal="right" vertical="center" wrapText="1"/>
    </xf>
    <xf numFmtId="0" fontId="2" fillId="20" borderId="1" xfId="0" quotePrefix="1" applyFont="1" applyFill="1" applyBorder="1" applyAlignment="1">
      <alignment horizontal="right"/>
    </xf>
    <xf numFmtId="0" fontId="0" fillId="20" borderId="1" xfId="0" applyFill="1" applyBorder="1" applyAlignment="1">
      <alignment horizontal="right"/>
    </xf>
    <xf numFmtId="0" fontId="2" fillId="20" borderId="1" xfId="0" applyFont="1" applyFill="1" applyBorder="1" applyAlignment="1">
      <alignment horizontal="right"/>
    </xf>
    <xf numFmtId="0" fontId="0" fillId="20" borderId="14" xfId="0" applyFill="1" applyBorder="1" applyAlignment="1">
      <alignment horizontal="right"/>
    </xf>
    <xf numFmtId="175" fontId="37" fillId="20" borderId="11" xfId="0" applyNumberFormat="1" applyFont="1" applyFill="1" applyBorder="1" applyAlignment="1">
      <alignment horizontal="center"/>
    </xf>
    <xf numFmtId="175" fontId="22" fillId="20" borderId="0" xfId="0" applyNumberFormat="1" applyFont="1" applyFill="1" applyBorder="1"/>
    <xf numFmtId="175" fontId="2" fillId="20" borderId="0" xfId="4" applyNumberFormat="1" applyFont="1" applyFill="1"/>
    <xf numFmtId="0" fontId="17" fillId="25" borderId="1" xfId="0" applyFont="1" applyFill="1" applyBorder="1" applyAlignment="1">
      <alignment horizontal="right" vertical="center" wrapText="1"/>
    </xf>
    <xf numFmtId="175" fontId="33" fillId="25" borderId="1" xfId="1" applyNumberFormat="1" applyFont="1" applyFill="1" applyBorder="1" applyAlignment="1">
      <alignment horizontal="right"/>
    </xf>
    <xf numFmtId="175" fontId="2" fillId="12" borderId="1" xfId="0" applyNumberFormat="1" applyFont="1" applyFill="1" applyBorder="1" applyAlignment="1">
      <alignment horizontal="right" vertical="center"/>
    </xf>
    <xf numFmtId="175" fontId="0" fillId="7" borderId="1" xfId="0" applyNumberFormat="1" applyFill="1" applyBorder="1" applyAlignment="1">
      <alignment horizontal="right" vertical="center"/>
    </xf>
    <xf numFmtId="175" fontId="0" fillId="7" borderId="1" xfId="0" applyNumberFormat="1" applyFont="1" applyFill="1" applyBorder="1" applyAlignment="1">
      <alignment horizontal="right" vertical="center"/>
    </xf>
    <xf numFmtId="175" fontId="0" fillId="11" borderId="1" xfId="0" applyNumberFormat="1" applyFill="1" applyBorder="1"/>
    <xf numFmtId="175" fontId="0" fillId="7" borderId="1" xfId="0" applyNumberFormat="1" applyFill="1" applyBorder="1"/>
    <xf numFmtId="175" fontId="0" fillId="7" borderId="1" xfId="0" applyNumberFormat="1" applyFont="1" applyFill="1" applyBorder="1"/>
    <xf numFmtId="0" fontId="42" fillId="20" borderId="0" xfId="0" applyFont="1" applyFill="1" applyBorder="1" applyAlignment="1">
      <alignment horizontal="left"/>
    </xf>
    <xf numFmtId="165" fontId="2" fillId="10" borderId="0" xfId="4" applyNumberFormat="1" applyFont="1" applyFill="1"/>
    <xf numFmtId="43" fontId="33" fillId="20" borderId="0" xfId="1" applyFont="1" applyFill="1"/>
    <xf numFmtId="2" fontId="33" fillId="20" borderId="0" xfId="0" applyNumberFormat="1" applyFont="1" applyFill="1"/>
    <xf numFmtId="14" fontId="33" fillId="20" borderId="0" xfId="0" applyNumberFormat="1" applyFont="1" applyFill="1" applyAlignment="1">
      <alignment horizontal="center"/>
    </xf>
    <xf numFmtId="43" fontId="4" fillId="9" borderId="30" xfId="1" applyFont="1" applyFill="1" applyBorder="1"/>
    <xf numFmtId="43" fontId="0" fillId="20" borderId="0" xfId="0" applyNumberFormat="1" applyFill="1" applyBorder="1"/>
    <xf numFmtId="14" fontId="0" fillId="20" borderId="0" xfId="0" applyNumberFormat="1" applyFill="1"/>
    <xf numFmtId="0" fontId="0" fillId="17" borderId="0" xfId="0" applyFill="1"/>
    <xf numFmtId="0" fontId="33" fillId="20" borderId="0" xfId="0" applyFont="1" applyFill="1"/>
    <xf numFmtId="175" fontId="33" fillId="20" borderId="0" xfId="0" applyNumberFormat="1" applyFont="1" applyFill="1"/>
    <xf numFmtId="175" fontId="33" fillId="20" borderId="9" xfId="0" applyNumberFormat="1" applyFont="1" applyFill="1" applyBorder="1"/>
    <xf numFmtId="171" fontId="0" fillId="15" borderId="0" xfId="0" applyNumberFormat="1" applyFill="1"/>
    <xf numFmtId="0" fontId="27" fillId="0" borderId="2" xfId="0" applyFont="1" applyBorder="1" applyAlignment="1">
      <alignment horizontal="center"/>
    </xf>
    <xf numFmtId="0" fontId="0" fillId="0" borderId="27" xfId="0" applyBorder="1"/>
    <xf numFmtId="171" fontId="0" fillId="15" borderId="37" xfId="0" applyNumberFormat="1" applyFill="1" applyBorder="1"/>
    <xf numFmtId="171" fontId="0" fillId="15" borderId="38" xfId="0" applyNumberFormat="1" applyFill="1" applyBorder="1"/>
    <xf numFmtId="171" fontId="0" fillId="8" borderId="38" xfId="0" applyNumberFormat="1" applyFill="1" applyBorder="1"/>
    <xf numFmtId="0" fontId="0" fillId="0" borderId="32" xfId="0" applyBorder="1"/>
    <xf numFmtId="171" fontId="0" fillId="8" borderId="34" xfId="0" applyNumberFormat="1" applyFill="1" applyBorder="1"/>
    <xf numFmtId="171" fontId="30" fillId="8" borderId="39" xfId="0" applyNumberFormat="1" applyFont="1" applyFill="1" applyBorder="1"/>
    <xf numFmtId="0" fontId="0" fillId="0" borderId="1" xfId="0" applyFill="1" applyBorder="1" applyAlignment="1">
      <alignment horizontal="center"/>
    </xf>
    <xf numFmtId="10" fontId="0" fillId="0" borderId="0" xfId="0" applyNumberFormat="1"/>
    <xf numFmtId="0" fontId="0" fillId="0" borderId="1" xfId="0" applyFill="1" applyBorder="1" applyAlignment="1">
      <alignment horizontal="center" wrapText="1"/>
    </xf>
    <xf numFmtId="43" fontId="45" fillId="12" borderId="0" xfId="1" applyFont="1" applyFill="1" applyAlignment="1">
      <alignment horizontal="right"/>
    </xf>
    <xf numFmtId="0" fontId="30" fillId="8" borderId="28" xfId="0" applyFont="1" applyFill="1" applyBorder="1"/>
    <xf numFmtId="0" fontId="0" fillId="8" borderId="29" xfId="0" applyFill="1" applyBorder="1"/>
    <xf numFmtId="43" fontId="28" fillId="8" borderId="0" xfId="1" applyFont="1" applyFill="1" applyAlignment="1">
      <alignment horizontal="right"/>
    </xf>
    <xf numFmtId="0" fontId="0" fillId="8" borderId="0" xfId="0" applyFill="1"/>
    <xf numFmtId="171" fontId="0" fillId="8" borderId="31" xfId="0" applyNumberFormat="1" applyFill="1" applyBorder="1"/>
    <xf numFmtId="0" fontId="0" fillId="0" borderId="2" xfId="0" applyBorder="1"/>
    <xf numFmtId="171" fontId="0" fillId="8" borderId="4" xfId="0" applyNumberFormat="1" applyFill="1" applyBorder="1"/>
    <xf numFmtId="43" fontId="0" fillId="0" borderId="3" xfId="1" applyFont="1" applyBorder="1"/>
    <xf numFmtId="164" fontId="0" fillId="0" borderId="0" xfId="1" applyNumberFormat="1" applyFont="1"/>
    <xf numFmtId="43" fontId="0" fillId="0" borderId="0" xfId="1" applyNumberFormat="1" applyFont="1"/>
    <xf numFmtId="43" fontId="0" fillId="0" borderId="28" xfId="1" applyNumberFormat="1" applyFont="1" applyBorder="1"/>
    <xf numFmtId="14" fontId="0" fillId="0" borderId="30" xfId="0" applyNumberFormat="1" applyBorder="1"/>
    <xf numFmtId="43" fontId="0" fillId="0" borderId="0" xfId="1" applyNumberFormat="1" applyFont="1" applyBorder="1"/>
    <xf numFmtId="43" fontId="0" fillId="0" borderId="31" xfId="1" applyNumberFormat="1" applyFont="1" applyBorder="1"/>
    <xf numFmtId="43" fontId="2" fillId="0" borderId="33" xfId="1" applyNumberFormat="1" applyFont="1" applyBorder="1"/>
    <xf numFmtId="43" fontId="0" fillId="0" borderId="33" xfId="1" applyNumberFormat="1" applyFont="1" applyBorder="1"/>
    <xf numFmtId="43" fontId="0" fillId="0" borderId="2" xfId="1" applyFont="1" applyBorder="1" applyAlignment="1">
      <alignment horizontal="center"/>
    </xf>
    <xf numFmtId="43" fontId="0" fillId="0" borderId="3" xfId="1" applyFont="1" applyBorder="1" applyAlignment="1">
      <alignment horizontal="center"/>
    </xf>
    <xf numFmtId="10" fontId="0" fillId="0" borderId="0" xfId="4" applyNumberFormat="1" applyFont="1"/>
    <xf numFmtId="172" fontId="0" fillId="0" borderId="0" xfId="4" applyNumberFormat="1" applyFont="1"/>
    <xf numFmtId="43" fontId="2" fillId="0" borderId="32" xfId="1" applyFont="1" applyBorder="1" applyAlignment="1">
      <alignment horizontal="center"/>
    </xf>
    <xf numFmtId="43" fontId="46" fillId="0" borderId="0" xfId="1" applyNumberFormat="1" applyFont="1" applyBorder="1"/>
    <xf numFmtId="43" fontId="46" fillId="0" borderId="0" xfId="1" applyNumberFormat="1" applyFont="1"/>
    <xf numFmtId="0" fontId="46" fillId="0" borderId="0" xfId="0" applyFont="1"/>
    <xf numFmtId="10" fontId="24" fillId="0" borderId="0" xfId="0" applyNumberFormat="1" applyFont="1"/>
    <xf numFmtId="14" fontId="2" fillId="19" borderId="0" xfId="0" applyNumberFormat="1" applyFont="1" applyFill="1"/>
    <xf numFmtId="0" fontId="2" fillId="0" borderId="2" xfId="0" applyFont="1" applyBorder="1" applyAlignment="1">
      <alignment horizontal="right"/>
    </xf>
    <xf numFmtId="10" fontId="24" fillId="0" borderId="0" xfId="1" applyNumberFormat="1" applyFont="1"/>
    <xf numFmtId="43" fontId="46" fillId="0" borderId="4" xfId="1" applyFont="1" applyBorder="1" applyAlignment="1">
      <alignment horizontal="center"/>
    </xf>
    <xf numFmtId="43" fontId="17" fillId="0" borderId="0" xfId="1" applyNumberFormat="1" applyFont="1" applyBorder="1"/>
    <xf numFmtId="43" fontId="16" fillId="0" borderId="33" xfId="1" applyNumberFormat="1" applyFont="1" applyBorder="1"/>
    <xf numFmtId="43" fontId="1" fillId="27" borderId="2" xfId="6" applyNumberFormat="1" applyBorder="1" applyAlignment="1">
      <alignment horizontal="center"/>
    </xf>
    <xf numFmtId="43" fontId="17" fillId="0" borderId="28" xfId="1" applyNumberFormat="1" applyFont="1" applyBorder="1" applyAlignment="1">
      <alignment horizontal="center"/>
    </xf>
    <xf numFmtId="0" fontId="47" fillId="0" borderId="40" xfId="0" applyFont="1" applyBorder="1" applyAlignment="1">
      <alignment vertical="top" wrapText="1"/>
    </xf>
    <xf numFmtId="4" fontId="0" fillId="0" borderId="0" xfId="0" applyNumberFormat="1"/>
    <xf numFmtId="4" fontId="0" fillId="8" borderId="0" xfId="0" applyNumberFormat="1" applyFill="1"/>
    <xf numFmtId="171" fontId="0" fillId="8" borderId="34" xfId="0" applyNumberFormat="1" applyFont="1" applyFill="1" applyBorder="1"/>
    <xf numFmtId="43" fontId="2" fillId="0" borderId="3" xfId="0" applyNumberFormat="1" applyFont="1" applyBorder="1"/>
    <xf numFmtId="0" fontId="16" fillId="6" borderId="0" xfId="0" applyFont="1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0" xfId="0" applyFont="1" applyBorder="1" applyAlignment="1">
      <alignment horizontal="left"/>
    </xf>
    <xf numFmtId="10" fontId="24" fillId="0" borderId="23" xfId="0" applyNumberFormat="1" applyFont="1" applyBorder="1"/>
    <xf numFmtId="10" fontId="24" fillId="0" borderId="8" xfId="0" applyNumberFormat="1" applyFont="1" applyBorder="1"/>
    <xf numFmtId="172" fontId="0" fillId="0" borderId="22" xfId="4" applyNumberFormat="1" applyFont="1" applyBorder="1"/>
    <xf numFmtId="172" fontId="0" fillId="0" borderId="6" xfId="4" applyNumberFormat="1" applyFont="1" applyBorder="1"/>
    <xf numFmtId="172" fontId="0" fillId="0" borderId="10" xfId="4" applyNumberFormat="1" applyFont="1" applyBorder="1"/>
    <xf numFmtId="0" fontId="22" fillId="21" borderId="11" xfId="0" applyFont="1" applyFill="1" applyBorder="1" applyAlignment="1">
      <alignment horizontal="center"/>
    </xf>
    <xf numFmtId="0" fontId="36" fillId="21" borderId="11" xfId="0" applyFont="1" applyFill="1" applyBorder="1" applyAlignment="1">
      <alignment horizontal="center"/>
    </xf>
    <xf numFmtId="0" fontId="16" fillId="24" borderId="12" xfId="0" applyFont="1" applyFill="1" applyBorder="1"/>
    <xf numFmtId="0" fontId="0" fillId="24" borderId="13" xfId="0" applyFill="1" applyBorder="1"/>
    <xf numFmtId="0" fontId="0" fillId="24" borderId="7" xfId="0" applyFill="1" applyBorder="1"/>
    <xf numFmtId="0" fontId="0" fillId="24" borderId="0" xfId="0" applyFill="1"/>
    <xf numFmtId="14" fontId="0" fillId="0" borderId="0" xfId="1" applyNumberFormat="1" applyFont="1"/>
    <xf numFmtId="178" fontId="0" fillId="0" borderId="0" xfId="1" applyNumberFormat="1" applyFont="1"/>
    <xf numFmtId="43" fontId="0" fillId="0" borderId="22" xfId="1" applyFont="1" applyBorder="1"/>
    <xf numFmtId="14" fontId="0" fillId="0" borderId="0" xfId="1" applyNumberFormat="1" applyFont="1" applyBorder="1"/>
    <xf numFmtId="14" fontId="0" fillId="0" borderId="9" xfId="1" applyNumberFormat="1" applyFont="1" applyBorder="1"/>
    <xf numFmtId="1" fontId="0" fillId="0" borderId="5" xfId="0" applyNumberFormat="1" applyBorder="1"/>
    <xf numFmtId="1" fontId="0" fillId="0" borderId="8" xfId="0" applyNumberFormat="1" applyBorder="1"/>
    <xf numFmtId="43" fontId="0" fillId="0" borderId="6" xfId="1" applyFont="1" applyBorder="1" applyAlignment="1">
      <alignment horizontal="center"/>
    </xf>
    <xf numFmtId="1" fontId="52" fillId="0" borderId="0" xfId="0" applyNumberFormat="1" applyFont="1"/>
    <xf numFmtId="171" fontId="0" fillId="0" borderId="0" xfId="1" applyNumberFormat="1" applyFont="1"/>
    <xf numFmtId="1" fontId="51" fillId="30" borderId="0" xfId="9" applyNumberFormat="1"/>
    <xf numFmtId="171" fontId="51" fillId="30" borderId="0" xfId="9" applyNumberFormat="1"/>
    <xf numFmtId="171" fontId="2" fillId="0" borderId="1" xfId="1" applyNumberFormat="1" applyFont="1" applyBorder="1" applyAlignment="1">
      <alignment horizontal="center"/>
    </xf>
    <xf numFmtId="171" fontId="50" fillId="30" borderId="1" xfId="9" applyNumberFormat="1" applyFont="1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164" fontId="52" fillId="0" borderId="6" xfId="1" applyNumberFormat="1" applyFont="1" applyBorder="1" applyAlignment="1">
      <alignment horizontal="center"/>
    </xf>
    <xf numFmtId="43" fontId="2" fillId="0" borderId="41" xfId="1" applyFont="1" applyBorder="1" applyAlignment="1">
      <alignment horizontal="center"/>
    </xf>
    <xf numFmtId="0" fontId="53" fillId="29" borderId="42" xfId="8" applyFont="1" applyBorder="1" applyAlignment="1">
      <alignment horizontal="center"/>
    </xf>
    <xf numFmtId="43" fontId="53" fillId="29" borderId="36" xfId="8" applyNumberFormat="1" applyFont="1" applyBorder="1" applyAlignment="1">
      <alignment horizontal="center"/>
    </xf>
    <xf numFmtId="178" fontId="0" fillId="0" borderId="0" xfId="1" applyNumberFormat="1" applyFont="1" applyBorder="1"/>
    <xf numFmtId="43" fontId="51" fillId="29" borderId="21" xfId="8" applyNumberFormat="1" applyBorder="1"/>
    <xf numFmtId="43" fontId="51" fillId="29" borderId="21" xfId="8" applyNumberFormat="1" applyBorder="1" applyAlignment="1">
      <alignment horizontal="left"/>
    </xf>
    <xf numFmtId="43" fontId="54" fillId="29" borderId="21" xfId="8" applyNumberFormat="1" applyFont="1" applyBorder="1" applyAlignment="1">
      <alignment horizontal="left"/>
    </xf>
    <xf numFmtId="43" fontId="0" fillId="31" borderId="0" xfId="1" applyFont="1" applyFill="1"/>
    <xf numFmtId="1" fontId="16" fillId="24" borderId="23" xfId="2" applyNumberFormat="1" applyFont="1" applyFill="1" applyBorder="1"/>
    <xf numFmtId="43" fontId="16" fillId="24" borderId="24" xfId="2" applyNumberFormat="1" applyFont="1" applyFill="1" applyBorder="1"/>
    <xf numFmtId="171" fontId="2" fillId="0" borderId="0" xfId="1" applyNumberFormat="1" applyFont="1"/>
    <xf numFmtId="171" fontId="0" fillId="20" borderId="0" xfId="1" applyNumberFormat="1" applyFont="1" applyFill="1"/>
    <xf numFmtId="171" fontId="2" fillId="20" borderId="11" xfId="1" applyNumberFormat="1" applyFont="1" applyFill="1" applyBorder="1" applyAlignment="1">
      <alignment horizontal="center"/>
    </xf>
    <xf numFmtId="171" fontId="2" fillId="20" borderId="1" xfId="1" applyNumberFormat="1" applyFont="1" applyFill="1" applyBorder="1" applyAlignment="1">
      <alignment horizontal="center"/>
    </xf>
    <xf numFmtId="1" fontId="52" fillId="20" borderId="0" xfId="0" applyNumberFormat="1" applyFont="1" applyFill="1" applyAlignment="1">
      <alignment horizontal="right"/>
    </xf>
    <xf numFmtId="1" fontId="0" fillId="20" borderId="0" xfId="0" applyNumberFormat="1" applyFill="1"/>
    <xf numFmtId="1" fontId="52" fillId="20" borderId="0" xfId="0" applyNumberFormat="1" applyFont="1" applyFill="1"/>
    <xf numFmtId="43" fontId="51" fillId="28" borderId="0" xfId="7" applyNumberFormat="1"/>
    <xf numFmtId="171" fontId="1" fillId="0" borderId="0" xfId="1" applyNumberFormat="1" applyFont="1"/>
    <xf numFmtId="43" fontId="17" fillId="20" borderId="0" xfId="1" applyFont="1" applyFill="1" applyAlignment="1">
      <alignment horizontal="center"/>
    </xf>
    <xf numFmtId="43" fontId="0" fillId="22" borderId="0" xfId="1" applyNumberFormat="1" applyFont="1" applyFill="1" applyBorder="1"/>
    <xf numFmtId="43" fontId="0" fillId="12" borderId="21" xfId="1" applyNumberFormat="1" applyFont="1" applyFill="1" applyBorder="1"/>
    <xf numFmtId="43" fontId="37" fillId="12" borderId="34" xfId="1" applyFont="1" applyFill="1" applyBorder="1" applyAlignment="1">
      <alignment horizontal="right"/>
    </xf>
    <xf numFmtId="43" fontId="37" fillId="12" borderId="4" xfId="1" applyFont="1" applyFill="1" applyBorder="1" applyAlignment="1">
      <alignment horizontal="right"/>
    </xf>
    <xf numFmtId="43" fontId="0" fillId="32" borderId="21" xfId="1" applyNumberFormat="1" applyFont="1" applyFill="1" applyBorder="1"/>
    <xf numFmtId="43" fontId="45" fillId="32" borderId="0" xfId="1" applyFont="1" applyFill="1" applyAlignment="1">
      <alignment horizontal="right"/>
    </xf>
    <xf numFmtId="0" fontId="18" fillId="0" borderId="0" xfId="5" applyAlignment="1">
      <alignment horizontal="left" vertical="top" wrapText="1"/>
    </xf>
    <xf numFmtId="0" fontId="16" fillId="9" borderId="0" xfId="0" applyFont="1" applyFill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0" fontId="16" fillId="10" borderId="12" xfId="0" applyFont="1" applyFill="1" applyBorder="1" applyAlignment="1">
      <alignment horizontal="center"/>
    </xf>
    <xf numFmtId="0" fontId="16" fillId="10" borderId="13" xfId="0" applyFont="1" applyFill="1" applyBorder="1" applyAlignment="1">
      <alignment horizontal="center"/>
    </xf>
    <xf numFmtId="0" fontId="16" fillId="10" borderId="7" xfId="0" applyFont="1" applyFill="1" applyBorder="1" applyAlignment="1">
      <alignment horizontal="center"/>
    </xf>
    <xf numFmtId="0" fontId="16" fillId="11" borderId="12" xfId="0" applyFont="1" applyFill="1" applyBorder="1" applyAlignment="1">
      <alignment horizontal="center"/>
    </xf>
    <xf numFmtId="0" fontId="16" fillId="11" borderId="13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16" fillId="12" borderId="12" xfId="0" applyFont="1" applyFill="1" applyBorder="1" applyAlignment="1">
      <alignment horizontal="center"/>
    </xf>
    <xf numFmtId="0" fontId="16" fillId="12" borderId="13" xfId="0" applyFont="1" applyFill="1" applyBorder="1" applyAlignment="1">
      <alignment horizontal="center"/>
    </xf>
    <xf numFmtId="0" fontId="16" fillId="12" borderId="7" xfId="0" applyFont="1" applyFill="1" applyBorder="1" applyAlignment="1">
      <alignment horizontal="center"/>
    </xf>
  </cellXfs>
  <cellStyles count="10">
    <cellStyle name="40 % - Akzent2" xfId="6" builtinId="35"/>
    <cellStyle name="Akzent1" xfId="3" builtinId="29"/>
    <cellStyle name="Akzent3" xfId="7" builtinId="37"/>
    <cellStyle name="Akzent5" xfId="8" builtinId="45"/>
    <cellStyle name="Akzent6" xfId="9" builtinId="49"/>
    <cellStyle name="Gut" xfId="2" builtinId="26"/>
    <cellStyle name="Komma" xfId="1" builtinId="3"/>
    <cellStyle name="Link" xfId="5" builtinId="8"/>
    <cellStyle name="Prozent" xfId="4" builtinId="5"/>
    <cellStyle name="Standard" xfId="0" builtinId="0"/>
  </cellStyles>
  <dxfs count="1">
    <dxf>
      <numFmt numFmtId="166" formatCode="0.00000"/>
    </dxf>
  </dxfs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e">
        <v>#N/A</v>
        <stp/>
        <stp>BDH|10698604057479939115</stp>
        <tr r="AD12" s="5"/>
      </tp>
      <tp t="e">
        <v>#N/A</v>
        <stp/>
        <stp>BDH|16418818652963049654</stp>
        <tr r="AD27" s="5"/>
      </tp>
      <tp t="e">
        <v>#N/A</v>
        <stp/>
        <stp>BDH|11373264692382644648</stp>
        <tr r="AD23" s="5"/>
      </tp>
      <tp t="e">
        <v>#N/A</v>
        <stp/>
        <stp>BDH|15795329094996793591</stp>
        <tr r="AD11" s="5"/>
      </tp>
      <tp t="e">
        <v>#N/A</v>
        <stp/>
        <stp>BDH|10704817675575007774</stp>
        <tr r="AD20" s="5"/>
      </tp>
      <tp t="e">
        <v>#N/A</v>
        <stp/>
        <stp>BDH|12792630253073256014</stp>
        <tr r="AD19" s="5"/>
      </tp>
      <tp t="e">
        <v>#N/A</v>
        <stp/>
        <stp>BDH|15521303439265011159</stp>
        <tr r="AD17" s="5"/>
      </tp>
      <tp t="e">
        <v>#N/A</v>
        <stp/>
        <stp>BDH|12185123834180133774</stp>
        <tr r="AD14" s="5"/>
      </tp>
      <tp t="e">
        <v>#N/A</v>
        <stp/>
        <stp>BDH|16297256481509017250</stp>
        <tr r="AD22" s="5"/>
      </tp>
      <tp t="e">
        <v>#N/A</v>
        <stp/>
        <stp>BDH|17644107284988506257</stp>
        <tr r="AD21" s="5"/>
      </tp>
    </main>
    <main first="bofaddin.rtdserver">
      <tp t="e">
        <v>#N/A</v>
        <stp/>
        <stp>BDH|4960813374354471125</stp>
        <tr r="AD25" s="5"/>
      </tp>
      <tp t="e">
        <v>#N/A</v>
        <stp/>
        <stp>BDH|4356671910019707489</stp>
        <tr r="AD18" s="5"/>
      </tp>
      <tp t="s">
        <v>#N/A N/A</v>
        <stp/>
        <stp>BDH|1635965456300070284</stp>
        <tr r="BB9" s="1"/>
      </tp>
      <tp t="e">
        <v>#N/A</v>
        <stp/>
        <stp>BDH|9797142265632365302</stp>
        <tr r="AD15" s="5"/>
      </tp>
      <tp t="e">
        <v>#N/A</v>
        <stp/>
        <stp>BDH|3442821466670885572</stp>
        <tr r="AD9" s="5"/>
      </tp>
      <tp t="e">
        <v>#N/A</v>
        <stp/>
        <stp>BDH|4240497483728614439</stp>
        <tr r="AD7" s="5"/>
      </tp>
      <tp t="e">
        <v>#N/A</v>
        <stp/>
        <stp>BDH|6378960874649674541</stp>
        <tr r="AD10" s="5"/>
      </tp>
    </main>
    <main first="bofaddin.rtdserver">
      <tp t="e">
        <v>#N/A</v>
        <stp/>
        <stp>BDH|8187906608104473264</stp>
        <tr r="AD16" s="5"/>
      </tp>
      <tp t="e">
        <v>#N/A</v>
        <stp/>
        <stp>BDH|4670647612323429781</stp>
        <tr r="AD26" s="5"/>
      </tp>
      <tp t="e">
        <v>#N/A</v>
        <stp/>
        <stp>BDH|5914179333885847507</stp>
        <tr r="AD24" s="5"/>
      </tp>
      <tp t="e">
        <v>#N/A</v>
        <stp/>
        <stp>BDH|9208164786916562427</stp>
        <tr r="AD8" s="5"/>
      </tp>
      <tp t="e">
        <v>#N/A</v>
        <stp/>
        <stp>BDH|885208179105880843</stp>
        <tr r="AD13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94705367711389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Tabelle1!$AH$29:$AH$30</c:f>
              <c:strCache>
                <c:ptCount val="2"/>
                <c:pt idx="0">
                  <c:v>%</c:v>
                </c:pt>
                <c:pt idx="1">
                  <c:v>p.a.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Tabelle1!$AG$31:$AG$54</c:f>
              <c:strCache>
                <c:ptCount val="24"/>
                <c:pt idx="0">
                  <c:v>2015</c:v>
                </c:pt>
                <c:pt idx="1">
                  <c:v>Qrtl2</c:v>
                </c:pt>
                <c:pt idx="2">
                  <c:v>Qrtl4</c:v>
                </c:pt>
                <c:pt idx="3">
                  <c:v>2016</c:v>
                </c:pt>
                <c:pt idx="4">
                  <c:v>Qrtl2</c:v>
                </c:pt>
                <c:pt idx="5">
                  <c:v>Qrtl4</c:v>
                </c:pt>
                <c:pt idx="6">
                  <c:v>2017</c:v>
                </c:pt>
                <c:pt idx="7">
                  <c:v>Qrtl2</c:v>
                </c:pt>
                <c:pt idx="8">
                  <c:v>Qrtl4</c:v>
                </c:pt>
                <c:pt idx="9">
                  <c:v>2018</c:v>
                </c:pt>
                <c:pt idx="10">
                  <c:v>Qrtl2</c:v>
                </c:pt>
                <c:pt idx="11">
                  <c:v>Qrtl4</c:v>
                </c:pt>
                <c:pt idx="12">
                  <c:v>2019</c:v>
                </c:pt>
                <c:pt idx="13">
                  <c:v>Qrtl2</c:v>
                </c:pt>
                <c:pt idx="14">
                  <c:v>Qrtl4</c:v>
                </c:pt>
                <c:pt idx="15">
                  <c:v>2020</c:v>
                </c:pt>
                <c:pt idx="16">
                  <c:v>Qrtl2</c:v>
                </c:pt>
                <c:pt idx="17">
                  <c:v>Qrtl4</c:v>
                </c:pt>
                <c:pt idx="18">
                  <c:v>2021</c:v>
                </c:pt>
                <c:pt idx="19">
                  <c:v>Qrtl2</c:v>
                </c:pt>
                <c:pt idx="20">
                  <c:v>Qrtl4</c:v>
                </c:pt>
                <c:pt idx="21">
                  <c:v>2022</c:v>
                </c:pt>
                <c:pt idx="22">
                  <c:v>Qrtl2</c:v>
                </c:pt>
                <c:pt idx="23">
                  <c:v>Qrtl4</c:v>
                </c:pt>
              </c:strCache>
            </c:strRef>
          </c:cat>
          <c:val>
            <c:numRef>
              <c:f>Tabelle1!$AH$31:$AH$54</c:f>
              <c:numCache>
                <c:formatCode>General</c:formatCode>
                <c:ptCount val="24"/>
                <c:pt idx="1">
                  <c:v>0.46199999999999997</c:v>
                </c:pt>
                <c:pt idx="2">
                  <c:v>0.56499999999999995</c:v>
                </c:pt>
                <c:pt idx="4">
                  <c:v>0.35499999999999998</c:v>
                </c:pt>
                <c:pt idx="5">
                  <c:v>0.2145</c:v>
                </c:pt>
                <c:pt idx="7">
                  <c:v>0.30149999999999999</c:v>
                </c:pt>
                <c:pt idx="8">
                  <c:v>0.34799999999999998</c:v>
                </c:pt>
                <c:pt idx="10">
                  <c:v>0.41699999999999998</c:v>
                </c:pt>
                <c:pt idx="11">
                  <c:v>0.42849999999999999</c:v>
                </c:pt>
                <c:pt idx="13">
                  <c:v>0.28699999999999998</c:v>
                </c:pt>
                <c:pt idx="14">
                  <c:v>6.0499999999999998E-2</c:v>
                </c:pt>
                <c:pt idx="16">
                  <c:v>0.22149999999999997</c:v>
                </c:pt>
                <c:pt idx="17">
                  <c:v>-0.11399999999999999</c:v>
                </c:pt>
                <c:pt idx="19">
                  <c:v>2.5000000000000022E-3</c:v>
                </c:pt>
                <c:pt idx="20">
                  <c:v>3.8499999999999979E-2</c:v>
                </c:pt>
                <c:pt idx="22">
                  <c:v>0.70650000000000002</c:v>
                </c:pt>
                <c:pt idx="23">
                  <c:v>2.7495000000000003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A-4C3F-AB49-4D77444ED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2206472"/>
        <c:axId val="608319151"/>
      </c:lineChart>
      <c:catAx>
        <c:axId val="1132206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8319151"/>
        <c:crosses val="autoZero"/>
        <c:auto val="1"/>
        <c:lblAlgn val="ctr"/>
        <c:lblOffset val="100"/>
        <c:noMultiLvlLbl val="0"/>
      </c:catAx>
      <c:valAx>
        <c:axId val="60831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3220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557212</xdr:colOff>
          <xdr:row>2564</xdr:row>
          <xdr:rowOff>78581</xdr:rowOff>
        </xdr:from>
        <xdr:to>
          <xdr:col>65</xdr:col>
          <xdr:colOff>766762</xdr:colOff>
          <xdr:row>2565</xdr:row>
          <xdr:rowOff>111919</xdr:rowOff>
        </xdr:to>
        <xdr:sp macro="" textlink="">
          <xdr:nvSpPr>
            <xdr:cNvPr id="3073" name="Control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600075</xdr:colOff>
          <xdr:row>2564</xdr:row>
          <xdr:rowOff>78581</xdr:rowOff>
        </xdr:from>
        <xdr:to>
          <xdr:col>67</xdr:col>
          <xdr:colOff>47625</xdr:colOff>
          <xdr:row>2565</xdr:row>
          <xdr:rowOff>111919</xdr:rowOff>
        </xdr:to>
        <xdr:sp macro="" textlink="">
          <xdr:nvSpPr>
            <xdr:cNvPr id="3074" name="Control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695325</xdr:colOff>
          <xdr:row>2564</xdr:row>
          <xdr:rowOff>78581</xdr:rowOff>
        </xdr:from>
        <xdr:to>
          <xdr:col>69</xdr:col>
          <xdr:colOff>142875</xdr:colOff>
          <xdr:row>2565</xdr:row>
          <xdr:rowOff>111919</xdr:rowOff>
        </xdr:to>
        <xdr:sp macro="" textlink="">
          <xdr:nvSpPr>
            <xdr:cNvPr id="3075" name="Control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37</xdr:row>
          <xdr:rowOff>123825</xdr:rowOff>
        </xdr:from>
        <xdr:to>
          <xdr:col>6</xdr:col>
          <xdr:colOff>1371600</xdr:colOff>
          <xdr:row>39</xdr:row>
          <xdr:rowOff>85725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A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114300</xdr:colOff>
          <xdr:row>2251</xdr:row>
          <xdr:rowOff>133350</xdr:rowOff>
        </xdr:from>
        <xdr:to>
          <xdr:col>60</xdr:col>
          <xdr:colOff>371475</xdr:colOff>
          <xdr:row>2253</xdr:row>
          <xdr:rowOff>57150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161925</xdr:colOff>
          <xdr:row>2251</xdr:row>
          <xdr:rowOff>133350</xdr:rowOff>
        </xdr:from>
        <xdr:to>
          <xdr:col>61</xdr:col>
          <xdr:colOff>419100</xdr:colOff>
          <xdr:row>2253</xdr:row>
          <xdr:rowOff>57150</xdr:rowOff>
        </xdr:to>
        <xdr:sp macro="" textlink="">
          <xdr:nvSpPr>
            <xdr:cNvPr id="1026" name="Control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161925</xdr:colOff>
          <xdr:row>2251</xdr:row>
          <xdr:rowOff>133350</xdr:rowOff>
        </xdr:from>
        <xdr:to>
          <xdr:col>63</xdr:col>
          <xdr:colOff>419100</xdr:colOff>
          <xdr:row>2253</xdr:row>
          <xdr:rowOff>57150</xdr:rowOff>
        </xdr:to>
        <xdr:sp macro="" textlink="">
          <xdr:nvSpPr>
            <xdr:cNvPr id="1027" name="Contro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30</xdr:col>
      <xdr:colOff>361950</xdr:colOff>
      <xdr:row>13</xdr:row>
      <xdr:rowOff>147637</xdr:rowOff>
    </xdr:from>
    <xdr:to>
      <xdr:col>38</xdr:col>
      <xdr:colOff>57150</xdr:colOff>
      <xdr:row>28</xdr:row>
      <xdr:rowOff>14287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imetzhofer Alexandra 0663 EH" id="{AC4312BD-2DC7-47DE-8C23-50F93E9CAF1B}" userId="S::A960HFC@s-mxs.net::2cbc183a-6393-4bb1-a3c6-b1333dbbc122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imetzhofer Alexandra DI." refreshedDate="44909.612061574073" createdVersion="7" refreshedVersion="7" minRefreshableVersion="3" recordCount="1989" xr:uid="{02781A89-2C66-4316-BD39-FA7C57E4D748}">
  <cacheSource type="worksheet">
    <worksheetSource ref="BB8:BF1997" sheet="Tabelle1"/>
  </cacheSource>
  <cacheFields count="7">
    <cacheField name="Dates" numFmtId="168">
      <sharedItems containsSemiMixedTypes="0" containsNonDate="0" containsDate="1" containsString="0" minDate="2015-05-01T00:00:00" maxDate="2022-12-15T00:00:00" count="1989">
        <d v="2015-05-01T00:00:00"/>
        <d v="2015-05-04T00:00:00"/>
        <d v="2015-05-05T00:00:00"/>
        <d v="2015-05-06T00:00:00"/>
        <d v="2015-05-07T00:00:00"/>
        <d v="2015-05-08T00:00:00"/>
        <d v="2015-05-11T00:00:00"/>
        <d v="2015-05-12T00:00:00"/>
        <d v="2015-05-13T00:00:00"/>
        <d v="2015-05-14T00:00:00"/>
        <d v="2015-05-15T00:00:00"/>
        <d v="2015-05-18T00:00:00"/>
        <d v="2015-05-19T00:00:00"/>
        <d v="2015-05-20T00:00:00"/>
        <d v="2015-05-21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6T00:00:00"/>
        <d v="2015-06-17T00:00:00"/>
        <d v="2015-06-18T00:00:00"/>
        <d v="2015-06-19T00:00:00"/>
        <d v="2015-06-22T00:00:00"/>
        <d v="2015-06-23T00:00:00"/>
        <d v="2015-06-24T00:00:00"/>
        <d v="2015-06-25T00:00:00"/>
        <d v="2015-06-26T00:00:00"/>
        <d v="2015-06-29T00:00:00"/>
        <d v="2015-06-30T00:00:00"/>
        <d v="2015-07-01T00:00:00"/>
        <d v="2015-07-02T00:00:00"/>
        <d v="2015-07-03T00:00:00"/>
        <d v="2015-07-06T00:00:00"/>
        <d v="2015-07-07T00:00:00"/>
        <d v="2015-07-08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4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7T00:00:00"/>
        <d v="2015-08-28T00:00:00"/>
        <d v="2015-08-31T00:00:00"/>
        <d v="2015-09-01T00:00:00"/>
        <d v="2015-09-02T00:00:00"/>
        <d v="2015-09-03T00:00:00"/>
        <d v="2015-09-04T00:00:00"/>
        <d v="2015-09-07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18T00:00:00"/>
        <d v="2015-09-21T00:00:00"/>
        <d v="2015-09-22T00:00:00"/>
        <d v="2015-09-23T00:00:00"/>
        <d v="2015-09-24T00:00:00"/>
        <d v="2015-09-25T00:00:00"/>
        <d v="2015-09-28T00:00:00"/>
        <d v="2015-09-29T00:00:00"/>
        <d v="2015-09-30T00:00:00"/>
        <d v="2015-10-01T00:00:00"/>
        <d v="2015-10-02T00:00:00"/>
        <d v="2015-10-05T00:00:00"/>
        <d v="2015-10-06T00:00:00"/>
        <d v="2015-10-07T00:00:00"/>
        <d v="2015-10-08T00:00:00"/>
        <d v="2015-10-09T00:00:00"/>
        <d v="2015-10-12T00:00:00"/>
        <d v="2015-10-13T00:00:00"/>
        <d v="2015-10-14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6T00:00:00"/>
        <d v="2015-10-27T00:00:00"/>
        <d v="2015-10-28T00:00:00"/>
        <d v="2015-10-29T00:00:00"/>
        <d v="2015-10-30T00:00:00"/>
        <d v="2015-11-02T00:00:00"/>
        <d v="2015-11-03T00:00:00"/>
        <d v="2015-11-04T00:00:00"/>
        <d v="2015-11-05T00:00:00"/>
        <d v="2015-11-06T00:00:00"/>
        <d v="2015-11-09T00:00:00"/>
        <d v="2015-11-10T00:00:00"/>
        <d v="2015-11-11T00:00:00"/>
        <d v="2015-11-12T00:00:00"/>
        <d v="2015-11-13T00:00:00"/>
        <d v="2015-11-16T00:00:00"/>
        <d v="2015-11-17T00:00:00"/>
        <d v="2015-11-18T00:00:00"/>
        <d v="2015-11-19T00:00:00"/>
        <d v="2015-11-20T00:00:00"/>
        <d v="2015-11-23T00:00:00"/>
        <d v="2015-11-24T00:00:00"/>
        <d v="2015-11-25T00:00:00"/>
        <d v="2015-11-26T00:00:00"/>
        <d v="2015-11-27T00:00:00"/>
        <d v="2015-11-30T00:00:00"/>
        <d v="2015-12-01T00:00:00"/>
        <d v="2015-12-02T00:00:00"/>
        <d v="2015-12-03T00:00:00"/>
        <d v="2015-12-04T00:00:00"/>
        <d v="2015-12-07T00:00:00"/>
        <d v="2015-12-08T00:00:00"/>
        <d v="2015-12-09T00:00:00"/>
        <d v="2015-12-10T00:00:00"/>
        <d v="2015-12-11T00:00:00"/>
        <d v="2015-12-14T00:00:00"/>
        <d v="2015-12-15T00:00:00"/>
        <d v="2015-12-16T00:00:00"/>
        <d v="2015-12-17T00:00:00"/>
        <d v="2015-12-18T00:00:00"/>
        <d v="2015-12-21T00:00:00"/>
        <d v="2015-12-22T00:00:00"/>
        <d v="2015-12-23T00:00:00"/>
        <d v="2015-12-24T00:00:00"/>
        <d v="2015-12-25T00:00:00"/>
        <d v="2015-12-28T00:00:00"/>
        <d v="2015-12-29T00:00:00"/>
        <d v="2015-12-30T00:00:00"/>
        <d v="2015-12-31T00:00:00"/>
        <d v="2016-01-01T00:00:00"/>
        <d v="2016-01-04T00:00:00"/>
        <d v="2016-01-05T00:00:00"/>
        <d v="2016-01-06T00:00:00"/>
        <d v="2016-01-07T00:00:00"/>
        <d v="2016-01-08T00:00:00"/>
        <d v="2016-01-11T00:00:00"/>
        <d v="2016-01-12T00:00:00"/>
        <d v="2016-01-13T00:00:00"/>
        <d v="2016-01-14T00:00:00"/>
        <d v="2016-01-15T00:00:00"/>
        <d v="2016-01-18T00:00:00"/>
        <d v="2016-01-19T00:00:00"/>
        <d v="2016-01-20T00:00:00"/>
        <d v="2016-01-21T00:00:00"/>
        <d v="2016-01-22T00:00:00"/>
        <d v="2016-01-25T00:00:00"/>
        <d v="2016-01-26T00:00:00"/>
        <d v="2016-01-27T00:00:00"/>
        <d v="2016-01-28T00:00:00"/>
        <d v="2016-01-29T00:00:00"/>
        <d v="2016-02-01T00:00:00"/>
        <d v="2016-02-02T00:00:00"/>
        <d v="2016-02-03T00:00:00"/>
        <d v="2016-02-04T00:00:00"/>
        <d v="2016-02-05T00:00:00"/>
        <d v="2016-02-08T00:00:00"/>
        <d v="2016-02-09T00:00:00"/>
        <d v="2016-02-10T00:00:00"/>
        <d v="2016-02-11T00:00:00"/>
        <d v="2016-02-12T00:00:00"/>
        <d v="2016-02-15T00:00:00"/>
        <d v="2016-02-16T00:00:00"/>
        <d v="2016-02-17T00:00:00"/>
        <d v="2016-02-18T00:00:00"/>
        <d v="2016-02-19T00:00:00"/>
        <d v="2016-02-22T00:00:00"/>
        <d v="2016-02-23T00:00:00"/>
        <d v="2016-02-24T00:00:00"/>
        <d v="2016-02-25T00:00:00"/>
        <d v="2016-02-26T00:00:00"/>
        <d v="2016-02-29T00:00:00"/>
        <d v="2016-03-01T00:00:00"/>
        <d v="2016-03-02T00:00:00"/>
        <d v="2016-03-03T00:00:00"/>
        <d v="2016-03-04T00:00:00"/>
        <d v="2016-03-07T00:00:00"/>
        <d v="2016-03-08T00:00:00"/>
        <d v="2016-03-09T00:00:00"/>
        <d v="2016-03-10T00:00:00"/>
        <d v="2016-03-11T00:00:00"/>
        <d v="2016-03-14T00:00:00"/>
        <d v="2016-03-15T00:00:00"/>
        <d v="2016-03-16T00:00:00"/>
        <d v="2016-03-17T00:00:00"/>
        <d v="2016-03-18T00:00:00"/>
        <d v="2016-03-21T00:00:00"/>
        <d v="2016-03-22T00:00:00"/>
        <d v="2016-03-23T00:00:00"/>
        <d v="2016-03-24T00:00:00"/>
        <d v="2016-03-25T00:00:00"/>
        <d v="2016-03-28T00:00:00"/>
        <d v="2016-03-29T00:00:00"/>
        <d v="2016-03-30T00:00:00"/>
        <d v="2016-03-31T00:00:00"/>
        <d v="2016-04-01T00:00:00"/>
        <d v="2016-04-04T00:00:00"/>
        <d v="2016-04-05T00:00:00"/>
        <d v="2016-04-06T00:00:00"/>
        <d v="2016-04-07T00:00:00"/>
        <d v="2016-04-08T00:00:00"/>
        <d v="2016-04-11T00:00:00"/>
        <d v="2016-04-12T00:00:00"/>
        <d v="2016-04-13T00:00:00"/>
        <d v="2016-04-14T00:00:00"/>
        <d v="2016-04-15T00:00:00"/>
        <d v="2016-04-18T00:00:00"/>
        <d v="2016-04-19T00:00:00"/>
        <d v="2016-04-20T00:00:00"/>
        <d v="2016-04-21T00:00:00"/>
        <d v="2016-04-22T00:00:00"/>
        <d v="2016-04-25T00:00:00"/>
        <d v="2016-04-26T00:00:00"/>
        <d v="2016-04-27T00:00:00"/>
        <d v="2016-04-28T00:00:00"/>
        <d v="2016-04-29T00:00:00"/>
        <d v="2016-05-02T00:00:00"/>
        <d v="2016-05-03T00:00:00"/>
        <d v="2016-05-04T00:00:00"/>
        <d v="2016-05-05T00:00:00"/>
        <d v="2016-05-06T00:00:00"/>
        <d v="2016-05-09T00:00:00"/>
        <d v="2016-05-10T00:00:00"/>
        <d v="2016-05-11T00:00:00"/>
        <d v="2016-05-12T00:00:00"/>
        <d v="2016-05-13T00:00:00"/>
        <d v="2016-05-16T00:00:00"/>
        <d v="2016-05-17T00:00:00"/>
        <d v="2016-05-18T00:00:00"/>
        <d v="2016-05-19T00:00:00"/>
        <d v="2016-05-20T00:00:00"/>
        <d v="2016-05-23T00:00:00"/>
        <d v="2016-05-24T00:00:00"/>
        <d v="2016-05-25T00:00:00"/>
        <d v="2016-05-26T00:00:00"/>
        <d v="2016-05-27T00:00:00"/>
        <d v="2016-05-30T00:00:00"/>
        <d v="2016-05-31T00:00:00"/>
        <d v="2016-06-01T00:00:00"/>
        <d v="2016-06-02T00:00:00"/>
        <d v="2016-06-03T00:00:00"/>
        <d v="2016-06-06T00:00:00"/>
        <d v="2016-06-07T00:00:00"/>
        <d v="2016-06-08T00:00:00"/>
        <d v="2016-06-09T00:00:00"/>
        <d v="2016-06-10T00:00:00"/>
        <d v="2016-06-13T00:00:00"/>
        <d v="2016-06-14T00:00:00"/>
        <d v="2016-06-15T00:00:00"/>
        <d v="2016-06-16T00:00:00"/>
        <d v="2016-06-17T00:00:00"/>
        <d v="2016-06-20T00:00:00"/>
        <d v="2016-06-21T00:00:00"/>
        <d v="2016-06-22T00:00:00"/>
        <d v="2016-06-23T00:00:00"/>
        <d v="2016-06-24T00:00:00"/>
        <d v="2016-06-27T00:00:00"/>
        <d v="2016-06-28T00:00:00"/>
        <d v="2016-06-29T00:00:00"/>
        <d v="2016-06-30T00:00:00"/>
        <d v="2016-07-01T00:00:00"/>
        <d v="2016-07-04T00:00:00"/>
        <d v="2016-07-05T00:00:00"/>
        <d v="2016-07-06T00:00:00"/>
        <d v="2016-07-07T00:00:00"/>
        <d v="2016-07-08T00:00:00"/>
        <d v="2016-07-11T00:00:00"/>
        <d v="2016-07-12T00:00:00"/>
        <d v="2016-07-13T00:00:00"/>
        <d v="2016-07-14T00:00:00"/>
        <d v="2016-07-15T00:00:00"/>
        <d v="2016-07-18T00:00:00"/>
        <d v="2016-07-19T00:00:00"/>
        <d v="2016-07-20T00:00:00"/>
        <d v="2016-07-21T00:00:00"/>
        <d v="2016-07-22T00:00:00"/>
        <d v="2016-07-25T00:00:00"/>
        <d v="2016-07-26T00:00:00"/>
        <d v="2016-07-27T00:00:00"/>
        <d v="2016-07-28T00:00:00"/>
        <d v="2016-07-29T00:00:00"/>
        <d v="2016-08-01T00:00:00"/>
        <d v="2016-08-02T00:00:00"/>
        <d v="2016-08-03T00:00:00"/>
        <d v="2016-08-04T00:00:00"/>
        <d v="2016-08-05T00:00:00"/>
        <d v="2016-08-08T00:00:00"/>
        <d v="2016-08-09T00:00:00"/>
        <d v="2016-08-10T00:00:00"/>
        <d v="2016-08-11T00:00:00"/>
        <d v="2016-08-12T00:00:00"/>
        <d v="2016-08-15T00:00:00"/>
        <d v="2016-08-16T00:00:00"/>
        <d v="2016-08-17T00:00:00"/>
        <d v="2016-08-18T00:00:00"/>
        <d v="2016-08-19T00:00:00"/>
        <d v="2016-08-22T00:00:00"/>
        <d v="2016-08-23T00:00:00"/>
        <d v="2016-08-24T00:00:00"/>
        <d v="2016-08-25T00:00:00"/>
        <d v="2016-08-26T00:00:00"/>
        <d v="2016-08-29T00:00:00"/>
        <d v="2016-08-30T00:00:00"/>
        <d v="2016-08-31T00:00:00"/>
        <d v="2016-09-01T00:00:00"/>
        <d v="2016-09-02T00:00:00"/>
        <d v="2016-09-05T00:00:00"/>
        <d v="2016-09-06T00:00:00"/>
        <d v="2016-09-07T00:00:00"/>
        <d v="2016-09-08T00:00:00"/>
        <d v="2016-09-09T00:00:00"/>
        <d v="2016-09-12T00:00:00"/>
        <d v="2016-09-13T00:00:00"/>
        <d v="2016-09-14T00:00:00"/>
        <d v="2016-09-15T00:00:00"/>
        <d v="2016-09-16T00:00:00"/>
        <d v="2016-09-19T00:00:00"/>
        <d v="2016-09-20T00:00:00"/>
        <d v="2016-09-21T00:00:00"/>
        <d v="2016-09-22T00:00:00"/>
        <d v="2016-09-23T00:00:00"/>
        <d v="2016-09-26T00:00:00"/>
        <d v="2016-09-27T00:00:00"/>
        <d v="2016-09-28T00:00:00"/>
        <d v="2016-09-29T00:00:00"/>
        <d v="2016-09-30T00:00:00"/>
        <d v="2016-10-03T00:00:00"/>
        <d v="2016-10-04T00:00:00"/>
        <d v="2016-10-05T00:00:00"/>
        <d v="2016-10-06T00:00:00"/>
        <d v="2016-10-07T00:00:00"/>
        <d v="2016-10-10T00:00:00"/>
        <d v="2016-10-11T00:00:00"/>
        <d v="2016-10-12T00:00:00"/>
        <d v="2016-10-13T00:00:00"/>
        <d v="2016-10-14T00:00:00"/>
        <d v="2016-10-17T00:00:00"/>
        <d v="2016-10-18T00:00:00"/>
        <d v="2016-10-19T00:00:00"/>
        <d v="2016-10-20T00:00:00"/>
        <d v="2016-10-21T00:00:00"/>
        <d v="2016-10-24T00:00:00"/>
        <d v="2016-10-25T00:00:00"/>
        <d v="2016-10-26T00:00:00"/>
        <d v="2016-10-27T00:00:00"/>
        <d v="2016-10-28T00:00:00"/>
        <d v="2016-10-31T00:00:00"/>
        <d v="2016-11-01T00:00:00"/>
        <d v="2016-11-02T00:00:00"/>
        <d v="2016-11-03T00:00:00"/>
        <d v="2016-11-04T00:00:00"/>
        <d v="2016-11-07T00:00:00"/>
        <d v="2016-11-08T00:00:00"/>
        <d v="2016-11-09T00:00:00"/>
        <d v="2016-11-10T00:00:00"/>
        <d v="2016-11-11T00:00:00"/>
        <d v="2016-11-14T00:00:00"/>
        <d v="2016-11-15T00:00:00"/>
        <d v="2016-11-16T00:00:00"/>
        <d v="2016-11-17T00:00:00"/>
        <d v="2016-11-18T00:00:00"/>
        <d v="2016-11-21T00:00:00"/>
        <d v="2016-11-22T00:00:00"/>
        <d v="2016-11-23T00:00:00"/>
        <d v="2016-11-24T00:00:00"/>
        <d v="2016-11-25T00:00:00"/>
        <d v="2016-11-28T00:00:00"/>
        <d v="2016-11-29T00:00:00"/>
        <d v="2016-11-30T00:00:00"/>
        <d v="2016-12-01T00:00:00"/>
        <d v="2016-12-02T00:00:00"/>
        <d v="2016-12-05T00:00:00"/>
        <d v="2016-12-06T00:00:00"/>
        <d v="2016-12-07T00:00:00"/>
        <d v="2016-12-08T00:00:00"/>
        <d v="2016-12-09T00:00:00"/>
        <d v="2016-12-12T00:00:00"/>
        <d v="2016-12-13T00:00:00"/>
        <d v="2016-12-14T00:00:00"/>
        <d v="2016-12-15T00:00:00"/>
        <d v="2016-12-16T00:00:00"/>
        <d v="2016-12-19T00:00:00"/>
        <d v="2016-12-20T00:00:00"/>
        <d v="2016-12-21T00:00:00"/>
        <d v="2016-12-22T00:00:00"/>
        <d v="2016-12-23T00:00:00"/>
        <d v="2016-12-26T00:00:00"/>
        <d v="2016-12-27T00:00:00"/>
        <d v="2016-12-28T00:00:00"/>
        <d v="2016-12-29T00:00:00"/>
        <d v="2016-12-30T00:00:00"/>
        <d v="2017-01-02T00:00:00"/>
        <d v="2017-01-03T00:00:00"/>
        <d v="2017-01-04T00:00:00"/>
        <d v="2017-01-05T00:00:00"/>
        <d v="2017-01-06T00:00:00"/>
        <d v="2017-01-09T00:00:00"/>
        <d v="2017-01-10T00:00:00"/>
        <d v="2017-01-11T00:00:00"/>
        <d v="2017-01-12T00:00:00"/>
        <d v="2017-01-13T00:00:00"/>
        <d v="2017-01-16T00:00:00"/>
        <d v="2017-01-17T00:00:00"/>
        <d v="2017-01-18T00:00:00"/>
        <d v="2017-01-19T00:00:00"/>
        <d v="2017-01-20T00:00:00"/>
        <d v="2017-01-23T00:00:00"/>
        <d v="2017-01-24T00:00:00"/>
        <d v="2017-01-25T00:00:00"/>
        <d v="2017-01-26T00:00:00"/>
        <d v="2017-01-27T00:00:00"/>
        <d v="2017-01-30T00:00:00"/>
        <d v="2017-01-31T00:00:00"/>
        <d v="2017-02-01T00:00:00"/>
        <d v="2017-02-02T00:00:00"/>
        <d v="2017-02-03T00:00:00"/>
        <d v="2017-02-06T00:00:00"/>
        <d v="2017-02-07T00:00:00"/>
        <d v="2017-02-08T00:00:00"/>
        <d v="2017-02-09T00:00:00"/>
        <d v="2017-02-10T00:00:00"/>
        <d v="2017-02-13T00:00:00"/>
        <d v="2017-02-14T00:00:00"/>
        <d v="2017-02-15T00:00:00"/>
        <d v="2017-02-16T00:00:00"/>
        <d v="2017-02-17T00:00:00"/>
        <d v="2017-02-20T00:00:00"/>
        <d v="2017-02-21T00:00:00"/>
        <d v="2017-02-22T00:00:00"/>
        <d v="2017-02-23T00:00:00"/>
        <d v="2017-02-24T00:00:00"/>
        <d v="2017-02-27T00:00:00"/>
        <d v="2017-02-28T00:00:00"/>
        <d v="2017-03-01T00:00:00"/>
        <d v="2017-03-02T00:00:00"/>
        <d v="2017-03-03T00:00:00"/>
        <d v="2017-03-06T00:00:00"/>
        <d v="2017-03-07T00:00:00"/>
        <d v="2017-03-08T00:00:00"/>
        <d v="2017-03-09T00:00:00"/>
        <d v="2017-03-10T00:00:00"/>
        <d v="2017-03-13T00:00:00"/>
        <d v="2017-03-14T00:00:00"/>
        <d v="2017-03-15T00:00:00"/>
        <d v="2017-03-16T00:00:00"/>
        <d v="2017-03-17T00:00:00"/>
        <d v="2017-03-20T00:00:00"/>
        <d v="2017-03-21T00:00:00"/>
        <d v="2017-03-22T00:00:00"/>
        <d v="2017-03-23T00:00:00"/>
        <d v="2017-03-24T00:00:00"/>
        <d v="2017-03-27T00:00:00"/>
        <d v="2017-03-28T00:00:00"/>
        <d v="2017-03-29T00:00:00"/>
        <d v="2017-03-30T00:00:00"/>
        <d v="2017-03-31T00:00:00"/>
        <d v="2017-04-03T00:00:00"/>
        <d v="2017-04-04T00:00:00"/>
        <d v="2017-04-05T00:00:00"/>
        <d v="2017-04-06T00:00:00"/>
        <d v="2017-04-07T00:00:00"/>
        <d v="2017-04-10T00:00:00"/>
        <d v="2017-04-11T00:00:00"/>
        <d v="2017-04-12T00:00:00"/>
        <d v="2017-04-13T00:00:00"/>
        <d v="2017-04-14T00:00:00"/>
        <d v="2017-04-17T00:00:00"/>
        <d v="2017-04-18T00:00:00"/>
        <d v="2017-04-19T00:00:00"/>
        <d v="2017-04-20T00:00:00"/>
        <d v="2017-04-21T00:00:00"/>
        <d v="2017-04-24T00:00:00"/>
        <d v="2017-04-25T00:00:00"/>
        <d v="2017-04-26T00:00:00"/>
        <d v="2017-04-27T00:00:00"/>
        <d v="2017-04-28T00:00:00"/>
        <d v="2017-05-01T00:00:00"/>
        <d v="2017-05-02T00:00:00"/>
        <d v="2017-05-03T00:00:00"/>
        <d v="2017-05-04T00:00:00"/>
        <d v="2017-05-05T00:00:00"/>
        <d v="2017-05-08T00:00:00"/>
        <d v="2017-05-09T00:00:00"/>
        <d v="2017-05-10T00:00:00"/>
        <d v="2017-05-11T00:00:00"/>
        <d v="2017-05-12T00:00:00"/>
        <d v="2017-05-15T00:00:00"/>
        <d v="2017-05-16T00:00:00"/>
        <d v="2017-05-17T00:00:00"/>
        <d v="2017-05-18T00:00:00"/>
        <d v="2017-05-19T00:00:00"/>
        <d v="2017-05-22T00:00:00"/>
        <d v="2017-05-23T00:00:00"/>
        <d v="2017-05-24T00:00:00"/>
        <d v="2017-05-25T00:00:00"/>
        <d v="2017-05-26T00:00:00"/>
        <d v="2017-05-29T00:00:00"/>
        <d v="2017-05-30T00:00:00"/>
        <d v="2017-05-31T00:00:00"/>
        <d v="2017-06-01T00:00:00"/>
        <d v="2017-06-02T00:00:00"/>
        <d v="2017-06-05T00:00:00"/>
        <d v="2017-06-06T00:00:00"/>
        <d v="2017-06-07T00:00:00"/>
        <d v="2017-06-08T00:00:00"/>
        <d v="2017-06-09T00:00:00"/>
        <d v="2017-06-12T00:00:00"/>
        <d v="2017-06-13T00:00:00"/>
        <d v="2017-06-14T00:00:00"/>
        <d v="2017-06-15T00:00:00"/>
        <d v="2017-06-16T00:00:00"/>
        <d v="2017-06-19T00:00:00"/>
        <d v="2017-06-20T00:00:00"/>
        <d v="2017-06-21T00:00:00"/>
        <d v="2017-06-22T00:00:00"/>
        <d v="2017-06-23T00:00:00"/>
        <d v="2017-06-26T00:00:00"/>
        <d v="2017-06-27T00:00:00"/>
        <d v="2017-06-28T00:00:00"/>
        <d v="2017-06-29T00:00:00"/>
        <d v="2017-06-30T00:00:00"/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4T00:00:00"/>
        <d v="2017-08-07T00:00:00"/>
        <d v="2017-08-08T00:00:00"/>
        <d v="2017-08-09T00:00:00"/>
        <d v="2017-08-10T00:00:00"/>
        <d v="2017-08-11T00:00:00"/>
        <d v="2017-08-14T00:00:00"/>
        <d v="2017-08-15T00:00:00"/>
        <d v="2017-08-16T00:00:00"/>
        <d v="2017-08-17T00:00:00"/>
        <d v="2017-08-18T00:00:00"/>
        <d v="2017-08-21T00:00:00"/>
        <d v="2017-08-22T00:00:00"/>
        <d v="2017-08-23T00:00:00"/>
        <d v="2017-08-24T00:00:00"/>
        <d v="2017-08-25T00:00:00"/>
        <d v="2017-08-28T00:00:00"/>
        <d v="2017-08-29T00:00:00"/>
        <d v="2017-08-30T00:00:00"/>
        <d v="2017-08-31T00:00:00"/>
        <d v="2017-09-01T00:00:00"/>
        <d v="2017-09-04T00:00:00"/>
        <d v="2017-09-05T00:00:00"/>
        <d v="2017-09-06T00:00:00"/>
        <d v="2017-09-07T00:00:00"/>
        <d v="2017-09-08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8T00:00:00"/>
        <d v="2017-09-29T00:00:00"/>
        <d v="2017-10-02T00:00:00"/>
        <d v="2017-10-03T00:00:00"/>
        <d v="2017-10-04T00:00:00"/>
        <d v="2017-10-05T00:00:00"/>
        <d v="2017-10-06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2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3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5T00:00:00"/>
        <d v="2017-12-26T00:00:00"/>
        <d v="2017-12-27T00:00:00"/>
        <d v="2017-12-28T00:00:00"/>
        <d v="2017-12-29T00:00:00"/>
        <d v="2018-01-01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5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2T00:00:00"/>
        <d v="2018-02-05T00:00:00"/>
        <d v="2018-02-06T00:00:00"/>
        <d v="2018-02-07T00:00:00"/>
        <d v="2018-02-08T00:00:00"/>
        <d v="2018-02-09T00:00:00"/>
        <d v="2018-02-12T00:00:00"/>
        <d v="2018-02-13T00:00:00"/>
        <d v="2018-02-14T00:00:00"/>
        <d v="2018-02-15T00:00:00"/>
        <d v="2018-02-16T00:00:00"/>
        <d v="2018-02-19T00:00:00"/>
        <d v="2018-02-20T00:00:00"/>
        <d v="2018-02-21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04T00:00:00"/>
        <d v="2018-04-05T00:00:00"/>
        <d v="2018-04-06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0T00:00:00"/>
        <d v="2018-04-23T00:00:00"/>
        <d v="2018-04-24T00:00:00"/>
        <d v="2018-04-25T00:00:00"/>
        <d v="2018-04-26T00:00:00"/>
        <d v="2018-04-27T00:00:00"/>
        <d v="2018-04-30T00:00:00"/>
        <d v="2018-05-01T00:00:00"/>
        <d v="2018-05-02T00:00:00"/>
        <d v="2018-05-03T00:00:00"/>
        <d v="2018-05-04T00:00:00"/>
        <d v="2018-05-07T00:00:00"/>
        <d v="2018-05-08T00:00:00"/>
        <d v="2018-05-09T00:00:00"/>
        <d v="2018-05-10T00:00:00"/>
        <d v="2018-05-11T00:00:00"/>
        <d v="2018-05-14T00:00:00"/>
        <d v="2018-05-15T00:00:00"/>
        <d v="2018-05-16T00:00:00"/>
        <d v="2018-05-17T00:00:00"/>
        <d v="2018-05-18T00:00:00"/>
        <d v="2018-05-21T00:00:00"/>
        <d v="2018-05-22T00:00:00"/>
        <d v="2018-05-23T00:00:00"/>
        <d v="2018-05-24T00:00:00"/>
        <d v="2018-05-25T00:00:00"/>
        <d v="2018-05-28T00:00:00"/>
        <d v="2018-05-29T00:00:00"/>
        <d v="2018-05-30T00:00:00"/>
        <d v="2018-05-31T00:00:00"/>
        <d v="2018-06-01T00:00:00"/>
        <d v="2018-06-04T00:00:00"/>
        <d v="2018-06-05T00:00:00"/>
        <d v="2018-06-06T00:00:00"/>
        <d v="2018-06-07T00:00:00"/>
        <d v="2018-06-08T00:00:00"/>
        <d v="2018-06-11T00:00:00"/>
        <d v="2018-06-12T00:00:00"/>
        <d v="2018-06-13T00:00:00"/>
        <d v="2018-06-14T00:00:00"/>
        <d v="2018-06-15T00:00:00"/>
        <d v="2018-06-18T00:00:00"/>
        <d v="2018-06-19T00:00:00"/>
        <d v="2018-06-20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2T00:00:00"/>
        <d v="2018-07-03T00:00:00"/>
        <d v="2018-07-04T00:00:00"/>
        <d v="2018-07-05T00:00:00"/>
        <d v="2018-07-06T00:00:00"/>
        <d v="2018-07-09T00:00:00"/>
        <d v="2018-07-10T00:00:00"/>
        <d v="2018-07-11T00:00:00"/>
        <d v="2018-07-12T00:00:00"/>
        <d v="2018-07-13T00:00:00"/>
        <d v="2018-07-16T00:00:00"/>
        <d v="2018-07-17T00:00:00"/>
        <d v="2018-07-18T00:00:00"/>
        <d v="2018-07-19T00:00:00"/>
        <d v="2018-07-20T00:00:00"/>
        <d v="2018-07-23T00:00:00"/>
        <d v="2018-07-24T00:00:00"/>
        <d v="2018-07-25T00:00:00"/>
        <d v="2018-07-26T00:00:00"/>
        <d v="2018-07-27T00:00:00"/>
        <d v="2018-07-30T00:00:00"/>
        <d v="2018-07-31T00:00:00"/>
        <d v="2018-08-01T00:00:00"/>
        <d v="2018-08-02T00:00:00"/>
        <d v="2018-08-03T00:00:00"/>
        <d v="2018-08-06T00:00:00"/>
        <d v="2018-08-07T00:00:00"/>
        <d v="2018-08-08T00:00:00"/>
        <d v="2018-08-09T00:00:00"/>
        <d v="2018-08-10T00:00:00"/>
        <d v="2018-08-13T00:00:00"/>
        <d v="2018-08-14T00:00:00"/>
        <d v="2018-08-15T00:00:00"/>
        <d v="2018-08-16T00:00:00"/>
        <d v="2018-08-17T00:00:00"/>
        <d v="2018-08-20T00:00:00"/>
        <d v="2018-08-21T00:00:00"/>
        <d v="2018-08-22T00:00:00"/>
        <d v="2018-08-23T00:00:00"/>
        <d v="2018-08-24T00:00:00"/>
        <d v="2018-08-27T00:00:00"/>
        <d v="2018-08-28T00:00:00"/>
        <d v="2018-08-29T00:00:00"/>
        <d v="2018-08-30T00:00:00"/>
        <d v="2018-08-31T00:00:00"/>
        <d v="2018-09-03T00:00:00"/>
        <d v="2018-09-04T00:00:00"/>
        <d v="2018-09-05T00:00:00"/>
        <d v="2018-09-06T00:00:00"/>
        <d v="2018-09-07T00:00:00"/>
        <d v="2018-09-10T00:00:00"/>
        <d v="2018-09-11T00:00:00"/>
        <d v="2018-09-12T00:00:00"/>
        <d v="2018-09-13T00:00:00"/>
        <d v="2018-09-14T00:00:00"/>
        <d v="2018-09-17T00:00:00"/>
        <d v="2018-09-18T00:00:00"/>
        <d v="2018-09-19T00:00:00"/>
        <d v="2018-09-20T00:00:00"/>
        <d v="2018-09-21T00:00:00"/>
        <d v="2018-09-24T00:00:00"/>
        <d v="2018-09-25T00:00:00"/>
        <d v="2018-09-26T00:00:00"/>
        <d v="2018-09-27T00:00:00"/>
        <d v="2018-09-28T00:00:00"/>
        <d v="2018-10-01T00:00:00"/>
        <d v="2018-10-02T00:00:00"/>
        <d v="2018-10-03T00:00:00"/>
        <d v="2018-10-04T00:00:00"/>
        <d v="2018-10-05T00:00:00"/>
        <d v="2018-10-08T00:00:00"/>
        <d v="2018-10-09T00:00:00"/>
        <d v="2018-10-10T00:00:00"/>
        <d v="2018-10-11T00:00:00"/>
        <d v="2018-10-12T00:00:00"/>
        <d v="2018-10-15T00:00:00"/>
        <d v="2018-10-16T00:00:00"/>
        <d v="2018-10-17T00:00:00"/>
        <d v="2018-10-18T00:00:00"/>
        <d v="2018-10-19T00:00:00"/>
        <d v="2018-10-22T00:00:00"/>
        <d v="2018-10-23T00:00:00"/>
        <d v="2018-10-24T00:00:00"/>
        <d v="2018-10-25T00:00:00"/>
        <d v="2018-10-26T00:00:00"/>
        <d v="2018-10-29T00:00:00"/>
        <d v="2018-10-30T00:00:00"/>
        <d v="2018-10-31T00:00:00"/>
        <d v="2018-11-01T00:00:00"/>
        <d v="2018-11-02T00:00:00"/>
        <d v="2018-11-05T00:00:00"/>
        <d v="2018-11-06T00:00:00"/>
        <d v="2018-11-07T00:00:00"/>
        <d v="2018-11-08T00:00:00"/>
        <d v="2018-11-09T00:00:00"/>
        <d v="2018-11-12T00:00:00"/>
        <d v="2018-11-13T00:00:00"/>
        <d v="2018-11-14T00:00:00"/>
        <d v="2018-11-15T00:00:00"/>
        <d v="2018-11-16T00:00:00"/>
        <d v="2018-11-19T00:00:00"/>
        <d v="2018-11-20T00:00:00"/>
        <d v="2018-11-21T00:00:00"/>
        <d v="2018-11-22T00:00:00"/>
        <d v="2018-11-23T00:00:00"/>
        <d v="2018-11-26T00:00:00"/>
        <d v="2018-11-27T00:00:00"/>
        <d v="2018-11-28T00:00:00"/>
        <d v="2018-11-29T00:00:00"/>
        <d v="2018-11-30T00:00:00"/>
        <d v="2018-12-03T00:00:00"/>
        <d v="2018-12-04T00:00:00"/>
        <d v="2018-12-05T00:00:00"/>
        <d v="2018-12-06T00:00:00"/>
        <d v="2018-12-07T00:00:00"/>
        <d v="2018-12-10T00:00:00"/>
        <d v="2018-12-11T00:00:00"/>
        <d v="2018-12-12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5T00:00:00"/>
        <d v="2018-12-26T00:00:00"/>
        <d v="2018-12-27T00:00:00"/>
        <d v="2018-12-28T00:00:00"/>
        <d v="2018-12-31T00:00:00"/>
        <d v="2019-01-01T00:00:00"/>
        <d v="2019-01-02T00:00:00"/>
        <d v="2019-01-03T00:00:00"/>
        <d v="2019-01-04T00:00:00"/>
        <d v="2019-01-07T00:00:00"/>
        <d v="2019-01-08T00:00:00"/>
        <d v="2019-01-09T00:00:00"/>
        <d v="2019-01-10T00:00:00"/>
        <d v="2019-01-11T00:00:00"/>
        <d v="2019-01-14T00:00:00"/>
        <d v="2019-01-15T00:00:00"/>
        <d v="2019-01-16T00:00:00"/>
        <d v="2019-01-17T00:00:00"/>
        <d v="2019-01-18T00:00:00"/>
        <d v="2019-01-21T00:00:00"/>
        <d v="2019-01-22T00:00:00"/>
        <d v="2019-01-23T00:00:00"/>
        <d v="2019-01-24T00:00:00"/>
        <d v="2019-01-25T00:00:00"/>
        <d v="2019-01-28T00:00:00"/>
        <d v="2019-01-29T00:00:00"/>
        <d v="2019-01-30T00:00:00"/>
        <d v="2019-01-31T00:00:00"/>
        <d v="2019-02-01T00:00:00"/>
        <d v="2019-02-04T00:00:00"/>
        <d v="2019-02-05T00:00:00"/>
        <d v="2019-02-06T00:00:00"/>
        <d v="2019-02-07T00:00:00"/>
        <d v="2019-02-08T00:00:00"/>
        <d v="2019-02-11T00:00:00"/>
        <d v="2019-02-12T00:00:00"/>
        <d v="2019-02-13T00:00:00"/>
        <d v="2019-02-14T00:00:00"/>
        <d v="2019-02-15T00:00:00"/>
        <d v="2019-02-18T00:00:00"/>
        <d v="2019-02-19T00:00:00"/>
        <d v="2019-02-20T00:00:00"/>
        <d v="2019-02-21T00:00:00"/>
        <d v="2019-02-22T00:00:00"/>
        <d v="2019-02-25T00:00:00"/>
        <d v="2019-02-26T00:00:00"/>
        <d v="2019-02-27T00:00:00"/>
        <d v="2019-02-28T00:00:00"/>
        <d v="2019-03-01T00:00:00"/>
        <d v="2019-03-04T00:00:00"/>
        <d v="2019-03-05T00:00:00"/>
        <d v="2019-03-06T00:00:00"/>
        <d v="2019-03-07T00:00:00"/>
        <d v="2019-03-08T00:00:00"/>
        <d v="2019-03-11T00:00:00"/>
        <d v="2019-03-12T00:00:00"/>
        <d v="2019-03-13T00:00:00"/>
        <d v="2019-03-14T00:00:00"/>
        <d v="2019-03-15T00:00:00"/>
        <d v="2019-03-18T00:00:00"/>
        <d v="2019-03-19T00:00:00"/>
        <d v="2019-03-20T00:00:00"/>
        <d v="2019-03-21T00:00:00"/>
        <d v="2019-03-22T00:00:00"/>
        <d v="2019-03-25T00:00:00"/>
        <d v="2019-03-26T00:00:00"/>
        <d v="2019-03-27T00:00:00"/>
        <d v="2019-03-28T00:00:00"/>
        <d v="2019-03-29T00:00:00"/>
        <d v="2019-04-01T00:00:00"/>
        <d v="2019-04-02T00:00:00"/>
        <d v="2019-04-03T00:00:00"/>
        <d v="2019-04-04T00:00:00"/>
        <d v="2019-04-05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17T00:00:00"/>
        <d v="2019-04-18T00:00:00"/>
        <d v="2019-04-19T00:00:00"/>
        <d v="2019-04-22T00:00:00"/>
        <d v="2019-04-23T00:00:00"/>
        <d v="2019-04-24T00:00:00"/>
        <d v="2019-04-25T00:00:00"/>
        <d v="2019-04-26T00:00:00"/>
        <d v="2019-04-29T00:00:00"/>
        <d v="2019-04-30T00:00:00"/>
        <d v="2019-05-01T00:00:00"/>
        <d v="2019-05-02T00:00:00"/>
        <d v="2019-05-03T00:00:00"/>
        <d v="2019-05-06T00:00:00"/>
        <d v="2019-05-07T00:00:00"/>
        <d v="2019-05-08T00:00:00"/>
        <d v="2019-05-09T00:00:00"/>
        <d v="2019-05-10T00:00:00"/>
        <d v="2019-05-13T00:00:00"/>
        <d v="2019-05-14T00:00:00"/>
        <d v="2019-05-15T00:00:00"/>
        <d v="2019-05-16T00:00:00"/>
        <d v="2019-05-17T00:00:00"/>
        <d v="2019-05-20T00:00:00"/>
        <d v="2019-05-21T00:00:00"/>
        <d v="2019-05-22T00:00:00"/>
        <d v="2019-05-23T00:00:00"/>
        <d v="2019-05-24T00:00:00"/>
        <d v="2019-05-27T00:00:00"/>
        <d v="2019-05-28T00:00:00"/>
        <d v="2019-05-29T00:00:00"/>
        <d v="2019-05-30T00:00:00"/>
        <d v="2019-05-31T00:00:00"/>
        <d v="2019-06-03T00:00:00"/>
        <d v="2019-06-04T00:00:00"/>
        <d v="2019-06-05T00:00:00"/>
        <d v="2019-06-06T00:00:00"/>
        <d v="2019-06-07T00:00:00"/>
        <d v="2019-06-10T00:00:00"/>
        <d v="2019-06-1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6-21T00:00:00"/>
        <d v="2019-06-24T00:00:00"/>
        <d v="2019-06-25T00:00:00"/>
        <d v="2019-06-26T00:00:00"/>
        <d v="2019-06-27T00:00:00"/>
        <d v="2019-06-28T00:00:00"/>
        <d v="2019-07-01T00:00:00"/>
        <d v="2019-07-02T00:00:00"/>
        <d v="2019-07-03T00:00:00"/>
        <d v="2019-07-04T00:00:00"/>
        <d v="2019-07-05T00:00:00"/>
        <d v="2019-07-08T00:00:00"/>
        <d v="2019-07-09T00:00:00"/>
        <d v="2019-07-10T00:00:00"/>
        <d v="2019-07-11T00:00:00"/>
        <d v="2019-07-12T00:00:00"/>
        <d v="2019-07-15T00:00:00"/>
        <d v="2019-07-16T00:00:00"/>
        <d v="2019-07-17T00:00:00"/>
        <d v="2019-07-18T00:00:00"/>
        <d v="2019-07-19T00:00:00"/>
        <d v="2019-07-22T00:00:00"/>
        <d v="2019-07-23T00:00:00"/>
        <d v="2019-07-24T00:00:00"/>
        <d v="2019-07-25T00:00:00"/>
        <d v="2019-07-26T00:00:00"/>
        <d v="2019-07-29T00:00:00"/>
        <d v="2019-07-30T00:00:00"/>
        <d v="2019-07-31T00:00:00"/>
        <d v="2019-08-01T00:00:00"/>
        <d v="2019-08-02T00:00:00"/>
        <d v="2019-08-05T00:00:00"/>
        <d v="2019-08-06T00:00:00"/>
        <d v="2019-08-07T00:00:00"/>
        <d v="2019-08-08T00:00:00"/>
        <d v="2019-08-09T00:00:00"/>
        <d v="2019-08-12T00:00:00"/>
        <d v="2019-08-13T00:00:00"/>
        <d v="2019-08-14T00:00:00"/>
        <d v="2019-08-15T00:00:00"/>
        <d v="2019-08-16T00:00:00"/>
        <d v="2019-08-19T00:00:00"/>
        <d v="2019-08-20T00:00:00"/>
        <d v="2019-08-21T00:00:00"/>
        <d v="2019-08-22T00:00:00"/>
        <d v="2019-08-23T00:00:00"/>
        <d v="2019-08-26T00:00:00"/>
        <d v="2019-08-27T00:00:00"/>
        <d v="2019-08-28T00:00:00"/>
        <d v="2019-08-29T00:00:00"/>
        <d v="2019-08-30T00:00:00"/>
        <d v="2019-09-02T00:00:00"/>
        <d v="2019-09-03T00:00:00"/>
        <d v="2019-09-04T00:00:00"/>
        <d v="2019-09-05T00:00:00"/>
        <d v="2019-09-06T00:00:00"/>
        <d v="2019-09-09T00:00:00"/>
        <d v="2019-09-10T00:00:00"/>
        <d v="2019-09-11T00:00:00"/>
        <d v="2019-09-12T00:00:00"/>
        <d v="2019-09-13T00:00:00"/>
        <d v="2019-09-16T00:00:00"/>
        <d v="2019-09-17T00:00:00"/>
        <d v="2019-09-18T00:00:00"/>
        <d v="2019-09-19T00:00:00"/>
        <d v="2019-09-20T00:00:00"/>
        <d v="2019-09-23T00:00:00"/>
        <d v="2019-09-24T00:00:00"/>
        <d v="2019-09-25T00:00:00"/>
        <d v="2019-09-26T00:00:00"/>
        <d v="2019-09-27T00:00:00"/>
        <d v="2019-09-30T00:00:00"/>
        <d v="2019-10-01T00:00:00"/>
        <d v="2019-10-02T00:00:00"/>
        <d v="2019-10-03T00:00:00"/>
        <d v="2019-10-04T00:00:00"/>
        <d v="2019-10-07T00:00:00"/>
        <d v="2019-10-08T00:00:00"/>
        <d v="2019-10-09T00:00:00"/>
        <d v="2019-10-10T00:00:00"/>
        <d v="2019-10-11T00:00:00"/>
        <d v="2019-10-14T00:00:00"/>
        <d v="2019-10-15T00:00:00"/>
        <d v="2019-10-16T00:00:00"/>
        <d v="2019-10-17T00:00:00"/>
        <d v="2019-10-18T00:00:00"/>
        <d v="2019-10-21T00:00:00"/>
        <d v="2019-10-22T00:00:00"/>
        <d v="2019-10-23T00:00:00"/>
        <d v="2019-10-24T00:00:00"/>
        <d v="2019-10-25T00:00:00"/>
        <d v="2019-10-28T00:00:00"/>
        <d v="2019-10-29T00:00:00"/>
        <d v="2019-10-30T00:00:00"/>
        <d v="2019-10-31T00:00:00"/>
        <d v="2019-11-01T00:00:00"/>
        <d v="2019-11-04T00:00:00"/>
        <d v="2019-11-05T00:00:00"/>
        <d v="2019-11-06T00:00:00"/>
        <d v="2019-11-07T00:00:00"/>
        <d v="2019-11-08T00:00:00"/>
        <d v="2019-11-11T00:00:00"/>
        <d v="2019-11-12T00:00:00"/>
        <d v="2019-11-13T00:00:00"/>
        <d v="2019-11-14T00:00:00"/>
        <d v="2019-11-15T00:00:00"/>
        <d v="2019-11-18T00:00:00"/>
        <d v="2019-11-19T00:00:00"/>
        <d v="2019-11-20T00:00:00"/>
        <d v="2019-11-21T00:00:00"/>
        <d v="2019-11-22T00:00:00"/>
        <d v="2019-11-25T00:00:00"/>
        <d v="2019-11-26T00:00:00"/>
        <d v="2019-11-27T00:00:00"/>
        <d v="2019-11-28T00:00:00"/>
        <d v="2019-11-29T00:00:00"/>
        <d v="2019-12-02T00:00:00"/>
        <d v="2019-12-03T00:00:00"/>
        <d v="2019-12-04T00:00:00"/>
        <d v="2019-12-05T00:00:00"/>
        <d v="2019-12-06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5T00:00:00"/>
        <d v="2019-12-26T00:00:00"/>
        <d v="2019-12-27T00:00:00"/>
        <d v="2019-12-30T00:00:00"/>
        <d v="2019-12-31T00:00:00"/>
        <d v="2020-01-01T00:00:00"/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20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4T00:00:00"/>
        <d v="2020-02-25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1T00:00:00"/>
        <d v="2020-04-02T00:00:00"/>
        <d v="2020-04-03T00:00:00"/>
        <d v="2020-04-06T00:00:00"/>
        <d v="2020-04-07T00:00:00"/>
        <d v="2020-04-08T00:00:00"/>
        <d v="2020-04-09T00:00:00"/>
        <d v="2020-04-10T00:00:00"/>
        <d v="2020-04-13T00:00:00"/>
        <d v="2020-04-14T00:00:00"/>
        <d v="2020-04-15T00:00:00"/>
        <d v="2020-04-16T00:00:00"/>
        <d v="2020-04-17T00:00:00"/>
        <d v="2020-04-20T00:00:00"/>
        <d v="2020-04-21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1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5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1T00:00:00"/>
        <d v="2020-06-12T00:00:00"/>
        <d v="2020-06-15T00:00:00"/>
        <d v="2020-06-16T00:00:00"/>
        <d v="2020-06-17T00:00:00"/>
        <d v="2020-06-18T00:00:00"/>
        <d v="2020-06-19T00:00:00"/>
        <d v="2020-06-22T00:00:00"/>
        <d v="2020-06-23T00:00:00"/>
        <d v="2020-06-24T00:00:00"/>
        <d v="2020-06-25T00:00:00"/>
        <d v="2020-06-26T00:00:00"/>
        <d v="2020-06-29T00:00:00"/>
        <d v="2020-06-30T00:00:00"/>
        <d v="2020-07-01T00:00:00"/>
        <d v="2020-07-02T00:00:00"/>
        <d v="2020-07-03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7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2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2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6T00:00:00"/>
        <d v="2020-11-27T00:00:00"/>
        <d v="2020-11-30T00:00:00"/>
        <d v="2020-12-01T00:00:00"/>
        <d v="2020-12-02T00:00:00"/>
        <d v="2020-12-03T00:00:00"/>
        <d v="2020-12-04T00:00:00"/>
        <d v="2020-12-07T00:00:00"/>
        <d v="2020-12-08T00:00:00"/>
        <d v="2020-12-09T00:00:00"/>
        <d v="2020-12-10T00:00:00"/>
        <d v="2020-12-11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4T00:00:00"/>
        <d v="2020-12-25T00:00:00"/>
        <d v="2020-12-28T00:00:00"/>
        <d v="2020-12-29T00:00:00"/>
        <d v="2020-12-30T00:00:00"/>
        <d v="2020-12-31T00:00:00"/>
        <d v="2021-01-01T00:00:00"/>
        <d v="2021-01-04T00:00:00"/>
        <d v="2021-01-05T00:00:00"/>
        <d v="2021-01-06T00:00:00"/>
        <d v="2021-01-07T00:00:00"/>
        <d v="2021-01-08T00:00:00"/>
        <d v="2021-01-11T00:00:00"/>
        <d v="2021-01-12T00:00:00"/>
        <d v="2021-01-13T00:00:00"/>
        <d v="2021-01-14T00:00:00"/>
        <d v="2021-01-15T00:00:00"/>
        <d v="2021-01-18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1-29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5T00:00:00"/>
        <d v="2021-02-16T00:00:00"/>
        <d v="2021-02-17T00:00:00"/>
        <d v="2021-02-18T00:00:00"/>
        <d v="2021-02-19T00:00:00"/>
        <d v="2021-02-22T00:00:00"/>
        <d v="2021-02-23T00:00:00"/>
        <d v="2021-02-24T00:00:00"/>
        <d v="2021-02-25T00:00:00"/>
        <d v="2021-02-26T00:00:00"/>
        <d v="2021-03-01T00:00:00"/>
        <d v="2021-03-02T00:00:00"/>
        <d v="2021-03-03T00:00:00"/>
        <d v="2021-03-04T00:00:00"/>
        <d v="2021-03-05T00:00:00"/>
        <d v="2021-03-08T00:00:00"/>
        <d v="2021-03-09T00:00:00"/>
        <d v="2021-03-10T00:00:00"/>
        <d v="2021-03-11T00:00:00"/>
        <d v="2021-03-12T00:00:00"/>
        <d v="2021-03-15T00:00:00"/>
        <d v="2021-03-16T00:00:00"/>
        <d v="2021-03-17T00:00:00"/>
        <d v="2021-03-18T00:00:00"/>
        <d v="2021-03-19T00:00:00"/>
        <d v="2021-03-22T00:00:00"/>
        <d v="2021-03-23T00:00:00"/>
        <d v="2021-03-24T00:00:00"/>
        <d v="2021-03-25T00:00:00"/>
        <d v="2021-03-26T00:00:00"/>
        <d v="2021-03-29T00:00:00"/>
        <d v="2021-03-30T00:00:00"/>
        <d v="2021-03-31T00:00:00"/>
        <d v="2021-04-01T00:00:00"/>
        <d v="2021-04-02T00:00:00"/>
        <d v="2021-04-05T00:00:00"/>
        <d v="2021-04-06T00:00:00"/>
        <d v="2021-04-07T00:00:00"/>
        <d v="2021-04-08T00:00:00"/>
        <d v="2021-04-09T00:00:00"/>
        <d v="2021-04-12T00:00:00"/>
        <d v="2021-04-13T00:00:00"/>
        <d v="2021-04-14T00:00:00"/>
        <d v="2021-04-15T00:00:00"/>
        <d v="2021-04-16T00:00:00"/>
        <d v="2021-04-19T00:00:00"/>
        <d v="2021-04-20T00:00:00"/>
        <d v="2021-04-21T00:00:00"/>
        <d v="2021-04-22T00:00:00"/>
        <d v="2021-04-23T00:00:00"/>
        <d v="2021-04-26T00:00:00"/>
        <d v="2021-04-27T00:00:00"/>
        <d v="2021-04-28T00:00:00"/>
        <d v="2021-04-29T00:00:00"/>
        <d v="2021-04-30T00:00:00"/>
        <d v="2021-05-03T00:00:00"/>
        <d v="2021-05-04T00:00:00"/>
        <d v="2021-05-05T00:00:00"/>
        <d v="2021-05-06T00:00:00"/>
        <d v="2021-05-07T00:00:00"/>
        <d v="2021-05-10T00:00:00"/>
        <d v="2021-05-11T00:00:00"/>
        <d v="2021-05-12T00:00:00"/>
        <d v="2021-05-13T00:00:00"/>
        <d v="2021-05-14T00:00:00"/>
        <d v="2021-05-17T00:00:00"/>
        <d v="2021-05-18T00:00:00"/>
        <d v="2021-05-19T00:00:00"/>
        <d v="2021-05-20T00:00:00"/>
        <d v="2021-05-21T00:00:00"/>
        <d v="2021-05-24T00:00:00"/>
        <d v="2021-05-25T00:00:00"/>
        <d v="2021-05-26T00:00:00"/>
        <d v="2021-05-27T00:00:00"/>
        <d v="2021-05-28T00:00:00"/>
        <d v="2021-05-31T00:00:00"/>
        <d v="2021-06-01T00:00:00"/>
        <d v="2021-06-02T00:00:00"/>
        <d v="2021-06-03T00:00:00"/>
        <d v="2021-06-04T00:00:00"/>
        <d v="2021-06-07T00:00:00"/>
        <d v="2021-06-08T00:00:00"/>
        <d v="2021-06-09T00:00:00"/>
        <d v="2021-06-10T00:00:00"/>
        <d v="2021-06-11T00:00:00"/>
        <d v="2021-06-14T00:00:00"/>
        <d v="2021-06-15T00:00:00"/>
        <d v="2021-06-16T00:00:00"/>
        <d v="2021-06-17T00:00:00"/>
        <d v="2021-06-18T00:00:00"/>
        <d v="2021-06-21T00:00:00"/>
        <d v="2021-06-22T00:00:00"/>
        <d v="2021-06-23T00:00:00"/>
        <d v="2021-06-24T00:00:00"/>
        <d v="2021-06-25T00:00:00"/>
        <d v="2021-06-28T00:00:00"/>
        <d v="2021-06-29T00:00:00"/>
        <d v="2021-06-30T00:00:00"/>
        <d v="2021-07-01T00:00:00"/>
        <d v="2021-07-02T00:00:00"/>
        <d v="2021-07-05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5T00:00:00"/>
        <d v="2021-07-16T00:00:00"/>
        <d v="2021-07-19T00:00:00"/>
        <d v="2021-07-20T00:00:00"/>
        <d v="2021-07-21T00:00:00"/>
        <d v="2021-07-22T00:00:00"/>
        <d v="2021-07-23T00:00:00"/>
        <d v="2021-07-26T00:00:00"/>
        <d v="2021-07-27T00:00:00"/>
        <d v="2021-07-28T00:00:00"/>
        <d v="2021-07-29T00:00:00"/>
        <d v="2021-07-30T00:00:00"/>
        <d v="2021-08-02T00:00:00"/>
        <d v="2021-08-03T00:00:00"/>
        <d v="2021-08-04T00:00:00"/>
        <d v="2021-08-05T00:00:00"/>
        <d v="2021-08-06T00:00:00"/>
        <d v="2021-08-09T00:00:00"/>
        <d v="2021-08-10T00:00:00"/>
        <d v="2021-08-11T00:00:00"/>
        <d v="2021-08-12T00:00:00"/>
        <d v="2021-08-13T00:00:00"/>
        <d v="2021-08-16T00:00:00"/>
        <d v="2021-08-17T00:00:00"/>
        <d v="2021-08-18T00:00:00"/>
        <d v="2021-08-19T00:00:00"/>
        <d v="2021-08-20T00:00:00"/>
        <d v="2021-08-23T00:00:00"/>
        <d v="2021-08-24T00:00:00"/>
        <d v="2021-08-25T00:00:00"/>
        <d v="2021-08-26T00:00:00"/>
        <d v="2021-08-27T00:00:00"/>
        <d v="2021-08-30T00:00:00"/>
        <d v="2021-08-31T00:00:00"/>
        <d v="2021-09-01T00:00:00"/>
        <d v="2021-09-02T00:00:00"/>
        <d v="2021-09-03T00:00:00"/>
        <d v="2021-09-06T00:00:00"/>
        <d v="2021-09-07T00:00:00"/>
        <d v="2021-09-08T00:00:00"/>
        <d v="2021-09-09T00:00:00"/>
        <d v="2021-09-10T00:00:00"/>
        <d v="2021-09-13T00:00:00"/>
        <d v="2021-09-14T00:00:00"/>
        <d v="2021-09-15T00:00:00"/>
        <d v="2021-09-16T00:00:00"/>
        <d v="2021-09-17T00:00:00"/>
        <d v="2021-09-20T00:00:00"/>
        <d v="2021-09-21T00:00:00"/>
        <d v="2021-09-22T00:00:00"/>
        <d v="2021-09-23T00:00:00"/>
        <d v="2021-09-24T00:00:00"/>
        <d v="2021-09-27T00:00:00"/>
        <d v="2021-09-28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08T00:00:00"/>
        <d v="2021-10-11T00:00:00"/>
        <d v="2021-10-12T00:00:00"/>
        <d v="2021-10-13T00:00:00"/>
        <d v="2021-10-14T00:00:00"/>
        <d v="2021-10-15T00:00:00"/>
        <d v="2021-10-18T00:00:00"/>
        <d v="2021-10-19T00:00:00"/>
        <d v="2021-10-20T00:00:00"/>
        <d v="2021-10-21T00:00:00"/>
        <d v="2021-10-22T00:00:00"/>
        <d v="2021-10-25T00:00:00"/>
        <d v="2021-10-26T00:00:00"/>
        <d v="2021-10-27T00:00:00"/>
        <d v="2021-10-28T00:00:00"/>
        <d v="2021-10-29T00:00:00"/>
        <d v="2021-11-01T00:00:00"/>
        <d v="2021-11-02T00:00:00"/>
        <d v="2021-11-03T00:00:00"/>
        <d v="2021-11-04T00:00:00"/>
        <d v="2021-11-05T00:00:00"/>
        <d v="2021-11-08T00:00:00"/>
        <d v="2021-11-09T00:00:00"/>
        <d v="2021-11-10T00:00:00"/>
        <d v="2021-11-11T00:00:00"/>
        <d v="2021-11-12T00:00:00"/>
        <d v="2021-11-15T00:00:00"/>
        <d v="2021-11-16T00:00:00"/>
        <d v="2021-11-17T00:00:00"/>
        <d v="2021-11-18T00:00:00"/>
        <d v="2021-11-19T00:00:00"/>
        <d v="2021-11-22T00:00:00"/>
        <d v="2021-11-23T00:00:00"/>
        <d v="2021-11-24T00:00:00"/>
        <d v="2021-11-25T00:00:00"/>
        <d v="2021-11-26T00:00:00"/>
        <d v="2021-11-29T00:00:00"/>
        <d v="2021-11-30T00:00:00"/>
        <d v="2021-12-01T00:00:00"/>
        <d v="2021-12-02T00:00:00"/>
        <d v="2021-12-03T00:00:00"/>
        <d v="2021-12-06T00:00:00"/>
        <d v="2021-12-07T00:00:00"/>
        <d v="2021-12-08T00:00:00"/>
        <d v="2021-12-09T00:00:00"/>
        <d v="2021-12-10T00:00:00"/>
        <d v="2021-12-13T00:00:00"/>
        <d v="2021-12-14T00:00:00"/>
        <d v="2021-12-15T00:00:00"/>
        <d v="2021-12-16T00:00:00"/>
        <d v="2021-12-17T00:00:00"/>
        <d v="2021-12-20T00:00:00"/>
        <d v="2021-12-21T00:00:00"/>
        <d v="2021-12-22T00:00:00"/>
        <d v="2021-12-23T00:00:00"/>
        <d v="2021-12-24T00:00:00"/>
        <d v="2021-12-27T00:00:00"/>
        <d v="2021-12-28T00:00:00"/>
        <d v="2021-12-29T00:00:00"/>
        <d v="2021-12-30T00:00:00"/>
        <d v="2021-12-31T00:00:00"/>
        <d v="2022-01-03T00:00:00"/>
        <d v="2022-01-04T00:00:00"/>
        <d v="2022-01-05T00:00:00"/>
        <d v="2022-01-06T00:00:00"/>
        <d v="2022-01-07T00:00:00"/>
        <d v="2022-01-10T00:00:00"/>
        <d v="2022-01-11T00:00:00"/>
        <d v="2022-01-12T00:00:00"/>
        <d v="2022-01-13T00:00:00"/>
        <d v="2022-01-14T00:00:00"/>
        <d v="2022-01-17T00:00:00"/>
        <d v="2022-01-18T00:00:00"/>
        <d v="2022-01-19T00:00:00"/>
        <d v="2022-01-20T00:00:00"/>
        <d v="2022-01-21T00:00:00"/>
        <d v="2022-01-24T00:00:00"/>
        <d v="2022-01-25T00:00:00"/>
        <d v="2022-01-26T00:00:00"/>
        <d v="2022-01-27T00:00:00"/>
        <d v="2022-01-28T00:00:00"/>
        <d v="2022-01-31T00:00:00"/>
        <d v="2022-02-01T00:00:00"/>
        <d v="2022-02-02T00:00:00"/>
        <d v="2022-02-03T00:00:00"/>
        <d v="2022-02-04T00:00:00"/>
        <d v="2022-02-07T00:00:00"/>
        <d v="2022-02-08T00:00:00"/>
        <d v="2022-02-09T00:00:00"/>
        <d v="2022-02-10T00:00:00"/>
        <d v="2022-02-11T00:00:00"/>
        <d v="2022-02-14T00:00:00"/>
        <d v="2022-02-15T00:00:00"/>
        <d v="2022-02-16T00:00:00"/>
        <d v="2022-02-17T00:00:00"/>
        <d v="2022-02-18T00:00:00"/>
        <d v="2022-02-21T00:00:00"/>
        <d v="2022-02-22T00:00:00"/>
        <d v="2022-02-23T00:00:00"/>
        <d v="2022-02-24T00:00:00"/>
        <d v="2022-02-25T00:00:00"/>
        <d v="2022-02-28T00:00:00"/>
        <d v="2022-03-01T00:00:00"/>
        <d v="2022-03-02T00:00:00"/>
        <d v="2022-03-03T00:00:00"/>
        <d v="2022-03-04T00:00:00"/>
        <d v="2022-03-07T00:00:00"/>
        <d v="2022-03-08T00:00:00"/>
        <d v="2022-03-09T00:00:00"/>
        <d v="2022-03-10T00:00:00"/>
        <d v="2022-03-11T00:00:00"/>
        <d v="2022-03-14T00:00:00"/>
        <d v="2022-03-15T00:00:00"/>
        <d v="2022-03-16T00:00:00"/>
        <d v="2022-03-17T00:00:00"/>
        <d v="2022-03-18T00:00:00"/>
        <d v="2022-03-21T00:00:00"/>
        <d v="2022-03-22T00:00:00"/>
        <d v="2022-03-23T00:00:00"/>
        <d v="2022-03-24T00:00:00"/>
        <d v="2022-03-25T00:00:00"/>
        <d v="2022-03-28T00:00:00"/>
        <d v="2022-03-29T00:00:00"/>
        <d v="2022-03-30T00:00:00"/>
        <d v="2022-03-31T00:00:00"/>
        <d v="2022-04-01T00:00:00"/>
        <d v="2022-04-04T00:00:00"/>
        <d v="2022-04-05T00:00:00"/>
        <d v="2022-04-06T00:00:00"/>
        <d v="2022-04-07T00:00:00"/>
        <d v="2022-04-08T00:00:00"/>
        <d v="2022-04-11T00:00:00"/>
        <d v="2022-04-12T00:00:00"/>
        <d v="2022-04-13T00:00:00"/>
        <d v="2022-04-14T00:00:00"/>
        <d v="2022-04-15T00:00:00"/>
        <d v="2022-04-18T00:00:00"/>
        <d v="2022-04-19T00:00:00"/>
        <d v="2022-04-20T00:00:00"/>
        <d v="2022-04-21T00:00:00"/>
        <d v="2022-04-22T00:00:00"/>
        <d v="2022-04-25T00:00:00"/>
        <d v="2022-04-26T00:00:00"/>
        <d v="2022-04-27T00:00:00"/>
        <d v="2022-04-28T00:00:00"/>
        <d v="2022-04-29T00:00:00"/>
        <d v="2022-05-02T00:00:00"/>
        <d v="2022-05-03T00:00:00"/>
        <d v="2022-05-04T00:00:00"/>
        <d v="2022-05-05T00:00:00"/>
        <d v="2022-05-06T00:00:00"/>
        <d v="2022-05-09T00:00:00"/>
        <d v="2022-05-10T00:00:00"/>
        <d v="2022-05-11T00:00:00"/>
        <d v="2022-05-12T00:00:00"/>
        <d v="2022-05-13T00:00:00"/>
        <d v="2022-05-16T00:00:00"/>
        <d v="2022-05-17T00:00:00"/>
        <d v="2022-05-18T00:00:00"/>
        <d v="2022-05-19T00:00:00"/>
        <d v="2022-05-20T00:00:00"/>
        <d v="2022-05-23T00:00:00"/>
        <d v="2022-05-24T00:00:00"/>
        <d v="2022-05-25T00:00:00"/>
        <d v="2022-05-26T00:00:00"/>
        <d v="2022-05-27T00:00:00"/>
        <d v="2022-05-30T00:00:00"/>
        <d v="2022-05-31T00:00:00"/>
        <d v="2022-06-01T00:00:00"/>
        <d v="2022-06-02T00:00:00"/>
        <d v="2022-06-03T00:00:00"/>
        <d v="2022-06-06T00:00:00"/>
        <d v="2022-06-07T00:00:00"/>
        <d v="2022-06-08T00:00:00"/>
        <d v="2022-06-09T00:00:00"/>
        <d v="2022-06-10T00:00:00"/>
        <d v="2022-06-13T00:00:00"/>
        <d v="2022-06-14T00:00:00"/>
        <d v="2022-06-15T00:00:00"/>
        <d v="2022-06-16T00:00:00"/>
        <d v="2022-06-17T00:00:00"/>
        <d v="2022-06-20T00:00:00"/>
        <d v="2022-06-21T00:00:00"/>
        <d v="2022-06-22T00:00:00"/>
        <d v="2022-06-23T00:00:00"/>
        <d v="2022-06-24T00:00:00"/>
        <d v="2022-06-27T00:00:00"/>
        <d v="2022-06-28T00:00:00"/>
        <d v="2022-06-29T00:00:00"/>
        <d v="2022-06-30T00:00:00"/>
        <d v="2022-07-01T00:00:00"/>
        <d v="2022-07-04T00:00:00"/>
        <d v="2022-07-05T00:00:00"/>
        <d v="2022-07-06T00:00:00"/>
        <d v="2022-07-07T00:00:00"/>
        <d v="2022-07-08T00:00:00"/>
        <d v="2022-07-11T00:00:00"/>
        <d v="2022-07-12T00:00:00"/>
        <d v="2022-07-13T00:00:00"/>
        <d v="2022-07-14T00:00:00"/>
        <d v="2022-07-15T00:00:00"/>
        <d v="2022-07-18T00:00:00"/>
        <d v="2022-07-19T00:00:00"/>
        <d v="2022-07-20T00:00:00"/>
        <d v="2022-07-21T00:00:00"/>
        <d v="2022-07-22T00:00:00"/>
        <d v="2022-07-25T00:00:00"/>
        <d v="2022-07-26T00:00:00"/>
        <d v="2022-07-27T00:00:00"/>
        <d v="2022-07-28T00:00:00"/>
        <d v="2022-07-29T00:00:00"/>
        <d v="2022-08-01T00:00:00"/>
        <d v="2022-08-02T00:00:00"/>
        <d v="2022-08-03T00:00:00"/>
        <d v="2022-08-04T00:00:00"/>
        <d v="2022-08-05T00:00:00"/>
        <d v="2022-08-08T00:00:00"/>
        <d v="2022-08-09T00:00:00"/>
        <d v="2022-08-10T00:00:00"/>
        <d v="2022-08-11T00:00:00"/>
        <d v="2022-08-12T00:00:00"/>
        <d v="2022-08-15T00:00:00"/>
        <d v="2022-08-16T00:00:00"/>
        <d v="2022-08-17T00:00:00"/>
        <d v="2022-08-18T00:00:00"/>
        <d v="2022-08-19T00:00:00"/>
        <d v="2022-08-22T00:00:00"/>
        <d v="2022-08-23T00:00:00"/>
        <d v="2022-08-24T00:00:00"/>
        <d v="2022-08-25T00:00:00"/>
        <d v="2022-08-26T00:00:00"/>
        <d v="2022-08-29T00:00:00"/>
        <d v="2022-08-30T00:00:00"/>
        <d v="2022-08-31T00:00:00"/>
        <d v="2022-09-01T00:00:00"/>
        <d v="2022-09-02T00:00:00"/>
        <d v="2022-09-05T00:00:00"/>
        <d v="2022-09-06T00:00:00"/>
        <d v="2022-09-07T00:00:00"/>
        <d v="2022-09-08T00:00:00"/>
        <d v="2022-09-09T00:00:00"/>
        <d v="2022-09-12T00:00:00"/>
        <d v="2022-09-13T00:00:00"/>
        <d v="2022-09-14T00:00:00"/>
        <d v="2022-09-15T00:00:00"/>
        <d v="2022-09-16T00:00:00"/>
        <d v="2022-09-19T00:00:00"/>
        <d v="2022-09-20T00:00:00"/>
        <d v="2022-09-21T00:00:00"/>
        <d v="2022-09-22T00:00:00"/>
        <d v="2022-09-23T00:00:00"/>
        <d v="2022-09-26T00:00:00"/>
        <d v="2022-09-27T00:00:00"/>
        <d v="2022-09-28T00:00:00"/>
        <d v="2022-09-29T00:00:00"/>
        <d v="2022-09-30T00:00:00"/>
        <d v="2022-10-03T00:00:00"/>
        <d v="2022-10-04T00:00:00"/>
        <d v="2022-10-05T00:00:00"/>
        <d v="2022-10-06T00:00:00"/>
        <d v="2022-10-07T00:00:00"/>
        <d v="2022-10-10T00:00:00"/>
        <d v="2022-10-11T00:00:00"/>
        <d v="2022-10-12T00:00:00"/>
        <d v="2022-10-13T00:00:00"/>
        <d v="2022-10-14T00:00:00"/>
        <d v="2022-10-17T00:00:00"/>
        <d v="2022-10-18T00:00:00"/>
        <d v="2022-10-19T00:00:00"/>
        <d v="2022-10-20T00:00:00"/>
        <d v="2022-10-21T00:00:00"/>
        <d v="2022-10-24T00:00:00"/>
        <d v="2022-10-25T00:00:00"/>
        <d v="2022-10-26T00:00:00"/>
        <d v="2022-10-27T00:00:00"/>
        <d v="2022-10-28T00:00:00"/>
        <d v="2022-10-31T00:00:00"/>
        <d v="2022-11-01T00:00:00"/>
        <d v="2022-11-02T00:00:00"/>
        <d v="2022-11-03T00:00:00"/>
        <d v="2022-11-04T00:00:00"/>
        <d v="2022-11-07T00:00:00"/>
        <d v="2022-11-08T00:00:00"/>
        <d v="2022-11-09T00:00:00"/>
        <d v="2022-11-10T00:00:00"/>
        <d v="2022-11-11T00:00:00"/>
        <d v="2022-11-14T00:00:00"/>
        <d v="2022-11-15T00:00:00"/>
        <d v="2022-11-16T00:00:00"/>
        <d v="2022-11-17T00:00:00"/>
        <d v="2022-11-18T00:00:00"/>
        <d v="2022-11-21T00:00:00"/>
        <d v="2022-11-22T00:00:00"/>
        <d v="2022-11-23T00:00:00"/>
        <d v="2022-11-24T00:00:00"/>
        <d v="2022-11-25T00:00:00"/>
        <d v="2022-11-28T00:00:00"/>
        <d v="2022-11-29T00:00:00"/>
        <d v="2022-11-30T00:00:00"/>
        <d v="2022-12-01T00:00:00"/>
        <d v="2022-12-02T00:00:00"/>
        <d v="2022-12-05T00:00:00"/>
        <d v="2022-12-06T00:00:00"/>
        <d v="2022-12-07T00:00:00"/>
        <d v="2022-12-08T00:00:00"/>
        <d v="2022-12-09T00:00:00"/>
        <d v="2022-12-12T00:00:00"/>
        <d v="2022-12-13T00:00:00"/>
        <d v="2022-12-14T00:00:00"/>
      </sharedItems>
      <fieldGroup par="6" base="0">
        <rangePr groupBy="months" startDate="2015-05-01T00:00:00" endDate="2022-12-15T00:00:00"/>
        <groupItems count="14">
          <s v="&lt;01.05.2015"/>
          <s v="Jän"/>
          <s v="Feb"/>
          <s v="Mär"/>
          <s v="Apr"/>
          <s v="Mai"/>
          <s v="Jun"/>
          <s v="Jul"/>
          <s v="Aug"/>
          <s v="Sep"/>
          <s v="Okt"/>
          <s v="Nov"/>
          <s v="Dez"/>
          <s v="&gt;15.12.2022"/>
        </groupItems>
      </fieldGroup>
    </cacheField>
    <cacheField name="PX_LAST" numFmtId="0">
      <sharedItems containsSemiMixedTypes="0" containsString="0" containsNumber="1" minValue="-0.55400000000000005" maxValue="2.5270000000000001"/>
    </cacheField>
    <cacheField name="Date SMR" numFmtId="0">
      <sharedItems containsNonDate="0" containsDate="1" containsString="0" containsBlank="1" minDate="2015-05-04T00:00:00" maxDate="2022-12-03T00:00:00"/>
    </cacheField>
    <cacheField name="SMR" numFmtId="0">
      <sharedItems containsBlank="1" containsMixedTypes="1" containsNumber="1" minValue="-0.45500000000000002" maxValue="2.6579999999999999"/>
    </cacheField>
    <cacheField name="Zinssatz" numFmtId="0">
      <sharedItems containsString="0" containsBlank="1" containsNumber="1" minValue="-0.11399999999999999" maxValue="2.7495000000000003" count="17">
        <n v="0.46199999999999997"/>
        <m/>
        <n v="0.56499999999999995"/>
        <n v="0.35499999999999998"/>
        <n v="0.2145"/>
        <n v="0.30149999999999999"/>
        <n v="0.34799999999999998"/>
        <n v="0.41699999999999998"/>
        <n v="0.42849999999999999"/>
        <n v="0.28699999999999998"/>
        <n v="6.0499999999999998E-2"/>
        <n v="0.22149999999999997"/>
        <n v="-0.11399999999999999"/>
        <n v="2.5000000000000022E-3"/>
        <n v="3.8499999999999979E-2"/>
        <n v="0.70650000000000002"/>
        <n v="2.7495000000000003"/>
      </sharedItems>
    </cacheField>
    <cacheField name="Quartale" numFmtId="0" databaseField="0">
      <fieldGroup base="0">
        <rangePr groupBy="quarters" startDate="2015-05-01T00:00:00" endDate="2022-12-15T00:00:00"/>
        <groupItems count="6">
          <s v="&lt;01.05.2015"/>
          <s v="Qrtl1"/>
          <s v="Qrtl2"/>
          <s v="Qrtl3"/>
          <s v="Qrtl4"/>
          <s v="&gt;15.12.2022"/>
        </groupItems>
      </fieldGroup>
    </cacheField>
    <cacheField name="Jahre" numFmtId="0" databaseField="0">
      <fieldGroup base="0">
        <rangePr groupBy="years" startDate="2015-05-01T00:00:00" endDate="2022-12-15T00:00:00"/>
        <groupItems count="10">
          <s v="&lt;01.05.2015"/>
          <s v="2015"/>
          <s v="2016"/>
          <s v="2017"/>
          <s v="2018"/>
          <s v="2019"/>
          <s v="2020"/>
          <s v="2021"/>
          <s v="2022"/>
          <s v="&gt;15.12.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9">
  <r>
    <x v="0"/>
    <n v="6.4000000000000001E-2"/>
    <m/>
    <n v="0.12"/>
    <x v="0"/>
  </r>
  <r>
    <x v="1"/>
    <n v="6.4000000000000001E-2"/>
    <d v="2015-05-04T00:00:00"/>
    <n v="0.127"/>
    <x v="1"/>
  </r>
  <r>
    <x v="2"/>
    <n v="6.0999999999999999E-2"/>
    <d v="2015-05-05T00:00:00"/>
    <n v="0.13500000000000001"/>
    <x v="1"/>
  </r>
  <r>
    <x v="3"/>
    <n v="6.2E-2"/>
    <d v="2015-05-06T00:00:00"/>
    <n v="0.14699999999999999"/>
    <x v="1"/>
  </r>
  <r>
    <x v="4"/>
    <n v="6.0999999999999999E-2"/>
    <d v="2015-05-07T00:00:00"/>
    <n v="0.16200000000000001"/>
    <x v="1"/>
  </r>
  <r>
    <x v="5"/>
    <n v="6.0999999999999999E-2"/>
    <d v="2015-05-08T00:00:00"/>
    <n v="0.17399999999999999"/>
    <x v="1"/>
  </r>
  <r>
    <x v="6"/>
    <n v="6.0999999999999999E-2"/>
    <d v="2015-05-11T00:00:00"/>
    <n v="0.187"/>
    <x v="1"/>
  </r>
  <r>
    <x v="7"/>
    <n v="6.0999999999999999E-2"/>
    <d v="2015-05-12T00:00:00"/>
    <n v="0.20399999999999999"/>
    <x v="1"/>
  </r>
  <r>
    <x v="8"/>
    <n v="0.06"/>
    <d v="2015-05-13T00:00:00"/>
    <n v="0.221"/>
    <x v="1"/>
  </r>
  <r>
    <x v="9"/>
    <n v="5.8999999999999997E-2"/>
    <m/>
    <n v="0.221"/>
    <x v="1"/>
  </r>
  <r>
    <x v="10"/>
    <n v="5.8000000000000003E-2"/>
    <d v="2015-05-15T00:00:00"/>
    <n v="0.23799999999999999"/>
    <x v="1"/>
  </r>
  <r>
    <x v="11"/>
    <n v="5.6000000000000001E-2"/>
    <d v="2015-05-18T00:00:00"/>
    <n v="0.25600000000000001"/>
    <x v="1"/>
  </r>
  <r>
    <x v="12"/>
    <n v="5.7000000000000002E-2"/>
    <d v="2015-05-19T00:00:00"/>
    <n v="0.27200000000000002"/>
    <x v="1"/>
  </r>
  <r>
    <x v="13"/>
    <n v="5.5E-2"/>
    <d v="2015-05-20T00:00:00"/>
    <n v="0.28699999999999998"/>
    <x v="1"/>
  </r>
  <r>
    <x v="14"/>
    <n v="5.3999999999999999E-2"/>
    <d v="2015-05-21T00:00:00"/>
    <n v="0.30499999999999999"/>
    <x v="1"/>
  </r>
  <r>
    <x v="15"/>
    <n v="5.3999999999999999E-2"/>
    <d v="2015-05-22T00:00:00"/>
    <n v="0.31900000000000001"/>
    <x v="1"/>
  </r>
  <r>
    <x v="16"/>
    <n v="5.3999999999999999E-2"/>
    <m/>
    <n v="0.31900000000000001"/>
    <x v="1"/>
  </r>
  <r>
    <x v="17"/>
    <n v="5.1999999999999998E-2"/>
    <d v="2015-05-26T00:00:00"/>
    <n v="0.33200000000000002"/>
    <x v="1"/>
  </r>
  <r>
    <x v="18"/>
    <n v="0.05"/>
    <d v="2015-05-27T00:00:00"/>
    <n v="0.34399999999999997"/>
    <x v="1"/>
  </r>
  <r>
    <x v="19"/>
    <n v="4.9000000000000002E-2"/>
    <d v="2015-05-28T00:00:00"/>
    <n v="0.35599999999999998"/>
    <x v="1"/>
  </r>
  <r>
    <x v="20"/>
    <n v="4.9000000000000002E-2"/>
    <d v="2015-05-29T00:00:00"/>
    <n v="0.36699999999999999"/>
    <x v="1"/>
  </r>
  <r>
    <x v="21"/>
    <n v="4.9000000000000002E-2"/>
    <d v="2015-06-01T00:00:00"/>
    <n v="0.374"/>
    <x v="1"/>
  </r>
  <r>
    <x v="22"/>
    <n v="4.8000000000000001E-2"/>
    <d v="2015-06-02T00:00:00"/>
    <n v="0.38200000000000001"/>
    <x v="1"/>
  </r>
  <r>
    <x v="23"/>
    <n v="4.8000000000000001E-2"/>
    <d v="2015-06-03T00:00:00"/>
    <n v="0.39300000000000002"/>
    <x v="1"/>
  </r>
  <r>
    <x v="24"/>
    <n v="4.9000000000000002E-2"/>
    <m/>
    <n v="0.39300000000000002"/>
    <x v="1"/>
  </r>
  <r>
    <x v="25"/>
    <n v="0.05"/>
    <d v="2015-06-05T00:00:00"/>
    <n v="0.40600000000000003"/>
    <x v="1"/>
  </r>
  <r>
    <x v="26"/>
    <n v="4.9000000000000002E-2"/>
    <d v="2015-06-08T00:00:00"/>
    <n v="0.41499999999999998"/>
    <x v="1"/>
  </r>
  <r>
    <x v="27"/>
    <n v="4.9000000000000002E-2"/>
    <d v="2015-06-09T00:00:00"/>
    <n v="0.42399999999999999"/>
    <x v="1"/>
  </r>
  <r>
    <x v="28"/>
    <n v="4.9000000000000002E-2"/>
    <d v="2015-06-10T00:00:00"/>
    <n v="0.437"/>
    <x v="1"/>
  </r>
  <r>
    <x v="29"/>
    <n v="4.9000000000000002E-2"/>
    <d v="2015-06-11T00:00:00"/>
    <n v="0.44900000000000001"/>
    <x v="1"/>
  </r>
  <r>
    <x v="30"/>
    <n v="0.05"/>
    <d v="2015-06-12T00:00:00"/>
    <n v="0.45600000000000002"/>
    <x v="1"/>
  </r>
  <r>
    <x v="31"/>
    <n v="4.9000000000000002E-2"/>
    <d v="2015-06-15T00:00:00"/>
    <n v="0.46300000000000002"/>
    <x v="1"/>
  </r>
  <r>
    <x v="32"/>
    <n v="5.0999999999999997E-2"/>
    <d v="2015-06-16T00:00:00"/>
    <n v="0.47"/>
    <x v="1"/>
  </r>
  <r>
    <x v="33"/>
    <n v="4.9000000000000002E-2"/>
    <d v="2015-06-17T00:00:00"/>
    <n v="0.47799999999999998"/>
    <x v="1"/>
  </r>
  <r>
    <x v="34"/>
    <n v="4.9000000000000002E-2"/>
    <d v="2015-06-18T00:00:00"/>
    <n v="0.48599999999999999"/>
    <x v="1"/>
  </r>
  <r>
    <x v="35"/>
    <n v="0.05"/>
    <d v="2015-06-19T00:00:00"/>
    <n v="0.49399999999999999"/>
    <x v="1"/>
  </r>
  <r>
    <x v="36"/>
    <n v="4.8000000000000001E-2"/>
    <d v="2015-06-22T00:00:00"/>
    <n v="0.502"/>
    <x v="1"/>
  </r>
  <r>
    <x v="37"/>
    <n v="4.8000000000000001E-2"/>
    <d v="2015-06-23T00:00:00"/>
    <n v="0.51200000000000001"/>
    <x v="1"/>
  </r>
  <r>
    <x v="38"/>
    <n v="4.9000000000000002E-2"/>
    <d v="2015-06-24T00:00:00"/>
    <n v="0.53700000000000003"/>
    <x v="1"/>
  </r>
  <r>
    <x v="39"/>
    <n v="4.9000000000000002E-2"/>
    <d v="2015-06-25T00:00:00"/>
    <n v="0.54800000000000004"/>
    <x v="1"/>
  </r>
  <r>
    <x v="40"/>
    <n v="0.05"/>
    <d v="2015-06-26T00:00:00"/>
    <n v="0.56000000000000005"/>
    <x v="1"/>
  </r>
  <r>
    <x v="41"/>
    <n v="0.05"/>
    <d v="2015-06-29T00:00:00"/>
    <n v="0.57199999999999995"/>
    <x v="1"/>
  </r>
  <r>
    <x v="42"/>
    <n v="0.05"/>
    <d v="2015-06-30T00:00:00"/>
    <n v="0.58299999999999996"/>
    <x v="1"/>
  </r>
  <r>
    <x v="43"/>
    <n v="4.9000000000000002E-2"/>
    <d v="2015-07-01T00:00:00"/>
    <n v="0.59"/>
    <x v="1"/>
  </r>
  <r>
    <x v="44"/>
    <n v="4.8000000000000001E-2"/>
    <d v="2015-07-02T00:00:00"/>
    <n v="0.59599999999999997"/>
    <x v="1"/>
  </r>
  <r>
    <x v="45"/>
    <n v="4.9000000000000002E-2"/>
    <d v="2015-07-03T00:00:00"/>
    <n v="0.59799999999999998"/>
    <x v="1"/>
  </r>
  <r>
    <x v="46"/>
    <n v="4.9000000000000002E-2"/>
    <d v="2015-07-06T00:00:00"/>
    <n v="0.59799999999999998"/>
    <x v="1"/>
  </r>
  <r>
    <x v="47"/>
    <n v="4.9000000000000002E-2"/>
    <d v="2015-07-07T00:00:00"/>
    <n v="0.59499999999999997"/>
    <x v="1"/>
  </r>
  <r>
    <x v="48"/>
    <n v="4.9000000000000002E-2"/>
    <d v="2015-07-08T00:00:00"/>
    <n v="0.58699999999999997"/>
    <x v="1"/>
  </r>
  <r>
    <x v="49"/>
    <n v="4.9000000000000002E-2"/>
    <d v="2015-07-09T00:00:00"/>
    <n v="0.58399999999999996"/>
    <x v="1"/>
  </r>
  <r>
    <x v="50"/>
    <n v="4.9000000000000002E-2"/>
    <d v="2015-07-10T00:00:00"/>
    <n v="0.58299999999999996"/>
    <x v="1"/>
  </r>
  <r>
    <x v="51"/>
    <n v="4.9000000000000002E-2"/>
    <d v="2015-07-13T00:00:00"/>
    <n v="0.58499999999999996"/>
    <x v="1"/>
  </r>
  <r>
    <x v="52"/>
    <n v="4.9000000000000002E-2"/>
    <d v="2015-07-14T00:00:00"/>
    <n v="0.58499999999999996"/>
    <x v="1"/>
  </r>
  <r>
    <x v="53"/>
    <n v="4.9000000000000002E-2"/>
    <d v="2015-07-15T00:00:00"/>
    <n v="0.58199999999999996"/>
    <x v="1"/>
  </r>
  <r>
    <x v="54"/>
    <n v="4.9000000000000002E-2"/>
    <d v="2015-07-16T00:00:00"/>
    <n v="0.57999999999999996"/>
    <x v="1"/>
  </r>
  <r>
    <x v="55"/>
    <n v="4.9000000000000002E-2"/>
    <d v="2015-07-17T00:00:00"/>
    <n v="0.57799999999999996"/>
    <x v="1"/>
  </r>
  <r>
    <x v="56"/>
    <n v="4.9000000000000002E-2"/>
    <d v="2015-07-20T00:00:00"/>
    <n v="0.57099999999999995"/>
    <x v="1"/>
  </r>
  <r>
    <x v="57"/>
    <n v="4.9000000000000002E-2"/>
    <d v="2015-07-21T00:00:00"/>
    <n v="0.56399999999999995"/>
    <x v="1"/>
  </r>
  <r>
    <x v="58"/>
    <n v="4.9000000000000002E-2"/>
    <d v="2015-07-22T00:00:00"/>
    <n v="0.55800000000000005"/>
    <x v="1"/>
  </r>
  <r>
    <x v="59"/>
    <n v="4.9000000000000002E-2"/>
    <d v="2015-07-23T00:00:00"/>
    <n v="0.55100000000000005"/>
    <x v="1"/>
  </r>
  <r>
    <x v="60"/>
    <n v="4.8000000000000001E-2"/>
    <d v="2015-07-24T00:00:00"/>
    <n v="0.54300000000000004"/>
    <x v="1"/>
  </r>
  <r>
    <x v="61"/>
    <n v="4.9000000000000002E-2"/>
    <d v="2015-07-27T00:00:00"/>
    <n v="0.53500000000000003"/>
    <x v="1"/>
  </r>
  <r>
    <x v="62"/>
    <n v="4.8000000000000001E-2"/>
    <d v="2015-07-28T00:00:00"/>
    <n v="0.52900000000000003"/>
    <x v="1"/>
  </r>
  <r>
    <x v="63"/>
    <n v="4.8000000000000001E-2"/>
    <d v="2015-07-29T00:00:00"/>
    <n v="0.52200000000000002"/>
    <x v="1"/>
  </r>
  <r>
    <x v="64"/>
    <n v="4.8000000000000001E-2"/>
    <d v="2015-07-30T00:00:00"/>
    <n v="0.51100000000000001"/>
    <x v="1"/>
  </r>
  <r>
    <x v="65"/>
    <n v="4.8000000000000001E-2"/>
    <d v="2015-07-31T00:00:00"/>
    <n v="0.501"/>
    <x v="1"/>
  </r>
  <r>
    <x v="66"/>
    <n v="4.9000000000000002E-2"/>
    <d v="2015-08-03T00:00:00"/>
    <n v="0.49199999999999999"/>
    <x v="1"/>
  </r>
  <r>
    <x v="67"/>
    <n v="4.8000000000000001E-2"/>
    <d v="2015-08-04T00:00:00"/>
    <n v="0.48399999999999999"/>
    <x v="1"/>
  </r>
  <r>
    <x v="68"/>
    <n v="4.8000000000000001E-2"/>
    <d v="2015-08-05T00:00:00"/>
    <n v="0.48"/>
    <x v="1"/>
  </r>
  <r>
    <x v="69"/>
    <n v="4.7E-2"/>
    <d v="2015-08-06T00:00:00"/>
    <n v="0.48099999999999998"/>
    <x v="1"/>
  </r>
  <r>
    <x v="70"/>
    <n v="4.5999999999999999E-2"/>
    <d v="2015-08-07T00:00:00"/>
    <n v="0.47299999999999998"/>
    <x v="1"/>
  </r>
  <r>
    <x v="71"/>
    <n v="4.8000000000000001E-2"/>
    <d v="2015-08-10T00:00:00"/>
    <n v="0.46300000000000002"/>
    <x v="1"/>
  </r>
  <r>
    <x v="72"/>
    <n v="4.5999999999999999E-2"/>
    <d v="2015-08-11T00:00:00"/>
    <n v="0.45300000000000001"/>
    <x v="1"/>
  </r>
  <r>
    <x v="73"/>
    <n v="4.5999999999999999E-2"/>
    <d v="2015-08-12T00:00:00"/>
    <n v="0.44500000000000001"/>
    <x v="1"/>
  </r>
  <r>
    <x v="74"/>
    <n v="4.5999999999999999E-2"/>
    <d v="2015-08-13T00:00:00"/>
    <n v="0.438"/>
    <x v="1"/>
  </r>
  <r>
    <x v="75"/>
    <n v="4.5999999999999999E-2"/>
    <d v="2015-08-14T00:00:00"/>
    <n v="0.433"/>
    <x v="1"/>
  </r>
  <r>
    <x v="76"/>
    <n v="4.3999999999999997E-2"/>
    <d v="2015-08-17T00:00:00"/>
    <n v="0.42899999999999999"/>
    <x v="1"/>
  </r>
  <r>
    <x v="77"/>
    <n v="4.2999999999999997E-2"/>
    <d v="2015-08-18T00:00:00"/>
    <n v="0.42499999999999999"/>
    <x v="1"/>
  </r>
  <r>
    <x v="78"/>
    <n v="4.2000000000000003E-2"/>
    <d v="2015-08-19T00:00:00"/>
    <n v="0.42199999999999999"/>
    <x v="1"/>
  </r>
  <r>
    <x v="79"/>
    <n v="4.2000000000000003E-2"/>
    <d v="2015-08-20T00:00:00"/>
    <n v="0.41699999999999998"/>
    <x v="1"/>
  </r>
  <r>
    <x v="80"/>
    <n v="4.2000000000000003E-2"/>
    <d v="2015-08-21T00:00:00"/>
    <n v="0.41499999999999998"/>
    <x v="1"/>
  </r>
  <r>
    <x v="81"/>
    <n v="4.1000000000000002E-2"/>
    <d v="2015-08-24T00:00:00"/>
    <n v="0.41299999999999998"/>
    <x v="1"/>
  </r>
  <r>
    <x v="82"/>
    <n v="4.1000000000000002E-2"/>
    <d v="2015-08-25T00:00:00"/>
    <n v="0.41299999999999998"/>
    <x v="1"/>
  </r>
  <r>
    <x v="83"/>
    <n v="3.9E-2"/>
    <d v="2015-08-26T00:00:00"/>
    <n v="0.41499999999999998"/>
    <x v="1"/>
  </r>
  <r>
    <x v="84"/>
    <n v="3.9E-2"/>
    <d v="2015-08-27T00:00:00"/>
    <n v="0.41799999999999998"/>
    <x v="1"/>
  </r>
  <r>
    <x v="85"/>
    <n v="0.04"/>
    <d v="2015-08-28T00:00:00"/>
    <n v="0.42099999999999999"/>
    <x v="1"/>
  </r>
  <r>
    <x v="86"/>
    <n v="3.9E-2"/>
    <d v="2015-08-31T00:00:00"/>
    <n v="0.42599999999999999"/>
    <x v="1"/>
  </r>
  <r>
    <x v="87"/>
    <n v="3.9E-2"/>
    <d v="2015-09-01T00:00:00"/>
    <n v="0.433"/>
    <x v="1"/>
  </r>
  <r>
    <x v="88"/>
    <n v="3.9E-2"/>
    <d v="2015-09-02T00:00:00"/>
    <n v="0.437"/>
    <x v="1"/>
  </r>
  <r>
    <x v="89"/>
    <n v="3.7999999999999999E-2"/>
    <d v="2015-09-03T00:00:00"/>
    <n v="0.439"/>
    <x v="1"/>
  </r>
  <r>
    <x v="90"/>
    <n v="3.7999999999999999E-2"/>
    <d v="2015-09-04T00:00:00"/>
    <n v="0.44"/>
    <x v="1"/>
  </r>
  <r>
    <x v="91"/>
    <n v="3.7999999999999999E-2"/>
    <d v="2015-09-07T00:00:00"/>
    <n v="0.441"/>
    <x v="1"/>
  </r>
  <r>
    <x v="92"/>
    <n v="3.7999999999999999E-2"/>
    <d v="2015-09-08T00:00:00"/>
    <n v="0.443"/>
    <x v="1"/>
  </r>
  <r>
    <x v="93"/>
    <n v="3.7999999999999999E-2"/>
    <d v="2015-09-09T00:00:00"/>
    <n v="0.44700000000000001"/>
    <x v="1"/>
  </r>
  <r>
    <x v="94"/>
    <n v="3.7999999999999999E-2"/>
    <d v="2015-09-10T00:00:00"/>
    <n v="0.44900000000000001"/>
    <x v="1"/>
  </r>
  <r>
    <x v="95"/>
    <n v="3.6999999999999998E-2"/>
    <d v="2015-09-11T00:00:00"/>
    <n v="0.45"/>
    <x v="1"/>
  </r>
  <r>
    <x v="96"/>
    <n v="3.6999999999999998E-2"/>
    <d v="2015-09-14T00:00:00"/>
    <n v="0.45100000000000001"/>
    <x v="1"/>
  </r>
  <r>
    <x v="97"/>
    <n v="3.5999999999999997E-2"/>
    <d v="2015-09-15T00:00:00"/>
    <n v="0.49399999999999999"/>
    <x v="1"/>
  </r>
  <r>
    <x v="98"/>
    <n v="3.5999999999999997E-2"/>
    <d v="2015-09-16T00:00:00"/>
    <n v="0.497"/>
    <x v="1"/>
  </r>
  <r>
    <x v="99"/>
    <n v="3.5999999999999997E-2"/>
    <d v="2015-09-17T00:00:00"/>
    <n v="0.503"/>
    <x v="1"/>
  </r>
  <r>
    <x v="100"/>
    <n v="3.5999999999999997E-2"/>
    <d v="2015-09-18T00:00:00"/>
    <n v="0.504"/>
    <x v="1"/>
  </r>
  <r>
    <x v="101"/>
    <n v="3.5999999999999997E-2"/>
    <d v="2015-09-21T00:00:00"/>
    <n v="0.50600000000000001"/>
    <x v="1"/>
  </r>
  <r>
    <x v="102"/>
    <n v="3.4000000000000002E-2"/>
    <d v="2015-09-22T00:00:00"/>
    <n v="0.503"/>
    <x v="1"/>
  </r>
  <r>
    <x v="103"/>
    <n v="3.3000000000000002E-2"/>
    <d v="2015-09-23T00:00:00"/>
    <n v="0.498"/>
    <x v="1"/>
  </r>
  <r>
    <x v="104"/>
    <n v="3.2000000000000001E-2"/>
    <d v="2015-09-24T00:00:00"/>
    <n v="0.49199999999999999"/>
    <x v="1"/>
  </r>
  <r>
    <x v="105"/>
    <n v="0.03"/>
    <d v="2015-09-25T00:00:00"/>
    <n v="0.48799999999999999"/>
    <x v="1"/>
  </r>
  <r>
    <x v="106"/>
    <n v="2.9000000000000001E-2"/>
    <d v="2015-09-28T00:00:00"/>
    <n v="0.48199999999999998"/>
    <x v="1"/>
  </r>
  <r>
    <x v="107"/>
    <n v="2.9000000000000001E-2"/>
    <d v="2015-09-29T00:00:00"/>
    <n v="0.47499999999999998"/>
    <x v="1"/>
  </r>
  <r>
    <x v="108"/>
    <n v="2.9000000000000001E-2"/>
    <d v="2015-09-30T00:00:00"/>
    <n v="0.46800000000000003"/>
    <x v="1"/>
  </r>
  <r>
    <x v="109"/>
    <n v="2.7E-2"/>
    <d v="2015-10-01T00:00:00"/>
    <n v="0.46200000000000002"/>
    <x v="1"/>
  </r>
  <r>
    <x v="110"/>
    <n v="2.5999999999999999E-2"/>
    <d v="2015-10-02T00:00:00"/>
    <n v="0.45700000000000002"/>
    <x v="1"/>
  </r>
  <r>
    <x v="111"/>
    <n v="2.7E-2"/>
    <d v="2015-10-05T00:00:00"/>
    <n v="0.45200000000000001"/>
    <x v="1"/>
  </r>
  <r>
    <x v="112"/>
    <n v="2.7E-2"/>
    <d v="2015-10-06T00:00:00"/>
    <n v="0.44900000000000001"/>
    <x v="1"/>
  </r>
  <r>
    <x v="113"/>
    <n v="2.8000000000000001E-2"/>
    <d v="2015-10-07T00:00:00"/>
    <n v="0.44600000000000001"/>
    <x v="1"/>
  </r>
  <r>
    <x v="114"/>
    <n v="2.8000000000000001E-2"/>
    <d v="2015-10-08T00:00:00"/>
    <n v="0.44500000000000001"/>
    <x v="1"/>
  </r>
  <r>
    <x v="115"/>
    <n v="2.8000000000000001E-2"/>
    <d v="2015-10-09T00:00:00"/>
    <n v="0.443"/>
    <x v="1"/>
  </r>
  <r>
    <x v="116"/>
    <n v="2.7E-2"/>
    <d v="2015-10-12T00:00:00"/>
    <n v="0.441"/>
    <x v="1"/>
  </r>
  <r>
    <x v="117"/>
    <n v="2.5999999999999999E-2"/>
    <d v="2015-10-13T00:00:00"/>
    <n v="0.438"/>
    <x v="1"/>
  </r>
  <r>
    <x v="118"/>
    <n v="2.7E-2"/>
    <d v="2015-10-14T00:00:00"/>
    <n v="0.432"/>
    <x v="1"/>
  </r>
  <r>
    <x v="119"/>
    <n v="2.4E-2"/>
    <d v="2015-10-15T00:00:00"/>
    <n v="0.42399999999999999"/>
    <x v="1"/>
  </r>
  <r>
    <x v="120"/>
    <n v="2.1000000000000001E-2"/>
    <d v="2015-10-16T00:00:00"/>
    <n v="0.42"/>
    <x v="1"/>
  </r>
  <r>
    <x v="121"/>
    <n v="1.9E-2"/>
    <d v="2015-10-19T00:00:00"/>
    <n v="0.41699999999999998"/>
    <x v="1"/>
  </r>
  <r>
    <x v="122"/>
    <n v="1.7999999999999999E-2"/>
    <d v="2015-10-20T00:00:00"/>
    <n v="0.41599999999999998"/>
    <x v="1"/>
  </r>
  <r>
    <x v="123"/>
    <n v="1.9E-2"/>
    <d v="2015-10-21T00:00:00"/>
    <n v="0.41599999999999998"/>
    <x v="1"/>
  </r>
  <r>
    <x v="124"/>
    <n v="1.9E-2"/>
    <d v="2015-10-22T00:00:00"/>
    <n v="0.41399999999999998"/>
    <x v="1"/>
  </r>
  <r>
    <x v="125"/>
    <n v="0.01"/>
    <d v="2015-10-23T00:00:00"/>
    <n v="0.40799999999999997"/>
    <x v="1"/>
  </r>
  <r>
    <x v="126"/>
    <n v="8.0000000000000002E-3"/>
    <m/>
    <n v="0.40799999999999997"/>
    <x v="1"/>
  </r>
  <r>
    <x v="127"/>
    <n v="8.0000000000000002E-3"/>
    <d v="2015-10-27T00:00:00"/>
    <n v="0.40100000000000002"/>
    <x v="1"/>
  </r>
  <r>
    <x v="128"/>
    <n v="6.0000000000000001E-3"/>
    <d v="2015-10-28T00:00:00"/>
    <n v="0.39400000000000002"/>
    <x v="1"/>
  </r>
  <r>
    <x v="129"/>
    <n v="4.0000000000000001E-3"/>
    <d v="2015-10-29T00:00:00"/>
    <n v="0.38800000000000001"/>
    <x v="1"/>
  </r>
  <r>
    <x v="130"/>
    <n v="6.0000000000000001E-3"/>
    <d v="2015-10-30T00:00:00"/>
    <n v="0.38400000000000001"/>
    <x v="1"/>
  </r>
  <r>
    <x v="131"/>
    <n v="7.0000000000000001E-3"/>
    <d v="2015-11-02T00:00:00"/>
    <n v="0.38300000000000001"/>
    <x v="2"/>
  </r>
  <r>
    <x v="132"/>
    <n v="3.0000000000000001E-3"/>
    <d v="2015-11-03T00:00:00"/>
    <n v="0.38200000000000001"/>
    <x v="1"/>
  </r>
  <r>
    <x v="133"/>
    <n v="0"/>
    <d v="2015-11-04T00:00:00"/>
    <n v="0.379"/>
    <x v="1"/>
  </r>
  <r>
    <x v="134"/>
    <n v="1E-3"/>
    <d v="2015-11-05T00:00:00"/>
    <n v="0.38200000000000001"/>
    <x v="1"/>
  </r>
  <r>
    <x v="135"/>
    <n v="-2E-3"/>
    <d v="2015-11-06T00:00:00"/>
    <n v="0.38200000000000001"/>
    <x v="1"/>
  </r>
  <r>
    <x v="136"/>
    <n v="1E-3"/>
    <d v="2015-11-09T00:00:00"/>
    <n v="0.38200000000000001"/>
    <x v="1"/>
  </r>
  <r>
    <x v="137"/>
    <n v="-4.0000000000000001E-3"/>
    <d v="2015-11-10T00:00:00"/>
    <n v="0.38100000000000001"/>
    <x v="1"/>
  </r>
  <r>
    <x v="138"/>
    <n v="-6.0000000000000001E-3"/>
    <d v="2015-11-11T00:00:00"/>
    <n v="0.38"/>
    <x v="1"/>
  </r>
  <r>
    <x v="139"/>
    <n v="-1.0999999999999999E-2"/>
    <d v="2015-11-12T00:00:00"/>
    <n v="0.379"/>
    <x v="1"/>
  </r>
  <r>
    <x v="140"/>
    <n v="-1.0999999999999999E-2"/>
    <d v="2015-11-13T00:00:00"/>
    <n v="0.378"/>
    <x v="1"/>
  </r>
  <r>
    <x v="141"/>
    <n v="-1.2999999999999999E-2"/>
    <d v="2015-11-16T00:00:00"/>
    <n v="0.375"/>
    <x v="1"/>
  </r>
  <r>
    <x v="142"/>
    <n v="-1.4999999999999999E-2"/>
    <d v="2015-11-17T00:00:00"/>
    <n v="0.372"/>
    <x v="1"/>
  </r>
  <r>
    <x v="143"/>
    <n v="-1.4999999999999999E-2"/>
    <d v="2015-11-18T00:00:00"/>
    <n v="0.36599999999999999"/>
    <x v="1"/>
  </r>
  <r>
    <x v="144"/>
    <n v="-1.9E-2"/>
    <d v="2015-11-19T00:00:00"/>
    <n v="0.36"/>
    <x v="1"/>
  </r>
  <r>
    <x v="145"/>
    <n v="-2.4E-2"/>
    <d v="2015-11-20T00:00:00"/>
    <n v="0.35699999999999998"/>
    <x v="1"/>
  </r>
  <r>
    <x v="146"/>
    <n v="-0.03"/>
    <d v="2015-11-23T00:00:00"/>
    <n v="0.35499999999999998"/>
    <x v="1"/>
  </r>
  <r>
    <x v="147"/>
    <n v="-3.3000000000000002E-2"/>
    <d v="2015-11-24T00:00:00"/>
    <n v="0.35499999999999998"/>
    <x v="1"/>
  </r>
  <r>
    <x v="148"/>
    <n v="-3.1E-2"/>
    <d v="2015-11-25T00:00:00"/>
    <n v="0.35499999999999998"/>
    <x v="1"/>
  </r>
  <r>
    <x v="149"/>
    <n v="-3.9E-2"/>
    <d v="2015-11-26T00:00:00"/>
    <n v="0.35299999999999998"/>
    <x v="1"/>
  </r>
  <r>
    <x v="150"/>
    <n v="-0.04"/>
    <d v="2015-11-27T00:00:00"/>
    <n v="0.34899999999999998"/>
    <x v="1"/>
  </r>
  <r>
    <x v="151"/>
    <n v="-4.2999999999999997E-2"/>
    <d v="2015-11-30T00:00:00"/>
    <n v="0.34499999999999997"/>
    <x v="1"/>
  </r>
  <r>
    <x v="152"/>
    <n v="-4.4999999999999998E-2"/>
    <d v="2015-12-01T00:00:00"/>
    <n v="0.34100000000000003"/>
    <x v="1"/>
  </r>
  <r>
    <x v="153"/>
    <n v="-4.8000000000000001E-2"/>
    <d v="2015-12-02T00:00:00"/>
    <n v="0.33600000000000002"/>
    <x v="1"/>
  </r>
  <r>
    <x v="154"/>
    <n v="-5.0999999999999997E-2"/>
    <d v="2015-12-03T00:00:00"/>
    <n v="0.33200000000000002"/>
    <x v="1"/>
  </r>
  <r>
    <x v="155"/>
    <n v="-0.03"/>
    <d v="2015-12-04T00:00:00"/>
    <n v="0.33400000000000002"/>
    <x v="1"/>
  </r>
  <r>
    <x v="156"/>
    <n v="-3.1E-2"/>
    <d v="2015-12-07T00:00:00"/>
    <n v="0.33100000000000002"/>
    <x v="1"/>
  </r>
  <r>
    <x v="157"/>
    <n v="-3.3000000000000002E-2"/>
    <m/>
    <n v="0.33100000000000002"/>
    <x v="1"/>
  </r>
  <r>
    <x v="158"/>
    <n v="-3.4000000000000002E-2"/>
    <d v="2015-12-09T00:00:00"/>
    <n v="0.32900000000000001"/>
    <x v="1"/>
  </r>
  <r>
    <x v="159"/>
    <n v="-3.5999999999999997E-2"/>
    <d v="2015-12-10T00:00:00"/>
    <n v="0.32700000000000001"/>
    <x v="1"/>
  </r>
  <r>
    <x v="160"/>
    <n v="-3.7999999999999999E-2"/>
    <d v="2015-12-11T00:00:00"/>
    <n v="0.32500000000000001"/>
    <x v="1"/>
  </r>
  <r>
    <x v="161"/>
    <n v="-3.9E-2"/>
    <d v="2015-12-14T00:00:00"/>
    <n v="0.32400000000000001"/>
    <x v="1"/>
  </r>
  <r>
    <x v="162"/>
    <n v="-4.1000000000000002E-2"/>
    <d v="2015-12-15T00:00:00"/>
    <n v="0.32600000000000001"/>
    <x v="1"/>
  </r>
  <r>
    <x v="163"/>
    <n v="-4.1000000000000002E-2"/>
    <d v="2015-12-16T00:00:00"/>
    <n v="0.33"/>
    <x v="1"/>
  </r>
  <r>
    <x v="164"/>
    <n v="-4.1000000000000002E-2"/>
    <d v="2015-12-17T00:00:00"/>
    <n v="0.33400000000000002"/>
    <x v="1"/>
  </r>
  <r>
    <x v="165"/>
    <n v="-4.1000000000000002E-2"/>
    <d v="2015-12-18T00:00:00"/>
    <n v="0.33500000000000002"/>
    <x v="1"/>
  </r>
  <r>
    <x v="166"/>
    <n v="-4.1000000000000002E-2"/>
    <d v="2015-12-21T00:00:00"/>
    <n v="0.33700000000000002"/>
    <x v="1"/>
  </r>
  <r>
    <x v="167"/>
    <n v="-4.1000000000000002E-2"/>
    <d v="2015-12-22T00:00:00"/>
    <n v="0.33900000000000002"/>
    <x v="1"/>
  </r>
  <r>
    <x v="168"/>
    <n v="-4.1000000000000002E-2"/>
    <d v="2015-12-23T00:00:00"/>
    <n v="0.34399999999999997"/>
    <x v="1"/>
  </r>
  <r>
    <x v="169"/>
    <n v="-0.04"/>
    <m/>
    <n v="0.34399999999999997"/>
    <x v="1"/>
  </r>
  <r>
    <x v="170"/>
    <n v="-0.04"/>
    <m/>
    <n v="0.34399999999999997"/>
    <x v="1"/>
  </r>
  <r>
    <x v="171"/>
    <n v="-0.04"/>
    <d v="2015-12-28T00:00:00"/>
    <n v="0.34799999999999998"/>
    <x v="1"/>
  </r>
  <r>
    <x v="172"/>
    <n v="-4.2000000000000003E-2"/>
    <d v="2015-12-29T00:00:00"/>
    <n v="0.35399999999999998"/>
    <x v="1"/>
  </r>
  <r>
    <x v="173"/>
    <n v="-4.1000000000000002E-2"/>
    <d v="2015-12-30T00:00:00"/>
    <n v="0.36099999999999999"/>
    <x v="1"/>
  </r>
  <r>
    <x v="174"/>
    <n v="-0.04"/>
    <d v="2015-12-31T00:00:00"/>
    <n v="0.36499999999999999"/>
    <x v="1"/>
  </r>
  <r>
    <x v="175"/>
    <n v="-0.04"/>
    <m/>
    <n v="0.36499999999999999"/>
    <x v="1"/>
  </r>
  <r>
    <x v="176"/>
    <n v="-4.1000000000000002E-2"/>
    <d v="2016-01-04T00:00:00"/>
    <n v="0.36799999999999999"/>
    <x v="1"/>
  </r>
  <r>
    <x v="177"/>
    <n v="-4.1000000000000002E-2"/>
    <d v="2016-01-05T00:00:00"/>
    <n v="0.373"/>
    <x v="1"/>
  </r>
  <r>
    <x v="178"/>
    <n v="-4.3999999999999997E-2"/>
    <m/>
    <n v="0.373"/>
    <x v="1"/>
  </r>
  <r>
    <x v="179"/>
    <n v="-0.05"/>
    <d v="2016-01-07T00:00:00"/>
    <n v="0.373"/>
    <x v="1"/>
  </r>
  <r>
    <x v="180"/>
    <n v="-5.0999999999999997E-2"/>
    <d v="2016-01-08T00:00:00"/>
    <n v="0.36899999999999999"/>
    <x v="1"/>
  </r>
  <r>
    <x v="181"/>
    <n v="-5.1999999999999998E-2"/>
    <d v="2016-01-11T00:00:00"/>
    <n v="0.36599999999999999"/>
    <x v="1"/>
  </r>
  <r>
    <x v="182"/>
    <n v="-5.2999999999999999E-2"/>
    <d v="2016-01-12T00:00:00"/>
    <n v="0.36699999999999999"/>
    <x v="1"/>
  </r>
  <r>
    <x v="183"/>
    <n v="-5.3999999999999999E-2"/>
    <d v="2016-01-13T00:00:00"/>
    <n v="0.36599999999999999"/>
    <x v="1"/>
  </r>
  <r>
    <x v="184"/>
    <n v="-5.2999999999999999E-2"/>
    <d v="2016-01-14T00:00:00"/>
    <n v="0.372"/>
    <x v="1"/>
  </r>
  <r>
    <x v="185"/>
    <n v="-5.3999999999999999E-2"/>
    <d v="2016-01-15T00:00:00"/>
    <n v="0.371"/>
    <x v="1"/>
  </r>
  <r>
    <x v="186"/>
    <n v="-5.3999999999999999E-2"/>
    <d v="2016-01-18T00:00:00"/>
    <n v="0.36699999999999999"/>
    <x v="1"/>
  </r>
  <r>
    <x v="187"/>
    <n v="-5.6000000000000001E-2"/>
    <d v="2016-01-19T00:00:00"/>
    <n v="0.36299999999999999"/>
    <x v="1"/>
  </r>
  <r>
    <x v="188"/>
    <n v="-6.0999999999999999E-2"/>
    <d v="2016-01-20T00:00:00"/>
    <n v="0.35899999999999999"/>
    <x v="1"/>
  </r>
  <r>
    <x v="189"/>
    <n v="-6.5000000000000002E-2"/>
    <d v="2016-01-21T00:00:00"/>
    <n v="0.35599999999999998"/>
    <x v="1"/>
  </r>
  <r>
    <x v="190"/>
    <n v="-7.3999999999999996E-2"/>
    <d v="2016-01-22T00:00:00"/>
    <n v="0.35299999999999998"/>
    <x v="1"/>
  </r>
  <r>
    <x v="191"/>
    <n v="-7.6999999999999999E-2"/>
    <d v="2016-01-25T00:00:00"/>
    <n v="0.34799999999999998"/>
    <x v="1"/>
  </r>
  <r>
    <x v="192"/>
    <n v="-8.2000000000000003E-2"/>
    <d v="2016-01-26T00:00:00"/>
    <n v="0.34"/>
    <x v="1"/>
  </r>
  <r>
    <x v="193"/>
    <n v="-8.2000000000000003E-2"/>
    <d v="2016-01-27T00:00:00"/>
    <n v="0.33200000000000002"/>
    <x v="1"/>
  </r>
  <r>
    <x v="194"/>
    <n v="-8.3000000000000004E-2"/>
    <d v="2016-01-28T00:00:00"/>
    <n v="0.32300000000000001"/>
    <x v="1"/>
  </r>
  <r>
    <x v="195"/>
    <n v="-8.8999999999999996E-2"/>
    <d v="2016-01-29T00:00:00"/>
    <n v="0.311"/>
    <x v="1"/>
  </r>
  <r>
    <x v="196"/>
    <n v="-9.4E-2"/>
    <d v="2016-02-01T00:00:00"/>
    <n v="0.30399999999999999"/>
    <x v="1"/>
  </r>
  <r>
    <x v="197"/>
    <n v="-9.4E-2"/>
    <d v="2016-02-02T00:00:00"/>
    <n v="0.29499999999999998"/>
    <x v="1"/>
  </r>
  <r>
    <x v="198"/>
    <n v="-9.6000000000000002E-2"/>
    <d v="2016-02-03T00:00:00"/>
    <n v="0.28499999999999998"/>
    <x v="1"/>
  </r>
  <r>
    <x v="199"/>
    <n v="-0.10199999999999999"/>
    <d v="2016-02-04T00:00:00"/>
    <n v="0.27600000000000002"/>
    <x v="1"/>
  </r>
  <r>
    <x v="200"/>
    <n v="-0.104"/>
    <d v="2016-02-05T00:00:00"/>
    <n v="0.26600000000000001"/>
    <x v="1"/>
  </r>
  <r>
    <x v="201"/>
    <n v="-0.107"/>
    <d v="2016-02-08T00:00:00"/>
    <n v="0.255"/>
    <x v="1"/>
  </r>
  <r>
    <x v="202"/>
    <n v="-0.109"/>
    <d v="2016-02-09T00:00:00"/>
    <n v="0.24199999999999999"/>
    <x v="1"/>
  </r>
  <r>
    <x v="203"/>
    <n v="-0.111"/>
    <d v="2016-02-10T00:00:00"/>
    <n v="0.23100000000000001"/>
    <x v="1"/>
  </r>
  <r>
    <x v="204"/>
    <n v="-0.112"/>
    <d v="2016-02-11T00:00:00"/>
    <n v="0.223"/>
    <x v="1"/>
  </r>
  <r>
    <x v="205"/>
    <n v="-0.11600000000000001"/>
    <d v="2016-02-12T00:00:00"/>
    <n v="0.214"/>
    <x v="1"/>
  </r>
  <r>
    <x v="206"/>
    <n v="-0.11600000000000001"/>
    <d v="2016-02-15T00:00:00"/>
    <n v="0.20499999999999999"/>
    <x v="1"/>
  </r>
  <r>
    <x v="207"/>
    <n v="-0.12"/>
    <d v="2016-02-16T00:00:00"/>
    <n v="0.19700000000000001"/>
    <x v="1"/>
  </r>
  <r>
    <x v="208"/>
    <n v="-0.121"/>
    <d v="2016-02-17T00:00:00"/>
    <n v="0.191"/>
    <x v="1"/>
  </r>
  <r>
    <x v="209"/>
    <n v="-0.124"/>
    <d v="2016-02-18T00:00:00"/>
    <n v="0.184"/>
    <x v="1"/>
  </r>
  <r>
    <x v="210"/>
    <n v="-0.125"/>
    <d v="2016-02-19T00:00:00"/>
    <n v="0.17599999999999999"/>
    <x v="1"/>
  </r>
  <r>
    <x v="211"/>
    <n v="-0.126"/>
    <d v="2016-02-22T00:00:00"/>
    <n v="0.2"/>
    <x v="1"/>
  </r>
  <r>
    <x v="212"/>
    <n v="-0.125"/>
    <d v="2016-02-23T00:00:00"/>
    <n v="0.21099999999999999"/>
    <x v="1"/>
  </r>
  <r>
    <x v="213"/>
    <n v="-0.128"/>
    <d v="2016-02-24T00:00:00"/>
    <n v="0.20300000000000001"/>
    <x v="1"/>
  </r>
  <r>
    <x v="214"/>
    <n v="-0.128"/>
    <d v="2016-02-25T00:00:00"/>
    <n v="0.19500000000000001"/>
    <x v="1"/>
  </r>
  <r>
    <x v="215"/>
    <n v="-0.129"/>
    <d v="2016-02-26T00:00:00"/>
    <n v="0.19"/>
    <x v="1"/>
  </r>
  <r>
    <x v="216"/>
    <n v="-0.13400000000000001"/>
    <d v="2016-02-29T00:00:00"/>
    <n v="0.183"/>
    <x v="1"/>
  </r>
  <r>
    <x v="217"/>
    <n v="-0.13500000000000001"/>
    <d v="2016-03-01T00:00:00"/>
    <n v="0.17799999999999999"/>
    <x v="1"/>
  </r>
  <r>
    <x v="218"/>
    <n v="-0.13400000000000001"/>
    <d v="2016-03-02T00:00:00"/>
    <n v="0.17499999999999999"/>
    <x v="1"/>
  </r>
  <r>
    <x v="219"/>
    <n v="-0.13500000000000001"/>
    <d v="2016-03-03T00:00:00"/>
    <n v="0.17199999999999999"/>
    <x v="1"/>
  </r>
  <r>
    <x v="220"/>
    <n v="-0.13600000000000001"/>
    <d v="2016-03-04T00:00:00"/>
    <n v="0.17"/>
    <x v="1"/>
  </r>
  <r>
    <x v="221"/>
    <n v="-0.13600000000000001"/>
    <d v="2016-03-07T00:00:00"/>
    <n v="0.16900000000000001"/>
    <x v="1"/>
  </r>
  <r>
    <x v="222"/>
    <n v="-0.13800000000000001"/>
    <d v="2016-03-08T00:00:00"/>
    <n v="0.16700000000000001"/>
    <x v="1"/>
  </r>
  <r>
    <x v="223"/>
    <n v="-0.13900000000000001"/>
    <d v="2016-03-09T00:00:00"/>
    <n v="0.16600000000000001"/>
    <x v="1"/>
  </r>
  <r>
    <x v="224"/>
    <n v="-0.14099999999999999"/>
    <d v="2016-03-10T00:00:00"/>
    <n v="0.16700000000000001"/>
    <x v="1"/>
  </r>
  <r>
    <x v="225"/>
    <n v="-0.13100000000000001"/>
    <d v="2016-03-11T00:00:00"/>
    <n v="0.16700000000000001"/>
    <x v="1"/>
  </r>
  <r>
    <x v="226"/>
    <n v="-0.13100000000000001"/>
    <d v="2016-03-14T00:00:00"/>
    <n v="0.16500000000000001"/>
    <x v="1"/>
  </r>
  <r>
    <x v="227"/>
    <n v="-0.13"/>
    <d v="2016-03-15T00:00:00"/>
    <n v="0.16400000000000001"/>
    <x v="1"/>
  </r>
  <r>
    <x v="228"/>
    <n v="-0.129"/>
    <d v="2016-03-16T00:00:00"/>
    <n v="0.16300000000000001"/>
    <x v="1"/>
  </r>
  <r>
    <x v="229"/>
    <n v="-0.13100000000000001"/>
    <d v="2016-03-17T00:00:00"/>
    <n v="0.161"/>
    <x v="1"/>
  </r>
  <r>
    <x v="230"/>
    <n v="-0.13100000000000001"/>
    <d v="2016-03-18T00:00:00"/>
    <n v="0.159"/>
    <x v="1"/>
  </r>
  <r>
    <x v="231"/>
    <n v="-0.13100000000000001"/>
    <d v="2016-03-21T00:00:00"/>
    <n v="0.158"/>
    <x v="1"/>
  </r>
  <r>
    <x v="232"/>
    <n v="-0.13200000000000001"/>
    <d v="2016-03-22T00:00:00"/>
    <n v="0.156"/>
    <x v="1"/>
  </r>
  <r>
    <x v="233"/>
    <n v="-0.13300000000000001"/>
    <d v="2016-03-23T00:00:00"/>
    <n v="0.157"/>
    <x v="1"/>
  </r>
  <r>
    <x v="234"/>
    <n v="-0.13400000000000001"/>
    <d v="2016-03-24T00:00:00"/>
    <n v="0.157"/>
    <x v="1"/>
  </r>
  <r>
    <x v="235"/>
    <n v="-0.13400000000000001"/>
    <d v="2016-03-25T00:00:00"/>
    <n v="0.158"/>
    <x v="1"/>
  </r>
  <r>
    <x v="236"/>
    <n v="-0.13400000000000001"/>
    <m/>
    <n v="0.158"/>
    <x v="1"/>
  </r>
  <r>
    <x v="237"/>
    <n v="-0.13400000000000001"/>
    <d v="2016-03-29T00:00:00"/>
    <n v="0.158"/>
    <x v="1"/>
  </r>
  <r>
    <x v="238"/>
    <n v="-0.13200000000000001"/>
    <d v="2016-03-30T00:00:00"/>
    <n v="0.157"/>
    <x v="1"/>
  </r>
  <r>
    <x v="239"/>
    <n v="-0.13200000000000001"/>
    <d v="2016-03-31T00:00:00"/>
    <n v="0.154"/>
    <x v="1"/>
  </r>
  <r>
    <x v="240"/>
    <n v="-0.13100000000000001"/>
    <d v="2016-04-01T00:00:00"/>
    <n v="0.151"/>
    <x v="1"/>
  </r>
  <r>
    <x v="241"/>
    <n v="-0.13200000000000001"/>
    <d v="2016-04-04T00:00:00"/>
    <n v="0.14599999999999999"/>
    <x v="1"/>
  </r>
  <r>
    <x v="242"/>
    <n v="-0.13200000000000001"/>
    <d v="2016-04-05T00:00:00"/>
    <n v="0.14000000000000001"/>
    <x v="1"/>
  </r>
  <r>
    <x v="243"/>
    <n v="-0.13200000000000001"/>
    <d v="2016-04-06T00:00:00"/>
    <n v="0.13700000000000001"/>
    <x v="1"/>
  </r>
  <r>
    <x v="244"/>
    <n v="-0.13400000000000001"/>
    <d v="2016-04-07T00:00:00"/>
    <n v="0.13500000000000001"/>
    <x v="1"/>
  </r>
  <r>
    <x v="245"/>
    <n v="-0.13400000000000001"/>
    <d v="2016-04-08T00:00:00"/>
    <n v="0.129"/>
    <x v="1"/>
  </r>
  <r>
    <x v="246"/>
    <n v="-0.13300000000000001"/>
    <d v="2016-04-11T00:00:00"/>
    <n v="0.122"/>
    <x v="1"/>
  </r>
  <r>
    <x v="247"/>
    <n v="-0.13600000000000001"/>
    <d v="2016-04-12T00:00:00"/>
    <n v="0.11700000000000001"/>
    <x v="1"/>
  </r>
  <r>
    <x v="248"/>
    <n v="-0.13800000000000001"/>
    <d v="2016-04-13T00:00:00"/>
    <n v="0.111"/>
    <x v="1"/>
  </r>
  <r>
    <x v="249"/>
    <n v="-0.13800000000000001"/>
    <d v="2016-04-14T00:00:00"/>
    <n v="0.105"/>
    <x v="1"/>
  </r>
  <r>
    <x v="250"/>
    <n v="-0.14000000000000001"/>
    <d v="2016-04-15T00:00:00"/>
    <n v="0.10100000000000001"/>
    <x v="1"/>
  </r>
  <r>
    <x v="251"/>
    <n v="-0.13900000000000001"/>
    <d v="2016-04-18T00:00:00"/>
    <n v="9.7000000000000003E-2"/>
    <x v="1"/>
  </r>
  <r>
    <x v="252"/>
    <n v="-0.13900000000000001"/>
    <d v="2016-04-19T00:00:00"/>
    <n v="9.6000000000000002E-2"/>
    <x v="1"/>
  </r>
  <r>
    <x v="253"/>
    <n v="-0.14099999999999999"/>
    <d v="2016-04-20T00:00:00"/>
    <n v="9.2999999999999999E-2"/>
    <x v="1"/>
  </r>
  <r>
    <x v="254"/>
    <n v="-0.14299999999999999"/>
    <d v="2016-04-21T00:00:00"/>
    <n v="9.0999999999999998E-2"/>
    <x v="1"/>
  </r>
  <r>
    <x v="255"/>
    <n v="-0.14299999999999999"/>
    <d v="2016-04-22T00:00:00"/>
    <n v="9.1999999999999998E-2"/>
    <x v="1"/>
  </r>
  <r>
    <x v="256"/>
    <n v="-0.14399999999999999"/>
    <d v="2016-04-25T00:00:00"/>
    <n v="9.4E-2"/>
    <x v="1"/>
  </r>
  <r>
    <x v="257"/>
    <n v="-0.14299999999999999"/>
    <d v="2016-04-26T00:00:00"/>
    <n v="9.7000000000000003E-2"/>
    <x v="1"/>
  </r>
  <r>
    <x v="258"/>
    <n v="-0.14199999999999999"/>
    <d v="2016-04-27T00:00:00"/>
    <n v="0.10100000000000001"/>
    <x v="1"/>
  </r>
  <r>
    <x v="259"/>
    <n v="-0.14199999999999999"/>
    <d v="2016-04-28T00:00:00"/>
    <n v="0.10299999999999999"/>
    <x v="1"/>
  </r>
  <r>
    <x v="260"/>
    <n v="-0.14099999999999999"/>
    <d v="2016-04-29T00:00:00"/>
    <n v="0.107"/>
    <x v="1"/>
  </r>
  <r>
    <x v="261"/>
    <n v="-0.14099999999999999"/>
    <d v="2016-05-02T00:00:00"/>
    <n v="0.111"/>
    <x v="3"/>
  </r>
  <r>
    <x v="262"/>
    <n v="-0.14199999999999999"/>
    <d v="2016-05-03T00:00:00"/>
    <n v="0.11600000000000001"/>
    <x v="1"/>
  </r>
  <r>
    <x v="263"/>
    <n v="-0.14199999999999999"/>
    <d v="2016-05-04T00:00:00"/>
    <n v="0.11899999999999999"/>
    <x v="1"/>
  </r>
  <r>
    <x v="264"/>
    <n v="-0.14399999999999999"/>
    <m/>
    <n v="0.11899999999999999"/>
    <x v="1"/>
  </r>
  <r>
    <x v="265"/>
    <n v="-0.14399999999999999"/>
    <d v="2016-05-06T00:00:00"/>
    <n v="0.121"/>
    <x v="1"/>
  </r>
  <r>
    <x v="266"/>
    <n v="-0.14299999999999999"/>
    <d v="2016-05-09T00:00:00"/>
    <n v="0.123"/>
    <x v="1"/>
  </r>
  <r>
    <x v="267"/>
    <n v="-0.14399999999999999"/>
    <d v="2016-05-10T00:00:00"/>
    <n v="0.124"/>
    <x v="1"/>
  </r>
  <r>
    <x v="268"/>
    <n v="-0.14399999999999999"/>
    <d v="2016-05-11T00:00:00"/>
    <n v="0.123"/>
    <x v="1"/>
  </r>
  <r>
    <x v="269"/>
    <n v="-0.14399999999999999"/>
    <d v="2016-05-12T00:00:00"/>
    <n v="0.127"/>
    <x v="1"/>
  </r>
  <r>
    <x v="270"/>
    <n v="-0.14399999999999999"/>
    <d v="2016-05-13T00:00:00"/>
    <n v="0.126"/>
    <x v="1"/>
  </r>
  <r>
    <x v="271"/>
    <n v="-0.14299999999999999"/>
    <m/>
    <n v="0.126"/>
    <x v="1"/>
  </r>
  <r>
    <x v="272"/>
    <n v="-0.14299999999999999"/>
    <d v="2016-05-17T00:00:00"/>
    <n v="0.126"/>
    <x v="1"/>
  </r>
  <r>
    <x v="273"/>
    <n v="-0.14399999999999999"/>
    <d v="2016-05-18T00:00:00"/>
    <n v="0.127"/>
    <x v="1"/>
  </r>
  <r>
    <x v="274"/>
    <n v="-0.14299999999999999"/>
    <d v="2016-05-19T00:00:00"/>
    <n v="0.127"/>
    <x v="1"/>
  </r>
  <r>
    <x v="275"/>
    <n v="-0.14299999999999999"/>
    <d v="2016-05-20T00:00:00"/>
    <n v="0.128"/>
    <x v="1"/>
  </r>
  <r>
    <x v="276"/>
    <n v="-0.14399999999999999"/>
    <d v="2016-05-23T00:00:00"/>
    <n v="0.127"/>
    <x v="1"/>
  </r>
  <r>
    <x v="277"/>
    <n v="-0.14399999999999999"/>
    <d v="2016-05-24T00:00:00"/>
    <n v="0.125"/>
    <x v="1"/>
  </r>
  <r>
    <x v="278"/>
    <n v="-0.14399999999999999"/>
    <d v="2016-05-25T00:00:00"/>
    <n v="0.123"/>
    <x v="1"/>
  </r>
  <r>
    <x v="279"/>
    <n v="-0.14599999999999999"/>
    <d v="2016-05-27T00:00:00"/>
    <n v="0.11799999999999999"/>
    <x v="1"/>
  </r>
  <r>
    <x v="280"/>
    <n v="-0.14899999999999999"/>
    <d v="2016-05-30T00:00:00"/>
    <n v="0.113"/>
    <x v="1"/>
  </r>
  <r>
    <x v="281"/>
    <n v="-0.151"/>
    <d v="2016-05-31T00:00:00"/>
    <n v="0.11"/>
    <x v="1"/>
  </r>
  <r>
    <x v="282"/>
    <n v="-0.153"/>
    <d v="2016-06-01T00:00:00"/>
    <n v="0.10299999999999999"/>
    <x v="1"/>
  </r>
  <r>
    <x v="283"/>
    <n v="-0.153"/>
    <m/>
    <n v="0.10299999999999999"/>
    <x v="1"/>
  </r>
  <r>
    <x v="284"/>
    <n v="-0.153"/>
    <d v="2016-06-02T00:00:00"/>
    <n v="9.7000000000000003E-2"/>
    <x v="1"/>
  </r>
  <r>
    <x v="285"/>
    <n v="-0.154"/>
    <d v="2016-06-03T00:00:00"/>
    <n v="9.1999999999999998E-2"/>
    <x v="1"/>
  </r>
  <r>
    <x v="286"/>
    <n v="-0.157"/>
    <d v="2016-06-06T00:00:00"/>
    <n v="8.5999999999999993E-2"/>
    <x v="1"/>
  </r>
  <r>
    <x v="287"/>
    <n v="-0.159"/>
    <d v="2016-06-07T00:00:00"/>
    <n v="8.2000000000000003E-2"/>
    <x v="1"/>
  </r>
  <r>
    <x v="288"/>
    <n v="-0.16"/>
    <d v="2016-06-08T00:00:00"/>
    <n v="7.8E-2"/>
    <x v="1"/>
  </r>
  <r>
    <x v="289"/>
    <n v="-0.159"/>
    <d v="2016-06-09T00:00:00"/>
    <n v="7.4999999999999997E-2"/>
    <x v="1"/>
  </r>
  <r>
    <x v="290"/>
    <n v="-0.159"/>
    <d v="2016-06-10T00:00:00"/>
    <n v="7.0000000000000007E-2"/>
    <x v="1"/>
  </r>
  <r>
    <x v="291"/>
    <n v="-0.158"/>
    <d v="2016-06-13T00:00:00"/>
    <n v="6.5000000000000002E-2"/>
    <x v="1"/>
  </r>
  <r>
    <x v="292"/>
    <n v="-0.159"/>
    <d v="2016-06-14T00:00:00"/>
    <n v="0.06"/>
    <x v="1"/>
  </r>
  <r>
    <x v="293"/>
    <n v="-0.159"/>
    <d v="2016-06-15T00:00:00"/>
    <n v="5.5E-2"/>
    <x v="1"/>
  </r>
  <r>
    <x v="294"/>
    <n v="-0.16"/>
    <d v="2016-06-16T00:00:00"/>
    <n v="0.05"/>
    <x v="1"/>
  </r>
  <r>
    <x v="295"/>
    <n v="-0.159"/>
    <d v="2016-06-17T00:00:00"/>
    <n v="4.3999999999999997E-2"/>
    <x v="1"/>
  </r>
  <r>
    <x v="296"/>
    <n v="-0.159"/>
    <d v="2016-06-20T00:00:00"/>
    <n v="3.9E-2"/>
    <x v="1"/>
  </r>
  <r>
    <x v="297"/>
    <n v="-0.159"/>
    <d v="2016-06-21T00:00:00"/>
    <n v="3.5000000000000003E-2"/>
    <x v="1"/>
  </r>
  <r>
    <x v="298"/>
    <n v="-0.161"/>
    <d v="2016-06-22T00:00:00"/>
    <n v="0.03"/>
    <x v="1"/>
  </r>
  <r>
    <x v="299"/>
    <n v="-0.161"/>
    <d v="2016-06-23T00:00:00"/>
    <n v="2.7E-2"/>
    <x v="1"/>
  </r>
  <r>
    <x v="300"/>
    <n v="-0.17499999999999999"/>
    <d v="2016-06-24T00:00:00"/>
    <n v="2.1000000000000001E-2"/>
    <x v="1"/>
  </r>
  <r>
    <x v="301"/>
    <n v="-0.17599999999999999"/>
    <d v="2016-06-27T00:00:00"/>
    <n v="1.2E-2"/>
    <x v="1"/>
  </r>
  <r>
    <x v="302"/>
    <n v="-0.17599999999999999"/>
    <d v="2016-06-28T00:00:00"/>
    <n v="3.0000000000000001E-3"/>
    <x v="1"/>
  </r>
  <r>
    <x v="303"/>
    <n v="-0.17799999999999999"/>
    <d v="2016-06-29T00:00:00"/>
    <s v="−0,005"/>
    <x v="1"/>
  </r>
  <r>
    <x v="304"/>
    <n v="-0.17899999999999999"/>
    <d v="2016-06-30T00:00:00"/>
    <s v="−0,014"/>
    <x v="1"/>
  </r>
  <r>
    <x v="305"/>
    <n v="-0.182"/>
    <d v="2016-07-01T00:00:00"/>
    <s v="−0,023"/>
    <x v="1"/>
  </r>
  <r>
    <x v="306"/>
    <n v="-0.185"/>
    <d v="2016-07-04T00:00:00"/>
    <s v="−0,032"/>
    <x v="1"/>
  </r>
  <r>
    <x v="307"/>
    <n v="-0.188"/>
    <d v="2016-07-05T00:00:00"/>
    <s v="−0,042"/>
    <x v="1"/>
  </r>
  <r>
    <x v="308"/>
    <n v="-0.189"/>
    <d v="2016-07-06T00:00:00"/>
    <s v="−0,052"/>
    <x v="1"/>
  </r>
  <r>
    <x v="309"/>
    <n v="-0.189"/>
    <d v="2016-07-07T00:00:00"/>
    <s v="−0,059"/>
    <x v="1"/>
  </r>
  <r>
    <x v="310"/>
    <n v="-0.19"/>
    <d v="2016-07-08T00:00:00"/>
    <s v="−0,069"/>
    <x v="1"/>
  </r>
  <r>
    <x v="311"/>
    <n v="-0.19"/>
    <d v="2016-07-11T00:00:00"/>
    <s v="−0,080"/>
    <x v="1"/>
  </r>
  <r>
    <x v="312"/>
    <n v="-0.191"/>
    <d v="2016-07-12T00:00:00"/>
    <s v="−0,088"/>
    <x v="1"/>
  </r>
  <r>
    <x v="313"/>
    <n v="-0.191"/>
    <d v="2016-07-13T00:00:00"/>
    <s v="−0,097"/>
    <x v="1"/>
  </r>
  <r>
    <x v="314"/>
    <n v="-0.19"/>
    <d v="2016-07-14T00:00:00"/>
    <s v="−0,105"/>
    <x v="1"/>
  </r>
  <r>
    <x v="315"/>
    <n v="-0.187"/>
    <d v="2016-07-15T00:00:00"/>
    <s v="−0,112"/>
    <x v="1"/>
  </r>
  <r>
    <x v="316"/>
    <n v="-0.191"/>
    <d v="2016-07-18T00:00:00"/>
    <s v="−0,121"/>
    <x v="1"/>
  </r>
  <r>
    <x v="317"/>
    <n v="-0.189"/>
    <d v="2016-07-19T00:00:00"/>
    <s v="−0,129"/>
    <x v="1"/>
  </r>
  <r>
    <x v="318"/>
    <n v="-0.189"/>
    <d v="2016-07-20T00:00:00"/>
    <s v="−0,137"/>
    <x v="1"/>
  </r>
  <r>
    <x v="319"/>
    <n v="-0.188"/>
    <d v="2016-07-21T00:00:00"/>
    <s v="−0,145"/>
    <x v="1"/>
  </r>
  <r>
    <x v="320"/>
    <n v="-0.189"/>
    <d v="2016-07-22T00:00:00"/>
    <s v="−0,147"/>
    <x v="1"/>
  </r>
  <r>
    <x v="321"/>
    <n v="-0.188"/>
    <d v="2016-07-25T00:00:00"/>
    <s v="−0,150"/>
    <x v="1"/>
  </r>
  <r>
    <x v="322"/>
    <n v="-0.187"/>
    <d v="2016-07-26T00:00:00"/>
    <s v="−0,153"/>
    <x v="1"/>
  </r>
  <r>
    <x v="323"/>
    <n v="-0.187"/>
    <d v="2016-07-27T00:00:00"/>
    <s v="−0,156"/>
    <x v="1"/>
  </r>
  <r>
    <x v="324"/>
    <n v="-0.186"/>
    <d v="2016-07-28T00:00:00"/>
    <s v="−0,160"/>
    <x v="1"/>
  </r>
  <r>
    <x v="325"/>
    <n v="-0.186"/>
    <d v="2016-07-29T00:00:00"/>
    <s v="−0,163"/>
    <x v="1"/>
  </r>
  <r>
    <x v="326"/>
    <n v="-0.186"/>
    <d v="2016-08-01T00:00:00"/>
    <s v="−0,167"/>
    <x v="1"/>
  </r>
  <r>
    <x v="327"/>
    <n v="-0.184"/>
    <d v="2016-08-02T00:00:00"/>
    <s v="−0,167"/>
    <x v="1"/>
  </r>
  <r>
    <x v="328"/>
    <n v="-0.183"/>
    <d v="2016-08-03T00:00:00"/>
    <s v="−0,166"/>
    <x v="1"/>
  </r>
  <r>
    <x v="329"/>
    <n v="-0.183"/>
    <d v="2016-08-04T00:00:00"/>
    <s v="−0,167"/>
    <x v="1"/>
  </r>
  <r>
    <x v="330"/>
    <n v="-0.185"/>
    <d v="2016-08-05T00:00:00"/>
    <s v="−0,167"/>
    <x v="1"/>
  </r>
  <r>
    <x v="331"/>
    <n v="-0.185"/>
    <d v="2016-08-08T00:00:00"/>
    <s v="−0,166"/>
    <x v="1"/>
  </r>
  <r>
    <x v="332"/>
    <n v="-0.187"/>
    <d v="2016-08-09T00:00:00"/>
    <s v="−0,167"/>
    <x v="1"/>
  </r>
  <r>
    <x v="333"/>
    <n v="-0.188"/>
    <d v="2016-08-10T00:00:00"/>
    <s v="−0,170"/>
    <x v="1"/>
  </r>
  <r>
    <x v="334"/>
    <n v="-0.189"/>
    <d v="2016-08-11T00:00:00"/>
    <s v="−0,172"/>
    <x v="1"/>
  </r>
  <r>
    <x v="335"/>
    <n v="-0.188"/>
    <d v="2016-08-12T00:00:00"/>
    <s v="−0,175"/>
    <x v="1"/>
  </r>
  <r>
    <x v="336"/>
    <n v="-0.189"/>
    <m/>
    <s v="−0,175"/>
    <x v="1"/>
  </r>
  <r>
    <x v="337"/>
    <n v="-0.189"/>
    <d v="2016-08-16T00:00:00"/>
    <s v="−0,178"/>
    <x v="1"/>
  </r>
  <r>
    <x v="338"/>
    <n v="-0.19"/>
    <d v="2016-08-17T00:00:00"/>
    <s v="−0,180"/>
    <x v="1"/>
  </r>
  <r>
    <x v="339"/>
    <n v="-0.191"/>
    <d v="2016-08-18T00:00:00"/>
    <s v="−0,183"/>
    <x v="1"/>
  </r>
  <r>
    <x v="340"/>
    <n v="-0.189"/>
    <d v="2016-08-19T00:00:00"/>
    <s v="−0,187"/>
    <x v="1"/>
  </r>
  <r>
    <x v="341"/>
    <n v="-0.19"/>
    <d v="2016-08-22T00:00:00"/>
    <s v="−0,191"/>
    <x v="1"/>
  </r>
  <r>
    <x v="342"/>
    <n v="-0.192"/>
    <d v="2016-08-23T00:00:00"/>
    <s v="−0,194"/>
    <x v="1"/>
  </r>
  <r>
    <x v="343"/>
    <n v="-0.191"/>
    <d v="2016-08-24T00:00:00"/>
    <s v="−0,196"/>
    <x v="1"/>
  </r>
  <r>
    <x v="344"/>
    <n v="-0.192"/>
    <d v="2016-08-25T00:00:00"/>
    <s v="−0,197"/>
    <x v="1"/>
  </r>
  <r>
    <x v="345"/>
    <n v="-0.191"/>
    <d v="2016-08-26T00:00:00"/>
    <s v="−0,196"/>
    <x v="1"/>
  </r>
  <r>
    <x v="346"/>
    <n v="-0.193"/>
    <d v="2016-08-29T00:00:00"/>
    <s v="−0,195"/>
    <x v="1"/>
  </r>
  <r>
    <x v="347"/>
    <n v="-0.192"/>
    <d v="2016-08-30T00:00:00"/>
    <s v="−0,194"/>
    <x v="1"/>
  </r>
  <r>
    <x v="348"/>
    <n v="-0.192"/>
    <d v="2016-08-31T00:00:00"/>
    <s v="−0,195"/>
    <x v="1"/>
  </r>
  <r>
    <x v="349"/>
    <n v="-0.193"/>
    <d v="2016-09-01T00:00:00"/>
    <s v="−0,194"/>
    <x v="1"/>
  </r>
  <r>
    <x v="350"/>
    <n v="-0.193"/>
    <d v="2016-09-02T00:00:00"/>
    <s v="−0,193"/>
    <x v="1"/>
  </r>
  <r>
    <x v="351"/>
    <n v="-0.19500000000000001"/>
    <d v="2016-09-05T00:00:00"/>
    <s v="−0,192"/>
    <x v="1"/>
  </r>
  <r>
    <x v="352"/>
    <n v="-0.19700000000000001"/>
    <d v="2016-09-06T00:00:00"/>
    <s v="−0,192"/>
    <x v="1"/>
  </r>
  <r>
    <x v="353"/>
    <n v="-0.19800000000000001"/>
    <d v="2016-09-07T00:00:00"/>
    <s v="−0,193"/>
    <x v="1"/>
  </r>
  <r>
    <x v="354"/>
    <n v="-0.20100000000000001"/>
    <d v="2016-09-08T00:00:00"/>
    <s v="−0,191"/>
    <x v="1"/>
  </r>
  <r>
    <x v="355"/>
    <n v="-0.19800000000000001"/>
    <d v="2016-09-09T00:00:00"/>
    <s v="−0,187"/>
    <x v="1"/>
  </r>
  <r>
    <x v="356"/>
    <n v="-0.19800000000000001"/>
    <d v="2016-09-12T00:00:00"/>
    <s v="−0,182"/>
    <x v="1"/>
  </r>
  <r>
    <x v="357"/>
    <n v="-0.19900000000000001"/>
    <d v="2016-09-13T00:00:00"/>
    <s v="−0,178"/>
    <x v="1"/>
  </r>
  <r>
    <x v="358"/>
    <n v="-0.19900000000000001"/>
    <d v="2016-09-14T00:00:00"/>
    <s v="−0,175"/>
    <x v="1"/>
  </r>
  <r>
    <x v="359"/>
    <n v="-0.19900000000000001"/>
    <d v="2016-09-15T00:00:00"/>
    <s v="−0,154"/>
    <x v="1"/>
  </r>
  <r>
    <x v="360"/>
    <n v="-0.20100000000000001"/>
    <d v="2016-09-16T00:00:00"/>
    <s v="−0,152"/>
    <x v="1"/>
  </r>
  <r>
    <x v="361"/>
    <n v="-0.20200000000000001"/>
    <d v="2016-09-19T00:00:00"/>
    <s v="−0,148"/>
    <x v="1"/>
  </r>
  <r>
    <x v="362"/>
    <n v="-0.2"/>
    <d v="2016-09-20T00:00:00"/>
    <s v="−0,146"/>
    <x v="1"/>
  </r>
  <r>
    <x v="363"/>
    <n v="-0.20100000000000001"/>
    <d v="2016-09-21T00:00:00"/>
    <s v="−0,144"/>
    <x v="1"/>
  </r>
  <r>
    <x v="364"/>
    <n v="-0.20100000000000001"/>
    <d v="2016-09-22T00:00:00"/>
    <s v="−0,145"/>
    <x v="1"/>
  </r>
  <r>
    <x v="365"/>
    <n v="-0.2"/>
    <d v="2016-09-23T00:00:00"/>
    <s v="−0,145"/>
    <x v="1"/>
  </r>
  <r>
    <x v="366"/>
    <n v="-0.19900000000000001"/>
    <d v="2016-09-26T00:00:00"/>
    <s v="−0,148"/>
    <x v="1"/>
  </r>
  <r>
    <x v="367"/>
    <n v="-0.20100000000000001"/>
    <d v="2016-09-27T00:00:00"/>
    <s v="−0,150"/>
    <x v="1"/>
  </r>
  <r>
    <x v="368"/>
    <n v="-0.20200000000000001"/>
    <d v="2016-09-28T00:00:00"/>
    <s v="−0,152"/>
    <x v="1"/>
  </r>
  <r>
    <x v="369"/>
    <n v="-0.20100000000000001"/>
    <d v="2016-09-29T00:00:00"/>
    <s v="−0,156"/>
    <x v="1"/>
  </r>
  <r>
    <x v="370"/>
    <n v="-0.20300000000000001"/>
    <d v="2016-09-30T00:00:00"/>
    <s v="−0,159"/>
    <x v="1"/>
  </r>
  <r>
    <x v="371"/>
    <n v="-0.20300000000000001"/>
    <d v="2016-10-03T00:00:00"/>
    <s v="−0,161"/>
    <x v="1"/>
  </r>
  <r>
    <x v="372"/>
    <n v="-0.20200000000000001"/>
    <d v="2016-10-04T00:00:00"/>
    <s v="−0,162"/>
    <x v="1"/>
  </r>
  <r>
    <x v="373"/>
    <n v="-0.20300000000000001"/>
    <d v="2016-10-05T00:00:00"/>
    <s v="−0,158"/>
    <x v="1"/>
  </r>
  <r>
    <x v="374"/>
    <n v="-0.20200000000000001"/>
    <d v="2016-10-06T00:00:00"/>
    <s v="−0,155"/>
    <x v="1"/>
  </r>
  <r>
    <x v="375"/>
    <n v="-0.20300000000000001"/>
    <d v="2016-10-07T00:00:00"/>
    <s v="−0,153"/>
    <x v="1"/>
  </r>
  <r>
    <x v="376"/>
    <n v="-0.20300000000000001"/>
    <d v="2016-10-10T00:00:00"/>
    <s v="−0,154"/>
    <x v="1"/>
  </r>
  <r>
    <x v="377"/>
    <n v="-0.20300000000000001"/>
    <d v="2016-10-11T00:00:00"/>
    <s v="−0,154"/>
    <x v="1"/>
  </r>
  <r>
    <x v="378"/>
    <n v="-0.20399999999999999"/>
    <d v="2016-10-12T00:00:00"/>
    <s v="−0,152"/>
    <x v="1"/>
  </r>
  <r>
    <x v="379"/>
    <n v="-0.20399999999999999"/>
    <d v="2016-10-13T00:00:00"/>
    <s v="−0,148"/>
    <x v="1"/>
  </r>
  <r>
    <x v="380"/>
    <n v="-0.20399999999999999"/>
    <d v="2016-10-14T00:00:00"/>
    <s v="−0,146"/>
    <x v="1"/>
  </r>
  <r>
    <x v="381"/>
    <n v="-0.20399999999999999"/>
    <d v="2016-10-17T00:00:00"/>
    <s v="−0,144"/>
    <x v="1"/>
  </r>
  <r>
    <x v="382"/>
    <n v="-0.20899999999999999"/>
    <d v="2016-10-18T00:00:00"/>
    <s v="−0,143"/>
    <x v="1"/>
  </r>
  <r>
    <x v="383"/>
    <n v="-0.21"/>
    <d v="2016-10-19T00:00:00"/>
    <s v="−0,142"/>
    <x v="1"/>
  </r>
  <r>
    <x v="384"/>
    <n v="-0.21099999999999999"/>
    <d v="2016-10-20T00:00:00"/>
    <s v="−0,139"/>
    <x v="1"/>
  </r>
  <r>
    <x v="385"/>
    <n v="-0.21099999999999999"/>
    <d v="2016-10-21T00:00:00"/>
    <s v="−0,136"/>
    <x v="1"/>
  </r>
  <r>
    <x v="386"/>
    <n v="-0.21199999999999999"/>
    <d v="2016-10-24T00:00:00"/>
    <s v="−0,133"/>
    <x v="1"/>
  </r>
  <r>
    <x v="387"/>
    <n v="-0.21199999999999999"/>
    <d v="2016-10-25T00:00:00"/>
    <s v="−0,128"/>
    <x v="1"/>
  </r>
  <r>
    <x v="388"/>
    <n v="-0.21199999999999999"/>
    <m/>
    <s v="−0,128"/>
    <x v="1"/>
  </r>
  <r>
    <x v="389"/>
    <n v="-0.21299999999999999"/>
    <d v="2016-10-27T00:00:00"/>
    <s v="−0,119"/>
    <x v="1"/>
  </r>
  <r>
    <x v="390"/>
    <n v="-0.21199999999999999"/>
    <d v="2016-10-28T00:00:00"/>
    <s v="−0,109"/>
    <x v="1"/>
  </r>
  <r>
    <x v="391"/>
    <n v="-0.21199999999999999"/>
    <d v="2016-10-31T00:00:00"/>
    <s v="−0,100"/>
    <x v="1"/>
  </r>
  <r>
    <x v="392"/>
    <n v="-0.21099999999999999"/>
    <m/>
    <n v="-0.1"/>
    <x v="4"/>
  </r>
  <r>
    <x v="393"/>
    <n v="-0.21299999999999999"/>
    <d v="2016-11-02T00:00:00"/>
    <s v="−0,075"/>
    <x v="1"/>
  </r>
  <r>
    <x v="394"/>
    <n v="-0.21299999999999999"/>
    <d v="2016-11-03T00:00:00"/>
    <s v="−0,066"/>
    <x v="1"/>
  </r>
  <r>
    <x v="395"/>
    <n v="-0.21299999999999999"/>
    <d v="2016-11-04T00:00:00"/>
    <s v="−0,061"/>
    <x v="1"/>
  </r>
  <r>
    <x v="396"/>
    <n v="-0.21099999999999999"/>
    <d v="2016-11-07T00:00:00"/>
    <s v="−0,057"/>
    <x v="1"/>
  </r>
  <r>
    <x v="397"/>
    <n v="-0.21099999999999999"/>
    <d v="2016-11-08T00:00:00"/>
    <s v="−0,054"/>
    <x v="1"/>
  </r>
  <r>
    <x v="398"/>
    <n v="-0.21099999999999999"/>
    <d v="2016-11-09T00:00:00"/>
    <s v="−0,050"/>
    <x v="1"/>
  </r>
  <r>
    <x v="399"/>
    <n v="-0.21099999999999999"/>
    <d v="2016-11-10T00:00:00"/>
    <s v="−0,043"/>
    <x v="1"/>
  </r>
  <r>
    <x v="400"/>
    <n v="-0.21"/>
    <d v="2016-11-11T00:00:00"/>
    <s v="−0,033"/>
    <x v="1"/>
  </r>
  <r>
    <x v="401"/>
    <n v="-0.21099999999999999"/>
    <d v="2016-11-14T00:00:00"/>
    <s v="−0,020"/>
    <x v="1"/>
  </r>
  <r>
    <x v="402"/>
    <n v="-0.21099999999999999"/>
    <d v="2016-11-15T00:00:00"/>
    <s v="−0,010"/>
    <x v="1"/>
  </r>
  <r>
    <x v="403"/>
    <n v="-0.214"/>
    <d v="2016-11-16T00:00:00"/>
    <n v="0"/>
    <x v="1"/>
  </r>
  <r>
    <x v="404"/>
    <n v="-0.215"/>
    <d v="2016-11-17T00:00:00"/>
    <n v="8.9999999999999993E-3"/>
    <x v="1"/>
  </r>
  <r>
    <x v="405"/>
    <n v="-0.217"/>
    <d v="2016-11-18T00:00:00"/>
    <n v="0.02"/>
    <x v="1"/>
  </r>
  <r>
    <x v="406"/>
    <n v="-0.219"/>
    <d v="2016-11-21T00:00:00"/>
    <n v="0.03"/>
    <x v="1"/>
  </r>
  <r>
    <x v="407"/>
    <n v="-0.22"/>
    <d v="2016-11-22T00:00:00"/>
    <n v="3.7999999999999999E-2"/>
    <x v="1"/>
  </r>
  <r>
    <x v="408"/>
    <n v="-0.22"/>
    <d v="2016-11-23T00:00:00"/>
    <n v="4.8000000000000001E-2"/>
    <x v="1"/>
  </r>
  <r>
    <x v="409"/>
    <n v="-0.219"/>
    <d v="2016-11-24T00:00:00"/>
    <n v="5.6000000000000001E-2"/>
    <x v="1"/>
  </r>
  <r>
    <x v="410"/>
    <n v="-0.219"/>
    <d v="2016-11-25T00:00:00"/>
    <n v="6.0999999999999999E-2"/>
    <x v="1"/>
  </r>
  <r>
    <x v="411"/>
    <n v="-0.219"/>
    <d v="2016-11-28T00:00:00"/>
    <n v="6.3E-2"/>
    <x v="1"/>
  </r>
  <r>
    <x v="412"/>
    <n v="-0.219"/>
    <d v="2016-11-29T00:00:00"/>
    <n v="6.6000000000000003E-2"/>
    <x v="1"/>
  </r>
  <r>
    <x v="413"/>
    <n v="-0.219"/>
    <d v="2016-11-30T00:00:00"/>
    <n v="7.0000000000000007E-2"/>
    <x v="1"/>
  </r>
  <r>
    <x v="414"/>
    <n v="-0.219"/>
    <d v="2016-12-01T00:00:00"/>
    <n v="7.4999999999999997E-2"/>
    <x v="1"/>
  </r>
  <r>
    <x v="415"/>
    <n v="-0.218"/>
    <d v="2016-12-02T00:00:00"/>
    <n v="0.08"/>
    <x v="1"/>
  </r>
  <r>
    <x v="416"/>
    <n v="-0.218"/>
    <d v="2016-12-05T00:00:00"/>
    <n v="8.5999999999999993E-2"/>
    <x v="1"/>
  </r>
  <r>
    <x v="417"/>
    <n v="-0.219"/>
    <d v="2016-12-06T00:00:00"/>
    <n v="9.1999999999999998E-2"/>
    <x v="1"/>
  </r>
  <r>
    <x v="418"/>
    <n v="-0.217"/>
    <d v="2016-12-07T00:00:00"/>
    <n v="9.8000000000000004E-2"/>
    <x v="1"/>
  </r>
  <r>
    <x v="419"/>
    <n v="-0.217"/>
    <m/>
    <n v="9.8000000000000004E-2"/>
    <x v="1"/>
  </r>
  <r>
    <x v="420"/>
    <n v="-0.217"/>
    <d v="2016-12-09T00:00:00"/>
    <n v="0.1"/>
    <x v="1"/>
  </r>
  <r>
    <x v="421"/>
    <n v="-0.217"/>
    <d v="2016-12-12T00:00:00"/>
    <n v="0.10199999999999999"/>
    <x v="1"/>
  </r>
  <r>
    <x v="422"/>
    <n v="-0.218"/>
    <d v="2016-12-13T00:00:00"/>
    <n v="9.9000000000000005E-2"/>
    <x v="1"/>
  </r>
  <r>
    <x v="423"/>
    <n v="-0.217"/>
    <d v="2016-12-14T00:00:00"/>
    <n v="9.8000000000000004E-2"/>
    <x v="1"/>
  </r>
  <r>
    <x v="424"/>
    <n v="-0.217"/>
    <d v="2016-12-15T00:00:00"/>
    <n v="9.9000000000000005E-2"/>
    <x v="1"/>
  </r>
  <r>
    <x v="425"/>
    <n v="-0.216"/>
    <d v="2016-12-16T00:00:00"/>
    <n v="9.8000000000000004E-2"/>
    <x v="1"/>
  </r>
  <r>
    <x v="426"/>
    <n v="-0.216"/>
    <d v="2016-12-19T00:00:00"/>
    <n v="9.5000000000000001E-2"/>
    <x v="1"/>
  </r>
  <r>
    <x v="427"/>
    <n v="-0.218"/>
    <d v="2016-12-20T00:00:00"/>
    <n v="9.2999999999999999E-2"/>
    <x v="1"/>
  </r>
  <r>
    <x v="428"/>
    <n v="-0.216"/>
    <d v="2016-12-21T00:00:00"/>
    <n v="9.1999999999999998E-2"/>
    <x v="1"/>
  </r>
  <r>
    <x v="429"/>
    <n v="-0.216"/>
    <d v="2016-12-22T00:00:00"/>
    <n v="9.0999999999999998E-2"/>
    <x v="1"/>
  </r>
  <r>
    <x v="430"/>
    <n v="-0.217"/>
    <d v="2016-12-23T00:00:00"/>
    <n v="8.7999999999999995E-2"/>
    <x v="1"/>
  </r>
  <r>
    <x v="431"/>
    <n v="-0.217"/>
    <m/>
    <n v="8.7999999999999995E-2"/>
    <x v="1"/>
  </r>
  <r>
    <x v="432"/>
    <n v="-0.22"/>
    <d v="2016-12-27T00:00:00"/>
    <n v="8.5000000000000006E-2"/>
    <x v="1"/>
  </r>
  <r>
    <x v="433"/>
    <n v="-0.221"/>
    <d v="2016-12-28T00:00:00"/>
    <n v="8.1000000000000003E-2"/>
    <x v="1"/>
  </r>
  <r>
    <x v="434"/>
    <n v="-0.221"/>
    <d v="2016-12-29T00:00:00"/>
    <n v="7.8E-2"/>
    <x v="1"/>
  </r>
  <r>
    <x v="435"/>
    <n v="-0.221"/>
    <d v="2016-12-30T00:00:00"/>
    <n v="7.5999999999999998E-2"/>
    <x v="1"/>
  </r>
  <r>
    <x v="436"/>
    <n v="-0.22"/>
    <d v="2017-01-02T00:00:00"/>
    <n v="7.0000000000000007E-2"/>
    <x v="1"/>
  </r>
  <r>
    <x v="437"/>
    <n v="-0.221"/>
    <d v="2017-01-03T00:00:00"/>
    <n v="6.7000000000000004E-2"/>
    <x v="1"/>
  </r>
  <r>
    <x v="438"/>
    <n v="-0.224"/>
    <d v="2017-01-04T00:00:00"/>
    <n v="6.4000000000000001E-2"/>
    <x v="1"/>
  </r>
  <r>
    <x v="439"/>
    <n v="-0.22600000000000001"/>
    <d v="2017-01-05T00:00:00"/>
    <n v="6.2E-2"/>
    <x v="1"/>
  </r>
  <r>
    <x v="440"/>
    <n v="-0.22900000000000001"/>
    <m/>
    <n v="6.2E-2"/>
    <x v="1"/>
  </r>
  <r>
    <x v="441"/>
    <n v="-0.23"/>
    <d v="2017-01-09T00:00:00"/>
    <n v="0.06"/>
    <x v="1"/>
  </r>
  <r>
    <x v="442"/>
    <n v="-0.23200000000000001"/>
    <d v="2017-01-10T00:00:00"/>
    <n v="5.8999999999999997E-2"/>
    <x v="1"/>
  </r>
  <r>
    <x v="443"/>
    <n v="-0.23300000000000001"/>
    <d v="2017-01-11T00:00:00"/>
    <n v="5.5E-2"/>
    <x v="1"/>
  </r>
  <r>
    <x v="444"/>
    <n v="-0.23400000000000001"/>
    <d v="2017-01-12T00:00:00"/>
    <n v="5.7000000000000002E-2"/>
    <x v="1"/>
  </r>
  <r>
    <x v="445"/>
    <n v="-0.23599999999999999"/>
    <d v="2017-01-13T00:00:00"/>
    <n v="5.6000000000000001E-2"/>
    <x v="1"/>
  </r>
  <r>
    <x v="446"/>
    <n v="-0.23799999999999999"/>
    <d v="2017-01-16T00:00:00"/>
    <n v="0.10100000000000001"/>
    <x v="1"/>
  </r>
  <r>
    <x v="447"/>
    <n v="-0.23899999999999999"/>
    <d v="2017-01-17T00:00:00"/>
    <n v="0.1"/>
    <x v="1"/>
  </r>
  <r>
    <x v="448"/>
    <n v="-0.24"/>
    <d v="2017-01-18T00:00:00"/>
    <n v="0.1"/>
    <x v="1"/>
  </r>
  <r>
    <x v="449"/>
    <n v="-0.24"/>
    <d v="2017-01-19T00:00:00"/>
    <n v="0.10299999999999999"/>
    <x v="1"/>
  </r>
  <r>
    <x v="450"/>
    <n v="-0.24099999999999999"/>
    <d v="2017-01-20T00:00:00"/>
    <n v="0.108"/>
    <x v="1"/>
  </r>
  <r>
    <x v="451"/>
    <n v="-0.24099999999999999"/>
    <d v="2017-01-23T00:00:00"/>
    <n v="0.113"/>
    <x v="1"/>
  </r>
  <r>
    <x v="452"/>
    <n v="-0.24199999999999999"/>
    <d v="2017-01-24T00:00:00"/>
    <n v="0.11799999999999999"/>
    <x v="1"/>
  </r>
  <r>
    <x v="453"/>
    <n v="-0.24199999999999999"/>
    <d v="2017-01-25T00:00:00"/>
    <n v="0.127"/>
    <x v="1"/>
  </r>
  <r>
    <x v="454"/>
    <n v="-0.24399999999999999"/>
    <d v="2017-01-26T00:00:00"/>
    <n v="0.13800000000000001"/>
    <x v="1"/>
  </r>
  <r>
    <x v="455"/>
    <n v="-0.24299999999999999"/>
    <d v="2017-01-27T00:00:00"/>
    <n v="0.14899999999999999"/>
    <x v="1"/>
  </r>
  <r>
    <x v="456"/>
    <n v="-0.24399999999999999"/>
    <d v="2017-01-30T00:00:00"/>
    <n v="0.161"/>
    <x v="1"/>
  </r>
  <r>
    <x v="457"/>
    <n v="-0.24299999999999999"/>
    <d v="2017-01-31T00:00:00"/>
    <n v="0.17199999999999999"/>
    <x v="1"/>
  </r>
  <r>
    <x v="458"/>
    <n v="-0.24399999999999999"/>
    <d v="2017-02-01T00:00:00"/>
    <n v="0.18099999999999999"/>
    <x v="1"/>
  </r>
  <r>
    <x v="459"/>
    <n v="-0.24399999999999999"/>
    <d v="2017-02-02T00:00:00"/>
    <n v="0.188"/>
    <x v="1"/>
  </r>
  <r>
    <x v="460"/>
    <n v="-0.24399999999999999"/>
    <d v="2017-02-03T00:00:00"/>
    <n v="0.192"/>
    <x v="1"/>
  </r>
  <r>
    <x v="461"/>
    <n v="-0.24399999999999999"/>
    <d v="2017-02-06T00:00:00"/>
    <n v="0.19500000000000001"/>
    <x v="1"/>
  </r>
  <r>
    <x v="462"/>
    <n v="-0.24399999999999999"/>
    <d v="2017-02-07T00:00:00"/>
    <n v="0.19700000000000001"/>
    <x v="1"/>
  </r>
  <r>
    <x v="463"/>
    <n v="-0.24199999999999999"/>
    <d v="2017-02-08T00:00:00"/>
    <n v="0.19800000000000001"/>
    <x v="1"/>
  </r>
  <r>
    <x v="464"/>
    <n v="-0.24099999999999999"/>
    <d v="2017-02-09T00:00:00"/>
    <n v="0.2"/>
    <x v="1"/>
  </r>
  <r>
    <x v="465"/>
    <n v="-0.24"/>
    <d v="2017-02-10T00:00:00"/>
    <n v="0.20200000000000001"/>
    <x v="1"/>
  </r>
  <r>
    <x v="466"/>
    <n v="-0.24"/>
    <d v="2017-02-13T00:00:00"/>
    <n v="0.20399999999999999"/>
    <x v="1"/>
  </r>
  <r>
    <x v="467"/>
    <n v="-0.24099999999999999"/>
    <d v="2017-02-14T00:00:00"/>
    <n v="0.20799999999999999"/>
    <x v="1"/>
  </r>
  <r>
    <x v="468"/>
    <n v="-0.24099999999999999"/>
    <d v="2017-02-15T00:00:00"/>
    <n v="0.21099999999999999"/>
    <x v="1"/>
  </r>
  <r>
    <x v="469"/>
    <n v="-0.23899999999999999"/>
    <d v="2017-02-16T00:00:00"/>
    <n v="0.21199999999999999"/>
    <x v="1"/>
  </r>
  <r>
    <x v="470"/>
    <n v="-0.23899999999999999"/>
    <d v="2017-02-17T00:00:00"/>
    <n v="0.21"/>
    <x v="1"/>
  </r>
  <r>
    <x v="471"/>
    <n v="-0.23799999999999999"/>
    <d v="2017-02-20T00:00:00"/>
    <n v="0.20899999999999999"/>
    <x v="1"/>
  </r>
  <r>
    <x v="472"/>
    <n v="-0.23799999999999999"/>
    <d v="2017-02-21T00:00:00"/>
    <n v="0.20899999999999999"/>
    <x v="1"/>
  </r>
  <r>
    <x v="473"/>
    <n v="-0.23899999999999999"/>
    <d v="2017-02-22T00:00:00"/>
    <n v="0.20399999999999999"/>
    <x v="1"/>
  </r>
  <r>
    <x v="474"/>
    <n v="-0.23799999999999999"/>
    <d v="2017-02-23T00:00:00"/>
    <n v="0.19600000000000001"/>
    <x v="1"/>
  </r>
  <r>
    <x v="475"/>
    <n v="-0.23799999999999999"/>
    <d v="2017-02-24T00:00:00"/>
    <n v="0.186"/>
    <x v="1"/>
  </r>
  <r>
    <x v="476"/>
    <n v="-0.23799999999999999"/>
    <d v="2017-02-27T00:00:00"/>
    <n v="0.17399999999999999"/>
    <x v="1"/>
  </r>
  <r>
    <x v="477"/>
    <n v="-0.23899999999999999"/>
    <d v="2017-02-28T00:00:00"/>
    <n v="0.16400000000000001"/>
    <x v="1"/>
  </r>
  <r>
    <x v="478"/>
    <n v="-0.23699999999999999"/>
    <d v="2017-03-01T00:00:00"/>
    <n v="0.155"/>
    <x v="1"/>
  </r>
  <r>
    <x v="479"/>
    <n v="-0.23799999999999999"/>
    <d v="2017-03-02T00:00:00"/>
    <n v="0.15"/>
    <x v="1"/>
  </r>
  <r>
    <x v="480"/>
    <n v="-0.23699999999999999"/>
    <d v="2017-03-03T00:00:00"/>
    <n v="0.14499999999999999"/>
    <x v="1"/>
  </r>
  <r>
    <x v="481"/>
    <n v="-0.24099999999999999"/>
    <d v="2017-03-06T00:00:00"/>
    <n v="0.14199999999999999"/>
    <x v="1"/>
  </r>
  <r>
    <x v="482"/>
    <n v="-0.24"/>
    <d v="2017-03-07T00:00:00"/>
    <n v="0.13900000000000001"/>
    <x v="1"/>
  </r>
  <r>
    <x v="483"/>
    <n v="-0.24099999999999999"/>
    <d v="2017-03-08T00:00:00"/>
    <n v="0.13800000000000001"/>
    <x v="1"/>
  </r>
  <r>
    <x v="484"/>
    <n v="-0.24099999999999999"/>
    <d v="2017-03-09T00:00:00"/>
    <n v="0.14499999999999999"/>
    <x v="1"/>
  </r>
  <r>
    <x v="485"/>
    <n v="-0.24099999999999999"/>
    <d v="2017-03-10T00:00:00"/>
    <n v="0.14699999999999999"/>
    <x v="1"/>
  </r>
  <r>
    <x v="486"/>
    <n v="-0.24099999999999999"/>
    <d v="2017-03-13T00:00:00"/>
    <n v="0.14799999999999999"/>
    <x v="1"/>
  </r>
  <r>
    <x v="487"/>
    <n v="-0.24099999999999999"/>
    <d v="2017-03-14T00:00:00"/>
    <n v="0.15"/>
    <x v="1"/>
  </r>
  <r>
    <x v="488"/>
    <n v="-0.24099999999999999"/>
    <d v="2017-03-15T00:00:00"/>
    <n v="0.14899999999999999"/>
    <x v="1"/>
  </r>
  <r>
    <x v="489"/>
    <n v="-0.24099999999999999"/>
    <d v="2017-03-16T00:00:00"/>
    <n v="0.15"/>
    <x v="1"/>
  </r>
  <r>
    <x v="490"/>
    <n v="-0.24099999999999999"/>
    <d v="2017-03-17T00:00:00"/>
    <n v="0.152"/>
    <x v="1"/>
  </r>
  <r>
    <x v="491"/>
    <n v="-0.24099999999999999"/>
    <d v="2017-03-20T00:00:00"/>
    <n v="0.155"/>
    <x v="1"/>
  </r>
  <r>
    <x v="492"/>
    <n v="-0.24099999999999999"/>
    <d v="2017-03-21T00:00:00"/>
    <n v="0.158"/>
    <x v="1"/>
  </r>
  <r>
    <x v="493"/>
    <n v="-0.24199999999999999"/>
    <d v="2017-03-22T00:00:00"/>
    <n v="0.161"/>
    <x v="1"/>
  </r>
  <r>
    <x v="494"/>
    <n v="-0.24199999999999999"/>
    <d v="2017-03-23T00:00:00"/>
    <n v="0.16500000000000001"/>
    <x v="1"/>
  </r>
  <r>
    <x v="495"/>
    <n v="-0.24199999999999999"/>
    <d v="2017-03-24T00:00:00"/>
    <n v="0.17299999999999999"/>
    <x v="1"/>
  </r>
  <r>
    <x v="496"/>
    <n v="-0.24199999999999999"/>
    <d v="2017-03-27T00:00:00"/>
    <n v="0.18"/>
    <x v="1"/>
  </r>
  <r>
    <x v="497"/>
    <n v="-0.24199999999999999"/>
    <d v="2017-03-28T00:00:00"/>
    <n v="0.186"/>
    <x v="1"/>
  </r>
  <r>
    <x v="498"/>
    <n v="-0.24199999999999999"/>
    <d v="2017-03-29T00:00:00"/>
    <n v="0.19"/>
    <x v="1"/>
  </r>
  <r>
    <x v="499"/>
    <n v="-0.24099999999999999"/>
    <d v="2017-03-30T00:00:00"/>
    <n v="0.19"/>
    <x v="1"/>
  </r>
  <r>
    <x v="500"/>
    <n v="-0.24099999999999999"/>
    <d v="2017-03-31T00:00:00"/>
    <n v="0.19"/>
    <x v="1"/>
  </r>
  <r>
    <x v="501"/>
    <n v="-0.24299999999999999"/>
    <d v="2017-04-03T00:00:00"/>
    <n v="0.189"/>
    <x v="1"/>
  </r>
  <r>
    <x v="502"/>
    <n v="-0.24199999999999999"/>
    <d v="2017-04-04T00:00:00"/>
    <n v="0.186"/>
    <x v="1"/>
  </r>
  <r>
    <x v="503"/>
    <n v="-0.24099999999999999"/>
    <d v="2017-04-05T00:00:00"/>
    <n v="0.182"/>
    <x v="1"/>
  </r>
  <r>
    <x v="504"/>
    <n v="-0.24199999999999999"/>
    <d v="2017-04-06T00:00:00"/>
    <n v="0.17799999999999999"/>
    <x v="1"/>
  </r>
  <r>
    <x v="505"/>
    <n v="-0.24099999999999999"/>
    <d v="2017-04-07T00:00:00"/>
    <n v="0.17"/>
    <x v="1"/>
  </r>
  <r>
    <x v="506"/>
    <n v="-0.24099999999999999"/>
    <d v="2017-04-10T00:00:00"/>
    <n v="0.16200000000000001"/>
    <x v="1"/>
  </r>
  <r>
    <x v="507"/>
    <n v="-0.24199999999999999"/>
    <d v="2017-04-11T00:00:00"/>
    <n v="0.154"/>
    <x v="1"/>
  </r>
  <r>
    <x v="508"/>
    <n v="-0.24199999999999999"/>
    <d v="2017-04-12T00:00:00"/>
    <n v="0.14699999999999999"/>
    <x v="1"/>
  </r>
  <r>
    <x v="509"/>
    <n v="-0.246"/>
    <d v="2017-04-13T00:00:00"/>
    <n v="0.13800000000000001"/>
    <x v="1"/>
  </r>
  <r>
    <x v="510"/>
    <n v="-0.246"/>
    <m/>
    <n v="0.13800000000000001"/>
    <x v="1"/>
  </r>
  <r>
    <x v="511"/>
    <n v="-0.246"/>
    <m/>
    <n v="0.13800000000000001"/>
    <x v="1"/>
  </r>
  <r>
    <x v="512"/>
    <n v="-0.25"/>
    <d v="2017-04-18T00:00:00"/>
    <n v="0.123"/>
    <x v="1"/>
  </r>
  <r>
    <x v="513"/>
    <n v="-0.251"/>
    <d v="2017-04-19T00:00:00"/>
    <n v="0.113"/>
    <x v="1"/>
  </r>
  <r>
    <x v="514"/>
    <n v="-0.249"/>
    <d v="2017-04-20T00:00:00"/>
    <n v="0.11799999999999999"/>
    <x v="1"/>
  </r>
  <r>
    <x v="515"/>
    <n v="-0.249"/>
    <d v="2017-04-21T00:00:00"/>
    <n v="0.113"/>
    <x v="1"/>
  </r>
  <r>
    <x v="516"/>
    <n v="-0.247"/>
    <d v="2017-04-24T00:00:00"/>
    <n v="0.111"/>
    <x v="1"/>
  </r>
  <r>
    <x v="517"/>
    <n v="-0.248"/>
    <d v="2017-04-25T00:00:00"/>
    <n v="0.112"/>
    <x v="1"/>
  </r>
  <r>
    <x v="518"/>
    <n v="-0.248"/>
    <d v="2017-04-26T00:00:00"/>
    <n v="0.112"/>
    <x v="1"/>
  </r>
  <r>
    <x v="519"/>
    <n v="-0.248"/>
    <d v="2017-04-27T00:00:00"/>
    <n v="0.112"/>
    <x v="1"/>
  </r>
  <r>
    <x v="520"/>
    <n v="-0.249"/>
    <d v="2017-04-28T00:00:00"/>
    <n v="0.112"/>
    <x v="1"/>
  </r>
  <r>
    <x v="521"/>
    <n v="-0.249"/>
    <m/>
    <n v="0.112"/>
    <x v="5"/>
  </r>
  <r>
    <x v="522"/>
    <n v="-0.249"/>
    <d v="2017-05-02T00:00:00"/>
    <n v="0.112"/>
    <x v="1"/>
  </r>
  <r>
    <x v="523"/>
    <n v="-0.251"/>
    <d v="2017-05-03T00:00:00"/>
    <n v="0.114"/>
    <x v="1"/>
  </r>
  <r>
    <x v="524"/>
    <n v="-0.25"/>
    <d v="2017-05-04T00:00:00"/>
    <n v="0.12"/>
    <x v="1"/>
  </r>
  <r>
    <x v="525"/>
    <n v="-0.248"/>
    <d v="2017-05-05T00:00:00"/>
    <n v="0.126"/>
    <x v="1"/>
  </r>
  <r>
    <x v="526"/>
    <n v="-0.249"/>
    <d v="2017-05-08T00:00:00"/>
    <n v="0.13300000000000001"/>
    <x v="1"/>
  </r>
  <r>
    <x v="527"/>
    <n v="-0.249"/>
    <d v="2017-05-09T00:00:00"/>
    <n v="0.14099999999999999"/>
    <x v="1"/>
  </r>
  <r>
    <x v="528"/>
    <n v="-0.249"/>
    <d v="2017-05-10T00:00:00"/>
    <n v="0.14899999999999999"/>
    <x v="1"/>
  </r>
  <r>
    <x v="529"/>
    <n v="-0.25"/>
    <d v="2017-05-11T00:00:00"/>
    <n v="0.16300000000000001"/>
    <x v="1"/>
  </r>
  <r>
    <x v="530"/>
    <n v="-0.251"/>
    <d v="2017-05-12T00:00:00"/>
    <n v="0.17100000000000001"/>
    <x v="1"/>
  </r>
  <r>
    <x v="531"/>
    <n v="-0.251"/>
    <d v="2017-05-15T00:00:00"/>
    <n v="0.17899999999999999"/>
    <x v="1"/>
  </r>
  <r>
    <x v="532"/>
    <n v="-0.25"/>
    <d v="2017-05-16T00:00:00"/>
    <n v="0.182"/>
    <x v="1"/>
  </r>
  <r>
    <x v="533"/>
    <n v="-0.251"/>
    <d v="2017-05-17T00:00:00"/>
    <n v="0.19"/>
    <x v="1"/>
  </r>
  <r>
    <x v="534"/>
    <n v="-0.251"/>
    <d v="2017-05-18T00:00:00"/>
    <n v="0.19600000000000001"/>
    <x v="1"/>
  </r>
  <r>
    <x v="535"/>
    <n v="-0.251"/>
    <d v="2017-05-19T00:00:00"/>
    <n v="0.2"/>
    <x v="1"/>
  </r>
  <r>
    <x v="536"/>
    <n v="-0.251"/>
    <d v="2017-05-22T00:00:00"/>
    <n v="0.20499999999999999"/>
    <x v="1"/>
  </r>
  <r>
    <x v="537"/>
    <n v="-0.251"/>
    <d v="2017-05-23T00:00:00"/>
    <n v="0.20699999999999999"/>
    <x v="1"/>
  </r>
  <r>
    <x v="538"/>
    <n v="-0.25"/>
    <d v="2017-05-24T00:00:00"/>
    <n v="0.20699999999999999"/>
    <x v="1"/>
  </r>
  <r>
    <x v="539"/>
    <n v="-0.251"/>
    <m/>
    <n v="0.20699999999999999"/>
    <x v="1"/>
  </r>
  <r>
    <x v="540"/>
    <n v="-0.254"/>
    <d v="2017-05-26T00:00:00"/>
    <n v="0.20599999999999999"/>
    <x v="1"/>
  </r>
  <r>
    <x v="541"/>
    <n v="-0.254"/>
    <d v="2017-05-29T00:00:00"/>
    <n v="0.20499999999999999"/>
    <x v="1"/>
  </r>
  <r>
    <x v="542"/>
    <n v="-0.254"/>
    <d v="2017-05-30T00:00:00"/>
    <n v="0.20300000000000001"/>
    <x v="1"/>
  </r>
  <r>
    <x v="543"/>
    <n v="-0.254"/>
    <d v="2017-05-31T00:00:00"/>
    <n v="0.20200000000000001"/>
    <x v="1"/>
  </r>
  <r>
    <x v="544"/>
    <n v="-0.254"/>
    <d v="2017-06-01T00:00:00"/>
    <n v="0.20200000000000001"/>
    <x v="1"/>
  </r>
  <r>
    <x v="545"/>
    <n v="-0.255"/>
    <d v="2017-06-02T00:00:00"/>
    <n v="0.19800000000000001"/>
    <x v="1"/>
  </r>
  <r>
    <x v="546"/>
    <n v="-0.25600000000000001"/>
    <m/>
    <n v="0.19800000000000001"/>
    <x v="1"/>
  </r>
  <r>
    <x v="547"/>
    <n v="-0.25700000000000001"/>
    <d v="2017-06-06T00:00:00"/>
    <n v="0.193"/>
    <x v="1"/>
  </r>
  <r>
    <x v="548"/>
    <n v="-0.25900000000000001"/>
    <d v="2017-06-07T00:00:00"/>
    <n v="0.188"/>
    <x v="1"/>
  </r>
  <r>
    <x v="549"/>
    <n v="-0.26"/>
    <d v="2017-06-08T00:00:00"/>
    <n v="0.184"/>
    <x v="1"/>
  </r>
  <r>
    <x v="550"/>
    <n v="-0.26400000000000001"/>
    <d v="2017-06-09T00:00:00"/>
    <n v="0.17799999999999999"/>
    <x v="1"/>
  </r>
  <r>
    <x v="551"/>
    <n v="-0.26600000000000001"/>
    <d v="2017-06-12T00:00:00"/>
    <n v="0.17199999999999999"/>
    <x v="1"/>
  </r>
  <r>
    <x v="552"/>
    <n v="-0.27"/>
    <d v="2017-06-13T00:00:00"/>
    <n v="0.16700000000000001"/>
    <x v="1"/>
  </r>
  <r>
    <x v="553"/>
    <n v="-0.27100000000000002"/>
    <d v="2017-06-14T00:00:00"/>
    <n v="0.161"/>
    <x v="1"/>
  </r>
  <r>
    <x v="554"/>
    <n v="-0.27100000000000002"/>
    <m/>
    <n v="0.161"/>
    <x v="1"/>
  </r>
  <r>
    <x v="555"/>
    <n v="-0.27100000000000002"/>
    <d v="2017-06-16T00:00:00"/>
    <n v="0.157"/>
    <x v="1"/>
  </r>
  <r>
    <x v="556"/>
    <n v="-0.27100000000000002"/>
    <d v="2017-06-19T00:00:00"/>
    <n v="0.152"/>
    <x v="1"/>
  </r>
  <r>
    <x v="557"/>
    <n v="-0.27100000000000002"/>
    <d v="2017-06-20T00:00:00"/>
    <n v="0.15"/>
    <x v="1"/>
  </r>
  <r>
    <x v="558"/>
    <n v="-0.27100000000000002"/>
    <d v="2017-06-21T00:00:00"/>
    <n v="0.14499999999999999"/>
    <x v="1"/>
  </r>
  <r>
    <x v="559"/>
    <n v="-0.27200000000000002"/>
    <d v="2017-06-22T00:00:00"/>
    <n v="0.14099999999999999"/>
    <x v="1"/>
  </r>
  <r>
    <x v="560"/>
    <n v="-0.27300000000000002"/>
    <d v="2017-06-23T00:00:00"/>
    <n v="0.13600000000000001"/>
    <x v="1"/>
  </r>
  <r>
    <x v="561"/>
    <n v="-0.27300000000000002"/>
    <d v="2017-06-26T00:00:00"/>
    <n v="0.13100000000000001"/>
    <x v="1"/>
  </r>
  <r>
    <x v="562"/>
    <n v="-0.27300000000000002"/>
    <d v="2017-06-27T00:00:00"/>
    <n v="0.13200000000000001"/>
    <x v="1"/>
  </r>
  <r>
    <x v="563"/>
    <n v="-0.27100000000000002"/>
    <d v="2017-06-28T00:00:00"/>
    <n v="0.13500000000000001"/>
    <x v="1"/>
  </r>
  <r>
    <x v="564"/>
    <n v="-0.27"/>
    <d v="2017-06-29T00:00:00"/>
    <n v="0.14099999999999999"/>
    <x v="1"/>
  </r>
  <r>
    <x v="565"/>
    <n v="-0.27100000000000002"/>
    <d v="2017-06-30T00:00:00"/>
    <n v="0.14899999999999999"/>
    <x v="1"/>
  </r>
  <r>
    <x v="566"/>
    <n v="-0.27100000000000002"/>
    <d v="2017-07-03T00:00:00"/>
    <n v="0.155"/>
    <x v="1"/>
  </r>
  <r>
    <x v="567"/>
    <n v="-0.27200000000000002"/>
    <d v="2017-07-04T00:00:00"/>
    <n v="0.16200000000000001"/>
    <x v="1"/>
  </r>
  <r>
    <x v="568"/>
    <n v="-0.27400000000000002"/>
    <d v="2017-07-05T00:00:00"/>
    <n v="0.17"/>
    <x v="1"/>
  </r>
  <r>
    <x v="569"/>
    <n v="-0.27300000000000002"/>
    <d v="2017-07-06T00:00:00"/>
    <n v="0.185"/>
    <x v="1"/>
  </r>
  <r>
    <x v="570"/>
    <n v="-0.27200000000000002"/>
    <d v="2017-07-07T00:00:00"/>
    <n v="0.19600000000000001"/>
    <x v="1"/>
  </r>
  <r>
    <x v="571"/>
    <n v="-0.27300000000000002"/>
    <d v="2017-07-10T00:00:00"/>
    <n v="0.20699999999999999"/>
    <x v="1"/>
  </r>
  <r>
    <x v="572"/>
    <n v="-0.27300000000000002"/>
    <d v="2017-07-11T00:00:00"/>
    <n v="0.218"/>
    <x v="1"/>
  </r>
  <r>
    <x v="573"/>
    <n v="-0.27300000000000002"/>
    <d v="2017-07-12T00:00:00"/>
    <n v="0.22700000000000001"/>
    <x v="1"/>
  </r>
  <r>
    <x v="574"/>
    <n v="-0.27300000000000002"/>
    <d v="2017-07-13T00:00:00"/>
    <n v="0.23599999999999999"/>
    <x v="1"/>
  </r>
  <r>
    <x v="575"/>
    <n v="-0.27300000000000002"/>
    <d v="2017-07-14T00:00:00"/>
    <n v="0.24299999999999999"/>
    <x v="1"/>
  </r>
  <r>
    <x v="576"/>
    <n v="-0.27400000000000002"/>
    <d v="2017-07-17T00:00:00"/>
    <n v="0.25"/>
    <x v="1"/>
  </r>
  <r>
    <x v="577"/>
    <n v="-0.27400000000000002"/>
    <d v="2017-07-18T00:00:00"/>
    <n v="0.25700000000000001"/>
    <x v="1"/>
  </r>
  <r>
    <x v="578"/>
    <n v="-0.27400000000000002"/>
    <d v="2017-07-19T00:00:00"/>
    <n v="0.26500000000000001"/>
    <x v="1"/>
  </r>
  <r>
    <x v="579"/>
    <n v="-0.27400000000000002"/>
    <d v="2017-07-20T00:00:00"/>
    <n v="0.27100000000000002"/>
    <x v="1"/>
  </r>
  <r>
    <x v="580"/>
    <n v="-0.27200000000000002"/>
    <d v="2017-07-21T00:00:00"/>
    <n v="0.27500000000000002"/>
    <x v="1"/>
  </r>
  <r>
    <x v="581"/>
    <n v="-0.27100000000000002"/>
    <d v="2017-07-24T00:00:00"/>
    <n v="0.28000000000000003"/>
    <x v="1"/>
  </r>
  <r>
    <x v="582"/>
    <n v="-0.27200000000000002"/>
    <d v="2017-07-25T00:00:00"/>
    <n v="0.28299999999999997"/>
    <x v="1"/>
  </r>
  <r>
    <x v="583"/>
    <n v="-0.27200000000000002"/>
    <d v="2017-07-26T00:00:00"/>
    <n v="0.28399999999999997"/>
    <x v="1"/>
  </r>
  <r>
    <x v="584"/>
    <n v="-0.27200000000000002"/>
    <d v="2017-07-27T00:00:00"/>
    <n v="0.28199999999999997"/>
    <x v="1"/>
  </r>
  <r>
    <x v="585"/>
    <n v="-0.27200000000000002"/>
    <d v="2017-07-28T00:00:00"/>
    <n v="0.28100000000000003"/>
    <x v="1"/>
  </r>
  <r>
    <x v="586"/>
    <n v="-0.27100000000000002"/>
    <d v="2017-07-31T00:00:00"/>
    <n v="0.27900000000000003"/>
    <x v="1"/>
  </r>
  <r>
    <x v="587"/>
    <n v="-0.27200000000000002"/>
    <d v="2017-08-01T00:00:00"/>
    <n v="0.27700000000000002"/>
    <x v="1"/>
  </r>
  <r>
    <x v="588"/>
    <n v="-0.27300000000000002"/>
    <d v="2017-08-02T00:00:00"/>
    <n v="0.27300000000000002"/>
    <x v="1"/>
  </r>
  <r>
    <x v="589"/>
    <n v="-0.27200000000000002"/>
    <d v="2017-08-03T00:00:00"/>
    <n v="0.26700000000000002"/>
    <x v="1"/>
  </r>
  <r>
    <x v="590"/>
    <n v="-0.27100000000000002"/>
    <d v="2017-08-04T00:00:00"/>
    <n v="0.26"/>
    <x v="1"/>
  </r>
  <r>
    <x v="591"/>
    <n v="-0.27"/>
    <d v="2017-08-07T00:00:00"/>
    <n v="0.253"/>
    <x v="1"/>
  </r>
  <r>
    <x v="592"/>
    <n v="-0.26900000000000002"/>
    <d v="2017-08-08T00:00:00"/>
    <n v="0.246"/>
    <x v="1"/>
  </r>
  <r>
    <x v="593"/>
    <n v="-0.27100000000000002"/>
    <d v="2017-08-09T00:00:00"/>
    <n v="0.24"/>
    <x v="1"/>
  </r>
  <r>
    <x v="594"/>
    <n v="-0.27100000000000002"/>
    <d v="2017-08-10T00:00:00"/>
    <n v="0.23499999999999999"/>
    <x v="1"/>
  </r>
  <r>
    <x v="595"/>
    <n v="-0.27100000000000002"/>
    <d v="2017-08-11T00:00:00"/>
    <n v="0.22700000000000001"/>
    <x v="1"/>
  </r>
  <r>
    <x v="596"/>
    <n v="-0.27100000000000002"/>
    <d v="2017-08-14T00:00:00"/>
    <n v="0.221"/>
    <x v="1"/>
  </r>
  <r>
    <x v="597"/>
    <n v="-0.27100000000000002"/>
    <m/>
    <n v="0.221"/>
    <x v="1"/>
  </r>
  <r>
    <x v="598"/>
    <n v="-0.27100000000000002"/>
    <d v="2017-08-16T00:00:00"/>
    <n v="0.22"/>
    <x v="1"/>
  </r>
  <r>
    <x v="599"/>
    <n v="-0.27100000000000002"/>
    <d v="2017-08-17T00:00:00"/>
    <n v="0.216"/>
    <x v="1"/>
  </r>
  <r>
    <x v="600"/>
    <n v="-0.27100000000000002"/>
    <d v="2017-08-18T00:00:00"/>
    <n v="0.21099999999999999"/>
    <x v="1"/>
  </r>
  <r>
    <x v="601"/>
    <n v="-0.27100000000000002"/>
    <d v="2017-08-21T00:00:00"/>
    <n v="0.20799999999999999"/>
    <x v="1"/>
  </r>
  <r>
    <x v="602"/>
    <n v="-0.27300000000000002"/>
    <d v="2017-08-22T00:00:00"/>
    <n v="0.20499999999999999"/>
    <x v="1"/>
  </r>
  <r>
    <x v="603"/>
    <n v="-0.27300000000000002"/>
    <d v="2017-08-23T00:00:00"/>
    <n v="0.20100000000000001"/>
    <x v="1"/>
  </r>
  <r>
    <x v="604"/>
    <n v="-0.27200000000000002"/>
    <d v="2017-08-24T00:00:00"/>
    <n v="0.19600000000000001"/>
    <x v="1"/>
  </r>
  <r>
    <x v="605"/>
    <n v="-0.27200000000000002"/>
    <d v="2017-08-25T00:00:00"/>
    <n v="0.192"/>
    <x v="1"/>
  </r>
  <r>
    <x v="606"/>
    <n v="-0.27300000000000002"/>
    <d v="2017-08-28T00:00:00"/>
    <n v="0.187"/>
    <x v="1"/>
  </r>
  <r>
    <x v="607"/>
    <n v="-0.27300000000000002"/>
    <d v="2017-08-29T00:00:00"/>
    <n v="0.18099999999999999"/>
    <x v="1"/>
  </r>
  <r>
    <x v="608"/>
    <n v="-0.27300000000000002"/>
    <d v="2017-08-30T00:00:00"/>
    <n v="0.17599999999999999"/>
    <x v="1"/>
  </r>
  <r>
    <x v="609"/>
    <n v="-0.27300000000000002"/>
    <d v="2017-08-31T00:00:00"/>
    <n v="0.17299999999999999"/>
    <x v="1"/>
  </r>
  <r>
    <x v="610"/>
    <n v="-0.27300000000000002"/>
    <d v="2017-09-01T00:00:00"/>
    <n v="0.17"/>
    <x v="1"/>
  </r>
  <r>
    <x v="611"/>
    <n v="-0.27400000000000002"/>
    <d v="2017-09-04T00:00:00"/>
    <n v="0.16700000000000001"/>
    <x v="1"/>
  </r>
  <r>
    <x v="612"/>
    <n v="-0.27400000000000002"/>
    <d v="2017-09-05T00:00:00"/>
    <n v="0.16400000000000001"/>
    <x v="1"/>
  </r>
  <r>
    <x v="613"/>
    <n v="-0.27400000000000002"/>
    <d v="2017-09-06T00:00:00"/>
    <n v="0.159"/>
    <x v="1"/>
  </r>
  <r>
    <x v="614"/>
    <n v="-0.27300000000000002"/>
    <d v="2017-09-07T00:00:00"/>
    <n v="0.16200000000000001"/>
    <x v="1"/>
  </r>
  <r>
    <x v="615"/>
    <n v="-0.27500000000000002"/>
    <d v="2017-09-08T00:00:00"/>
    <n v="0.159"/>
    <x v="1"/>
  </r>
  <r>
    <x v="616"/>
    <n v="-0.27400000000000002"/>
    <d v="2017-09-11T00:00:00"/>
    <n v="0.157"/>
    <x v="1"/>
  </r>
  <r>
    <x v="617"/>
    <n v="-0.27200000000000002"/>
    <d v="2017-09-12T00:00:00"/>
    <n v="0.157"/>
    <x v="1"/>
  </r>
  <r>
    <x v="618"/>
    <n v="-0.27200000000000002"/>
    <d v="2017-09-13T00:00:00"/>
    <n v="0.156"/>
    <x v="1"/>
  </r>
  <r>
    <x v="619"/>
    <n v="-0.27200000000000002"/>
    <d v="2017-09-14T00:00:00"/>
    <n v="0.155"/>
    <x v="1"/>
  </r>
  <r>
    <x v="620"/>
    <n v="-0.27100000000000002"/>
    <d v="2017-09-15T00:00:00"/>
    <n v="0.156"/>
    <x v="1"/>
  </r>
  <r>
    <x v="621"/>
    <n v="-0.27100000000000002"/>
    <d v="2017-09-18T00:00:00"/>
    <n v="0.157"/>
    <x v="1"/>
  </r>
  <r>
    <x v="622"/>
    <n v="-0.27200000000000002"/>
    <d v="2017-09-19T00:00:00"/>
    <n v="0.159"/>
    <x v="1"/>
  </r>
  <r>
    <x v="623"/>
    <n v="-0.27100000000000002"/>
    <d v="2017-09-20T00:00:00"/>
    <n v="0.187"/>
    <x v="1"/>
  </r>
  <r>
    <x v="624"/>
    <n v="-0.27200000000000002"/>
    <d v="2017-09-21T00:00:00"/>
    <n v="0.19"/>
    <x v="1"/>
  </r>
  <r>
    <x v="625"/>
    <n v="-0.27100000000000002"/>
    <d v="2017-09-22T00:00:00"/>
    <n v="0.192"/>
    <x v="1"/>
  </r>
  <r>
    <x v="626"/>
    <n v="-0.27200000000000002"/>
    <d v="2017-09-25T00:00:00"/>
    <n v="0.192"/>
    <x v="1"/>
  </r>
  <r>
    <x v="627"/>
    <n v="-0.27300000000000002"/>
    <d v="2017-09-26T00:00:00"/>
    <n v="0.193"/>
    <x v="1"/>
  </r>
  <r>
    <x v="628"/>
    <n v="-0.27300000000000002"/>
    <d v="2017-09-27T00:00:00"/>
    <n v="0.19600000000000001"/>
    <x v="1"/>
  </r>
  <r>
    <x v="629"/>
    <n v="-0.27300000000000002"/>
    <d v="2017-09-28T00:00:00"/>
    <n v="0.2"/>
    <x v="1"/>
  </r>
  <r>
    <x v="630"/>
    <n v="-0.27300000000000002"/>
    <d v="2017-09-29T00:00:00"/>
    <n v="0.20200000000000001"/>
    <x v="1"/>
  </r>
  <r>
    <x v="631"/>
    <n v="-0.27200000000000002"/>
    <d v="2017-10-02T00:00:00"/>
    <n v="0.20300000000000001"/>
    <x v="1"/>
  </r>
  <r>
    <x v="632"/>
    <n v="-0.27300000000000002"/>
    <d v="2017-10-03T00:00:00"/>
    <n v="0.20599999999999999"/>
    <x v="1"/>
  </r>
  <r>
    <x v="633"/>
    <n v="-0.27300000000000002"/>
    <d v="2017-10-04T00:00:00"/>
    <n v="0.20899999999999999"/>
    <x v="1"/>
  </r>
  <r>
    <x v="634"/>
    <n v="-0.27200000000000002"/>
    <d v="2017-10-05T00:00:00"/>
    <n v="0.21199999999999999"/>
    <x v="1"/>
  </r>
  <r>
    <x v="635"/>
    <n v="-0.27300000000000002"/>
    <d v="2017-10-06T00:00:00"/>
    <n v="0.217"/>
    <x v="1"/>
  </r>
  <r>
    <x v="636"/>
    <n v="-0.27400000000000002"/>
    <d v="2017-10-09T00:00:00"/>
    <n v="0.221"/>
    <x v="1"/>
  </r>
  <r>
    <x v="637"/>
    <n v="-0.27400000000000002"/>
    <d v="2017-10-10T00:00:00"/>
    <n v="0.222"/>
    <x v="1"/>
  </r>
  <r>
    <x v="638"/>
    <n v="-0.27400000000000002"/>
    <d v="2017-10-11T00:00:00"/>
    <n v="0.223"/>
    <x v="1"/>
  </r>
  <r>
    <x v="639"/>
    <n v="-0.27400000000000002"/>
    <d v="2017-10-12T00:00:00"/>
    <n v="0.22500000000000001"/>
    <x v="1"/>
  </r>
  <r>
    <x v="640"/>
    <n v="-0.27400000000000002"/>
    <d v="2017-10-13T00:00:00"/>
    <n v="0.223"/>
    <x v="1"/>
  </r>
  <r>
    <x v="641"/>
    <n v="-0.27400000000000002"/>
    <d v="2017-10-16T00:00:00"/>
    <n v="0.22"/>
    <x v="1"/>
  </r>
  <r>
    <x v="642"/>
    <n v="-0.27400000000000002"/>
    <d v="2017-10-17T00:00:00"/>
    <n v="0.216"/>
    <x v="1"/>
  </r>
  <r>
    <x v="643"/>
    <n v="-0.27400000000000002"/>
    <d v="2017-10-18T00:00:00"/>
    <n v="0.214"/>
    <x v="1"/>
  </r>
  <r>
    <x v="644"/>
    <n v="-0.27400000000000002"/>
    <d v="2017-10-19T00:00:00"/>
    <n v="0.24099999999999999"/>
    <x v="1"/>
  </r>
  <r>
    <x v="645"/>
    <n v="-0.27400000000000002"/>
    <d v="2017-10-20T00:00:00"/>
    <n v="0.24"/>
    <x v="1"/>
  </r>
  <r>
    <x v="646"/>
    <n v="-0.27400000000000002"/>
    <d v="2017-10-23T00:00:00"/>
    <n v="0.24"/>
    <x v="1"/>
  </r>
  <r>
    <x v="647"/>
    <n v="-0.27400000000000002"/>
    <d v="2017-10-24T00:00:00"/>
    <n v="0.24099999999999999"/>
    <x v="1"/>
  </r>
  <r>
    <x v="648"/>
    <n v="-0.27400000000000002"/>
    <d v="2017-10-25T00:00:00"/>
    <n v="0.24199999999999999"/>
    <x v="1"/>
  </r>
  <r>
    <x v="649"/>
    <n v="-0.27400000000000002"/>
    <m/>
    <n v="0.24199999999999999"/>
    <x v="1"/>
  </r>
  <r>
    <x v="650"/>
    <n v="-0.27500000000000002"/>
    <d v="2017-10-27T00:00:00"/>
    <n v="0.23799999999999999"/>
    <x v="1"/>
  </r>
  <r>
    <x v="651"/>
    <n v="-0.27600000000000002"/>
    <d v="2017-10-30T00:00:00"/>
    <n v="0.23499999999999999"/>
    <x v="1"/>
  </r>
  <r>
    <x v="652"/>
    <n v="-0.27600000000000002"/>
    <d v="2017-10-31T00:00:00"/>
    <n v="0.23200000000000001"/>
    <x v="1"/>
  </r>
  <r>
    <x v="653"/>
    <n v="-0.27600000000000002"/>
    <m/>
    <n v="0.23200000000000001"/>
    <x v="6"/>
  </r>
  <r>
    <x v="654"/>
    <n v="-0.27600000000000002"/>
    <d v="2017-11-02T00:00:00"/>
    <n v="0.22800000000000001"/>
    <x v="1"/>
  </r>
  <r>
    <x v="655"/>
    <n v="-0.27600000000000002"/>
    <d v="2017-11-03T00:00:00"/>
    <n v="0.22600000000000001"/>
    <x v="1"/>
  </r>
  <r>
    <x v="656"/>
    <n v="-0.27600000000000002"/>
    <d v="2017-11-06T00:00:00"/>
    <n v="0.22"/>
    <x v="1"/>
  </r>
  <r>
    <x v="657"/>
    <n v="-0.27500000000000002"/>
    <d v="2017-11-07T00:00:00"/>
    <n v="0.214"/>
    <x v="1"/>
  </r>
  <r>
    <x v="658"/>
    <n v="-0.27600000000000002"/>
    <d v="2017-11-08T00:00:00"/>
    <n v="0.20699999999999999"/>
    <x v="1"/>
  </r>
  <r>
    <x v="659"/>
    <n v="-0.27600000000000002"/>
    <d v="2017-11-09T00:00:00"/>
    <n v="0.20300000000000001"/>
    <x v="1"/>
  </r>
  <r>
    <x v="660"/>
    <n v="-0.27500000000000002"/>
    <d v="2017-11-10T00:00:00"/>
    <n v="0.19900000000000001"/>
    <x v="1"/>
  </r>
  <r>
    <x v="661"/>
    <n v="-0.27500000000000002"/>
    <d v="2017-11-13T00:00:00"/>
    <n v="0.19600000000000001"/>
    <x v="1"/>
  </r>
  <r>
    <x v="662"/>
    <n v="-0.27500000000000002"/>
    <d v="2017-11-14T00:00:00"/>
    <n v="0.19400000000000001"/>
    <x v="1"/>
  </r>
  <r>
    <x v="663"/>
    <n v="-0.27500000000000002"/>
    <d v="2017-11-15T00:00:00"/>
    <n v="0.192"/>
    <x v="1"/>
  </r>
  <r>
    <x v="664"/>
    <n v="-0.27500000000000002"/>
    <d v="2017-11-16T00:00:00"/>
    <n v="0.192"/>
    <x v="1"/>
  </r>
  <r>
    <x v="665"/>
    <n v="-0.27400000000000002"/>
    <d v="2017-11-17T00:00:00"/>
    <n v="0.19"/>
    <x v="1"/>
  </r>
  <r>
    <x v="666"/>
    <n v="-0.27400000000000002"/>
    <d v="2017-11-20T00:00:00"/>
    <n v="0.187"/>
    <x v="1"/>
  </r>
  <r>
    <x v="667"/>
    <n v="-0.27300000000000002"/>
    <d v="2017-11-21T00:00:00"/>
    <n v="0.182"/>
    <x v="1"/>
  </r>
  <r>
    <x v="668"/>
    <n v="-0.27200000000000002"/>
    <d v="2017-11-22T00:00:00"/>
    <n v="0.17899999999999999"/>
    <x v="1"/>
  </r>
  <r>
    <x v="669"/>
    <n v="-0.27100000000000002"/>
    <d v="2017-11-23T00:00:00"/>
    <n v="0.17399999999999999"/>
    <x v="1"/>
  </r>
  <r>
    <x v="670"/>
    <n v="-0.27200000000000002"/>
    <d v="2017-11-24T00:00:00"/>
    <n v="0.16700000000000001"/>
    <x v="1"/>
  </r>
  <r>
    <x v="671"/>
    <n v="-0.27200000000000002"/>
    <d v="2017-11-27T00:00:00"/>
    <n v="0.16400000000000001"/>
    <x v="1"/>
  </r>
  <r>
    <x v="672"/>
    <n v="-0.27400000000000002"/>
    <d v="2017-11-28T00:00:00"/>
    <n v="0.16200000000000001"/>
    <x v="1"/>
  </r>
  <r>
    <x v="673"/>
    <n v="-0.27400000000000002"/>
    <d v="2017-11-29T00:00:00"/>
    <n v="0.16200000000000001"/>
    <x v="1"/>
  </r>
  <r>
    <x v="674"/>
    <n v="-0.27200000000000002"/>
    <d v="2017-11-30T00:00:00"/>
    <n v="0.161"/>
    <x v="1"/>
  </r>
  <r>
    <x v="675"/>
    <n v="-0.27100000000000002"/>
    <d v="2017-12-01T00:00:00"/>
    <n v="0.159"/>
    <x v="1"/>
  </r>
  <r>
    <x v="676"/>
    <n v="-0.27200000000000002"/>
    <d v="2017-12-04T00:00:00"/>
    <n v="0.158"/>
    <x v="1"/>
  </r>
  <r>
    <x v="677"/>
    <n v="-0.27100000000000002"/>
    <d v="2017-12-05T00:00:00"/>
    <n v="0.157"/>
    <x v="1"/>
  </r>
  <r>
    <x v="678"/>
    <n v="-0.27100000000000002"/>
    <d v="2017-12-06T00:00:00"/>
    <n v="0.155"/>
    <x v="1"/>
  </r>
  <r>
    <x v="679"/>
    <n v="-0.27100000000000002"/>
    <d v="2017-12-07T00:00:00"/>
    <n v="0.152"/>
    <x v="1"/>
  </r>
  <r>
    <x v="680"/>
    <n v="-0.27100000000000002"/>
    <m/>
    <n v="0.152"/>
    <x v="1"/>
  </r>
  <r>
    <x v="681"/>
    <n v="-0.27100000000000002"/>
    <d v="2017-12-11T00:00:00"/>
    <n v="0.14799999999999999"/>
    <x v="1"/>
  </r>
  <r>
    <x v="682"/>
    <n v="-0.27100000000000002"/>
    <d v="2017-12-12T00:00:00"/>
    <n v="0.14499999999999999"/>
    <x v="1"/>
  </r>
  <r>
    <x v="683"/>
    <n v="-0.27300000000000002"/>
    <d v="2017-12-13T00:00:00"/>
    <n v="0.14199999999999999"/>
    <x v="1"/>
  </r>
  <r>
    <x v="684"/>
    <n v="-0.27100000000000002"/>
    <d v="2017-12-14T00:00:00"/>
    <n v="0.14199999999999999"/>
    <x v="1"/>
  </r>
  <r>
    <x v="685"/>
    <n v="-0.27200000000000002"/>
    <d v="2017-12-15T00:00:00"/>
    <n v="0.14000000000000001"/>
    <x v="1"/>
  </r>
  <r>
    <x v="686"/>
    <n v="-0.27100000000000002"/>
    <d v="2017-12-18T00:00:00"/>
    <n v="0.13900000000000001"/>
    <x v="1"/>
  </r>
  <r>
    <x v="687"/>
    <n v="-0.27400000000000002"/>
    <d v="2017-12-19T00:00:00"/>
    <n v="0.14000000000000001"/>
    <x v="1"/>
  </r>
  <r>
    <x v="688"/>
    <n v="-0.27100000000000002"/>
    <d v="2017-12-20T00:00:00"/>
    <n v="0.14299999999999999"/>
    <x v="1"/>
  </r>
  <r>
    <x v="689"/>
    <n v="-0.27100000000000002"/>
    <d v="2017-12-21T00:00:00"/>
    <n v="0.14699999999999999"/>
    <x v="1"/>
  </r>
  <r>
    <x v="690"/>
    <n v="-0.27100000000000002"/>
    <d v="2017-12-22T00:00:00"/>
    <n v="0.14599999999999999"/>
    <x v="1"/>
  </r>
  <r>
    <x v="691"/>
    <n v="-0.27100000000000002"/>
    <m/>
    <n v="0.14599999999999999"/>
    <x v="1"/>
  </r>
  <r>
    <x v="692"/>
    <n v="-0.27100000000000002"/>
    <m/>
    <n v="0.14599999999999999"/>
    <x v="1"/>
  </r>
  <r>
    <x v="693"/>
    <n v="-0.27100000000000002"/>
    <d v="2017-12-27T00:00:00"/>
    <n v="0.14899999999999999"/>
    <x v="1"/>
  </r>
  <r>
    <x v="694"/>
    <n v="-0.27100000000000002"/>
    <d v="2017-12-28T00:00:00"/>
    <n v="0.153"/>
    <x v="1"/>
  </r>
  <r>
    <x v="695"/>
    <n v="-0.27100000000000002"/>
    <d v="2017-12-29T00:00:00"/>
    <n v="0.158"/>
    <x v="1"/>
  </r>
  <r>
    <x v="696"/>
    <n v="-0.27100000000000002"/>
    <m/>
    <n v="0.158"/>
    <x v="1"/>
  </r>
  <r>
    <x v="697"/>
    <n v="-0.27100000000000002"/>
    <d v="2018-01-02T00:00:00"/>
    <n v="0.16200000000000001"/>
    <x v="1"/>
  </r>
  <r>
    <x v="698"/>
    <n v="-0.27100000000000002"/>
    <d v="2018-01-03T00:00:00"/>
    <n v="0.16600000000000001"/>
    <x v="1"/>
  </r>
  <r>
    <x v="699"/>
    <n v="-0.27100000000000002"/>
    <d v="2018-01-04T00:00:00"/>
    <n v="0.17100000000000001"/>
    <x v="1"/>
  </r>
  <r>
    <x v="700"/>
    <n v="-0.27100000000000002"/>
    <d v="2018-01-05T00:00:00"/>
    <n v="0.17699999999999999"/>
    <x v="1"/>
  </r>
  <r>
    <x v="701"/>
    <n v="-0.27100000000000002"/>
    <d v="2018-01-08T00:00:00"/>
    <n v="0.183"/>
    <x v="1"/>
  </r>
  <r>
    <x v="702"/>
    <n v="-0.27100000000000002"/>
    <d v="2018-01-09T00:00:00"/>
    <n v="0.191"/>
    <x v="1"/>
  </r>
  <r>
    <x v="703"/>
    <n v="-0.27100000000000002"/>
    <d v="2018-01-10T00:00:00"/>
    <n v="0.2"/>
    <x v="1"/>
  </r>
  <r>
    <x v="704"/>
    <n v="-0.27100000000000002"/>
    <d v="2018-01-11T00:00:00"/>
    <n v="0.215"/>
    <x v="1"/>
  </r>
  <r>
    <x v="705"/>
    <n v="-0.27100000000000002"/>
    <d v="2018-01-12T00:00:00"/>
    <n v="0.22600000000000001"/>
    <x v="1"/>
  </r>
  <r>
    <x v="706"/>
    <n v="-0.27400000000000002"/>
    <d v="2018-01-15T00:00:00"/>
    <n v="0.23499999999999999"/>
    <x v="1"/>
  </r>
  <r>
    <x v="707"/>
    <n v="-0.27200000000000002"/>
    <d v="2018-01-16T00:00:00"/>
    <n v="0.24299999999999999"/>
    <x v="1"/>
  </r>
  <r>
    <x v="708"/>
    <n v="-0.27400000000000002"/>
    <d v="2018-01-17T00:00:00"/>
    <n v="0.251"/>
    <x v="1"/>
  </r>
  <r>
    <x v="709"/>
    <n v="-0.27500000000000002"/>
    <d v="2018-01-18T00:00:00"/>
    <n v="0.26100000000000001"/>
    <x v="1"/>
  </r>
  <r>
    <x v="710"/>
    <n v="-0.27600000000000002"/>
    <d v="2018-01-19T00:00:00"/>
    <n v="0.26900000000000002"/>
    <x v="1"/>
  </r>
  <r>
    <x v="711"/>
    <n v="-0.27700000000000002"/>
    <d v="2018-01-22T00:00:00"/>
    <n v="0.27400000000000002"/>
    <x v="1"/>
  </r>
  <r>
    <x v="712"/>
    <n v="-0.27600000000000002"/>
    <d v="2018-01-23T00:00:00"/>
    <n v="0.27800000000000002"/>
    <x v="1"/>
  </r>
  <r>
    <x v="713"/>
    <n v="-0.27800000000000002"/>
    <d v="2018-01-24T00:00:00"/>
    <n v="0.28100000000000003"/>
    <x v="1"/>
  </r>
  <r>
    <x v="714"/>
    <n v="-0.27800000000000002"/>
    <d v="2018-01-25T00:00:00"/>
    <n v="0.29899999999999999"/>
    <x v="1"/>
  </r>
  <r>
    <x v="715"/>
    <n v="-0.27800000000000002"/>
    <d v="2018-01-26T00:00:00"/>
    <n v="0.307"/>
    <x v="1"/>
  </r>
  <r>
    <x v="716"/>
    <n v="-0.27800000000000002"/>
    <d v="2018-01-29T00:00:00"/>
    <n v="0.315"/>
    <x v="1"/>
  </r>
  <r>
    <x v="717"/>
    <n v="-0.27800000000000002"/>
    <d v="2018-01-30T00:00:00"/>
    <n v="0.32300000000000001"/>
    <x v="1"/>
  </r>
  <r>
    <x v="718"/>
    <n v="-0.27900000000000003"/>
    <d v="2018-01-31T00:00:00"/>
    <n v="0.33200000000000002"/>
    <x v="1"/>
  </r>
  <r>
    <x v="719"/>
    <n v="-0.27800000000000002"/>
    <d v="2018-02-01T00:00:00"/>
    <n v="0.34100000000000003"/>
    <x v="1"/>
  </r>
  <r>
    <x v="720"/>
    <n v="-0.27800000000000002"/>
    <d v="2018-02-02T00:00:00"/>
    <n v="0.35099999999999998"/>
    <x v="1"/>
  </r>
  <r>
    <x v="721"/>
    <n v="-0.27800000000000002"/>
    <d v="2018-02-05T00:00:00"/>
    <n v="0.36"/>
    <x v="1"/>
  </r>
  <r>
    <x v="722"/>
    <n v="-0.27900000000000003"/>
    <d v="2018-02-06T00:00:00"/>
    <n v="0.36699999999999999"/>
    <x v="1"/>
  </r>
  <r>
    <x v="723"/>
    <n v="-0.27800000000000002"/>
    <d v="2018-02-07T00:00:00"/>
    <n v="0.374"/>
    <x v="1"/>
  </r>
  <r>
    <x v="724"/>
    <n v="-0.27800000000000002"/>
    <d v="2018-02-08T00:00:00"/>
    <n v="0.38100000000000001"/>
    <x v="1"/>
  </r>
  <r>
    <x v="725"/>
    <n v="-0.27800000000000002"/>
    <d v="2018-02-09T00:00:00"/>
    <n v="0.38600000000000001"/>
    <x v="1"/>
  </r>
  <r>
    <x v="726"/>
    <n v="-0.27800000000000002"/>
    <d v="2018-02-12T00:00:00"/>
    <n v="0.39100000000000001"/>
    <x v="1"/>
  </r>
  <r>
    <x v="727"/>
    <n v="-0.27600000000000002"/>
    <d v="2018-02-13T00:00:00"/>
    <n v="0.39600000000000002"/>
    <x v="1"/>
  </r>
  <r>
    <x v="728"/>
    <n v="-0.27600000000000002"/>
    <d v="2018-02-14T00:00:00"/>
    <n v="0.40200000000000002"/>
    <x v="1"/>
  </r>
  <r>
    <x v="729"/>
    <n v="-0.27600000000000002"/>
    <d v="2018-02-15T00:00:00"/>
    <n v="0.40899999999999997"/>
    <x v="1"/>
  </r>
  <r>
    <x v="730"/>
    <n v="-0.27400000000000002"/>
    <d v="2018-02-16T00:00:00"/>
    <n v="0.41299999999999998"/>
    <x v="1"/>
  </r>
  <r>
    <x v="731"/>
    <n v="-0.27400000000000002"/>
    <d v="2018-02-19T00:00:00"/>
    <n v="0.41899999999999998"/>
    <x v="1"/>
  </r>
  <r>
    <x v="732"/>
    <n v="-0.27300000000000002"/>
    <d v="2018-02-20T00:00:00"/>
    <n v="0.42499999999999999"/>
    <x v="1"/>
  </r>
  <r>
    <x v="733"/>
    <n v="-0.27100000000000002"/>
    <d v="2018-02-21T00:00:00"/>
    <n v="0.42899999999999999"/>
    <x v="1"/>
  </r>
  <r>
    <x v="734"/>
    <n v="-0.27"/>
    <d v="2018-02-22T00:00:00"/>
    <n v="0.432"/>
    <x v="1"/>
  </r>
  <r>
    <x v="735"/>
    <n v="-0.27100000000000002"/>
    <d v="2018-02-23T00:00:00"/>
    <n v="0.433"/>
    <x v="1"/>
  </r>
  <r>
    <x v="736"/>
    <n v="-0.27100000000000002"/>
    <d v="2018-02-26T00:00:00"/>
    <n v="0.43099999999999999"/>
    <x v="1"/>
  </r>
  <r>
    <x v="737"/>
    <n v="-0.27100000000000002"/>
    <d v="2018-02-27T00:00:00"/>
    <n v="0.43"/>
    <x v="1"/>
  </r>
  <r>
    <x v="738"/>
    <n v="-0.27"/>
    <d v="2018-02-28T00:00:00"/>
    <n v="0.42799999999999999"/>
    <x v="1"/>
  </r>
  <r>
    <x v="739"/>
    <n v="-0.27100000000000002"/>
    <d v="2018-03-01T00:00:00"/>
    <n v="0.42499999999999999"/>
    <x v="1"/>
  </r>
  <r>
    <x v="740"/>
    <n v="-0.27100000000000002"/>
    <d v="2018-03-02T00:00:00"/>
    <n v="0.42"/>
    <x v="1"/>
  </r>
  <r>
    <x v="741"/>
    <n v="-0.27200000000000002"/>
    <d v="2018-03-05T00:00:00"/>
    <n v="0.41599999999999998"/>
    <x v="1"/>
  </r>
  <r>
    <x v="742"/>
    <n v="-0.27100000000000002"/>
    <d v="2018-03-06T00:00:00"/>
    <n v="0.41599999999999998"/>
    <x v="1"/>
  </r>
  <r>
    <x v="743"/>
    <n v="-0.27200000000000002"/>
    <d v="2018-03-07T00:00:00"/>
    <n v="0.41499999999999998"/>
    <x v="1"/>
  </r>
  <r>
    <x v="744"/>
    <n v="-0.27200000000000002"/>
    <d v="2018-03-08T00:00:00"/>
    <n v="0.41199999999999998"/>
    <x v="1"/>
  </r>
  <r>
    <x v="745"/>
    <n v="-0.27100000000000002"/>
    <d v="2018-03-09T00:00:00"/>
    <n v="0.40899999999999997"/>
    <x v="1"/>
  </r>
  <r>
    <x v="746"/>
    <n v="-0.27100000000000002"/>
    <d v="2018-03-12T00:00:00"/>
    <n v="0.40500000000000003"/>
    <x v="1"/>
  </r>
  <r>
    <x v="747"/>
    <n v="-0.27100000000000002"/>
    <d v="2018-03-13T00:00:00"/>
    <n v="0.40100000000000002"/>
    <x v="1"/>
  </r>
  <r>
    <x v="748"/>
    <n v="-0.27100000000000002"/>
    <d v="2018-03-14T00:00:00"/>
    <n v="0.39700000000000002"/>
    <x v="1"/>
  </r>
  <r>
    <x v="749"/>
    <n v="-0.27100000000000002"/>
    <d v="2018-03-15T00:00:00"/>
    <n v="0.44500000000000001"/>
    <x v="1"/>
  </r>
  <r>
    <x v="750"/>
    <n v="-0.27200000000000002"/>
    <d v="2018-03-16T00:00:00"/>
    <n v="0.439"/>
    <x v="1"/>
  </r>
  <r>
    <x v="751"/>
    <n v="-0.27200000000000002"/>
    <d v="2018-03-19T00:00:00"/>
    <n v="0.434"/>
    <x v="1"/>
  </r>
  <r>
    <x v="752"/>
    <n v="-0.27300000000000002"/>
    <d v="2018-03-20T00:00:00"/>
    <n v="0.42799999999999999"/>
    <x v="1"/>
  </r>
  <r>
    <x v="753"/>
    <n v="-0.27200000000000002"/>
    <d v="2018-03-21T00:00:00"/>
    <n v="0.42299999999999999"/>
    <x v="1"/>
  </r>
  <r>
    <x v="754"/>
    <n v="-0.27100000000000002"/>
    <d v="2018-03-22T00:00:00"/>
    <n v="0.41599999999999998"/>
    <x v="1"/>
  </r>
  <r>
    <x v="755"/>
    <n v="-0.27"/>
    <d v="2018-03-23T00:00:00"/>
    <n v="0.41"/>
    <x v="1"/>
  </r>
  <r>
    <x v="756"/>
    <n v="-0.27100000000000002"/>
    <d v="2018-03-26T00:00:00"/>
    <n v="0.40500000000000003"/>
    <x v="1"/>
  </r>
  <r>
    <x v="757"/>
    <n v="-0.27100000000000002"/>
    <d v="2018-03-27T00:00:00"/>
    <n v="0.39900000000000002"/>
    <x v="1"/>
  </r>
  <r>
    <x v="758"/>
    <n v="-0.27100000000000002"/>
    <d v="2018-03-28T00:00:00"/>
    <n v="0.39300000000000002"/>
    <x v="1"/>
  </r>
  <r>
    <x v="759"/>
    <n v="-0.27100000000000002"/>
    <d v="2018-03-29T00:00:00"/>
    <n v="0.38800000000000001"/>
    <x v="1"/>
  </r>
  <r>
    <x v="760"/>
    <n v="-0.27100000000000002"/>
    <d v="2018-03-30T00:00:00"/>
    <n v="0.38600000000000001"/>
    <x v="1"/>
  </r>
  <r>
    <x v="761"/>
    <n v="-0.27100000000000002"/>
    <m/>
    <n v="0.38600000000000001"/>
    <x v="1"/>
  </r>
  <r>
    <x v="762"/>
    <n v="-0.27"/>
    <d v="2018-04-03T00:00:00"/>
    <n v="0.38100000000000001"/>
    <x v="1"/>
  </r>
  <r>
    <x v="763"/>
    <n v="-0.27100000000000002"/>
    <d v="2018-04-04T00:00:00"/>
    <n v="0.374"/>
    <x v="1"/>
  </r>
  <r>
    <x v="764"/>
    <n v="-0.27100000000000002"/>
    <d v="2018-04-05T00:00:00"/>
    <n v="0.36899999999999999"/>
    <x v="1"/>
  </r>
  <r>
    <x v="765"/>
    <n v="-0.27"/>
    <d v="2018-04-06T00:00:00"/>
    <n v="0.36299999999999999"/>
    <x v="1"/>
  </r>
  <r>
    <x v="766"/>
    <n v="-0.27"/>
    <d v="2018-04-09T00:00:00"/>
    <n v="0.35799999999999998"/>
    <x v="1"/>
  </r>
  <r>
    <x v="767"/>
    <n v="-0.27100000000000002"/>
    <d v="2018-04-10T00:00:00"/>
    <n v="0.35399999999999998"/>
    <x v="1"/>
  </r>
  <r>
    <x v="768"/>
    <n v="-0.27"/>
    <d v="2018-04-11T00:00:00"/>
    <n v="0.35"/>
    <x v="1"/>
  </r>
  <r>
    <x v="769"/>
    <n v="-0.27100000000000002"/>
    <d v="2018-04-12T00:00:00"/>
    <n v="0.35"/>
    <x v="1"/>
  </r>
  <r>
    <x v="770"/>
    <n v="-0.27100000000000002"/>
    <d v="2018-04-13T00:00:00"/>
    <n v="0.34699999999999998"/>
    <x v="1"/>
  </r>
  <r>
    <x v="771"/>
    <n v="-0.27"/>
    <d v="2018-04-16T00:00:00"/>
    <n v="0.34599999999999997"/>
    <x v="1"/>
  </r>
  <r>
    <x v="772"/>
    <n v="-0.27"/>
    <d v="2018-04-17T00:00:00"/>
    <n v="0.34499999999999997"/>
    <x v="1"/>
  </r>
  <r>
    <x v="773"/>
    <n v="-0.27100000000000002"/>
    <d v="2018-04-18T00:00:00"/>
    <n v="0.34200000000000003"/>
    <x v="1"/>
  </r>
  <r>
    <x v="774"/>
    <n v="-0.27"/>
    <d v="2018-04-19T00:00:00"/>
    <n v="0.34200000000000003"/>
    <x v="1"/>
  </r>
  <r>
    <x v="775"/>
    <n v="-0.27100000000000002"/>
    <d v="2018-04-20T00:00:00"/>
    <n v="0.34499999999999997"/>
    <x v="1"/>
  </r>
  <r>
    <x v="776"/>
    <n v="-0.27"/>
    <d v="2018-04-23T00:00:00"/>
    <n v="0.34799999999999998"/>
    <x v="1"/>
  </r>
  <r>
    <x v="777"/>
    <n v="-0.27"/>
    <d v="2018-04-24T00:00:00"/>
    <n v="0.35199999999999998"/>
    <x v="1"/>
  </r>
  <r>
    <x v="778"/>
    <n v="-0.27"/>
    <d v="2018-04-25T00:00:00"/>
    <n v="0.35599999999999998"/>
    <x v="1"/>
  </r>
  <r>
    <x v="779"/>
    <n v="-0.26900000000000002"/>
    <d v="2018-04-26T00:00:00"/>
    <n v="0.36"/>
    <x v="1"/>
  </r>
  <r>
    <x v="780"/>
    <n v="-0.26900000000000002"/>
    <d v="2018-04-27T00:00:00"/>
    <n v="0.36299999999999999"/>
    <x v="1"/>
  </r>
  <r>
    <x v="781"/>
    <n v="-0.26900000000000002"/>
    <d v="2018-04-30T00:00:00"/>
    <n v="0.36299999999999999"/>
    <x v="1"/>
  </r>
  <r>
    <x v="782"/>
    <n v="-0.26900000000000002"/>
    <m/>
    <n v="0.36299999999999999"/>
    <x v="7"/>
  </r>
  <r>
    <x v="783"/>
    <n v="-0.26900000000000002"/>
    <d v="2018-05-02T00:00:00"/>
    <n v="0.36499999999999999"/>
    <x v="1"/>
  </r>
  <r>
    <x v="784"/>
    <n v="-0.26900000000000002"/>
    <d v="2018-05-03T00:00:00"/>
    <n v="0.36699999999999999"/>
    <x v="1"/>
  </r>
  <r>
    <x v="785"/>
    <n v="-0.26900000000000002"/>
    <d v="2018-05-04T00:00:00"/>
    <n v="0.36799999999999999"/>
    <x v="1"/>
  </r>
  <r>
    <x v="786"/>
    <n v="-0.26900000000000002"/>
    <d v="2018-05-07T00:00:00"/>
    <n v="0.36799999999999999"/>
    <x v="1"/>
  </r>
  <r>
    <x v="787"/>
    <n v="-0.26900000000000002"/>
    <d v="2018-05-08T00:00:00"/>
    <n v="0.36899999999999999"/>
    <x v="1"/>
  </r>
  <r>
    <x v="788"/>
    <n v="-0.26900000000000002"/>
    <d v="2018-05-09T00:00:00"/>
    <n v="0.372"/>
    <x v="1"/>
  </r>
  <r>
    <x v="789"/>
    <n v="-0.27100000000000002"/>
    <m/>
    <n v="0.372"/>
    <x v="1"/>
  </r>
  <r>
    <x v="790"/>
    <n v="-0.27100000000000002"/>
    <d v="2018-05-11T00:00:00"/>
    <n v="0.377"/>
    <x v="1"/>
  </r>
  <r>
    <x v="791"/>
    <n v="-0.27100000000000002"/>
    <d v="2018-05-14T00:00:00"/>
    <n v="0.38"/>
    <x v="1"/>
  </r>
  <r>
    <x v="792"/>
    <n v="-0.27100000000000002"/>
    <d v="2018-05-15T00:00:00"/>
    <n v="0.38500000000000001"/>
    <x v="1"/>
  </r>
  <r>
    <x v="793"/>
    <n v="-0.27200000000000002"/>
    <d v="2018-05-16T00:00:00"/>
    <n v="0.38700000000000001"/>
    <x v="1"/>
  </r>
  <r>
    <x v="794"/>
    <n v="-0.27"/>
    <d v="2018-05-17T00:00:00"/>
    <n v="0.39100000000000001"/>
    <x v="1"/>
  </r>
  <r>
    <x v="795"/>
    <n v="-0.27100000000000002"/>
    <d v="2018-05-18T00:00:00"/>
    <n v="0.39500000000000002"/>
    <x v="1"/>
  </r>
  <r>
    <x v="796"/>
    <n v="-0.27"/>
    <m/>
    <n v="0.39500000000000002"/>
    <x v="1"/>
  </r>
  <r>
    <x v="797"/>
    <n v="-0.27100000000000002"/>
    <d v="2018-05-22T00:00:00"/>
    <n v="0.39500000000000002"/>
    <x v="1"/>
  </r>
  <r>
    <x v="798"/>
    <n v="-0.27"/>
    <d v="2018-05-23T00:00:00"/>
    <n v="0.39200000000000002"/>
    <x v="1"/>
  </r>
  <r>
    <x v="799"/>
    <n v="-0.27100000000000002"/>
    <d v="2018-05-24T00:00:00"/>
    <n v="0.39"/>
    <x v="1"/>
  </r>
  <r>
    <x v="800"/>
    <n v="-0.27100000000000002"/>
    <d v="2018-05-25T00:00:00"/>
    <n v="0.38500000000000001"/>
    <x v="1"/>
  </r>
  <r>
    <x v="801"/>
    <n v="-0.26900000000000002"/>
    <d v="2018-05-28T00:00:00"/>
    <n v="0.378"/>
    <x v="1"/>
  </r>
  <r>
    <x v="802"/>
    <n v="-0.26900000000000002"/>
    <d v="2018-05-29T00:00:00"/>
    <n v="0.37"/>
    <x v="1"/>
  </r>
  <r>
    <x v="803"/>
    <n v="-0.26900000000000002"/>
    <d v="2018-05-30T00:00:00"/>
    <n v="0.36599999999999999"/>
    <x v="1"/>
  </r>
  <r>
    <x v="804"/>
    <n v="-0.26900000000000002"/>
    <m/>
    <n v="0.36599999999999999"/>
    <x v="1"/>
  </r>
  <r>
    <x v="805"/>
    <n v="-0.26900000000000002"/>
    <d v="2018-06-01T00:00:00"/>
    <n v="0.36199999999999999"/>
    <x v="1"/>
  </r>
  <r>
    <x v="806"/>
    <n v="-0.26900000000000002"/>
    <d v="2018-06-04T00:00:00"/>
    <n v="0.35799999999999998"/>
    <x v="1"/>
  </r>
  <r>
    <x v="807"/>
    <n v="-0.26900000000000002"/>
    <d v="2018-06-05T00:00:00"/>
    <n v="0.35399999999999998"/>
    <x v="1"/>
  </r>
  <r>
    <x v="808"/>
    <n v="-0.26900000000000002"/>
    <d v="2018-06-06T00:00:00"/>
    <n v="0.35299999999999998"/>
    <x v="1"/>
  </r>
  <r>
    <x v="809"/>
    <n v="-0.26900000000000002"/>
    <d v="2018-06-07T00:00:00"/>
    <n v="0.35399999999999998"/>
    <x v="1"/>
  </r>
  <r>
    <x v="810"/>
    <n v="-0.26700000000000002"/>
    <d v="2018-06-08T00:00:00"/>
    <n v="0.35199999999999998"/>
    <x v="1"/>
  </r>
  <r>
    <x v="811"/>
    <n v="-0.26700000000000002"/>
    <d v="2018-06-11T00:00:00"/>
    <n v="0.35099999999999998"/>
    <x v="1"/>
  </r>
  <r>
    <x v="812"/>
    <n v="-0.26700000000000002"/>
    <d v="2018-06-12T00:00:00"/>
    <n v="0.35199999999999998"/>
    <x v="1"/>
  </r>
  <r>
    <x v="813"/>
    <n v="-0.26800000000000002"/>
    <d v="2018-06-13T00:00:00"/>
    <n v="0.34899999999999998"/>
    <x v="1"/>
  </r>
  <r>
    <x v="814"/>
    <n v="-0.26800000000000002"/>
    <d v="2018-06-14T00:00:00"/>
    <n v="0.34399999999999997"/>
    <x v="1"/>
  </r>
  <r>
    <x v="815"/>
    <n v="-0.26800000000000002"/>
    <d v="2018-06-15T00:00:00"/>
    <n v="0.33700000000000002"/>
    <x v="1"/>
  </r>
  <r>
    <x v="816"/>
    <n v="-0.26800000000000002"/>
    <d v="2018-06-18T00:00:00"/>
    <n v="0.36199999999999999"/>
    <x v="1"/>
  </r>
  <r>
    <x v="817"/>
    <n v="-0.26800000000000002"/>
    <d v="2018-06-19T00:00:00"/>
    <n v="0.35299999999999998"/>
    <x v="1"/>
  </r>
  <r>
    <x v="818"/>
    <n v="-0.26800000000000002"/>
    <d v="2018-06-20T00:00:00"/>
    <n v="0.34699999999999998"/>
    <x v="1"/>
  </r>
  <r>
    <x v="819"/>
    <n v="-0.26800000000000002"/>
    <d v="2018-06-21T00:00:00"/>
    <n v="0.34"/>
    <x v="1"/>
  </r>
  <r>
    <x v="820"/>
    <n v="-0.26800000000000002"/>
    <d v="2018-06-22T00:00:00"/>
    <n v="0.33400000000000002"/>
    <x v="1"/>
  </r>
  <r>
    <x v="821"/>
    <n v="-0.26900000000000002"/>
    <d v="2018-06-25T00:00:00"/>
    <n v="0.33"/>
    <x v="1"/>
  </r>
  <r>
    <x v="822"/>
    <n v="-0.27"/>
    <d v="2018-06-26T00:00:00"/>
    <n v="0.32700000000000001"/>
    <x v="1"/>
  </r>
  <r>
    <x v="823"/>
    <n v="-0.27"/>
    <d v="2018-06-27T00:00:00"/>
    <n v="0.32600000000000001"/>
    <x v="1"/>
  </r>
  <r>
    <x v="824"/>
    <n v="-0.27"/>
    <d v="2018-06-28T00:00:00"/>
    <n v="0.32700000000000001"/>
    <x v="1"/>
  </r>
  <r>
    <x v="825"/>
    <n v="-0.27"/>
    <d v="2018-06-29T00:00:00"/>
    <n v="0.32200000000000001"/>
    <x v="1"/>
  </r>
  <r>
    <x v="826"/>
    <n v="-0.26900000000000002"/>
    <d v="2018-07-02T00:00:00"/>
    <n v="0.317"/>
    <x v="1"/>
  </r>
  <r>
    <x v="827"/>
    <n v="-0.27"/>
    <d v="2018-07-03T00:00:00"/>
    <n v="0.312"/>
    <x v="1"/>
  </r>
  <r>
    <x v="828"/>
    <n v="-0.26900000000000002"/>
    <d v="2018-07-04T00:00:00"/>
    <n v="0.30399999999999999"/>
    <x v="1"/>
  </r>
  <r>
    <x v="829"/>
    <n v="-0.26900000000000002"/>
    <d v="2018-07-05T00:00:00"/>
    <n v="0.29899999999999999"/>
    <x v="1"/>
  </r>
  <r>
    <x v="830"/>
    <n v="-0.27"/>
    <d v="2018-07-06T00:00:00"/>
    <n v="0.29199999999999998"/>
    <x v="1"/>
  </r>
  <r>
    <x v="831"/>
    <n v="-0.27"/>
    <d v="2018-07-09T00:00:00"/>
    <n v="0.28299999999999997"/>
    <x v="1"/>
  </r>
  <r>
    <x v="832"/>
    <n v="-0.26900000000000002"/>
    <d v="2018-07-10T00:00:00"/>
    <n v="0.27400000000000002"/>
    <x v="1"/>
  </r>
  <r>
    <x v="833"/>
    <n v="-0.27100000000000002"/>
    <d v="2018-07-11T00:00:00"/>
    <n v="0.26600000000000001"/>
    <x v="1"/>
  </r>
  <r>
    <x v="834"/>
    <n v="-0.27100000000000002"/>
    <d v="2018-07-12T00:00:00"/>
    <n v="0.26200000000000001"/>
    <x v="1"/>
  </r>
  <r>
    <x v="835"/>
    <n v="-0.26800000000000002"/>
    <d v="2018-07-13T00:00:00"/>
    <n v="0.25600000000000001"/>
    <x v="1"/>
  </r>
  <r>
    <x v="836"/>
    <n v="-0.26900000000000002"/>
    <d v="2018-07-16T00:00:00"/>
    <n v="0.252"/>
    <x v="1"/>
  </r>
  <r>
    <x v="837"/>
    <n v="-0.26900000000000002"/>
    <d v="2018-07-17T00:00:00"/>
    <n v="0.25"/>
    <x v="1"/>
  </r>
  <r>
    <x v="838"/>
    <n v="-0.26900000000000002"/>
    <d v="2018-07-18T00:00:00"/>
    <n v="0.246"/>
    <x v="1"/>
  </r>
  <r>
    <x v="839"/>
    <n v="-0.26900000000000002"/>
    <d v="2018-07-19T00:00:00"/>
    <n v="0.24399999999999999"/>
    <x v="1"/>
  </r>
  <r>
    <x v="840"/>
    <n v="-0.26900000000000002"/>
    <d v="2018-07-20T00:00:00"/>
    <n v="0.24199999999999999"/>
    <x v="1"/>
  </r>
  <r>
    <x v="841"/>
    <n v="-0.26900000000000002"/>
    <d v="2018-07-23T00:00:00"/>
    <n v="0.24199999999999999"/>
    <x v="1"/>
  </r>
  <r>
    <x v="842"/>
    <n v="-0.26900000000000002"/>
    <d v="2018-07-24T00:00:00"/>
    <n v="0.24199999999999999"/>
    <x v="1"/>
  </r>
  <r>
    <x v="843"/>
    <n v="-0.26900000000000002"/>
    <d v="2018-07-25T00:00:00"/>
    <n v="0.24199999999999999"/>
    <x v="1"/>
  </r>
  <r>
    <x v="844"/>
    <n v="-0.26900000000000002"/>
    <d v="2018-07-26T00:00:00"/>
    <n v="0.24299999999999999"/>
    <x v="1"/>
  </r>
  <r>
    <x v="845"/>
    <n v="-0.26900000000000002"/>
    <d v="2018-07-27T00:00:00"/>
    <n v="0.24399999999999999"/>
    <x v="1"/>
  </r>
  <r>
    <x v="846"/>
    <n v="-0.26800000000000002"/>
    <d v="2018-07-30T00:00:00"/>
    <n v="0.248"/>
    <x v="1"/>
  </r>
  <r>
    <x v="847"/>
    <n v="-0.26800000000000002"/>
    <d v="2018-07-31T00:00:00"/>
    <n v="0.252"/>
    <x v="1"/>
  </r>
  <r>
    <x v="848"/>
    <n v="-0.26900000000000002"/>
    <d v="2018-08-01T00:00:00"/>
    <n v="0.25700000000000001"/>
    <x v="1"/>
  </r>
  <r>
    <x v="849"/>
    <n v="-0.26900000000000002"/>
    <d v="2018-08-02T00:00:00"/>
    <n v="0.26200000000000001"/>
    <x v="1"/>
  </r>
  <r>
    <x v="850"/>
    <n v="-0.26800000000000002"/>
    <d v="2018-08-03T00:00:00"/>
    <n v="0.26500000000000001"/>
    <x v="1"/>
  </r>
  <r>
    <x v="851"/>
    <n v="-0.26800000000000002"/>
    <d v="2018-08-06T00:00:00"/>
    <n v="0.26800000000000002"/>
    <x v="1"/>
  </r>
  <r>
    <x v="852"/>
    <n v="-0.26800000000000002"/>
    <d v="2018-08-07T00:00:00"/>
    <n v="0.26900000000000002"/>
    <x v="1"/>
  </r>
  <r>
    <x v="853"/>
    <n v="-0.26800000000000002"/>
    <d v="2018-08-08T00:00:00"/>
    <n v="0.27200000000000002"/>
    <x v="1"/>
  </r>
  <r>
    <x v="854"/>
    <n v="-0.26600000000000001"/>
    <d v="2018-08-09T00:00:00"/>
    <n v="0.27400000000000002"/>
    <x v="1"/>
  </r>
  <r>
    <x v="855"/>
    <n v="-0.26700000000000002"/>
    <d v="2018-08-10T00:00:00"/>
    <n v="0.27500000000000002"/>
    <x v="1"/>
  </r>
  <r>
    <x v="856"/>
    <n v="-0.26600000000000001"/>
    <d v="2018-08-13T00:00:00"/>
    <n v="0.27400000000000002"/>
    <x v="1"/>
  </r>
  <r>
    <x v="857"/>
    <n v="-0.26600000000000001"/>
    <d v="2018-08-14T00:00:00"/>
    <n v="0.27400000000000002"/>
    <x v="1"/>
  </r>
  <r>
    <x v="858"/>
    <n v="-0.26600000000000001"/>
    <m/>
    <n v="0.27400000000000002"/>
    <x v="1"/>
  </r>
  <r>
    <x v="859"/>
    <n v="-0.26600000000000001"/>
    <d v="2018-08-16T00:00:00"/>
    <n v="0.27400000000000002"/>
    <x v="1"/>
  </r>
  <r>
    <x v="860"/>
    <n v="-0.26600000000000001"/>
    <d v="2018-08-17T00:00:00"/>
    <n v="0.27400000000000002"/>
    <x v="1"/>
  </r>
  <r>
    <x v="861"/>
    <n v="-0.26600000000000001"/>
    <d v="2018-08-20T00:00:00"/>
    <n v="0.27300000000000002"/>
    <x v="1"/>
  </r>
  <r>
    <x v="862"/>
    <n v="-0.26600000000000001"/>
    <d v="2018-08-21T00:00:00"/>
    <n v="0.27"/>
    <x v="1"/>
  </r>
  <r>
    <x v="863"/>
    <n v="-0.26600000000000001"/>
    <d v="2018-08-22T00:00:00"/>
    <n v="0.26900000000000002"/>
    <x v="1"/>
  </r>
  <r>
    <x v="864"/>
    <n v="-0.26600000000000001"/>
    <d v="2018-08-23T00:00:00"/>
    <n v="0.26800000000000002"/>
    <x v="1"/>
  </r>
  <r>
    <x v="865"/>
    <n v="-0.26600000000000001"/>
    <d v="2018-08-24T00:00:00"/>
    <n v="0.26700000000000002"/>
    <x v="1"/>
  </r>
  <r>
    <x v="866"/>
    <n v="-0.26500000000000001"/>
    <d v="2018-08-27T00:00:00"/>
    <n v="0.26600000000000001"/>
    <x v="1"/>
  </r>
  <r>
    <x v="867"/>
    <n v="-0.26600000000000001"/>
    <d v="2018-08-28T00:00:00"/>
    <n v="0.26600000000000001"/>
    <x v="1"/>
  </r>
  <r>
    <x v="868"/>
    <n v="-0.26600000000000001"/>
    <d v="2018-08-29T00:00:00"/>
    <n v="0.26500000000000001"/>
    <x v="1"/>
  </r>
  <r>
    <x v="869"/>
    <n v="-0.26800000000000002"/>
    <d v="2018-08-30T00:00:00"/>
    <n v="0.26300000000000001"/>
    <x v="1"/>
  </r>
  <r>
    <x v="870"/>
    <n v="-0.26800000000000002"/>
    <d v="2018-08-31T00:00:00"/>
    <n v="0.26"/>
    <x v="1"/>
  </r>
  <r>
    <x v="871"/>
    <n v="-0.26800000000000002"/>
    <d v="2018-09-03T00:00:00"/>
    <n v="0.25800000000000001"/>
    <x v="1"/>
  </r>
  <r>
    <x v="872"/>
    <n v="-0.26900000000000002"/>
    <d v="2018-09-04T00:00:00"/>
    <n v="0.25700000000000001"/>
    <x v="1"/>
  </r>
  <r>
    <x v="873"/>
    <n v="-0.26900000000000002"/>
    <d v="2018-09-05T00:00:00"/>
    <n v="0.25700000000000001"/>
    <x v="1"/>
  </r>
  <r>
    <x v="874"/>
    <n v="-0.26900000000000002"/>
    <d v="2018-09-06T00:00:00"/>
    <n v="0.255"/>
    <x v="1"/>
  </r>
  <r>
    <x v="875"/>
    <n v="-0.26900000000000002"/>
    <d v="2018-09-07T00:00:00"/>
    <n v="0.25600000000000001"/>
    <x v="1"/>
  </r>
  <r>
    <x v="876"/>
    <n v="-0.26900000000000002"/>
    <d v="2018-09-10T00:00:00"/>
    <n v="0.25900000000000001"/>
    <x v="1"/>
  </r>
  <r>
    <x v="877"/>
    <n v="-0.26900000000000002"/>
    <d v="2018-09-11T00:00:00"/>
    <n v="0.26400000000000001"/>
    <x v="1"/>
  </r>
  <r>
    <x v="878"/>
    <n v="-0.26900000000000002"/>
    <d v="2018-09-12T00:00:00"/>
    <n v="0.26800000000000002"/>
    <x v="1"/>
  </r>
  <r>
    <x v="879"/>
    <n v="-0.26900000000000002"/>
    <d v="2018-09-13T00:00:00"/>
    <n v="0.27200000000000002"/>
    <x v="1"/>
  </r>
  <r>
    <x v="880"/>
    <n v="-0.26900000000000002"/>
    <d v="2018-09-14T00:00:00"/>
    <n v="0.27700000000000002"/>
    <x v="1"/>
  </r>
  <r>
    <x v="881"/>
    <n v="-0.26800000000000002"/>
    <d v="2018-09-17T00:00:00"/>
    <n v="0.28299999999999997"/>
    <x v="1"/>
  </r>
  <r>
    <x v="882"/>
    <n v="-0.26800000000000002"/>
    <d v="2018-09-18T00:00:00"/>
    <n v="0.28899999999999998"/>
    <x v="1"/>
  </r>
  <r>
    <x v="883"/>
    <n v="-0.26700000000000002"/>
    <d v="2018-09-19T00:00:00"/>
    <n v="0.29399999999999998"/>
    <x v="1"/>
  </r>
  <r>
    <x v="884"/>
    <n v="-0.26800000000000002"/>
    <d v="2018-09-20T00:00:00"/>
    <n v="0.29899999999999999"/>
    <x v="1"/>
  </r>
  <r>
    <x v="885"/>
    <n v="-0.26800000000000002"/>
    <d v="2018-09-21T00:00:00"/>
    <n v="0.30399999999999999"/>
    <x v="1"/>
  </r>
  <r>
    <x v="886"/>
    <n v="-0.26700000000000002"/>
    <d v="2018-09-24T00:00:00"/>
    <n v="0.308"/>
    <x v="1"/>
  </r>
  <r>
    <x v="887"/>
    <n v="-0.26700000000000002"/>
    <d v="2018-09-25T00:00:00"/>
    <n v="0.314"/>
    <x v="1"/>
  </r>
  <r>
    <x v="888"/>
    <n v="-0.26700000000000002"/>
    <d v="2018-09-26T00:00:00"/>
    <n v="0.31900000000000001"/>
    <x v="1"/>
  </r>
  <r>
    <x v="889"/>
    <n v="-0.26800000000000002"/>
    <d v="2018-09-27T00:00:00"/>
    <n v="0.32400000000000001"/>
    <x v="1"/>
  </r>
  <r>
    <x v="890"/>
    <n v="-0.26800000000000002"/>
    <d v="2018-09-28T00:00:00"/>
    <n v="0.32900000000000001"/>
    <x v="1"/>
  </r>
  <r>
    <x v="891"/>
    <n v="-0.26800000000000002"/>
    <d v="2018-10-01T00:00:00"/>
    <n v="0.33500000000000002"/>
    <x v="1"/>
  </r>
  <r>
    <x v="892"/>
    <n v="-0.26800000000000002"/>
    <d v="2018-10-02T00:00:00"/>
    <n v="0.33800000000000002"/>
    <x v="1"/>
  </r>
  <r>
    <x v="893"/>
    <n v="-0.26700000000000002"/>
    <d v="2018-10-03T00:00:00"/>
    <n v="0.34100000000000003"/>
    <x v="1"/>
  </r>
  <r>
    <x v="894"/>
    <n v="-0.26800000000000002"/>
    <d v="2018-10-04T00:00:00"/>
    <n v="0.34599999999999997"/>
    <x v="1"/>
  </r>
  <r>
    <x v="895"/>
    <n v="-0.26700000000000002"/>
    <d v="2018-10-05T00:00:00"/>
    <n v="0.35199999999999998"/>
    <x v="1"/>
  </r>
  <r>
    <x v="896"/>
    <n v="-0.26700000000000002"/>
    <d v="2018-10-08T00:00:00"/>
    <n v="0.35699999999999998"/>
    <x v="1"/>
  </r>
  <r>
    <x v="897"/>
    <n v="-0.26800000000000002"/>
    <d v="2018-10-09T00:00:00"/>
    <n v="0.36099999999999999"/>
    <x v="1"/>
  </r>
  <r>
    <x v="898"/>
    <n v="-0.26800000000000002"/>
    <d v="2018-10-10T00:00:00"/>
    <n v="0.36599999999999999"/>
    <x v="1"/>
  </r>
  <r>
    <x v="899"/>
    <n v="-0.26700000000000002"/>
    <d v="2018-10-11T00:00:00"/>
    <n v="0.36899999999999999"/>
    <x v="1"/>
  </r>
  <r>
    <x v="900"/>
    <n v="-0.26700000000000002"/>
    <d v="2018-10-12T00:00:00"/>
    <n v="0.372"/>
    <x v="1"/>
  </r>
  <r>
    <x v="901"/>
    <n v="-0.26600000000000001"/>
    <d v="2018-10-15T00:00:00"/>
    <n v="0.373"/>
    <x v="1"/>
  </r>
  <r>
    <x v="902"/>
    <n v="-0.26500000000000001"/>
    <d v="2018-10-16T00:00:00"/>
    <n v="0.374"/>
    <x v="1"/>
  </r>
  <r>
    <x v="903"/>
    <n v="-0.26600000000000001"/>
    <d v="2018-10-17T00:00:00"/>
    <n v="0.372"/>
    <x v="1"/>
  </r>
  <r>
    <x v="904"/>
    <n v="-0.26500000000000001"/>
    <d v="2018-10-18T00:00:00"/>
    <n v="0.40500000000000003"/>
    <x v="1"/>
  </r>
  <r>
    <x v="905"/>
    <n v="-0.26200000000000001"/>
    <d v="2018-10-19T00:00:00"/>
    <n v="0.40300000000000002"/>
    <x v="1"/>
  </r>
  <r>
    <x v="906"/>
    <n v="-0.26100000000000001"/>
    <d v="2018-10-22T00:00:00"/>
    <n v="0.40200000000000002"/>
    <x v="1"/>
  </r>
  <r>
    <x v="907"/>
    <n v="-0.25900000000000001"/>
    <d v="2018-10-23T00:00:00"/>
    <n v="0.39700000000000002"/>
    <x v="1"/>
  </r>
  <r>
    <x v="908"/>
    <n v="-0.25900000000000001"/>
    <d v="2018-10-24T00:00:00"/>
    <n v="0.39200000000000002"/>
    <x v="1"/>
  </r>
  <r>
    <x v="909"/>
    <n v="-0.25900000000000001"/>
    <d v="2018-10-25T00:00:00"/>
    <n v="0.38700000000000001"/>
    <x v="1"/>
  </r>
  <r>
    <x v="910"/>
    <n v="-0.25900000000000001"/>
    <m/>
    <n v="0.38700000000000001"/>
    <x v="1"/>
  </r>
  <r>
    <x v="911"/>
    <n v="-0.25900000000000001"/>
    <d v="2018-10-29T00:00:00"/>
    <n v="0.38300000000000001"/>
    <x v="1"/>
  </r>
  <r>
    <x v="912"/>
    <n v="-0.25900000000000001"/>
    <d v="2018-10-30T00:00:00"/>
    <n v="0.378"/>
    <x v="1"/>
  </r>
  <r>
    <x v="913"/>
    <n v="-0.25900000000000001"/>
    <d v="2018-10-31T00:00:00"/>
    <n v="0.375"/>
    <x v="1"/>
  </r>
  <r>
    <x v="914"/>
    <n v="-0.25800000000000001"/>
    <m/>
    <n v="0.375"/>
    <x v="8"/>
  </r>
  <r>
    <x v="915"/>
    <n v="-0.25800000000000001"/>
    <d v="2018-11-02T00:00:00"/>
    <n v="0.373"/>
    <x v="1"/>
  </r>
  <r>
    <x v="916"/>
    <n v="-0.25700000000000001"/>
    <d v="2018-11-05T00:00:00"/>
    <n v="0.36899999999999999"/>
    <x v="1"/>
  </r>
  <r>
    <x v="917"/>
    <n v="-0.25800000000000001"/>
    <d v="2018-11-06T00:00:00"/>
    <n v="0.36299999999999999"/>
    <x v="1"/>
  </r>
  <r>
    <x v="918"/>
    <n v="-0.25800000000000001"/>
    <d v="2018-11-07T00:00:00"/>
    <n v="0.35899999999999999"/>
    <x v="1"/>
  </r>
  <r>
    <x v="919"/>
    <n v="-0.25700000000000001"/>
    <d v="2018-11-08T00:00:00"/>
    <n v="0.35499999999999998"/>
    <x v="1"/>
  </r>
  <r>
    <x v="920"/>
    <n v="-0.25700000000000001"/>
    <d v="2018-11-09T00:00:00"/>
    <n v="0.34899999999999998"/>
    <x v="1"/>
  </r>
  <r>
    <x v="921"/>
    <n v="-0.25700000000000001"/>
    <d v="2018-11-12T00:00:00"/>
    <n v="0.34399999999999997"/>
    <x v="1"/>
  </r>
  <r>
    <x v="922"/>
    <n v="-0.25700000000000001"/>
    <d v="2018-11-13T00:00:00"/>
    <n v="0.34"/>
    <x v="1"/>
  </r>
  <r>
    <x v="923"/>
    <n v="-0.25700000000000001"/>
    <d v="2018-11-14T00:00:00"/>
    <n v="0.33700000000000002"/>
    <x v="1"/>
  </r>
  <r>
    <x v="924"/>
    <n v="-0.25700000000000001"/>
    <d v="2018-11-15T00:00:00"/>
    <n v="0.33300000000000002"/>
    <x v="1"/>
  </r>
  <r>
    <x v="925"/>
    <n v="-0.25700000000000001"/>
    <d v="2018-11-16T00:00:00"/>
    <n v="0.33"/>
    <x v="1"/>
  </r>
  <r>
    <x v="926"/>
    <n v="-0.25700000000000001"/>
    <d v="2018-11-19T00:00:00"/>
    <n v="0.32800000000000001"/>
    <x v="1"/>
  </r>
  <r>
    <x v="927"/>
    <n v="-0.25700000000000001"/>
    <d v="2018-11-20T00:00:00"/>
    <n v="0.32700000000000001"/>
    <x v="1"/>
  </r>
  <r>
    <x v="928"/>
    <n v="-0.25700000000000001"/>
    <d v="2018-11-21T00:00:00"/>
    <n v="0.32400000000000001"/>
    <x v="1"/>
  </r>
  <r>
    <x v="929"/>
    <n v="-0.25700000000000001"/>
    <d v="2018-11-22T00:00:00"/>
    <n v="0.32600000000000001"/>
    <x v="1"/>
  </r>
  <r>
    <x v="930"/>
    <n v="-0.25700000000000001"/>
    <d v="2018-11-23T00:00:00"/>
    <n v="0.32500000000000001"/>
    <x v="1"/>
  </r>
  <r>
    <x v="931"/>
    <n v="-0.25600000000000001"/>
    <d v="2018-11-26T00:00:00"/>
    <n v="0.32500000000000001"/>
    <x v="1"/>
  </r>
  <r>
    <x v="932"/>
    <n v="-0.25600000000000001"/>
    <d v="2018-11-27T00:00:00"/>
    <n v="0.32500000000000001"/>
    <x v="1"/>
  </r>
  <r>
    <x v="933"/>
    <n v="-0.25600000000000001"/>
    <d v="2018-11-28T00:00:00"/>
    <n v="0.32600000000000001"/>
    <x v="1"/>
  </r>
  <r>
    <x v="934"/>
    <n v="-0.253"/>
    <d v="2018-11-29T00:00:00"/>
    <n v="0.32500000000000001"/>
    <x v="1"/>
  </r>
  <r>
    <x v="935"/>
    <n v="-0.251"/>
    <d v="2018-11-30T00:00:00"/>
    <n v="0.32200000000000001"/>
    <x v="1"/>
  </r>
  <r>
    <x v="936"/>
    <n v="-0.248"/>
    <d v="2018-12-03T00:00:00"/>
    <n v="0.32"/>
    <x v="1"/>
  </r>
  <r>
    <x v="937"/>
    <n v="-0.247"/>
    <d v="2018-12-04T00:00:00"/>
    <n v="0.316"/>
    <x v="1"/>
  </r>
  <r>
    <x v="938"/>
    <n v="-0.246"/>
    <d v="2018-12-05T00:00:00"/>
    <n v="0.311"/>
    <x v="1"/>
  </r>
  <r>
    <x v="939"/>
    <n v="-0.246"/>
    <d v="2018-12-06T00:00:00"/>
    <n v="0.30399999999999999"/>
    <x v="1"/>
  </r>
  <r>
    <x v="940"/>
    <n v="-0.246"/>
    <d v="2018-12-07T00:00:00"/>
    <n v="0.3"/>
    <x v="1"/>
  </r>
  <r>
    <x v="941"/>
    <n v="-0.245"/>
    <d v="2018-12-10T00:00:00"/>
    <n v="0.29599999999999999"/>
    <x v="1"/>
  </r>
  <r>
    <x v="942"/>
    <n v="-0.24399999999999999"/>
    <d v="2018-12-11T00:00:00"/>
    <n v="0.29299999999999998"/>
    <x v="1"/>
  </r>
  <r>
    <x v="943"/>
    <n v="-0.24099999999999999"/>
    <d v="2018-12-12T00:00:00"/>
    <n v="0.28899999999999998"/>
    <x v="1"/>
  </r>
  <r>
    <x v="944"/>
    <n v="-0.23899999999999999"/>
    <d v="2018-12-13T00:00:00"/>
    <n v="0.28799999999999998"/>
    <x v="1"/>
  </r>
  <r>
    <x v="945"/>
    <n v="-0.23799999999999999"/>
    <d v="2018-12-14T00:00:00"/>
    <n v="0.28499999999999998"/>
    <x v="1"/>
  </r>
  <r>
    <x v="946"/>
    <n v="-0.23699999999999999"/>
    <d v="2018-12-17T00:00:00"/>
    <n v="0.28100000000000003"/>
    <x v="1"/>
  </r>
  <r>
    <x v="947"/>
    <n v="-0.23799999999999999"/>
    <d v="2018-12-18T00:00:00"/>
    <n v="0.27700000000000002"/>
    <x v="1"/>
  </r>
  <r>
    <x v="948"/>
    <n v="-0.23799999999999999"/>
    <d v="2018-12-19T00:00:00"/>
    <n v="0.27300000000000002"/>
    <x v="1"/>
  </r>
  <r>
    <x v="949"/>
    <n v="-0.23799999999999999"/>
    <d v="2018-12-20T00:00:00"/>
    <n v="0.26800000000000002"/>
    <x v="1"/>
  </r>
  <r>
    <x v="950"/>
    <n v="-0.23799999999999999"/>
    <d v="2018-12-21T00:00:00"/>
    <n v="0.26400000000000001"/>
    <x v="1"/>
  </r>
  <r>
    <x v="951"/>
    <n v="-0.23699999999999999"/>
    <m/>
    <n v="0.26400000000000001"/>
    <x v="1"/>
  </r>
  <r>
    <x v="952"/>
    <n v="-0.23699999999999999"/>
    <m/>
    <n v="0.26400000000000001"/>
    <x v="1"/>
  </r>
  <r>
    <x v="953"/>
    <n v="-0.23699999999999999"/>
    <m/>
    <n v="0.26400000000000001"/>
    <x v="1"/>
  </r>
  <r>
    <x v="954"/>
    <n v="-0.23699999999999999"/>
    <d v="2018-12-27T00:00:00"/>
    <n v="0.25900000000000001"/>
    <x v="1"/>
  </r>
  <r>
    <x v="955"/>
    <n v="-0.23599999999999999"/>
    <d v="2018-12-28T00:00:00"/>
    <n v="0.255"/>
    <x v="1"/>
  </r>
  <r>
    <x v="956"/>
    <n v="-0.23699999999999999"/>
    <d v="2018-12-31T00:00:00"/>
    <n v="0.251"/>
    <x v="1"/>
  </r>
  <r>
    <x v="957"/>
    <n v="-0.23699999999999999"/>
    <m/>
    <n v="0.251"/>
    <x v="1"/>
  </r>
  <r>
    <x v="958"/>
    <n v="-0.23799999999999999"/>
    <d v="2019-01-02T00:00:00"/>
    <n v="0.245"/>
    <x v="1"/>
  </r>
  <r>
    <x v="959"/>
    <n v="-0.23699999999999999"/>
    <d v="2019-01-03T00:00:00"/>
    <n v="0.24"/>
    <x v="1"/>
  </r>
  <r>
    <x v="960"/>
    <n v="-0.23699999999999999"/>
    <d v="2019-01-04T00:00:00"/>
    <n v="0.23599999999999999"/>
    <x v="1"/>
  </r>
  <r>
    <x v="961"/>
    <n v="-0.23599999999999999"/>
    <d v="2019-01-07T00:00:00"/>
    <n v="0.23400000000000001"/>
    <x v="1"/>
  </r>
  <r>
    <x v="962"/>
    <n v="-0.23599999999999999"/>
    <d v="2019-01-08T00:00:00"/>
    <n v="0.23499999999999999"/>
    <x v="1"/>
  </r>
  <r>
    <x v="963"/>
    <n v="-0.23599999999999999"/>
    <d v="2019-01-09T00:00:00"/>
    <n v="0.23499999999999999"/>
    <x v="1"/>
  </r>
  <r>
    <x v="964"/>
    <n v="-0.23599999999999999"/>
    <d v="2019-01-10T00:00:00"/>
    <n v="0.23899999999999999"/>
    <x v="1"/>
  </r>
  <r>
    <x v="965"/>
    <n v="-0.23599999999999999"/>
    <d v="2019-01-11T00:00:00"/>
    <n v="0.23699999999999999"/>
    <x v="1"/>
  </r>
  <r>
    <x v="966"/>
    <n v="-0.23599999999999999"/>
    <d v="2019-01-14T00:00:00"/>
    <n v="0.23400000000000001"/>
    <x v="1"/>
  </r>
  <r>
    <x v="967"/>
    <n v="-0.23599999999999999"/>
    <d v="2019-01-15T00:00:00"/>
    <n v="0.23"/>
    <x v="1"/>
  </r>
  <r>
    <x v="968"/>
    <n v="-0.23599999999999999"/>
    <d v="2019-01-16T00:00:00"/>
    <n v="0.22600000000000001"/>
    <x v="1"/>
  </r>
  <r>
    <x v="969"/>
    <n v="-0.23599999999999999"/>
    <d v="2019-01-17T00:00:00"/>
    <n v="0.224"/>
    <x v="1"/>
  </r>
  <r>
    <x v="970"/>
    <n v="-0.23499999999999999"/>
    <d v="2019-01-18T00:00:00"/>
    <n v="0.223"/>
    <x v="1"/>
  </r>
  <r>
    <x v="971"/>
    <n v="-0.23599999999999999"/>
    <d v="2019-01-21T00:00:00"/>
    <n v="0.222"/>
    <x v="1"/>
  </r>
  <r>
    <x v="972"/>
    <n v="-0.23699999999999999"/>
    <d v="2019-01-22T00:00:00"/>
    <n v="0.221"/>
    <x v="1"/>
  </r>
  <r>
    <x v="973"/>
    <n v="-0.23699999999999999"/>
    <d v="2019-01-23T00:00:00"/>
    <n v="0.22"/>
    <x v="1"/>
  </r>
  <r>
    <x v="974"/>
    <n v="-0.23599999999999999"/>
    <d v="2019-01-24T00:00:00"/>
    <n v="0.217"/>
    <x v="1"/>
  </r>
  <r>
    <x v="975"/>
    <n v="-0.23699999999999999"/>
    <d v="2019-01-25T00:00:00"/>
    <n v="0.216"/>
    <x v="1"/>
  </r>
  <r>
    <x v="976"/>
    <n v="-0.23699999999999999"/>
    <d v="2019-01-28T00:00:00"/>
    <n v="0.214"/>
    <x v="1"/>
  </r>
  <r>
    <x v="977"/>
    <n v="-0.23699999999999999"/>
    <d v="2019-01-29T00:00:00"/>
    <n v="0.21299999999999999"/>
    <x v="1"/>
  </r>
  <r>
    <x v="978"/>
    <n v="-0.23599999999999999"/>
    <d v="2019-01-30T00:00:00"/>
    <n v="0.214"/>
    <x v="1"/>
  </r>
  <r>
    <x v="979"/>
    <n v="-0.23599999999999999"/>
    <d v="2019-01-31T00:00:00"/>
    <n v="0.214"/>
    <x v="1"/>
  </r>
  <r>
    <x v="980"/>
    <n v="-0.23499999999999999"/>
    <d v="2019-02-01T00:00:00"/>
    <n v="0.21199999999999999"/>
    <x v="1"/>
  </r>
  <r>
    <x v="981"/>
    <n v="-0.23499999999999999"/>
    <d v="2019-02-04T00:00:00"/>
    <n v="0.20899999999999999"/>
    <x v="1"/>
  </r>
  <r>
    <x v="982"/>
    <n v="-0.23400000000000001"/>
    <d v="2019-02-05T00:00:00"/>
    <n v="0.215"/>
    <x v="1"/>
  </r>
  <r>
    <x v="983"/>
    <n v="-0.23400000000000001"/>
    <d v="2019-02-06T00:00:00"/>
    <n v="0.21199999999999999"/>
    <x v="1"/>
  </r>
  <r>
    <x v="984"/>
    <n v="-0.23300000000000001"/>
    <d v="2019-02-07T00:00:00"/>
    <n v="0.20799999999999999"/>
    <x v="1"/>
  </r>
  <r>
    <x v="985"/>
    <n v="-0.23300000000000001"/>
    <d v="2019-02-08T00:00:00"/>
    <n v="0.20399999999999999"/>
    <x v="1"/>
  </r>
  <r>
    <x v="986"/>
    <n v="-0.23200000000000001"/>
    <d v="2019-02-11T00:00:00"/>
    <n v="0.20200000000000001"/>
    <x v="1"/>
  </r>
  <r>
    <x v="987"/>
    <n v="-0.23100000000000001"/>
    <d v="2019-02-12T00:00:00"/>
    <n v="0.2"/>
    <x v="1"/>
  </r>
  <r>
    <x v="988"/>
    <n v="-0.23100000000000001"/>
    <d v="2019-02-13T00:00:00"/>
    <n v="0.19900000000000001"/>
    <x v="1"/>
  </r>
  <r>
    <x v="989"/>
    <n v="-0.23100000000000001"/>
    <d v="2019-02-14T00:00:00"/>
    <n v="0.19600000000000001"/>
    <x v="1"/>
  </r>
  <r>
    <x v="990"/>
    <n v="-0.23200000000000001"/>
    <d v="2019-02-15T00:00:00"/>
    <n v="0.192"/>
    <x v="1"/>
  </r>
  <r>
    <x v="991"/>
    <n v="-0.23200000000000001"/>
    <d v="2019-02-18T00:00:00"/>
    <n v="0.189"/>
    <x v="1"/>
  </r>
  <r>
    <x v="992"/>
    <n v="-0.23200000000000001"/>
    <d v="2019-02-19T00:00:00"/>
    <n v="0.185"/>
    <x v="1"/>
  </r>
  <r>
    <x v="993"/>
    <n v="-0.23100000000000001"/>
    <d v="2019-02-20T00:00:00"/>
    <n v="0.182"/>
    <x v="1"/>
  </r>
  <r>
    <x v="994"/>
    <n v="-0.23100000000000001"/>
    <d v="2019-02-21T00:00:00"/>
    <n v="0.18099999999999999"/>
    <x v="1"/>
  </r>
  <r>
    <x v="995"/>
    <n v="-0.23100000000000001"/>
    <d v="2019-02-22T00:00:00"/>
    <n v="0.17899999999999999"/>
    <x v="1"/>
  </r>
  <r>
    <x v="996"/>
    <n v="-0.23"/>
    <d v="2019-02-25T00:00:00"/>
    <n v="0.17699999999999999"/>
    <x v="1"/>
  </r>
  <r>
    <x v="997"/>
    <n v="-0.23"/>
    <d v="2019-02-26T00:00:00"/>
    <n v="0.17499999999999999"/>
    <x v="1"/>
  </r>
  <r>
    <x v="998"/>
    <n v="-0.22900000000000001"/>
    <d v="2019-02-27T00:00:00"/>
    <n v="0.17399999999999999"/>
    <x v="1"/>
  </r>
  <r>
    <x v="999"/>
    <n v="-0.22900000000000001"/>
    <d v="2019-02-28T00:00:00"/>
    <n v="0.17499999999999999"/>
    <x v="1"/>
  </r>
  <r>
    <x v="1000"/>
    <n v="-0.23"/>
    <d v="2019-03-01T00:00:00"/>
    <n v="0.17799999999999999"/>
    <x v="1"/>
  </r>
  <r>
    <x v="1001"/>
    <n v="-0.23"/>
    <d v="2019-03-04T00:00:00"/>
    <n v="0.17899999999999999"/>
    <x v="1"/>
  </r>
  <r>
    <x v="1002"/>
    <n v="-0.23100000000000001"/>
    <d v="2019-03-05T00:00:00"/>
    <n v="0.18"/>
    <x v="1"/>
  </r>
  <r>
    <x v="1003"/>
    <n v="-0.23200000000000001"/>
    <d v="2019-03-06T00:00:00"/>
    <n v="0.17899999999999999"/>
    <x v="1"/>
  </r>
  <r>
    <x v="1004"/>
    <n v="-0.23100000000000001"/>
    <d v="2019-03-07T00:00:00"/>
    <n v="0.18099999999999999"/>
    <x v="1"/>
  </r>
  <r>
    <x v="1005"/>
    <n v="-0.23200000000000001"/>
    <d v="2019-03-08T00:00:00"/>
    <n v="0.18"/>
    <x v="1"/>
  </r>
  <r>
    <x v="1006"/>
    <n v="-0.23200000000000001"/>
    <d v="2019-03-11T00:00:00"/>
    <n v="0.17799999999999999"/>
    <x v="1"/>
  </r>
  <r>
    <x v="1007"/>
    <n v="-0.23100000000000001"/>
    <d v="2019-03-12T00:00:00"/>
    <n v="0.17599999999999999"/>
    <x v="1"/>
  </r>
  <r>
    <x v="1008"/>
    <n v="-0.23200000000000001"/>
    <d v="2019-03-13T00:00:00"/>
    <n v="0.17299999999999999"/>
    <x v="1"/>
  </r>
  <r>
    <x v="1009"/>
    <n v="-0.23200000000000001"/>
    <d v="2019-03-14T00:00:00"/>
    <n v="0.17100000000000001"/>
    <x v="1"/>
  </r>
  <r>
    <x v="1010"/>
    <n v="-0.23200000000000001"/>
    <d v="2019-03-15T00:00:00"/>
    <n v="0.16900000000000001"/>
    <x v="1"/>
  </r>
  <r>
    <x v="1011"/>
    <n v="-0.23100000000000001"/>
    <d v="2019-03-18T00:00:00"/>
    <n v="0.16800000000000001"/>
    <x v="1"/>
  </r>
  <r>
    <x v="1012"/>
    <n v="-0.23200000000000001"/>
    <d v="2019-03-19T00:00:00"/>
    <n v="0.16600000000000001"/>
    <x v="1"/>
  </r>
  <r>
    <x v="1013"/>
    <n v="-0.23100000000000001"/>
    <d v="2019-03-20T00:00:00"/>
    <n v="0.16500000000000001"/>
    <x v="1"/>
  </r>
  <r>
    <x v="1014"/>
    <n v="-0.22900000000000001"/>
    <d v="2019-03-21T00:00:00"/>
    <n v="0.161"/>
    <x v="1"/>
  </r>
  <r>
    <x v="1015"/>
    <n v="-0.22800000000000001"/>
    <d v="2019-03-22T00:00:00"/>
    <n v="0.155"/>
    <x v="1"/>
  </r>
  <r>
    <x v="1016"/>
    <n v="-0.22800000000000001"/>
    <d v="2019-03-25T00:00:00"/>
    <n v="0.14899999999999999"/>
    <x v="1"/>
  </r>
  <r>
    <x v="1017"/>
    <n v="-0.22800000000000001"/>
    <d v="2019-03-26T00:00:00"/>
    <n v="0.14199999999999999"/>
    <x v="1"/>
  </r>
  <r>
    <x v="1018"/>
    <n v="-0.22700000000000001"/>
    <d v="2019-03-27T00:00:00"/>
    <n v="0.13300000000000001"/>
    <x v="1"/>
  </r>
  <r>
    <x v="1019"/>
    <n v="-0.22800000000000001"/>
    <d v="2019-03-28T00:00:00"/>
    <n v="0.123"/>
    <x v="1"/>
  </r>
  <r>
    <x v="1020"/>
    <n v="-0.22800000000000001"/>
    <d v="2019-03-29T00:00:00"/>
    <n v="0.112"/>
    <x v="1"/>
  </r>
  <r>
    <x v="1021"/>
    <n v="-0.22800000000000001"/>
    <d v="2019-04-01T00:00:00"/>
    <n v="0.10299999999999999"/>
    <x v="1"/>
  </r>
  <r>
    <x v="1022"/>
    <n v="-0.23"/>
    <d v="2019-04-02T00:00:00"/>
    <n v="9.2999999999999999E-2"/>
    <x v="1"/>
  </r>
  <r>
    <x v="1023"/>
    <n v="-0.23"/>
    <d v="2019-04-03T00:00:00"/>
    <n v="8.6999999999999994E-2"/>
    <x v="1"/>
  </r>
  <r>
    <x v="1024"/>
    <n v="-0.23"/>
    <d v="2019-04-04T00:00:00"/>
    <n v="8.3000000000000004E-2"/>
    <x v="1"/>
  </r>
  <r>
    <x v="1025"/>
    <n v="-0.23100000000000001"/>
    <d v="2019-04-05T00:00:00"/>
    <n v="0.08"/>
    <x v="1"/>
  </r>
  <r>
    <x v="1026"/>
    <n v="-0.23100000000000001"/>
    <d v="2019-04-08T00:00:00"/>
    <n v="7.5999999999999998E-2"/>
    <x v="1"/>
  </r>
  <r>
    <x v="1027"/>
    <n v="-0.23100000000000001"/>
    <d v="2019-04-09T00:00:00"/>
    <n v="7.1999999999999995E-2"/>
    <x v="1"/>
  </r>
  <r>
    <x v="1028"/>
    <n v="-0.23100000000000001"/>
    <d v="2019-04-10T00:00:00"/>
    <n v="6.8000000000000005E-2"/>
    <x v="1"/>
  </r>
  <r>
    <x v="1029"/>
    <n v="-0.23200000000000001"/>
    <d v="2019-04-11T00:00:00"/>
    <n v="6.3E-2"/>
    <x v="1"/>
  </r>
  <r>
    <x v="1030"/>
    <n v="-0.23200000000000001"/>
    <d v="2019-04-12T00:00:00"/>
    <n v="0.06"/>
    <x v="1"/>
  </r>
  <r>
    <x v="1031"/>
    <n v="-0.23100000000000001"/>
    <d v="2019-04-15T00:00:00"/>
    <n v="5.8000000000000003E-2"/>
    <x v="1"/>
  </r>
  <r>
    <x v="1032"/>
    <n v="-0.23200000000000001"/>
    <d v="2019-04-16T00:00:00"/>
    <n v="5.6000000000000001E-2"/>
    <x v="1"/>
  </r>
  <r>
    <x v="1033"/>
    <n v="-0.23200000000000001"/>
    <d v="2019-04-17T00:00:00"/>
    <n v="5.5E-2"/>
    <x v="1"/>
  </r>
  <r>
    <x v="1034"/>
    <n v="-0.23200000000000001"/>
    <d v="2019-04-18T00:00:00"/>
    <n v="5.3999999999999999E-2"/>
    <x v="1"/>
  </r>
  <r>
    <x v="1035"/>
    <n v="-0.23200000000000001"/>
    <d v="2019-04-19T00:00:00"/>
    <n v="5.5E-2"/>
    <x v="1"/>
  </r>
  <r>
    <x v="1036"/>
    <n v="-0.23200000000000001"/>
    <m/>
    <n v="5.5E-2"/>
    <x v="1"/>
  </r>
  <r>
    <x v="1037"/>
    <n v="-0.23"/>
    <d v="2019-04-23T00:00:00"/>
    <n v="5.7000000000000002E-2"/>
    <x v="1"/>
  </r>
  <r>
    <x v="1038"/>
    <n v="-0.23100000000000001"/>
    <d v="2019-04-24T00:00:00"/>
    <n v="5.7000000000000002E-2"/>
    <x v="1"/>
  </r>
  <r>
    <x v="1039"/>
    <n v="-0.23"/>
    <d v="2019-04-25T00:00:00"/>
    <n v="5.8999999999999997E-2"/>
    <x v="1"/>
  </r>
  <r>
    <x v="1040"/>
    <n v="-0.22900000000000001"/>
    <d v="2019-04-26T00:00:00"/>
    <n v="6.0999999999999999E-2"/>
    <x v="1"/>
  </r>
  <r>
    <x v="1041"/>
    <n v="-0.23100000000000001"/>
    <d v="2019-04-29T00:00:00"/>
    <n v="6.3E-2"/>
    <x v="1"/>
  </r>
  <r>
    <x v="1042"/>
    <n v="-0.23100000000000001"/>
    <d v="2019-04-30T00:00:00"/>
    <n v="6.5000000000000002E-2"/>
    <x v="1"/>
  </r>
  <r>
    <x v="1043"/>
    <n v="-0.23100000000000001"/>
    <m/>
    <n v="6.5000000000000002E-2"/>
    <x v="9"/>
  </r>
  <r>
    <x v="1044"/>
    <n v="-0.23200000000000001"/>
    <d v="2019-05-02T00:00:00"/>
    <n v="6.6000000000000003E-2"/>
    <x v="1"/>
  </r>
  <r>
    <x v="1045"/>
    <n v="-0.23"/>
    <d v="2019-05-03T00:00:00"/>
    <n v="6.6000000000000003E-2"/>
    <x v="1"/>
  </r>
  <r>
    <x v="1046"/>
    <n v="-0.23"/>
    <d v="2019-05-06T00:00:00"/>
    <n v="6.6000000000000003E-2"/>
    <x v="1"/>
  </r>
  <r>
    <x v="1047"/>
    <n v="-0.22900000000000001"/>
    <d v="2019-05-07T00:00:00"/>
    <n v="6.3E-2"/>
    <x v="1"/>
  </r>
  <r>
    <x v="1048"/>
    <n v="-0.23"/>
    <d v="2019-05-08T00:00:00"/>
    <n v="6.0999999999999999E-2"/>
    <x v="1"/>
  </r>
  <r>
    <x v="1049"/>
    <n v="-0.23100000000000001"/>
    <d v="2019-05-09T00:00:00"/>
    <n v="5.8999999999999997E-2"/>
    <x v="1"/>
  </r>
  <r>
    <x v="1050"/>
    <n v="-0.23100000000000001"/>
    <d v="2019-05-10T00:00:00"/>
    <n v="5.8000000000000003E-2"/>
    <x v="1"/>
  </r>
  <r>
    <x v="1051"/>
    <n v="-0.23100000000000001"/>
    <d v="2019-05-13T00:00:00"/>
    <n v="5.7000000000000002E-2"/>
    <x v="1"/>
  </r>
  <r>
    <x v="1052"/>
    <n v="-0.23200000000000001"/>
    <d v="2019-05-14T00:00:00"/>
    <n v="5.2999999999999999E-2"/>
    <x v="1"/>
  </r>
  <r>
    <x v="1053"/>
    <n v="-0.23499999999999999"/>
    <d v="2019-05-15T00:00:00"/>
    <n v="4.7E-2"/>
    <x v="1"/>
  </r>
  <r>
    <x v="1054"/>
    <n v="-0.23699999999999999"/>
    <d v="2019-05-16T00:00:00"/>
    <n v="4.1000000000000002E-2"/>
    <x v="1"/>
  </r>
  <r>
    <x v="1055"/>
    <n v="-0.24"/>
    <d v="2019-05-17T00:00:00"/>
    <n v="3.4000000000000002E-2"/>
    <x v="1"/>
  </r>
  <r>
    <x v="1056"/>
    <n v="-0.24099999999999999"/>
    <d v="2019-05-20T00:00:00"/>
    <n v="2.9000000000000001E-2"/>
    <x v="1"/>
  </r>
  <r>
    <x v="1057"/>
    <n v="-0.24399999999999999"/>
    <d v="2019-05-21T00:00:00"/>
    <n v="2.8000000000000001E-2"/>
    <x v="1"/>
  </r>
  <r>
    <x v="1058"/>
    <n v="-0.24199999999999999"/>
    <d v="2019-05-22T00:00:00"/>
    <n v="2.5000000000000001E-2"/>
    <x v="1"/>
  </r>
  <r>
    <x v="1059"/>
    <n v="-0.24199999999999999"/>
    <d v="2019-05-23T00:00:00"/>
    <n v="2.1000000000000001E-2"/>
    <x v="1"/>
  </r>
  <r>
    <x v="1060"/>
    <n v="-0.24099999999999999"/>
    <d v="2019-05-24T00:00:00"/>
    <n v="1.7999999999999999E-2"/>
    <x v="1"/>
  </r>
  <r>
    <x v="1061"/>
    <n v="-0.24"/>
    <d v="2019-05-27T00:00:00"/>
    <n v="1.4E-2"/>
    <x v="1"/>
  </r>
  <r>
    <x v="1062"/>
    <n v="-0.24199999999999999"/>
    <d v="2019-05-28T00:00:00"/>
    <n v="8.9999999999999993E-3"/>
    <x v="1"/>
  </r>
  <r>
    <x v="1063"/>
    <n v="-0.245"/>
    <d v="2019-05-29T00:00:00"/>
    <n v="3.0000000000000001E-3"/>
    <x v="1"/>
  </r>
  <r>
    <x v="1064"/>
    <n v="-0.247"/>
    <m/>
    <n v="3.0000000000000001E-3"/>
    <x v="1"/>
  </r>
  <r>
    <x v="1065"/>
    <n v="-0.25"/>
    <d v="2019-05-31T00:00:00"/>
    <s v="−0,004"/>
    <x v="1"/>
  </r>
  <r>
    <x v="1066"/>
    <n v="-0.254"/>
    <d v="2019-06-03T00:00:00"/>
    <s v="−0,011"/>
    <x v="1"/>
  </r>
  <r>
    <x v="1067"/>
    <n v="-0.254"/>
    <d v="2019-06-04T00:00:00"/>
    <s v="−0,018"/>
    <x v="1"/>
  </r>
  <r>
    <x v="1068"/>
    <n v="-0.254"/>
    <d v="2019-06-05T00:00:00"/>
    <s v="−0,024"/>
    <x v="1"/>
  </r>
  <r>
    <x v="1069"/>
    <n v="-0.25900000000000001"/>
    <d v="2019-06-06T00:00:00"/>
    <s v="−0,028"/>
    <x v="1"/>
  </r>
  <r>
    <x v="1070"/>
    <n v="-0.25600000000000001"/>
    <d v="2019-06-07T00:00:00"/>
    <s v="−0,034"/>
    <x v="1"/>
  </r>
  <r>
    <x v="1071"/>
    <n v="-0.25800000000000001"/>
    <m/>
    <s v="−0,034"/>
    <x v="1"/>
  </r>
  <r>
    <x v="1072"/>
    <n v="-0.25800000000000001"/>
    <d v="2019-06-11T00:00:00"/>
    <s v="−0,042"/>
    <x v="1"/>
  </r>
  <r>
    <x v="1073"/>
    <n v="-0.25900000000000001"/>
    <d v="2019-06-12T00:00:00"/>
    <s v="−0,049"/>
    <x v="1"/>
  </r>
  <r>
    <x v="1074"/>
    <n v="-0.25900000000000001"/>
    <d v="2019-06-13T00:00:00"/>
    <s v="−0,055"/>
    <x v="1"/>
  </r>
  <r>
    <x v="1075"/>
    <n v="-0.26100000000000001"/>
    <d v="2019-06-14T00:00:00"/>
    <s v="−0,061"/>
    <x v="1"/>
  </r>
  <r>
    <x v="1076"/>
    <n v="-0.26800000000000002"/>
    <d v="2019-06-17T00:00:00"/>
    <s v="−0,068"/>
    <x v="1"/>
  </r>
  <r>
    <x v="1077"/>
    <n v="-0.27600000000000002"/>
    <d v="2019-06-18T00:00:00"/>
    <s v="−0,077"/>
    <x v="1"/>
  </r>
  <r>
    <x v="1078"/>
    <n v="-0.29899999999999999"/>
    <d v="2019-06-19T00:00:00"/>
    <s v="−0,086"/>
    <x v="1"/>
  </r>
  <r>
    <x v="1079"/>
    <n v="-0.30299999999999999"/>
    <m/>
    <s v="−0,086"/>
    <x v="1"/>
  </r>
  <r>
    <x v="1080"/>
    <n v="-0.308"/>
    <d v="2019-06-21T00:00:00"/>
    <s v="−0,096"/>
    <x v="1"/>
  </r>
  <r>
    <x v="1081"/>
    <n v="-0.308"/>
    <d v="2019-06-24T00:00:00"/>
    <s v="−0,106"/>
    <x v="1"/>
  </r>
  <r>
    <x v="1082"/>
    <n v="-0.311"/>
    <d v="2019-06-25T00:00:00"/>
    <s v="−0,115"/>
    <x v="1"/>
  </r>
  <r>
    <x v="1083"/>
    <n v="-0.311"/>
    <d v="2019-06-26T00:00:00"/>
    <s v="−0,125"/>
    <x v="1"/>
  </r>
  <r>
    <x v="1084"/>
    <n v="-0.313"/>
    <d v="2019-06-27T00:00:00"/>
    <s v="−0,132"/>
    <x v="1"/>
  </r>
  <r>
    <x v="1085"/>
    <n v="-0.311"/>
    <d v="2019-06-28T00:00:00"/>
    <s v="−0,140"/>
    <x v="1"/>
  </r>
  <r>
    <x v="1086"/>
    <n v="-0.313"/>
    <d v="2019-07-01T00:00:00"/>
    <s v="−0,149"/>
    <x v="1"/>
  </r>
  <r>
    <x v="1087"/>
    <n v="-0.32700000000000001"/>
    <d v="2019-07-02T00:00:00"/>
    <s v="−0,154"/>
    <x v="1"/>
  </r>
  <r>
    <x v="1088"/>
    <n v="-0.33500000000000002"/>
    <d v="2019-07-03T00:00:00"/>
    <s v="−0,163"/>
    <x v="1"/>
  </r>
  <r>
    <x v="1089"/>
    <n v="-0.33800000000000002"/>
    <d v="2019-07-04T00:00:00"/>
    <s v="−0,172"/>
    <x v="1"/>
  </r>
  <r>
    <x v="1090"/>
    <n v="-0.34399999999999997"/>
    <d v="2019-07-05T00:00:00"/>
    <s v="−0,180"/>
    <x v="1"/>
  </r>
  <r>
    <x v="1091"/>
    <n v="-0.33800000000000002"/>
    <d v="2019-07-08T00:00:00"/>
    <s v="−0,187"/>
    <x v="1"/>
  </r>
  <r>
    <x v="1092"/>
    <n v="-0.33600000000000002"/>
    <d v="2019-07-09T00:00:00"/>
    <s v="−0,193"/>
    <x v="1"/>
  </r>
  <r>
    <x v="1093"/>
    <n v="-0.32900000000000001"/>
    <d v="2019-07-10T00:00:00"/>
    <s v="−0,197"/>
    <x v="1"/>
  </r>
  <r>
    <x v="1094"/>
    <n v="-0.34200000000000003"/>
    <d v="2019-07-11T00:00:00"/>
    <s v="−0,200"/>
    <x v="1"/>
  </r>
  <r>
    <x v="1095"/>
    <n v="-0.34200000000000003"/>
    <d v="2019-07-12T00:00:00"/>
    <s v="−0,202"/>
    <x v="1"/>
  </r>
  <r>
    <x v="1096"/>
    <n v="-0.34300000000000003"/>
    <d v="2019-07-15T00:00:00"/>
    <s v="−0,175"/>
    <x v="1"/>
  </r>
  <r>
    <x v="1097"/>
    <n v="-0.35"/>
    <d v="2019-07-16T00:00:00"/>
    <s v="−0,179"/>
    <x v="1"/>
  </r>
  <r>
    <x v="1098"/>
    <n v="-0.35699999999999998"/>
    <d v="2019-07-17T00:00:00"/>
    <s v="−0,180"/>
    <x v="1"/>
  </r>
  <r>
    <x v="1099"/>
    <n v="-0.35299999999999998"/>
    <d v="2019-07-18T00:00:00"/>
    <s v="−0,183"/>
    <x v="1"/>
  </r>
  <r>
    <x v="1100"/>
    <n v="-0.35399999999999998"/>
    <d v="2019-07-19T00:00:00"/>
    <s v="−0,187"/>
    <x v="1"/>
  </r>
  <r>
    <x v="1101"/>
    <n v="-0.36099999999999999"/>
    <d v="2019-07-22T00:00:00"/>
    <s v="−0,191"/>
    <x v="1"/>
  </r>
  <r>
    <x v="1102"/>
    <n v="-0.36199999999999999"/>
    <d v="2019-07-23T00:00:00"/>
    <s v="−0,195"/>
    <x v="1"/>
  </r>
  <r>
    <x v="1103"/>
    <n v="-0.36799999999999999"/>
    <d v="2019-07-24T00:00:00"/>
    <s v="−0,200"/>
    <x v="1"/>
  </r>
  <r>
    <x v="1104"/>
    <n v="-0.36799999999999999"/>
    <d v="2019-07-25T00:00:00"/>
    <s v="−0,206"/>
    <x v="1"/>
  </r>
  <r>
    <x v="1105"/>
    <n v="-0.36199999999999999"/>
    <d v="2019-07-26T00:00:00"/>
    <s v="−0,210"/>
    <x v="1"/>
  </r>
  <r>
    <x v="1106"/>
    <n v="-0.35099999999999998"/>
    <d v="2019-07-29T00:00:00"/>
    <s v="−0,214"/>
    <x v="1"/>
  </r>
  <r>
    <x v="1107"/>
    <n v="-0.35499999999999998"/>
    <d v="2019-07-30T00:00:00"/>
    <s v="−0,217"/>
    <x v="1"/>
  </r>
  <r>
    <x v="1108"/>
    <n v="-0.36199999999999999"/>
    <d v="2019-07-31T00:00:00"/>
    <s v="−0,221"/>
    <x v="1"/>
  </r>
  <r>
    <x v="1109"/>
    <n v="-0.36299999999999999"/>
    <d v="2019-08-01T00:00:00"/>
    <s v="−0,224"/>
    <x v="1"/>
  </r>
  <r>
    <x v="1110"/>
    <n v="-0.36699999999999999"/>
    <d v="2019-08-02T00:00:00"/>
    <s v="−0,230"/>
    <x v="1"/>
  </r>
  <r>
    <x v="1111"/>
    <n v="-0.36899999999999999"/>
    <d v="2019-08-05T00:00:00"/>
    <s v="−0,237"/>
    <x v="1"/>
  </r>
  <r>
    <x v="1112"/>
    <n v="-0.38300000000000001"/>
    <d v="2019-08-06T00:00:00"/>
    <s v="−0,245"/>
    <x v="1"/>
  </r>
  <r>
    <x v="1113"/>
    <n v="-0.38900000000000001"/>
    <d v="2019-08-07T00:00:00"/>
    <s v="−0,258"/>
    <x v="1"/>
  </r>
  <r>
    <x v="1114"/>
    <n v="-0.39300000000000002"/>
    <d v="2019-08-08T00:00:00"/>
    <s v="−0,271"/>
    <x v="1"/>
  </r>
  <r>
    <x v="1115"/>
    <n v="-0.39600000000000002"/>
    <d v="2019-08-09T00:00:00"/>
    <s v="−0,285"/>
    <x v="1"/>
  </r>
  <r>
    <x v="1116"/>
    <n v="-0.4"/>
    <d v="2019-08-12T00:00:00"/>
    <s v="−0,299"/>
    <x v="1"/>
  </r>
  <r>
    <x v="1117"/>
    <n v="-0.40100000000000002"/>
    <d v="2019-08-13T00:00:00"/>
    <s v="−0,312"/>
    <x v="1"/>
  </r>
  <r>
    <x v="1118"/>
    <n v="-0.40600000000000003"/>
    <d v="2019-08-14T00:00:00"/>
    <s v="−0,324"/>
    <x v="1"/>
  </r>
  <r>
    <x v="1119"/>
    <n v="-0.40899999999999997"/>
    <m/>
    <s v="−0,324"/>
    <x v="1"/>
  </r>
  <r>
    <x v="1120"/>
    <n v="-0.42699999999999999"/>
    <d v="2019-08-16T00:00:00"/>
    <s v="−0,339"/>
    <x v="1"/>
  </r>
  <r>
    <x v="1121"/>
    <n v="-0.42299999999999999"/>
    <d v="2019-08-19T00:00:00"/>
    <s v="−0,351"/>
    <x v="1"/>
  </r>
  <r>
    <x v="1122"/>
    <n v="-0.42499999999999999"/>
    <d v="2019-08-20T00:00:00"/>
    <s v="−0,364"/>
    <x v="1"/>
  </r>
  <r>
    <x v="1123"/>
    <n v="-0.42399999999999999"/>
    <d v="2019-08-21T00:00:00"/>
    <s v="−0,375"/>
    <x v="1"/>
  </r>
  <r>
    <x v="1124"/>
    <n v="-0.41799999999999998"/>
    <d v="2019-08-22T00:00:00"/>
    <s v="−0,385"/>
    <x v="1"/>
  </r>
  <r>
    <x v="1125"/>
    <n v="-0.40799999999999997"/>
    <d v="2019-08-23T00:00:00"/>
    <s v="−0,394"/>
    <x v="1"/>
  </r>
  <r>
    <x v="1126"/>
    <n v="-0.41499999999999998"/>
    <d v="2019-08-26T00:00:00"/>
    <s v="−0,405"/>
    <x v="1"/>
  </r>
  <r>
    <x v="1127"/>
    <n v="-0.41499999999999998"/>
    <d v="2019-08-27T00:00:00"/>
    <s v="−0,415"/>
    <x v="1"/>
  </r>
  <r>
    <x v="1128"/>
    <n v="-0.42699999999999999"/>
    <d v="2019-08-28T00:00:00"/>
    <s v="−0,427"/>
    <x v="1"/>
  </r>
  <r>
    <x v="1129"/>
    <n v="-0.42299999999999999"/>
    <d v="2019-08-29T00:00:00"/>
    <s v="−0,437"/>
    <x v="1"/>
  </r>
  <r>
    <x v="1130"/>
    <n v="-0.42799999999999999"/>
    <d v="2019-08-30T00:00:00"/>
    <s v="−0,447"/>
    <x v="1"/>
  </r>
  <r>
    <x v="1131"/>
    <n v="-0.439"/>
    <d v="2019-09-02T00:00:00"/>
    <s v="−0,455"/>
    <x v="1"/>
  </r>
  <r>
    <x v="1132"/>
    <n v="-0.44800000000000001"/>
    <d v="2019-09-03T00:00:00"/>
    <s v="−0,462"/>
    <x v="1"/>
  </r>
  <r>
    <x v="1133"/>
    <n v="-0.439"/>
    <d v="2019-09-04T00:00:00"/>
    <s v="−0,466"/>
    <x v="1"/>
  </r>
  <r>
    <x v="1134"/>
    <n v="-0.43099999999999999"/>
    <d v="2019-09-05T00:00:00"/>
    <s v="−0,466"/>
    <x v="1"/>
  </r>
  <r>
    <x v="1135"/>
    <n v="-0.42299999999999999"/>
    <d v="2019-09-06T00:00:00"/>
    <s v="−0,467"/>
    <x v="1"/>
  </r>
  <r>
    <x v="1136"/>
    <n v="-0.41299999999999998"/>
    <d v="2019-09-09T00:00:00"/>
    <s v="−0,466"/>
    <x v="1"/>
  </r>
  <r>
    <x v="1137"/>
    <n v="-0.41399999999999998"/>
    <d v="2019-09-10T00:00:00"/>
    <s v="−0,464"/>
    <x v="1"/>
  </r>
  <r>
    <x v="1138"/>
    <n v="-0.40799999999999997"/>
    <d v="2019-09-11T00:00:00"/>
    <s v="−0,460"/>
    <x v="1"/>
  </r>
  <r>
    <x v="1139"/>
    <n v="-0.40799999999999997"/>
    <d v="2019-09-12T00:00:00"/>
    <s v="−0,456"/>
    <x v="1"/>
  </r>
  <r>
    <x v="1140"/>
    <n v="-0.377"/>
    <d v="2019-09-13T00:00:00"/>
    <s v="−0,446"/>
    <x v="1"/>
  </r>
  <r>
    <x v="1141"/>
    <n v="-0.36099999999999999"/>
    <d v="2019-09-16T00:00:00"/>
    <s v="−0,437"/>
    <x v="1"/>
  </r>
  <r>
    <x v="1142"/>
    <n v="-0.36499999999999999"/>
    <d v="2019-09-17T00:00:00"/>
    <s v="−0,427"/>
    <x v="1"/>
  </r>
  <r>
    <x v="1143"/>
    <n v="-0.36899999999999999"/>
    <d v="2019-09-18T00:00:00"/>
    <s v="−0,419"/>
    <x v="1"/>
  </r>
  <r>
    <x v="1144"/>
    <n v="-0.36799999999999999"/>
    <d v="2019-09-19T00:00:00"/>
    <s v="−0,412"/>
    <x v="1"/>
  </r>
  <r>
    <x v="1145"/>
    <n v="-0.35799999999999998"/>
    <d v="2019-09-20T00:00:00"/>
    <s v="−0,405"/>
    <x v="1"/>
  </r>
  <r>
    <x v="1146"/>
    <n v="-0.36299999999999999"/>
    <d v="2019-09-23T00:00:00"/>
    <s v="−0,400"/>
    <x v="1"/>
  </r>
  <r>
    <x v="1147"/>
    <n v="-0.373"/>
    <d v="2019-09-24T00:00:00"/>
    <s v="−0,394"/>
    <x v="1"/>
  </r>
  <r>
    <x v="1148"/>
    <n v="-0.375"/>
    <d v="2019-09-25T00:00:00"/>
    <s v="−0,388"/>
    <x v="1"/>
  </r>
  <r>
    <x v="1149"/>
    <n v="-0.376"/>
    <d v="2019-09-26T00:00:00"/>
    <s v="−0,382"/>
    <x v="1"/>
  </r>
  <r>
    <x v="1150"/>
    <n v="-0.377"/>
    <d v="2019-09-27T00:00:00"/>
    <s v="−0,376"/>
    <x v="1"/>
  </r>
  <r>
    <x v="1151"/>
    <n v="-0.38600000000000001"/>
    <d v="2019-09-30T00:00:00"/>
    <s v="−0,370"/>
    <x v="1"/>
  </r>
  <r>
    <x v="1152"/>
    <n v="-0.38700000000000001"/>
    <d v="2019-10-01T00:00:00"/>
    <s v="−0,362"/>
    <x v="1"/>
  </r>
  <r>
    <x v="1153"/>
    <n v="-0.38400000000000001"/>
    <d v="2019-10-02T00:00:00"/>
    <s v="−0,358"/>
    <x v="1"/>
  </r>
  <r>
    <x v="1154"/>
    <n v="-0.38700000000000001"/>
    <d v="2019-10-03T00:00:00"/>
    <s v="−0,356"/>
    <x v="1"/>
  </r>
  <r>
    <x v="1155"/>
    <n v="-0.38900000000000001"/>
    <d v="2019-10-04T00:00:00"/>
    <s v="−0,355"/>
    <x v="1"/>
  </r>
  <r>
    <x v="1156"/>
    <n v="-0.38900000000000001"/>
    <d v="2019-10-07T00:00:00"/>
    <s v="−0,355"/>
    <x v="1"/>
  </r>
  <r>
    <x v="1157"/>
    <n v="-0.38700000000000001"/>
    <d v="2019-10-08T00:00:00"/>
    <s v="−0,356"/>
    <x v="1"/>
  </r>
  <r>
    <x v="1158"/>
    <n v="-0.38400000000000001"/>
    <d v="2019-10-09T00:00:00"/>
    <s v="−0,356"/>
    <x v="1"/>
  </r>
  <r>
    <x v="1159"/>
    <n v="-0.375"/>
    <d v="2019-10-10T00:00:00"/>
    <s v="−0,351"/>
    <x v="1"/>
  </r>
  <r>
    <x v="1160"/>
    <n v="-0.35799999999999998"/>
    <d v="2019-10-11T00:00:00"/>
    <s v="−0,351"/>
    <x v="1"/>
  </r>
  <r>
    <x v="1161"/>
    <n v="-0.35299999999999998"/>
    <d v="2019-10-14T00:00:00"/>
    <s v="−0,351"/>
    <x v="1"/>
  </r>
  <r>
    <x v="1162"/>
    <n v="-0.35799999999999998"/>
    <d v="2019-10-15T00:00:00"/>
    <s v="−0,351"/>
    <x v="1"/>
  </r>
  <r>
    <x v="1163"/>
    <n v="-0.35399999999999998"/>
    <d v="2019-10-16T00:00:00"/>
    <s v="−0,348"/>
    <x v="1"/>
  </r>
  <r>
    <x v="1164"/>
    <n v="-0.34899999999999998"/>
    <d v="2019-10-17T00:00:00"/>
    <s v="−0,345"/>
    <x v="1"/>
  </r>
  <r>
    <x v="1165"/>
    <n v="-0.35099999999999998"/>
    <d v="2019-10-18T00:00:00"/>
    <s v="−0,341"/>
    <x v="1"/>
  </r>
  <r>
    <x v="1166"/>
    <n v="-0.34899999999999998"/>
    <d v="2019-10-21T00:00:00"/>
    <s v="−0,333"/>
    <x v="1"/>
  </r>
  <r>
    <x v="1167"/>
    <n v="-0.34799999999999998"/>
    <d v="2019-10-22T00:00:00"/>
    <s v="−0,325"/>
    <x v="1"/>
  </r>
  <r>
    <x v="1168"/>
    <n v="-0.35099999999999998"/>
    <d v="2019-10-23T00:00:00"/>
    <s v="−0,318"/>
    <x v="1"/>
  </r>
  <r>
    <x v="1169"/>
    <n v="-0.34799999999999998"/>
    <d v="2019-10-24T00:00:00"/>
    <s v="−0,311"/>
    <x v="1"/>
  </r>
  <r>
    <x v="1170"/>
    <n v="-0.35"/>
    <d v="2019-10-25T00:00:00"/>
    <s v="−0,303"/>
    <x v="1"/>
  </r>
  <r>
    <x v="1171"/>
    <n v="-0.34599999999999997"/>
    <d v="2019-10-28T00:00:00"/>
    <s v="−0,294"/>
    <x v="1"/>
  </r>
  <r>
    <x v="1172"/>
    <n v="-0.34300000000000003"/>
    <d v="2019-10-29T00:00:00"/>
    <s v="−0,286"/>
    <x v="1"/>
  </r>
  <r>
    <x v="1173"/>
    <n v="-0.33900000000000002"/>
    <d v="2019-10-30T00:00:00"/>
    <s v="−0,278"/>
    <x v="1"/>
  </r>
  <r>
    <x v="1174"/>
    <n v="-0.33700000000000002"/>
    <d v="2019-10-31T00:00:00"/>
    <s v="−0,271"/>
    <x v="1"/>
  </r>
  <r>
    <x v="1175"/>
    <n v="-0.34799999999999998"/>
    <m/>
    <n v="-0.27100000000000002"/>
    <x v="10"/>
  </r>
  <r>
    <x v="1176"/>
    <n v="-0.34300000000000003"/>
    <d v="2019-11-04T00:00:00"/>
    <s v="−0,262"/>
    <x v="1"/>
  </r>
  <r>
    <x v="1177"/>
    <n v="-0.34399999999999997"/>
    <d v="2019-11-05T00:00:00"/>
    <s v="−0,252"/>
    <x v="1"/>
  </r>
  <r>
    <x v="1178"/>
    <n v="-0.33900000000000002"/>
    <d v="2019-11-06T00:00:00"/>
    <s v="−0,242"/>
    <x v="1"/>
  </r>
  <r>
    <x v="1179"/>
    <n v="-0.33400000000000002"/>
    <d v="2019-11-07T00:00:00"/>
    <s v="−0,231"/>
    <x v="1"/>
  </r>
  <r>
    <x v="1180"/>
    <n v="-0.32400000000000001"/>
    <d v="2019-11-08T00:00:00"/>
    <s v="−0,222"/>
    <x v="1"/>
  </r>
  <r>
    <x v="1181"/>
    <n v="-0.33100000000000002"/>
    <d v="2019-11-11T00:00:00"/>
    <s v="−0,215"/>
    <x v="1"/>
  </r>
  <r>
    <x v="1182"/>
    <n v="-0.32800000000000001"/>
    <d v="2019-11-12T00:00:00"/>
    <s v="−0,207"/>
    <x v="1"/>
  </r>
  <r>
    <x v="1183"/>
    <n v="-0.33600000000000002"/>
    <d v="2019-11-13T00:00:00"/>
    <s v="−0,201"/>
    <x v="1"/>
  </r>
  <r>
    <x v="1184"/>
    <n v="-0.33"/>
    <d v="2019-11-14T00:00:00"/>
    <s v="−0,198"/>
    <x v="1"/>
  </r>
  <r>
    <x v="1185"/>
    <n v="-0.33300000000000002"/>
    <d v="2019-11-15T00:00:00"/>
    <s v="−0,196"/>
    <x v="1"/>
  </r>
  <r>
    <x v="1186"/>
    <n v="-0.33800000000000002"/>
    <d v="2019-11-18T00:00:00"/>
    <s v="−0,195"/>
    <x v="1"/>
  </r>
  <r>
    <x v="1187"/>
    <n v="-0.33600000000000002"/>
    <d v="2019-11-19T00:00:00"/>
    <s v="−0,194"/>
    <x v="1"/>
  </r>
  <r>
    <x v="1188"/>
    <n v="-0.33800000000000002"/>
    <d v="2019-11-20T00:00:00"/>
    <s v="−0,193"/>
    <x v="1"/>
  </r>
  <r>
    <x v="1189"/>
    <n v="-0.34"/>
    <d v="2019-11-21T00:00:00"/>
    <s v="−0,190"/>
    <x v="1"/>
  </r>
  <r>
    <x v="1190"/>
    <n v="-0.33500000000000002"/>
    <d v="2019-11-22T00:00:00"/>
    <s v="−0,188"/>
    <x v="1"/>
  </r>
  <r>
    <x v="1191"/>
    <n v="-0.33800000000000002"/>
    <d v="2019-11-25T00:00:00"/>
    <s v="−0,187"/>
    <x v="1"/>
  </r>
  <r>
    <x v="1192"/>
    <n v="-0.33800000000000002"/>
    <d v="2019-11-26T00:00:00"/>
    <s v="−0,187"/>
    <x v="1"/>
  </r>
  <r>
    <x v="1193"/>
    <n v="-0.34200000000000003"/>
    <d v="2019-11-27T00:00:00"/>
    <s v="−0,188"/>
    <x v="1"/>
  </r>
  <r>
    <x v="1194"/>
    <n v="-0.34699999999999998"/>
    <d v="2019-11-28T00:00:00"/>
    <s v="−0,189"/>
    <x v="1"/>
  </r>
  <r>
    <x v="1195"/>
    <n v="-0.34300000000000003"/>
    <d v="2019-11-29T00:00:00"/>
    <s v="−0,187"/>
    <x v="1"/>
  </r>
  <r>
    <x v="1196"/>
    <n v="-0.34499999999999997"/>
    <d v="2019-12-02T00:00:00"/>
    <s v="−0,185"/>
    <x v="1"/>
  </r>
  <r>
    <x v="1197"/>
    <n v="-0.33300000000000002"/>
    <d v="2019-12-03T00:00:00"/>
    <s v="−0,185"/>
    <x v="1"/>
  </r>
  <r>
    <x v="1198"/>
    <n v="-0.33500000000000002"/>
    <d v="2019-12-04T00:00:00"/>
    <s v="−0,186"/>
    <x v="1"/>
  </r>
  <r>
    <x v="1199"/>
    <n v="-0.33600000000000002"/>
    <d v="2019-12-05T00:00:00"/>
    <s v="−0,187"/>
    <x v="1"/>
  </r>
  <r>
    <x v="1200"/>
    <n v="-0.33300000000000002"/>
    <d v="2019-12-06T00:00:00"/>
    <s v="−0,189"/>
    <x v="1"/>
  </r>
  <r>
    <x v="1201"/>
    <n v="-0.33200000000000002"/>
    <d v="2019-12-09T00:00:00"/>
    <s v="−0,191"/>
    <x v="1"/>
  </r>
  <r>
    <x v="1202"/>
    <n v="-0.33300000000000002"/>
    <d v="2019-12-10T00:00:00"/>
    <s v="−0,194"/>
    <x v="1"/>
  </r>
  <r>
    <x v="1203"/>
    <n v="-0.33800000000000002"/>
    <d v="2019-12-11T00:00:00"/>
    <s v="−0,195"/>
    <x v="1"/>
  </r>
  <r>
    <x v="1204"/>
    <n v="-0.34"/>
    <d v="2019-12-12T00:00:00"/>
    <s v="−0,195"/>
    <x v="1"/>
  </r>
  <r>
    <x v="1205"/>
    <n v="-0.34"/>
    <d v="2019-12-13T00:00:00"/>
    <s v="−0,193"/>
    <x v="1"/>
  </r>
  <r>
    <x v="1206"/>
    <n v="-0.34"/>
    <d v="2019-12-16T00:00:00"/>
    <s v="−0,192"/>
    <x v="1"/>
  </r>
  <r>
    <x v="1207"/>
    <n v="-0.34200000000000003"/>
    <d v="2019-12-17T00:00:00"/>
    <s v="−0,192"/>
    <x v="1"/>
  </r>
  <r>
    <x v="1208"/>
    <n v="-0.34799999999999998"/>
    <d v="2019-12-18T00:00:00"/>
    <s v="−0,190"/>
    <x v="1"/>
  </r>
  <r>
    <x v="1209"/>
    <n v="-0.34200000000000003"/>
    <d v="2019-12-19T00:00:00"/>
    <s v="−0,187"/>
    <x v="1"/>
  </r>
  <r>
    <x v="1210"/>
    <n v="-0.33"/>
    <d v="2019-12-20T00:00:00"/>
    <s v="−0,185"/>
    <x v="1"/>
  </r>
  <r>
    <x v="1211"/>
    <n v="-0.33900000000000002"/>
    <d v="2019-12-23T00:00:00"/>
    <s v="−0,183"/>
    <x v="1"/>
  </r>
  <r>
    <x v="1212"/>
    <n v="-0.33100000000000002"/>
    <m/>
    <s v="−0,183"/>
    <x v="1"/>
  </r>
  <r>
    <x v="1213"/>
    <n v="-0.33100000000000002"/>
    <m/>
    <s v="−0,183"/>
    <x v="1"/>
  </r>
  <r>
    <x v="1214"/>
    <n v="-0.33100000000000002"/>
    <m/>
    <s v="−0,183"/>
    <x v="1"/>
  </r>
  <r>
    <x v="1215"/>
    <n v="-0.32500000000000001"/>
    <d v="2019-12-27T00:00:00"/>
    <s v="−0,180"/>
    <x v="1"/>
  </r>
  <r>
    <x v="1216"/>
    <n v="-0.32500000000000001"/>
    <d v="2019-12-30T00:00:00"/>
    <s v="−0,175"/>
    <x v="1"/>
  </r>
  <r>
    <x v="1217"/>
    <n v="-0.32400000000000001"/>
    <d v="2019-12-31T00:00:00"/>
    <s v="−0,173"/>
    <x v="1"/>
  </r>
  <r>
    <x v="1218"/>
    <n v="-0.32400000000000001"/>
    <m/>
    <s v="−0,173"/>
    <x v="1"/>
  </r>
  <r>
    <x v="1219"/>
    <n v="-0.32300000000000001"/>
    <d v="2020-01-02T00:00:00"/>
    <s v="−0,168"/>
    <x v="1"/>
  </r>
  <r>
    <x v="1220"/>
    <n v="-0.32300000000000001"/>
    <d v="2020-01-03T00:00:00"/>
    <s v="−0,170"/>
    <x v="1"/>
  </r>
  <r>
    <x v="1221"/>
    <n v="-0.32500000000000001"/>
    <m/>
    <s v="−0,170"/>
    <x v="1"/>
  </r>
  <r>
    <x v="1222"/>
    <n v="-0.32300000000000001"/>
    <d v="2020-01-07T00:00:00"/>
    <s v="−0,169"/>
    <x v="1"/>
  </r>
  <r>
    <x v="1223"/>
    <n v="-0.33200000000000002"/>
    <d v="2020-01-08T00:00:00"/>
    <s v="−0,167"/>
    <x v="1"/>
  </r>
  <r>
    <x v="1224"/>
    <n v="-0.33300000000000002"/>
    <d v="2020-01-09T00:00:00"/>
    <s v="−0,166"/>
    <x v="1"/>
  </r>
  <r>
    <x v="1225"/>
    <n v="-0.33400000000000002"/>
    <d v="2020-01-10T00:00:00"/>
    <s v="−0,164"/>
    <x v="1"/>
  </r>
  <r>
    <x v="1226"/>
    <n v="-0.32400000000000001"/>
    <d v="2020-01-13T00:00:00"/>
    <s v="−0,160"/>
    <x v="1"/>
  </r>
  <r>
    <x v="1227"/>
    <n v="-0.32900000000000001"/>
    <d v="2020-01-14T00:00:00"/>
    <s v="−0,157"/>
    <x v="1"/>
  </r>
  <r>
    <x v="1228"/>
    <n v="-0.33400000000000002"/>
    <d v="2020-01-15T00:00:00"/>
    <s v="−0,154"/>
    <x v="1"/>
  </r>
  <r>
    <x v="1229"/>
    <n v="-0.33"/>
    <d v="2020-01-16T00:00:00"/>
    <s v="−0,152"/>
    <x v="1"/>
  </r>
  <r>
    <x v="1230"/>
    <n v="-0.33200000000000002"/>
    <d v="2020-01-17T00:00:00"/>
    <s v="−0,153"/>
    <x v="1"/>
  </r>
  <r>
    <x v="1231"/>
    <n v="-0.33300000000000002"/>
    <d v="2020-01-20T00:00:00"/>
    <s v="−0,151"/>
    <x v="1"/>
  </r>
  <r>
    <x v="1232"/>
    <n v="-0.33400000000000002"/>
    <d v="2020-01-21T00:00:00"/>
    <s v="−0,150"/>
    <x v="1"/>
  </r>
  <r>
    <x v="1233"/>
    <n v="-0.32900000000000001"/>
    <d v="2020-01-22T00:00:00"/>
    <s v="−0,149"/>
    <x v="1"/>
  </r>
  <r>
    <x v="1234"/>
    <n v="-0.32"/>
    <d v="2020-01-23T00:00:00"/>
    <s v="−0,152"/>
    <x v="1"/>
  </r>
  <r>
    <x v="1235"/>
    <n v="-0.32300000000000001"/>
    <d v="2020-01-24T00:00:00"/>
    <s v="−0,155"/>
    <x v="1"/>
  </r>
  <r>
    <x v="1236"/>
    <n v="-0.33300000000000002"/>
    <d v="2020-01-27T00:00:00"/>
    <s v="−0,161"/>
    <x v="1"/>
  </r>
  <r>
    <x v="1237"/>
    <n v="-0.33700000000000002"/>
    <d v="2020-01-28T00:00:00"/>
    <s v="−0,166"/>
    <x v="1"/>
  </r>
  <r>
    <x v="1238"/>
    <n v="-0.33600000000000002"/>
    <d v="2020-01-29T00:00:00"/>
    <s v="−0,174"/>
    <x v="1"/>
  </r>
  <r>
    <x v="1239"/>
    <n v="-0.33700000000000002"/>
    <d v="2020-01-30T00:00:00"/>
    <s v="−0,179"/>
    <x v="1"/>
  </r>
  <r>
    <x v="1240"/>
    <n v="-0.33800000000000002"/>
    <d v="2020-01-31T00:00:00"/>
    <s v="−0,188"/>
    <x v="1"/>
  </r>
  <r>
    <x v="1241"/>
    <n v="-0.33800000000000002"/>
    <d v="2020-02-03T00:00:00"/>
    <s v="−0,194"/>
    <x v="1"/>
  </r>
  <r>
    <x v="1242"/>
    <n v="-0.34"/>
    <d v="2020-02-04T00:00:00"/>
    <s v="−0,199"/>
    <x v="1"/>
  </r>
  <r>
    <x v="1243"/>
    <n v="-0.34599999999999997"/>
    <d v="2020-02-05T00:00:00"/>
    <s v="−0,203"/>
    <x v="1"/>
  </r>
  <r>
    <x v="1244"/>
    <n v="-0.34300000000000003"/>
    <d v="2020-02-06T00:00:00"/>
    <s v="−0,208"/>
    <x v="1"/>
  </r>
  <r>
    <x v="1245"/>
    <n v="-0.33900000000000002"/>
    <d v="2020-02-07T00:00:00"/>
    <s v="−0,215"/>
    <x v="1"/>
  </r>
  <r>
    <x v="1246"/>
    <n v="-0.34599999999999997"/>
    <d v="2020-02-10T00:00:00"/>
    <s v="−0,223"/>
    <x v="1"/>
  </r>
  <r>
    <x v="1247"/>
    <n v="-0.35"/>
    <d v="2020-02-11T00:00:00"/>
    <s v="−0,231"/>
    <x v="1"/>
  </r>
  <r>
    <x v="1248"/>
    <n v="-0.36199999999999999"/>
    <d v="2020-02-12T00:00:00"/>
    <s v="−0,237"/>
    <x v="1"/>
  </r>
  <r>
    <x v="1249"/>
    <n v="-0.35699999999999998"/>
    <d v="2020-02-13T00:00:00"/>
    <s v="−0,244"/>
    <x v="1"/>
  </r>
  <r>
    <x v="1250"/>
    <n v="-0.35899999999999999"/>
    <d v="2020-02-14T00:00:00"/>
    <s v="−0,251"/>
    <x v="1"/>
  </r>
  <r>
    <x v="1251"/>
    <n v="-0.35299999999999998"/>
    <d v="2020-02-17T00:00:00"/>
    <s v="−0,258"/>
    <x v="1"/>
  </r>
  <r>
    <x v="1252"/>
    <n v="-0.35799999999999998"/>
    <d v="2020-02-18T00:00:00"/>
    <s v="−0,265"/>
    <x v="1"/>
  </r>
  <r>
    <x v="1253"/>
    <n v="-0.35299999999999998"/>
    <d v="2020-02-19T00:00:00"/>
    <s v="−0,272"/>
    <x v="1"/>
  </r>
  <r>
    <x v="1254"/>
    <n v="-0.35799999999999998"/>
    <d v="2020-02-20T00:00:00"/>
    <s v="−0,278"/>
    <x v="1"/>
  </r>
  <r>
    <x v="1255"/>
    <n v="-0.35599999999999998"/>
    <d v="2020-02-21T00:00:00"/>
    <s v="−0,283"/>
    <x v="1"/>
  </r>
  <r>
    <x v="1256"/>
    <n v="-0.35699999999999998"/>
    <d v="2020-02-24T00:00:00"/>
    <s v="−0,289"/>
    <x v="1"/>
  </r>
  <r>
    <x v="1257"/>
    <n v="-0.35799999999999998"/>
    <d v="2020-02-25T00:00:00"/>
    <s v="−0,294"/>
    <x v="1"/>
  </r>
  <r>
    <x v="1258"/>
    <n v="-0.371"/>
    <d v="2020-02-26T00:00:00"/>
    <s v="−0,299"/>
    <x v="1"/>
  </r>
  <r>
    <x v="1259"/>
    <n v="-0.375"/>
    <d v="2020-02-27T00:00:00"/>
    <s v="−0,304"/>
    <x v="1"/>
  </r>
  <r>
    <x v="1260"/>
    <n v="-0.38600000000000001"/>
    <d v="2020-02-28T00:00:00"/>
    <s v="−0,310"/>
    <x v="1"/>
  </r>
  <r>
    <x v="1261"/>
    <n v="-0.4"/>
    <d v="2020-03-02T00:00:00"/>
    <s v="−0,317"/>
    <x v="1"/>
  </r>
  <r>
    <x v="1262"/>
    <n v="-0.42199999999999999"/>
    <d v="2020-03-03T00:00:00"/>
    <s v="−0,324"/>
    <x v="1"/>
  </r>
  <r>
    <x v="1263"/>
    <n v="-0.41799999999999998"/>
    <d v="2020-03-04T00:00:00"/>
    <s v="−0,333"/>
    <x v="1"/>
  </r>
  <r>
    <x v="1264"/>
    <n v="-0.432"/>
    <d v="2020-03-05T00:00:00"/>
    <s v="−0,342"/>
    <x v="1"/>
  </r>
  <r>
    <x v="1265"/>
    <n v="-0.42699999999999999"/>
    <d v="2020-03-06T00:00:00"/>
    <s v="−0,353"/>
    <x v="1"/>
  </r>
  <r>
    <x v="1266"/>
    <n v="-0.42099999999999999"/>
    <d v="2020-03-09T00:00:00"/>
    <s v="−0,366"/>
    <x v="1"/>
  </r>
  <r>
    <x v="1267"/>
    <n v="-0.438"/>
    <d v="2020-03-10T00:00:00"/>
    <s v="−0,376"/>
    <x v="1"/>
  </r>
  <r>
    <x v="1268"/>
    <n v="-0.42899999999999999"/>
    <d v="2020-03-11T00:00:00"/>
    <s v="−0,386"/>
    <x v="1"/>
  </r>
  <r>
    <x v="1269"/>
    <n v="-0.44700000000000001"/>
    <d v="2020-03-12T00:00:00"/>
    <s v="−0,394"/>
    <x v="1"/>
  </r>
  <r>
    <x v="1270"/>
    <n v="-0.39700000000000002"/>
    <d v="2020-03-13T00:00:00"/>
    <s v="−0,395"/>
    <x v="1"/>
  </r>
  <r>
    <x v="1271"/>
    <n v="-0.372"/>
    <d v="2020-03-16T00:00:00"/>
    <s v="−0,390"/>
    <x v="1"/>
  </r>
  <r>
    <x v="1272"/>
    <n v="-0.373"/>
    <d v="2020-03-17T00:00:00"/>
    <s v="−0,379"/>
    <x v="1"/>
  </r>
  <r>
    <x v="1273"/>
    <n v="-0.36"/>
    <d v="2020-03-18T00:00:00"/>
    <s v="−0,363"/>
    <x v="1"/>
  </r>
  <r>
    <x v="1274"/>
    <n v="-0.34499999999999997"/>
    <d v="2020-03-19T00:00:00"/>
    <s v="−0,349"/>
    <x v="1"/>
  </r>
  <r>
    <x v="1275"/>
    <n v="-0.313"/>
    <d v="2020-03-20T00:00:00"/>
    <s v="−0,335"/>
    <x v="1"/>
  </r>
  <r>
    <x v="1276"/>
    <n v="-0.307"/>
    <d v="2020-03-23T00:00:00"/>
    <s v="−0,322"/>
    <x v="1"/>
  </r>
  <r>
    <x v="1277"/>
    <n v="-0.30599999999999999"/>
    <d v="2020-03-24T00:00:00"/>
    <s v="−0,306"/>
    <x v="1"/>
  </r>
  <r>
    <x v="1278"/>
    <n v="-0.29799999999999999"/>
    <d v="2020-03-25T00:00:00"/>
    <s v="−0,287"/>
    <x v="1"/>
  </r>
  <r>
    <x v="1279"/>
    <n v="-0.27400000000000002"/>
    <d v="2020-03-26T00:00:00"/>
    <s v="−0,268"/>
    <x v="1"/>
  </r>
  <r>
    <x v="1280"/>
    <n v="-0.28100000000000003"/>
    <d v="2020-03-27T00:00:00"/>
    <s v="−0,256"/>
    <x v="1"/>
  </r>
  <r>
    <x v="1281"/>
    <n v="-0.28000000000000003"/>
    <d v="2020-03-30T00:00:00"/>
    <s v="−0,244"/>
    <x v="1"/>
  </r>
  <r>
    <x v="1282"/>
    <n v="-0.28699999999999998"/>
    <d v="2020-03-31T00:00:00"/>
    <s v="−0,232"/>
    <x v="1"/>
  </r>
  <r>
    <x v="1283"/>
    <n v="-0.27600000000000002"/>
    <d v="2020-04-01T00:00:00"/>
    <s v="−0,216"/>
    <x v="1"/>
  </r>
  <r>
    <x v="1284"/>
    <n v="-0.26800000000000002"/>
    <d v="2020-04-02T00:00:00"/>
    <s v="−0,193"/>
    <x v="1"/>
  </r>
  <r>
    <x v="1285"/>
    <n v="-0.27700000000000002"/>
    <d v="2020-04-03T00:00:00"/>
    <s v="−0,174"/>
    <x v="1"/>
  </r>
  <r>
    <x v="1286"/>
    <n v="-0.253"/>
    <d v="2020-04-06T00:00:00"/>
    <s v="−0,152"/>
    <x v="1"/>
  </r>
  <r>
    <x v="1287"/>
    <n v="-0.23200000000000001"/>
    <d v="2020-04-07T00:00:00"/>
    <s v="−0,132"/>
    <x v="1"/>
  </r>
  <r>
    <x v="1288"/>
    <n v="-0.19600000000000001"/>
    <d v="2020-04-08T00:00:00"/>
    <s v="−0,110"/>
    <x v="1"/>
  </r>
  <r>
    <x v="1289"/>
    <n v="-0.17899999999999999"/>
    <d v="2020-04-09T00:00:00"/>
    <s v="−0,091"/>
    <x v="1"/>
  </r>
  <r>
    <x v="1290"/>
    <n v="-0.17899999999999999"/>
    <d v="2020-04-10T00:00:00"/>
    <s v="−0,081"/>
    <x v="1"/>
  </r>
  <r>
    <x v="1291"/>
    <n v="-0.17899999999999999"/>
    <m/>
    <s v="−0,081"/>
    <x v="1"/>
  </r>
  <r>
    <x v="1292"/>
    <n v="-0.19500000000000001"/>
    <d v="2020-04-14T00:00:00"/>
    <s v="−0,076"/>
    <x v="1"/>
  </r>
  <r>
    <x v="1293"/>
    <n v="-0.19600000000000001"/>
    <d v="2020-04-15T00:00:00"/>
    <s v="−0,078"/>
    <x v="1"/>
  </r>
  <r>
    <x v="1294"/>
    <n v="-0.187"/>
    <d v="2020-04-16T00:00:00"/>
    <s v="−0,087"/>
    <x v="1"/>
  </r>
  <r>
    <x v="1295"/>
    <n v="-0.19500000000000001"/>
    <d v="2020-04-17T00:00:00"/>
    <s v="−0,093"/>
    <x v="1"/>
  </r>
  <r>
    <x v="1296"/>
    <n v="-0.185"/>
    <d v="2020-04-20T00:00:00"/>
    <s v="−0,099"/>
    <x v="1"/>
  </r>
  <r>
    <x v="1297"/>
    <n v="-0.17799999999999999"/>
    <d v="2020-04-21T00:00:00"/>
    <s v="−0,101"/>
    <x v="1"/>
  </r>
  <r>
    <x v="1298"/>
    <n v="-0.124"/>
    <d v="2020-04-22T00:00:00"/>
    <s v="−0,105"/>
    <x v="1"/>
  </r>
  <r>
    <x v="1299"/>
    <n v="-0.114"/>
    <d v="2020-04-23T00:00:00"/>
    <s v="−0,112"/>
    <x v="1"/>
  </r>
  <r>
    <x v="1300"/>
    <n v="-0.13600000000000001"/>
    <d v="2020-04-24T00:00:00"/>
    <s v="−0,119"/>
    <x v="1"/>
  </r>
  <r>
    <x v="1301"/>
    <n v="-0.14699999999999999"/>
    <d v="2020-04-27T00:00:00"/>
    <s v="−0,119"/>
    <x v="1"/>
  </r>
  <r>
    <x v="1302"/>
    <n v="-0.16300000000000001"/>
    <d v="2020-04-28T00:00:00"/>
    <s v="−0,117"/>
    <x v="1"/>
  </r>
  <r>
    <x v="1303"/>
    <n v="-0.16900000000000001"/>
    <d v="2020-04-29T00:00:00"/>
    <s v="−0,120"/>
    <x v="1"/>
  </r>
  <r>
    <x v="1304"/>
    <n v="-0.17"/>
    <d v="2020-04-30T00:00:00"/>
    <s v="−0,127"/>
    <x v="1"/>
  </r>
  <r>
    <x v="1305"/>
    <n v="-0.17"/>
    <m/>
    <n v="-0.127"/>
    <x v="11"/>
  </r>
  <r>
    <x v="1306"/>
    <n v="-0.157"/>
    <d v="2020-05-04T00:00:00"/>
    <s v="−0,136"/>
    <x v="1"/>
  </r>
  <r>
    <x v="1307"/>
    <n v="-0.16500000000000001"/>
    <d v="2020-05-05T00:00:00"/>
    <s v="−0,145"/>
    <x v="1"/>
  </r>
  <r>
    <x v="1308"/>
    <n v="-0.13600000000000001"/>
    <d v="2020-05-06T00:00:00"/>
    <s v="−0,154"/>
    <x v="1"/>
  </r>
  <r>
    <x v="1309"/>
    <n v="-0.114"/>
    <d v="2020-05-07T00:00:00"/>
    <s v="−0,161"/>
    <x v="1"/>
  </r>
  <r>
    <x v="1310"/>
    <n v="-0.14499999999999999"/>
    <d v="2020-05-08T00:00:00"/>
    <s v="−0,174"/>
    <x v="1"/>
  </r>
  <r>
    <x v="1311"/>
    <n v="-0.14699999999999999"/>
    <d v="2020-05-11T00:00:00"/>
    <s v="−0,184"/>
    <x v="1"/>
  </r>
  <r>
    <x v="1312"/>
    <n v="-0.14699999999999999"/>
    <d v="2020-05-12T00:00:00"/>
    <s v="−0,187"/>
    <x v="1"/>
  </r>
  <r>
    <x v="1313"/>
    <n v="-0.14199999999999999"/>
    <d v="2020-05-13T00:00:00"/>
    <s v="−0,196"/>
    <x v="1"/>
  </r>
  <r>
    <x v="1314"/>
    <n v="-0.13700000000000001"/>
    <d v="2020-05-14T00:00:00"/>
    <s v="−0,203"/>
    <x v="1"/>
  </r>
  <r>
    <x v="1315"/>
    <n v="-0.13100000000000001"/>
    <d v="2020-05-15T00:00:00"/>
    <s v="−0,209"/>
    <x v="1"/>
  </r>
  <r>
    <x v="1316"/>
    <n v="-0.13700000000000001"/>
    <d v="2020-05-18T00:00:00"/>
    <s v="−0,214"/>
    <x v="1"/>
  </r>
  <r>
    <x v="1317"/>
    <n v="-0.13800000000000001"/>
    <d v="2020-05-19T00:00:00"/>
    <s v="−0,218"/>
    <x v="1"/>
  </r>
  <r>
    <x v="1318"/>
    <n v="-0.13900000000000001"/>
    <d v="2020-05-20T00:00:00"/>
    <s v="−0,223"/>
    <x v="1"/>
  </r>
  <r>
    <x v="1319"/>
    <n v="-0.14499999999999999"/>
    <m/>
    <s v="−0,223"/>
    <x v="1"/>
  </r>
  <r>
    <x v="1320"/>
    <n v="-0.154"/>
    <d v="2020-05-22T00:00:00"/>
    <s v="−0,230"/>
    <x v="1"/>
  </r>
  <r>
    <x v="1321"/>
    <n v="-0.14499999999999999"/>
    <d v="2020-05-25T00:00:00"/>
    <s v="−0,237"/>
    <x v="1"/>
  </r>
  <r>
    <x v="1322"/>
    <n v="-0.13300000000000001"/>
    <d v="2020-05-26T00:00:00"/>
    <s v="−0,239"/>
    <x v="1"/>
  </r>
  <r>
    <x v="1323"/>
    <n v="-0.14899999999999999"/>
    <d v="2020-05-27T00:00:00"/>
    <s v="−0,242"/>
    <x v="1"/>
  </r>
  <r>
    <x v="1324"/>
    <n v="-0.14199999999999999"/>
    <d v="2020-05-28T00:00:00"/>
    <s v="−0,244"/>
    <x v="1"/>
  </r>
  <r>
    <x v="1325"/>
    <n v="-0.158"/>
    <d v="2020-05-29T00:00:00"/>
    <s v="−0,246"/>
    <x v="1"/>
  </r>
  <r>
    <x v="1326"/>
    <n v="-0.16300000000000001"/>
    <m/>
    <s v="−0,246"/>
    <x v="1"/>
  </r>
  <r>
    <x v="1327"/>
    <n v="-0.182"/>
    <d v="2020-06-02T00:00:00"/>
    <s v="−0,245"/>
    <x v="1"/>
  </r>
  <r>
    <x v="1328"/>
    <n v="-0.17399999999999999"/>
    <d v="2020-06-03T00:00:00"/>
    <s v="−0,242"/>
    <x v="1"/>
  </r>
  <r>
    <x v="1329"/>
    <n v="-0.17899999999999999"/>
    <d v="2020-06-04T00:00:00"/>
    <s v="−0,238"/>
    <x v="1"/>
  </r>
  <r>
    <x v="1330"/>
    <n v="-0.19600000000000001"/>
    <d v="2020-06-05T00:00:00"/>
    <s v="−0,234"/>
    <x v="1"/>
  </r>
  <r>
    <x v="1331"/>
    <n v="-0.19500000000000001"/>
    <d v="2020-06-08T00:00:00"/>
    <s v="−0,232"/>
    <x v="1"/>
  </r>
  <r>
    <x v="1332"/>
    <n v="-0.19400000000000001"/>
    <d v="2020-06-09T00:00:00"/>
    <s v="−0,229"/>
    <x v="1"/>
  </r>
  <r>
    <x v="1333"/>
    <n v="-0.193"/>
    <d v="2020-06-10T00:00:00"/>
    <s v="−0,225"/>
    <x v="1"/>
  </r>
  <r>
    <x v="1334"/>
    <n v="-0.183"/>
    <m/>
    <s v="−0,225"/>
    <x v="1"/>
  </r>
  <r>
    <x v="1335"/>
    <n v="-0.19900000000000001"/>
    <d v="2020-06-12T00:00:00"/>
    <s v="−0,227"/>
    <x v="1"/>
  </r>
  <r>
    <x v="1336"/>
    <n v="-0.20599999999999999"/>
    <d v="2020-06-15T00:00:00"/>
    <s v="−0,227"/>
    <x v="1"/>
  </r>
  <r>
    <x v="1337"/>
    <n v="-0.20599999999999999"/>
    <d v="2020-06-16T00:00:00"/>
    <s v="−0,226"/>
    <x v="1"/>
  </r>
  <r>
    <x v="1338"/>
    <n v="-0.215"/>
    <d v="2020-06-17T00:00:00"/>
    <s v="−0,226"/>
    <x v="1"/>
  </r>
  <r>
    <x v="1339"/>
    <n v="-0.22800000000000001"/>
    <d v="2020-06-18T00:00:00"/>
    <s v="−0,227"/>
    <x v="1"/>
  </r>
  <r>
    <x v="1340"/>
    <n v="-0.23400000000000001"/>
    <d v="2020-06-19T00:00:00"/>
    <s v="−0,230"/>
    <x v="1"/>
  </r>
  <r>
    <x v="1341"/>
    <n v="-0.25900000000000001"/>
    <d v="2020-06-22T00:00:00"/>
    <s v="−0,234"/>
    <x v="1"/>
  </r>
  <r>
    <x v="1342"/>
    <n v="-0.26900000000000002"/>
    <d v="2020-06-23T00:00:00"/>
    <s v="−0,236"/>
    <x v="1"/>
  </r>
  <r>
    <x v="1343"/>
    <n v="-0.27800000000000002"/>
    <d v="2020-06-24T00:00:00"/>
    <s v="−0,238"/>
    <x v="1"/>
  </r>
  <r>
    <x v="1344"/>
    <n v="-0.26800000000000002"/>
    <d v="2020-06-25T00:00:00"/>
    <s v="−0,244"/>
    <x v="1"/>
  </r>
  <r>
    <x v="1345"/>
    <n v="-0.28299999999999997"/>
    <d v="2020-06-26T00:00:00"/>
    <s v="−0,250"/>
    <x v="1"/>
  </r>
  <r>
    <x v="1346"/>
    <n v="-0.28699999999999998"/>
    <d v="2020-06-29T00:00:00"/>
    <s v="−0,255"/>
    <x v="1"/>
  </r>
  <r>
    <x v="1347"/>
    <n v="-0.308"/>
    <d v="2020-06-30T00:00:00"/>
    <s v="−0,250"/>
    <x v="1"/>
  </r>
  <r>
    <x v="1348"/>
    <n v="-0.29499999999999998"/>
    <d v="2020-07-01T00:00:00"/>
    <s v="−0,252"/>
    <x v="1"/>
  </r>
  <r>
    <x v="1349"/>
    <n v="-0.30199999999999999"/>
    <d v="2020-07-02T00:00:00"/>
    <s v="−0,257"/>
    <x v="1"/>
  </r>
  <r>
    <x v="1350"/>
    <n v="-0.314"/>
    <d v="2020-07-03T00:00:00"/>
    <s v="−0,263"/>
    <x v="1"/>
  </r>
  <r>
    <x v="1351"/>
    <n v="-0.308"/>
    <d v="2020-07-06T00:00:00"/>
    <s v="−0,270"/>
    <x v="1"/>
  </r>
  <r>
    <x v="1352"/>
    <n v="-0.313"/>
    <d v="2020-07-07T00:00:00"/>
    <s v="−0,277"/>
    <x v="1"/>
  </r>
  <r>
    <x v="1353"/>
    <n v="-0.32200000000000001"/>
    <d v="2020-07-08T00:00:00"/>
    <s v="−0,282"/>
    <x v="1"/>
  </r>
  <r>
    <x v="1354"/>
    <n v="-0.32800000000000001"/>
    <d v="2020-07-09T00:00:00"/>
    <s v="−0,287"/>
    <x v="1"/>
  </r>
  <r>
    <x v="1355"/>
    <n v="-0.33"/>
    <d v="2020-07-10T00:00:00"/>
    <s v="−0,291"/>
    <x v="1"/>
  </r>
  <r>
    <x v="1356"/>
    <n v="-0.33200000000000002"/>
    <d v="2020-07-13T00:00:00"/>
    <s v="−0,296"/>
    <x v="1"/>
  </r>
  <r>
    <x v="1357"/>
    <n v="-0.33"/>
    <d v="2020-07-14T00:00:00"/>
    <s v="−0,299"/>
    <x v="1"/>
  </r>
  <r>
    <x v="1358"/>
    <n v="-0.33300000000000002"/>
    <d v="2020-07-15T00:00:00"/>
    <s v="−0,302"/>
    <x v="1"/>
  </r>
  <r>
    <x v="1359"/>
    <n v="-0.35199999999999998"/>
    <d v="2020-07-16T00:00:00"/>
    <s v="−0,305"/>
    <x v="1"/>
  </r>
  <r>
    <x v="1360"/>
    <n v="-0.35099999999999998"/>
    <d v="2020-07-17T00:00:00"/>
    <s v="−0,309"/>
    <x v="1"/>
  </r>
  <r>
    <x v="1361"/>
    <n v="-0.34799999999999998"/>
    <d v="2020-07-20T00:00:00"/>
    <s v="−0,311"/>
    <x v="1"/>
  </r>
  <r>
    <x v="1362"/>
    <n v="-0.35299999999999998"/>
    <d v="2020-07-21T00:00:00"/>
    <s v="−0,315"/>
    <x v="1"/>
  </r>
  <r>
    <x v="1363"/>
    <n v="-0.35499999999999998"/>
    <d v="2020-07-22T00:00:00"/>
    <s v="−0,319"/>
    <x v="1"/>
  </r>
  <r>
    <x v="1364"/>
    <n v="-0.373"/>
    <d v="2020-07-23T00:00:00"/>
    <s v="−0,322"/>
    <x v="1"/>
  </r>
  <r>
    <x v="1365"/>
    <n v="-0.373"/>
    <d v="2020-07-24T00:00:00"/>
    <s v="−0,324"/>
    <x v="1"/>
  </r>
  <r>
    <x v="1366"/>
    <n v="-0.375"/>
    <d v="2020-07-27T00:00:00"/>
    <s v="−0,326"/>
    <x v="1"/>
  </r>
  <r>
    <x v="1367"/>
    <n v="-0.379"/>
    <d v="2020-07-28T00:00:00"/>
    <s v="−0,329"/>
    <x v="1"/>
  </r>
  <r>
    <x v="1368"/>
    <n v="-0.38900000000000001"/>
    <d v="2020-07-29T00:00:00"/>
    <s v="−0,334"/>
    <x v="1"/>
  </r>
  <r>
    <x v="1369"/>
    <n v="-0.39900000000000002"/>
    <d v="2020-07-30T00:00:00"/>
    <s v="−0,340"/>
    <x v="1"/>
  </r>
  <r>
    <x v="1370"/>
    <n v="-0.40699999999999997"/>
    <d v="2020-07-31T00:00:00"/>
    <s v="−0,344"/>
    <x v="1"/>
  </r>
  <r>
    <x v="1371"/>
    <n v="-0.41699999999999998"/>
    <d v="2020-08-03T00:00:00"/>
    <s v="−0,349"/>
    <x v="1"/>
  </r>
  <r>
    <x v="1372"/>
    <n v="-0.42099999999999999"/>
    <d v="2020-08-04T00:00:00"/>
    <s v="−0,354"/>
    <x v="1"/>
  </r>
  <r>
    <x v="1373"/>
    <n v="-0.41799999999999998"/>
    <d v="2020-08-05T00:00:00"/>
    <s v="−0,358"/>
    <x v="1"/>
  </r>
  <r>
    <x v="1374"/>
    <n v="-0.41699999999999998"/>
    <d v="2020-08-06T00:00:00"/>
    <s v="−0,363"/>
    <x v="1"/>
  </r>
  <r>
    <x v="1375"/>
    <n v="-0.41799999999999998"/>
    <d v="2020-08-07T00:00:00"/>
    <s v="−0,366"/>
    <x v="1"/>
  </r>
  <r>
    <x v="1376"/>
    <n v="-0.42199999999999999"/>
    <d v="2020-08-10T00:00:00"/>
    <s v="−0,371"/>
    <x v="1"/>
  </r>
  <r>
    <x v="1377"/>
    <n v="-0.42599999999999999"/>
    <d v="2020-08-11T00:00:00"/>
    <s v="−0,375"/>
    <x v="1"/>
  </r>
  <r>
    <x v="1378"/>
    <n v="-0.42799999999999999"/>
    <d v="2020-08-12T00:00:00"/>
    <s v="−0,378"/>
    <x v="1"/>
  </r>
  <r>
    <x v="1379"/>
    <n v="-0.433"/>
    <d v="2020-08-13T00:00:00"/>
    <s v="−0,379"/>
    <x v="1"/>
  </r>
  <r>
    <x v="1380"/>
    <n v="-0.432"/>
    <d v="2020-08-14T00:00:00"/>
    <s v="−0,378"/>
    <x v="1"/>
  </r>
  <r>
    <x v="1381"/>
    <n v="-0.433"/>
    <d v="2020-08-17T00:00:00"/>
    <s v="−0,378"/>
    <x v="1"/>
  </r>
  <r>
    <x v="1382"/>
    <n v="-0.44"/>
    <d v="2020-08-18T00:00:00"/>
    <s v="−0,377"/>
    <x v="1"/>
  </r>
  <r>
    <x v="1383"/>
    <n v="-0.442"/>
    <d v="2020-08-19T00:00:00"/>
    <s v="−0,378"/>
    <x v="1"/>
  </r>
  <r>
    <x v="1384"/>
    <n v="-0.44400000000000001"/>
    <d v="2020-08-20T00:00:00"/>
    <s v="−0,378"/>
    <x v="1"/>
  </r>
  <r>
    <x v="1385"/>
    <n v="-0.441"/>
    <d v="2020-08-21T00:00:00"/>
    <s v="−0,380"/>
    <x v="1"/>
  </r>
  <r>
    <x v="1386"/>
    <n v="-0.442"/>
    <d v="2020-08-24T00:00:00"/>
    <s v="−0,381"/>
    <x v="1"/>
  </r>
  <r>
    <x v="1387"/>
    <n v="-0.443"/>
    <d v="2020-08-25T00:00:00"/>
    <s v="−0,380"/>
    <x v="1"/>
  </r>
  <r>
    <x v="1388"/>
    <n v="-0.443"/>
    <d v="2020-08-26T00:00:00"/>
    <s v="−0,378"/>
    <x v="1"/>
  </r>
  <r>
    <x v="1389"/>
    <n v="-0.439"/>
    <d v="2020-08-27T00:00:00"/>
    <s v="−0,375"/>
    <x v="1"/>
  </r>
  <r>
    <x v="1390"/>
    <n v="-0.44400000000000001"/>
    <d v="2020-08-28T00:00:00"/>
    <s v="−0,371"/>
    <x v="1"/>
  </r>
  <r>
    <x v="1391"/>
    <n v="-0.44800000000000001"/>
    <d v="2020-08-31T00:00:00"/>
    <s v="−0,367"/>
    <x v="1"/>
  </r>
  <r>
    <x v="1392"/>
    <n v="-0.441"/>
    <d v="2020-09-01T00:00:00"/>
    <s v="−0,364"/>
    <x v="1"/>
  </r>
  <r>
    <x v="1393"/>
    <n v="-0.45100000000000001"/>
    <d v="2020-09-02T00:00:00"/>
    <s v="−0,362"/>
    <x v="1"/>
  </r>
  <r>
    <x v="1394"/>
    <n v="-0.45500000000000002"/>
    <d v="2020-09-03T00:00:00"/>
    <s v="−0,361"/>
    <x v="1"/>
  </r>
  <r>
    <x v="1395"/>
    <n v="-0.45100000000000001"/>
    <d v="2020-09-04T00:00:00"/>
    <s v="−0,360"/>
    <x v="1"/>
  </r>
  <r>
    <x v="1396"/>
    <n v="-0.45900000000000002"/>
    <d v="2020-09-07T00:00:00"/>
    <s v="−0,359"/>
    <x v="1"/>
  </r>
  <r>
    <x v="1397"/>
    <n v="-0.45900000000000002"/>
    <d v="2020-09-08T00:00:00"/>
    <s v="−0,358"/>
    <x v="1"/>
  </r>
  <r>
    <x v="1398"/>
    <n v="-0.46300000000000002"/>
    <d v="2020-09-09T00:00:00"/>
    <s v="−0,359"/>
    <x v="1"/>
  </r>
  <r>
    <x v="1399"/>
    <n v="-0.45800000000000002"/>
    <d v="2020-09-10T00:00:00"/>
    <s v="−0,358"/>
    <x v="1"/>
  </r>
  <r>
    <x v="1400"/>
    <n v="-0.45500000000000002"/>
    <d v="2020-09-11T00:00:00"/>
    <s v="−0,361"/>
    <x v="1"/>
  </r>
  <r>
    <x v="1401"/>
    <n v="-0.46"/>
    <d v="2020-09-14T00:00:00"/>
    <s v="−0,363"/>
    <x v="1"/>
  </r>
  <r>
    <x v="1402"/>
    <n v="-0.45800000000000002"/>
    <d v="2020-09-15T00:00:00"/>
    <s v="−0,351"/>
    <x v="1"/>
  </r>
  <r>
    <x v="1403"/>
    <n v="-0.46200000000000002"/>
    <d v="2020-09-16T00:00:00"/>
    <s v="−0,352"/>
    <x v="1"/>
  </r>
  <r>
    <x v="1404"/>
    <n v="-0.46300000000000002"/>
    <d v="2020-09-17T00:00:00"/>
    <s v="−0,353"/>
    <x v="1"/>
  </r>
  <r>
    <x v="1405"/>
    <n v="-0.46800000000000003"/>
    <d v="2020-09-18T00:00:00"/>
    <s v="−0,353"/>
    <x v="1"/>
  </r>
  <r>
    <x v="1406"/>
    <n v="-0.47"/>
    <d v="2020-09-21T00:00:00"/>
    <s v="−0,355"/>
    <x v="1"/>
  </r>
  <r>
    <x v="1407"/>
    <n v="-0.47299999999999998"/>
    <d v="2020-09-22T00:00:00"/>
    <s v="−0,359"/>
    <x v="1"/>
  </r>
  <r>
    <x v="1408"/>
    <n v="-0.46800000000000003"/>
    <d v="2020-09-23T00:00:00"/>
    <s v="−0,363"/>
    <x v="1"/>
  </r>
  <r>
    <x v="1409"/>
    <n v="-0.47199999999999998"/>
    <d v="2020-09-24T00:00:00"/>
    <s v="−0,367"/>
    <x v="1"/>
  </r>
  <r>
    <x v="1410"/>
    <n v="-0.46800000000000003"/>
    <d v="2020-09-25T00:00:00"/>
    <s v="−0,373"/>
    <x v="1"/>
  </r>
  <r>
    <x v="1411"/>
    <n v="-0.47"/>
    <d v="2020-09-28T00:00:00"/>
    <s v="−0,378"/>
    <x v="1"/>
  </r>
  <r>
    <x v="1412"/>
    <n v="-0.47399999999999998"/>
    <d v="2020-09-29T00:00:00"/>
    <s v="−0,383"/>
    <x v="1"/>
  </r>
  <r>
    <x v="1413"/>
    <n v="-0.48"/>
    <d v="2020-09-30T00:00:00"/>
    <s v="−0,386"/>
    <x v="1"/>
  </r>
  <r>
    <x v="1414"/>
    <n v="-0.48099999999999998"/>
    <d v="2020-10-01T00:00:00"/>
    <s v="−0,388"/>
    <x v="1"/>
  </r>
  <r>
    <x v="1415"/>
    <n v="-0.47299999999999998"/>
    <d v="2020-10-02T00:00:00"/>
    <s v="−0,390"/>
    <x v="1"/>
  </r>
  <r>
    <x v="1416"/>
    <n v="-0.48799999999999999"/>
    <d v="2020-10-05T00:00:00"/>
    <s v="−0,392"/>
    <x v="1"/>
  </r>
  <r>
    <x v="1417"/>
    <n v="-0.47899999999999998"/>
    <d v="2020-10-06T00:00:00"/>
    <s v="−0,394"/>
    <x v="1"/>
  </r>
  <r>
    <x v="1418"/>
    <n v="-0.48799999999999999"/>
    <d v="2020-10-07T00:00:00"/>
    <s v="−0,395"/>
    <x v="1"/>
  </r>
  <r>
    <x v="1419"/>
    <n v="-0.48599999999999999"/>
    <d v="2020-10-08T00:00:00"/>
    <s v="−0,399"/>
    <x v="1"/>
  </r>
  <r>
    <x v="1420"/>
    <n v="-0.48599999999999999"/>
    <d v="2020-10-09T00:00:00"/>
    <s v="−0,402"/>
    <x v="1"/>
  </r>
  <r>
    <x v="1421"/>
    <n v="-0.48499999999999999"/>
    <d v="2020-10-12T00:00:00"/>
    <s v="−0,405"/>
    <x v="1"/>
  </r>
  <r>
    <x v="1422"/>
    <n v="-0.48299999999999998"/>
    <d v="2020-10-13T00:00:00"/>
    <s v="−0,409"/>
    <x v="1"/>
  </r>
  <r>
    <x v="1423"/>
    <n v="-0.49299999999999999"/>
    <d v="2020-10-14T00:00:00"/>
    <s v="−0,413"/>
    <x v="1"/>
  </r>
  <r>
    <x v="1424"/>
    <n v="-0.497"/>
    <d v="2020-10-15T00:00:00"/>
    <s v="−0,419"/>
    <x v="1"/>
  </r>
  <r>
    <x v="1425"/>
    <n v="-0.498"/>
    <d v="2020-10-16T00:00:00"/>
    <s v="−0,424"/>
    <x v="1"/>
  </r>
  <r>
    <x v="1426"/>
    <n v="-0.497"/>
    <d v="2020-10-19T00:00:00"/>
    <s v="−0,428"/>
    <x v="1"/>
  </r>
  <r>
    <x v="1427"/>
    <n v="-0.498"/>
    <d v="2020-10-20T00:00:00"/>
    <s v="−0,432"/>
    <x v="1"/>
  </r>
  <r>
    <x v="1428"/>
    <n v="-0.498"/>
    <d v="2020-10-21T00:00:00"/>
    <s v="−0,435"/>
    <x v="1"/>
  </r>
  <r>
    <x v="1429"/>
    <n v="-0.498"/>
    <d v="2020-10-22T00:00:00"/>
    <s v="−0,433"/>
    <x v="1"/>
  </r>
  <r>
    <x v="1430"/>
    <n v="-0.496"/>
    <d v="2020-10-23T00:00:00"/>
    <s v="−0,435"/>
    <x v="1"/>
  </r>
  <r>
    <x v="1431"/>
    <n v="-0.496"/>
    <m/>
    <s v="−0,435"/>
    <x v="1"/>
  </r>
  <r>
    <x v="1432"/>
    <n v="-0.50700000000000001"/>
    <d v="2020-10-27T00:00:00"/>
    <s v="−0,438"/>
    <x v="1"/>
  </r>
  <r>
    <x v="1433"/>
    <n v="-0.505"/>
    <d v="2020-10-28T00:00:00"/>
    <s v="−0,442"/>
    <x v="1"/>
  </r>
  <r>
    <x v="1434"/>
    <n v="-0.51500000000000001"/>
    <d v="2020-10-29T00:00:00"/>
    <s v="−0,446"/>
    <x v="1"/>
  </r>
  <r>
    <x v="1435"/>
    <n v="-0.52100000000000002"/>
    <d v="2020-10-30T00:00:00"/>
    <s v="−0,450"/>
    <x v="1"/>
  </r>
  <r>
    <x v="1436"/>
    <n v="-0.51300000000000001"/>
    <d v="2020-11-02T00:00:00"/>
    <n v="-0.45500000000000002"/>
    <x v="12"/>
  </r>
  <r>
    <x v="1437"/>
    <n v="-0.51300000000000001"/>
    <d v="2020-11-03T00:00:00"/>
    <s v="−0,459"/>
    <x v="1"/>
  </r>
  <r>
    <x v="1438"/>
    <n v="-0.51500000000000001"/>
    <d v="2020-11-04T00:00:00"/>
    <s v="−0,464"/>
    <x v="1"/>
  </r>
  <r>
    <x v="1439"/>
    <n v="-0.51100000000000001"/>
    <d v="2020-11-05T00:00:00"/>
    <s v="−0,468"/>
    <x v="1"/>
  </r>
  <r>
    <x v="1440"/>
    <n v="-0.51200000000000001"/>
    <d v="2020-11-06T00:00:00"/>
    <s v="−0,472"/>
    <x v="1"/>
  </r>
  <r>
    <x v="1441"/>
    <n v="-0.51100000000000001"/>
    <d v="2020-11-09T00:00:00"/>
    <s v="−0,474"/>
    <x v="1"/>
  </r>
  <r>
    <x v="1442"/>
    <n v="-0.505"/>
    <d v="2020-11-10T00:00:00"/>
    <s v="−0,473"/>
    <x v="1"/>
  </r>
  <r>
    <x v="1443"/>
    <n v="-0.50700000000000001"/>
    <d v="2020-11-11T00:00:00"/>
    <s v="−0,471"/>
    <x v="1"/>
  </r>
  <r>
    <x v="1444"/>
    <n v="-0.504"/>
    <d v="2020-11-12T00:00:00"/>
    <s v="−0,469"/>
    <x v="1"/>
  </r>
  <r>
    <x v="1445"/>
    <n v="-0.503"/>
    <d v="2020-11-13T00:00:00"/>
    <s v="−0,467"/>
    <x v="1"/>
  </r>
  <r>
    <x v="1446"/>
    <n v="-0.505"/>
    <d v="2020-11-16T00:00:00"/>
    <s v="−0,465"/>
    <x v="1"/>
  </r>
  <r>
    <x v="1447"/>
    <n v="-0.50800000000000001"/>
    <d v="2020-11-17T00:00:00"/>
    <s v="−0,463"/>
    <x v="1"/>
  </r>
  <r>
    <x v="1448"/>
    <n v="-0.51300000000000001"/>
    <d v="2020-11-18T00:00:00"/>
    <s v="−0,462"/>
    <x v="1"/>
  </r>
  <r>
    <x v="1449"/>
    <n v="-0.51200000000000001"/>
    <d v="2020-11-19T00:00:00"/>
    <s v="−0,462"/>
    <x v="1"/>
  </r>
  <r>
    <x v="1450"/>
    <n v="-0.50900000000000001"/>
    <d v="2020-11-20T00:00:00"/>
    <s v="−0,463"/>
    <x v="1"/>
  </r>
  <r>
    <x v="1451"/>
    <n v="-0.50900000000000001"/>
    <d v="2020-11-23T00:00:00"/>
    <s v="−0,465"/>
    <x v="1"/>
  </r>
  <r>
    <x v="1452"/>
    <n v="-0.51"/>
    <d v="2020-11-24T00:00:00"/>
    <s v="−0,466"/>
    <x v="1"/>
  </r>
  <r>
    <x v="1453"/>
    <n v="-0.50800000000000001"/>
    <d v="2020-11-25T00:00:00"/>
    <s v="−0,465"/>
    <x v="1"/>
  </r>
  <r>
    <x v="1454"/>
    <n v="-0.50600000000000001"/>
    <d v="2020-11-26T00:00:00"/>
    <s v="−0,464"/>
    <x v="1"/>
  </r>
  <r>
    <x v="1455"/>
    <n v="-0.50700000000000001"/>
    <d v="2020-11-27T00:00:00"/>
    <s v="−0,463"/>
    <x v="1"/>
  </r>
  <r>
    <x v="1456"/>
    <n v="-0.50800000000000001"/>
    <d v="2020-11-30T00:00:00"/>
    <s v="−0,462"/>
    <x v="1"/>
  </r>
  <r>
    <x v="1457"/>
    <n v="-0.50800000000000001"/>
    <d v="2020-12-01T00:00:00"/>
    <s v="−0,460"/>
    <x v="1"/>
  </r>
  <r>
    <x v="1458"/>
    <n v="-0.50800000000000001"/>
    <d v="2020-12-02T00:00:00"/>
    <s v="−0,455"/>
    <x v="1"/>
  </r>
  <r>
    <x v="1459"/>
    <n v="-0.51"/>
    <d v="2020-12-03T00:00:00"/>
    <s v="−0,453"/>
    <x v="1"/>
  </r>
  <r>
    <x v="1460"/>
    <n v="-0.51200000000000001"/>
    <d v="2020-12-04T00:00:00"/>
    <s v="−0,450"/>
    <x v="1"/>
  </r>
  <r>
    <x v="1461"/>
    <n v="-0.51300000000000001"/>
    <d v="2020-12-07T00:00:00"/>
    <s v="−0,450"/>
    <x v="1"/>
  </r>
  <r>
    <x v="1462"/>
    <n v="-0.51800000000000002"/>
    <m/>
    <s v="−0,450"/>
    <x v="1"/>
  </r>
  <r>
    <x v="1463"/>
    <n v="-0.52400000000000002"/>
    <d v="2020-12-09T00:00:00"/>
    <s v="−0,454"/>
    <x v="1"/>
  </r>
  <r>
    <x v="1464"/>
    <n v="-0.52300000000000002"/>
    <d v="2020-12-10T00:00:00"/>
    <s v="−0,458"/>
    <x v="1"/>
  </r>
  <r>
    <x v="1465"/>
    <n v="-0.52"/>
    <d v="2020-12-11T00:00:00"/>
    <s v="−0,462"/>
    <x v="1"/>
  </r>
  <r>
    <x v="1466"/>
    <n v="-0.52200000000000002"/>
    <d v="2020-12-14T00:00:00"/>
    <s v="−0,465"/>
    <x v="1"/>
  </r>
  <r>
    <x v="1467"/>
    <n v="-0.52"/>
    <d v="2020-12-15T00:00:00"/>
    <s v="−0,466"/>
    <x v="1"/>
  </r>
  <r>
    <x v="1468"/>
    <n v="-0.52500000000000002"/>
    <d v="2020-12-16T00:00:00"/>
    <s v="−0,466"/>
    <x v="1"/>
  </r>
  <r>
    <x v="1469"/>
    <n v="-0.51800000000000002"/>
    <d v="2020-12-17T00:00:00"/>
    <s v="−0,466"/>
    <x v="1"/>
  </r>
  <r>
    <x v="1470"/>
    <n v="-0.52"/>
    <d v="2020-12-18T00:00:00"/>
    <s v="−0,465"/>
    <x v="1"/>
  </r>
  <r>
    <x v="1471"/>
    <n v="-0.51800000000000002"/>
    <d v="2020-12-21T00:00:00"/>
    <s v="−0,466"/>
    <x v="1"/>
  </r>
  <r>
    <x v="1472"/>
    <n v="-0.52200000000000002"/>
    <d v="2020-12-22T00:00:00"/>
    <s v="−0,466"/>
    <x v="1"/>
  </r>
  <r>
    <x v="1473"/>
    <n v="-0.52100000000000002"/>
    <d v="2020-12-23T00:00:00"/>
    <s v="−0,466"/>
    <x v="1"/>
  </r>
  <r>
    <x v="1474"/>
    <n v="-0.51900000000000002"/>
    <m/>
    <s v="−0,466"/>
    <x v="1"/>
  </r>
  <r>
    <x v="1475"/>
    <n v="-0.51900000000000002"/>
    <m/>
    <s v="−0,466"/>
    <x v="1"/>
  </r>
  <r>
    <x v="1476"/>
    <n v="-0.52"/>
    <d v="2020-12-28T00:00:00"/>
    <s v="−0,465"/>
    <x v="1"/>
  </r>
  <r>
    <x v="1477"/>
    <n v="-0.52300000000000002"/>
    <d v="2020-12-29T00:00:00"/>
    <s v="−0,465"/>
    <x v="1"/>
  </r>
  <r>
    <x v="1478"/>
    <n v="-0.52"/>
    <d v="2020-12-30T00:00:00"/>
    <s v="−0,464"/>
    <x v="1"/>
  </r>
  <r>
    <x v="1479"/>
    <n v="-0.52600000000000002"/>
    <d v="2020-12-31T00:00:00"/>
    <s v="−0,464"/>
    <x v="1"/>
  </r>
  <r>
    <x v="1480"/>
    <n v="-0.52600000000000002"/>
    <m/>
    <s v="−0,464"/>
    <x v="1"/>
  </r>
  <r>
    <x v="1481"/>
    <n v="-0.53200000000000003"/>
    <d v="2021-01-04T00:00:00"/>
    <s v="−0,465"/>
    <x v="1"/>
  </r>
  <r>
    <x v="1482"/>
    <n v="-0.52400000000000002"/>
    <d v="2021-01-05T00:00:00"/>
    <s v="−0,468"/>
    <x v="1"/>
  </r>
  <r>
    <x v="1483"/>
    <n v="-0.53"/>
    <m/>
    <s v="−0,468"/>
    <x v="1"/>
  </r>
  <r>
    <x v="1484"/>
    <n v="-0.52400000000000002"/>
    <d v="2021-01-07T00:00:00"/>
    <s v="−0,469"/>
    <x v="1"/>
  </r>
  <r>
    <x v="1485"/>
    <n v="-0.53"/>
    <d v="2021-01-08T00:00:00"/>
    <s v="−0,469"/>
    <x v="1"/>
  </r>
  <r>
    <x v="1486"/>
    <n v="-0.52300000000000002"/>
    <d v="2021-01-11T00:00:00"/>
    <s v="−0,467"/>
    <x v="1"/>
  </r>
  <r>
    <x v="1487"/>
    <n v="-0.53"/>
    <d v="2021-01-12T00:00:00"/>
    <s v="−0,464"/>
    <x v="1"/>
  </r>
  <r>
    <x v="1488"/>
    <n v="-0.52700000000000002"/>
    <d v="2021-01-13T00:00:00"/>
    <s v="−0,460"/>
    <x v="1"/>
  </r>
  <r>
    <x v="1489"/>
    <n v="-0.53300000000000003"/>
    <d v="2021-01-14T00:00:00"/>
    <s v="−0,456"/>
    <x v="1"/>
  </r>
  <r>
    <x v="1490"/>
    <n v="-0.53200000000000003"/>
    <d v="2021-01-15T00:00:00"/>
    <s v="−0,453"/>
    <x v="1"/>
  </r>
  <r>
    <x v="1491"/>
    <n v="-0.53300000000000003"/>
    <d v="2021-01-18T00:00:00"/>
    <s v="−0,451"/>
    <x v="1"/>
  </r>
  <r>
    <x v="1492"/>
    <n v="-0.52800000000000002"/>
    <d v="2021-01-19T00:00:00"/>
    <s v="−0,450"/>
    <x v="1"/>
  </r>
  <r>
    <x v="1493"/>
    <n v="-0.53200000000000003"/>
    <d v="2021-01-20T00:00:00"/>
    <s v="−0,448"/>
    <x v="1"/>
  </r>
  <r>
    <x v="1494"/>
    <n v="-0.52700000000000002"/>
    <d v="2021-01-21T00:00:00"/>
    <s v="−0,446"/>
    <x v="1"/>
  </r>
  <r>
    <x v="1495"/>
    <n v="-0.52500000000000002"/>
    <d v="2021-01-22T00:00:00"/>
    <s v="−0,442"/>
    <x v="1"/>
  </r>
  <r>
    <x v="1496"/>
    <n v="-0.52100000000000002"/>
    <d v="2021-01-25T00:00:00"/>
    <s v="−0,440"/>
    <x v="1"/>
  </r>
  <r>
    <x v="1497"/>
    <n v="-0.52800000000000002"/>
    <d v="2021-01-26T00:00:00"/>
    <s v="−0,438"/>
    <x v="1"/>
  </r>
  <r>
    <x v="1498"/>
    <n v="-0.52600000000000002"/>
    <d v="2021-01-27T00:00:00"/>
    <s v="−0,437"/>
    <x v="1"/>
  </r>
  <r>
    <x v="1499"/>
    <n v="-0.53400000000000003"/>
    <d v="2021-01-28T00:00:00"/>
    <s v="−0,436"/>
    <x v="1"/>
  </r>
  <r>
    <x v="1500"/>
    <n v="-0.53100000000000003"/>
    <d v="2021-01-29T00:00:00"/>
    <s v="−0,434"/>
    <x v="1"/>
  </r>
  <r>
    <x v="1501"/>
    <n v="-0.52800000000000002"/>
    <d v="2021-02-01T00:00:00"/>
    <s v="−0,433"/>
    <x v="1"/>
  </r>
  <r>
    <x v="1502"/>
    <n v="-0.52600000000000002"/>
    <d v="2021-02-02T00:00:00"/>
    <s v="−0,429"/>
    <x v="1"/>
  </r>
  <r>
    <x v="1503"/>
    <n v="-0.52100000000000002"/>
    <d v="2021-02-03T00:00:00"/>
    <s v="−0,423"/>
    <x v="1"/>
  </r>
  <r>
    <x v="1504"/>
    <n v="-0.52500000000000002"/>
    <d v="2021-02-04T00:00:00"/>
    <s v="−0,419"/>
    <x v="1"/>
  </r>
  <r>
    <x v="1505"/>
    <n v="-0.51900000000000002"/>
    <d v="2021-02-05T00:00:00"/>
    <s v="−0,415"/>
    <x v="1"/>
  </r>
  <r>
    <x v="1506"/>
    <n v="-0.52100000000000002"/>
    <d v="2021-02-08T00:00:00"/>
    <s v="−0,412"/>
    <x v="1"/>
  </r>
  <r>
    <x v="1507"/>
    <n v="-0.52300000000000002"/>
    <d v="2021-02-09T00:00:00"/>
    <s v="−0,410"/>
    <x v="1"/>
  </r>
  <r>
    <x v="1508"/>
    <n v="-0.52200000000000002"/>
    <d v="2021-02-10T00:00:00"/>
    <s v="−0,408"/>
    <x v="1"/>
  </r>
  <r>
    <x v="1509"/>
    <n v="-0.52100000000000002"/>
    <d v="2021-02-11T00:00:00"/>
    <s v="−0,404"/>
    <x v="1"/>
  </r>
  <r>
    <x v="1510"/>
    <n v="-0.52200000000000002"/>
    <d v="2021-02-12T00:00:00"/>
    <s v="−0,400"/>
    <x v="1"/>
  </r>
  <r>
    <x v="1511"/>
    <n v="-0.52100000000000002"/>
    <d v="2021-02-15T00:00:00"/>
    <s v="−0,394"/>
    <x v="1"/>
  </r>
  <r>
    <x v="1512"/>
    <n v="-0.52"/>
    <d v="2021-02-16T00:00:00"/>
    <s v="−0,388"/>
    <x v="1"/>
  </r>
  <r>
    <x v="1513"/>
    <n v="-0.52100000000000002"/>
    <d v="2021-02-17T00:00:00"/>
    <s v="−0,382"/>
    <x v="1"/>
  </r>
  <r>
    <x v="1514"/>
    <n v="-0.51800000000000002"/>
    <d v="2021-02-18T00:00:00"/>
    <s v="−0,375"/>
    <x v="1"/>
  </r>
  <r>
    <x v="1515"/>
    <n v="-0.51700000000000002"/>
    <d v="2021-02-19T00:00:00"/>
    <s v="−0,367"/>
    <x v="1"/>
  </r>
  <r>
    <x v="1516"/>
    <n v="-0.51600000000000001"/>
    <d v="2021-02-22T00:00:00"/>
    <s v="−0,358"/>
    <x v="1"/>
  </r>
  <r>
    <x v="1517"/>
    <n v="-0.51700000000000002"/>
    <d v="2021-02-23T00:00:00"/>
    <s v="−0,349"/>
    <x v="1"/>
  </r>
  <r>
    <x v="1518"/>
    <n v="-0.51800000000000002"/>
    <d v="2021-02-24T00:00:00"/>
    <s v="−0,339"/>
    <x v="1"/>
  </r>
  <r>
    <x v="1519"/>
    <n v="-0.51800000000000002"/>
    <d v="2021-02-25T00:00:00"/>
    <s v="−0,328"/>
    <x v="1"/>
  </r>
  <r>
    <x v="1520"/>
    <n v="-0.51600000000000001"/>
    <d v="2021-02-26T00:00:00"/>
    <s v="−0,318"/>
    <x v="1"/>
  </r>
  <r>
    <x v="1521"/>
    <n v="-0.50800000000000001"/>
    <d v="2021-03-01T00:00:00"/>
    <s v="−0,310"/>
    <x v="1"/>
  </r>
  <r>
    <x v="1522"/>
    <n v="-0.51600000000000001"/>
    <d v="2021-03-02T00:00:00"/>
    <s v="−0,304"/>
    <x v="1"/>
  </r>
  <r>
    <x v="1523"/>
    <n v="-0.51700000000000002"/>
    <d v="2021-03-03T00:00:00"/>
    <s v="−0,298"/>
    <x v="1"/>
  </r>
  <r>
    <x v="1524"/>
    <n v="-0.51800000000000002"/>
    <d v="2021-03-04T00:00:00"/>
    <s v="−0,292"/>
    <x v="1"/>
  </r>
  <r>
    <x v="1525"/>
    <n v="-0.51400000000000001"/>
    <d v="2021-03-05T00:00:00"/>
    <s v="−0,286"/>
    <x v="1"/>
  </r>
  <r>
    <x v="1526"/>
    <n v="-0.51500000000000001"/>
    <d v="2021-03-08T00:00:00"/>
    <s v="−0,280"/>
    <x v="1"/>
  </r>
  <r>
    <x v="1527"/>
    <n v="-0.51800000000000002"/>
    <d v="2021-03-09T00:00:00"/>
    <s v="−0,275"/>
    <x v="1"/>
  </r>
  <r>
    <x v="1528"/>
    <n v="-0.52"/>
    <d v="2021-03-10T00:00:00"/>
    <s v="−0,269"/>
    <x v="1"/>
  </r>
  <r>
    <x v="1529"/>
    <n v="-0.51800000000000002"/>
    <d v="2021-03-11T00:00:00"/>
    <s v="−0,263"/>
    <x v="1"/>
  </r>
  <r>
    <x v="1530"/>
    <n v="-0.51400000000000001"/>
    <d v="2021-03-12T00:00:00"/>
    <s v="−0,259"/>
    <x v="1"/>
  </r>
  <r>
    <x v="1531"/>
    <n v="-0.51500000000000001"/>
    <d v="2021-03-15T00:00:00"/>
    <s v="−0,257"/>
    <x v="1"/>
  </r>
  <r>
    <x v="1532"/>
    <n v="-0.52"/>
    <d v="2021-03-16T00:00:00"/>
    <s v="−0,256"/>
    <x v="1"/>
  </r>
  <r>
    <x v="1533"/>
    <n v="-0.52"/>
    <d v="2021-03-17T00:00:00"/>
    <s v="−0,254"/>
    <x v="1"/>
  </r>
  <r>
    <x v="1534"/>
    <n v="-0.51900000000000002"/>
    <d v="2021-03-18T00:00:00"/>
    <s v="−0,252"/>
    <x v="1"/>
  </r>
  <r>
    <x v="1535"/>
    <n v="-0.51500000000000001"/>
    <d v="2021-03-19T00:00:00"/>
    <s v="−0,252"/>
    <x v="1"/>
  </r>
  <r>
    <x v="1536"/>
    <n v="-0.51800000000000002"/>
    <d v="2021-03-22T00:00:00"/>
    <s v="−0,252"/>
    <x v="1"/>
  </r>
  <r>
    <x v="1537"/>
    <n v="-0.51800000000000002"/>
    <d v="2021-03-23T00:00:00"/>
    <s v="−0,253"/>
    <x v="1"/>
  </r>
  <r>
    <x v="1538"/>
    <n v="-0.51600000000000001"/>
    <d v="2021-03-24T00:00:00"/>
    <s v="−0,255"/>
    <x v="1"/>
  </r>
  <r>
    <x v="1539"/>
    <n v="-0.51400000000000001"/>
    <d v="2021-03-25T00:00:00"/>
    <s v="−0,260"/>
    <x v="1"/>
  </r>
  <r>
    <x v="1540"/>
    <n v="-0.51400000000000001"/>
    <d v="2021-03-26T00:00:00"/>
    <s v="−0,263"/>
    <x v="1"/>
  </r>
  <r>
    <x v="1541"/>
    <n v="-0.51300000000000001"/>
    <d v="2021-03-29T00:00:00"/>
    <s v="−0,265"/>
    <x v="1"/>
  </r>
  <r>
    <x v="1542"/>
    <n v="-0.51900000000000002"/>
    <d v="2021-03-30T00:00:00"/>
    <s v="−0,264"/>
    <x v="1"/>
  </r>
  <r>
    <x v="1543"/>
    <n v="-0.50900000000000001"/>
    <d v="2021-03-31T00:00:00"/>
    <s v="−0,263"/>
    <x v="1"/>
  </r>
  <r>
    <x v="1544"/>
    <n v="-0.51200000000000001"/>
    <d v="2021-04-01T00:00:00"/>
    <s v="−0,264"/>
    <x v="1"/>
  </r>
  <r>
    <x v="1545"/>
    <n v="-0.51200000000000001"/>
    <d v="2021-04-02T00:00:00"/>
    <s v="−0,265"/>
    <x v="1"/>
  </r>
  <r>
    <x v="1546"/>
    <n v="-0.51200000000000001"/>
    <m/>
    <s v="−0,265"/>
    <x v="1"/>
  </r>
  <r>
    <x v="1547"/>
    <n v="-0.51700000000000002"/>
    <d v="2021-04-06T00:00:00"/>
    <s v="−0,267"/>
    <x v="1"/>
  </r>
  <r>
    <x v="1548"/>
    <n v="-0.51700000000000002"/>
    <d v="2021-04-07T00:00:00"/>
    <s v="−0,268"/>
    <x v="1"/>
  </r>
  <r>
    <x v="1549"/>
    <n v="-0.51800000000000002"/>
    <d v="2021-04-08T00:00:00"/>
    <s v="−0,266"/>
    <x v="1"/>
  </r>
  <r>
    <x v="1550"/>
    <n v="-0.52200000000000002"/>
    <d v="2021-04-09T00:00:00"/>
    <s v="−0,266"/>
    <x v="1"/>
  </r>
  <r>
    <x v="1551"/>
    <n v="-0.51700000000000002"/>
    <d v="2021-04-12T00:00:00"/>
    <s v="−0,266"/>
    <x v="1"/>
  </r>
  <r>
    <x v="1552"/>
    <n v="-0.52300000000000002"/>
    <d v="2021-04-13T00:00:00"/>
    <s v="−0,265"/>
    <x v="1"/>
  </r>
  <r>
    <x v="1553"/>
    <n v="-0.50900000000000001"/>
    <d v="2021-04-14T00:00:00"/>
    <s v="−0,263"/>
    <x v="1"/>
  </r>
  <r>
    <x v="1554"/>
    <n v="-0.51200000000000001"/>
    <d v="2021-04-15T00:00:00"/>
    <s v="−0,261"/>
    <x v="1"/>
  </r>
  <r>
    <x v="1555"/>
    <n v="-0.51100000000000001"/>
    <d v="2021-04-16T00:00:00"/>
    <s v="−0,262"/>
    <x v="1"/>
  </r>
  <r>
    <x v="1556"/>
    <n v="-0.51300000000000001"/>
    <d v="2021-04-19T00:00:00"/>
    <s v="−0,261"/>
    <x v="1"/>
  </r>
  <r>
    <x v="1557"/>
    <n v="-0.51300000000000001"/>
    <d v="2021-04-20T00:00:00"/>
    <s v="−0,243"/>
    <x v="1"/>
  </r>
  <r>
    <x v="1558"/>
    <n v="-0.51300000000000001"/>
    <d v="2021-04-21T00:00:00"/>
    <s v="−0,240"/>
    <x v="1"/>
  </r>
  <r>
    <x v="1559"/>
    <n v="-0.51500000000000001"/>
    <d v="2021-04-22T00:00:00"/>
    <s v="−0,238"/>
    <x v="1"/>
  </r>
  <r>
    <x v="1560"/>
    <n v="-0.51500000000000001"/>
    <d v="2021-04-23T00:00:00"/>
    <s v="−0,235"/>
    <x v="1"/>
  </r>
  <r>
    <x v="1561"/>
    <n v="-0.51400000000000001"/>
    <d v="2021-04-26T00:00:00"/>
    <s v="−0,232"/>
    <x v="1"/>
  </r>
  <r>
    <x v="1562"/>
    <n v="-0.51800000000000002"/>
    <d v="2021-04-27T00:00:00"/>
    <s v="−0,229"/>
    <x v="1"/>
  </r>
  <r>
    <x v="1563"/>
    <n v="-0.51800000000000002"/>
    <d v="2021-04-28T00:00:00"/>
    <s v="−0,227"/>
    <x v="1"/>
  </r>
  <r>
    <x v="1564"/>
    <n v="-0.51800000000000002"/>
    <d v="2021-04-29T00:00:00"/>
    <s v="−0,224"/>
    <x v="1"/>
  </r>
  <r>
    <x v="1565"/>
    <n v="-0.52100000000000002"/>
    <d v="2021-04-30T00:00:00"/>
    <s v="−0,220"/>
    <x v="1"/>
  </r>
  <r>
    <x v="1566"/>
    <n v="-0.51800000000000002"/>
    <d v="2021-05-03T00:00:00"/>
    <n v="-0.217"/>
    <x v="13"/>
  </r>
  <r>
    <x v="1567"/>
    <n v="-0.51600000000000001"/>
    <d v="2021-05-04T00:00:00"/>
    <s v="−0,214"/>
    <x v="1"/>
  </r>
  <r>
    <x v="1568"/>
    <n v="-0.51500000000000001"/>
    <d v="2021-05-05T00:00:00"/>
    <s v="−0,210"/>
    <x v="1"/>
  </r>
  <r>
    <x v="1569"/>
    <n v="-0.51300000000000001"/>
    <d v="2021-05-06T00:00:00"/>
    <s v="−0,203"/>
    <x v="1"/>
  </r>
  <r>
    <x v="1570"/>
    <n v="-0.51400000000000001"/>
    <d v="2021-05-07T00:00:00"/>
    <s v="−0,199"/>
    <x v="1"/>
  </r>
  <r>
    <x v="1571"/>
    <n v="-0.51300000000000001"/>
    <d v="2021-05-10T00:00:00"/>
    <s v="−0,195"/>
    <x v="1"/>
  </r>
  <r>
    <x v="1572"/>
    <n v="-0.51300000000000001"/>
    <d v="2021-05-11T00:00:00"/>
    <s v="−0,191"/>
    <x v="1"/>
  </r>
  <r>
    <x v="1573"/>
    <n v="-0.51300000000000001"/>
    <d v="2021-05-12T00:00:00"/>
    <s v="−0,186"/>
    <x v="1"/>
  </r>
  <r>
    <x v="1574"/>
    <n v="-0.51500000000000001"/>
    <m/>
    <s v="−0,186"/>
    <x v="1"/>
  </r>
  <r>
    <x v="1575"/>
    <n v="-0.51300000000000001"/>
    <d v="2021-05-14T00:00:00"/>
    <s v="−0,180"/>
    <x v="1"/>
  </r>
  <r>
    <x v="1576"/>
    <n v="-0.51500000000000001"/>
    <d v="2021-05-17T00:00:00"/>
    <s v="−0,173"/>
    <x v="1"/>
  </r>
  <r>
    <x v="1577"/>
    <n v="-0.51500000000000001"/>
    <d v="2021-05-18T00:00:00"/>
    <s v="−0,167"/>
    <x v="1"/>
  </r>
  <r>
    <x v="1578"/>
    <n v="-0.51500000000000001"/>
    <d v="2021-05-19T00:00:00"/>
    <s v="−0,161"/>
    <x v="1"/>
  </r>
  <r>
    <x v="1579"/>
    <n v="-0.51700000000000002"/>
    <d v="2021-05-20T00:00:00"/>
    <s v="−0,154"/>
    <x v="1"/>
  </r>
  <r>
    <x v="1580"/>
    <n v="-0.51300000000000001"/>
    <d v="2021-05-21T00:00:00"/>
    <s v="−0,148"/>
    <x v="1"/>
  </r>
  <r>
    <x v="1581"/>
    <n v="-0.50900000000000001"/>
    <m/>
    <s v="−0,148"/>
    <x v="1"/>
  </r>
  <r>
    <x v="1582"/>
    <n v="-0.505"/>
    <d v="2021-05-25T00:00:00"/>
    <s v="−0,144"/>
    <x v="1"/>
  </r>
  <r>
    <x v="1583"/>
    <n v="-0.50700000000000001"/>
    <d v="2021-05-26T00:00:00"/>
    <s v="−0,142"/>
    <x v="1"/>
  </r>
  <r>
    <x v="1584"/>
    <n v="-0.50900000000000001"/>
    <d v="2021-05-27T00:00:00"/>
    <s v="−0,140"/>
    <x v="1"/>
  </r>
  <r>
    <x v="1585"/>
    <n v="-0.51200000000000001"/>
    <d v="2021-05-28T00:00:00"/>
    <s v="−0,138"/>
    <x v="1"/>
  </r>
  <r>
    <x v="1586"/>
    <n v="-0.51300000000000001"/>
    <d v="2021-05-31T00:00:00"/>
    <s v="−0,135"/>
    <x v="1"/>
  </r>
  <r>
    <x v="1587"/>
    <n v="-0.51700000000000002"/>
    <d v="2021-06-01T00:00:00"/>
    <s v="−0,134"/>
    <x v="1"/>
  </r>
  <r>
    <x v="1588"/>
    <n v="-0.51600000000000001"/>
    <d v="2021-06-02T00:00:00"/>
    <s v="−0,135"/>
    <x v="1"/>
  </r>
  <r>
    <x v="1589"/>
    <n v="-0.51700000000000002"/>
    <m/>
    <s v="−0,135"/>
    <x v="1"/>
  </r>
  <r>
    <x v="1590"/>
    <n v="-0.51300000000000001"/>
    <d v="2021-06-04T00:00:00"/>
    <s v="−0,133"/>
    <x v="1"/>
  </r>
  <r>
    <x v="1591"/>
    <n v="-0.51300000000000001"/>
    <d v="2021-06-07T00:00:00"/>
    <s v="−0,132"/>
    <x v="1"/>
  </r>
  <r>
    <x v="1592"/>
    <n v="-0.51600000000000001"/>
    <d v="2021-06-08T00:00:00"/>
    <s v="−0,131"/>
    <x v="1"/>
  </r>
  <r>
    <x v="1593"/>
    <n v="-0.51800000000000002"/>
    <d v="2021-06-09T00:00:00"/>
    <s v="−0,132"/>
    <x v="1"/>
  </r>
  <r>
    <x v="1594"/>
    <n v="-0.51900000000000002"/>
    <d v="2021-06-10T00:00:00"/>
    <s v="−0,134"/>
    <x v="1"/>
  </r>
  <r>
    <x v="1595"/>
    <n v="-0.52100000000000002"/>
    <d v="2021-06-11T00:00:00"/>
    <s v="−0,137"/>
    <x v="1"/>
  </r>
  <r>
    <x v="1596"/>
    <n v="-0.52200000000000002"/>
    <d v="2021-06-14T00:00:00"/>
    <s v="−0,142"/>
    <x v="1"/>
  </r>
  <r>
    <x v="1597"/>
    <n v="-0.52200000000000002"/>
    <d v="2021-06-15T00:00:00"/>
    <s v="−0,147"/>
    <x v="1"/>
  </r>
  <r>
    <x v="1598"/>
    <n v="-0.51900000000000002"/>
    <d v="2021-06-16T00:00:00"/>
    <s v="−0,152"/>
    <x v="1"/>
  </r>
  <r>
    <x v="1599"/>
    <n v="-0.51300000000000001"/>
    <d v="2021-06-17T00:00:00"/>
    <s v="−0,156"/>
    <x v="1"/>
  </r>
  <r>
    <x v="1600"/>
    <n v="-0.51300000000000001"/>
    <d v="2021-06-18T00:00:00"/>
    <s v="−0,161"/>
    <x v="1"/>
  </r>
  <r>
    <x v="1601"/>
    <n v="-0.51100000000000001"/>
    <d v="2021-06-21T00:00:00"/>
    <s v="−0,165"/>
    <x v="1"/>
  </r>
  <r>
    <x v="1602"/>
    <n v="-0.50800000000000001"/>
    <d v="2021-06-22T00:00:00"/>
    <s v="−0,169"/>
    <x v="1"/>
  </r>
  <r>
    <x v="1603"/>
    <n v="-0.50900000000000001"/>
    <d v="2021-06-23T00:00:00"/>
    <s v="−0,170"/>
    <x v="1"/>
  </r>
  <r>
    <x v="1604"/>
    <n v="-0.50800000000000001"/>
    <d v="2021-06-24T00:00:00"/>
    <s v="−0,170"/>
    <x v="1"/>
  </r>
  <r>
    <x v="1605"/>
    <n v="-0.51300000000000001"/>
    <d v="2021-06-25T00:00:00"/>
    <s v="−0,170"/>
    <x v="1"/>
  </r>
  <r>
    <x v="1606"/>
    <n v="-0.51300000000000001"/>
    <d v="2021-06-28T00:00:00"/>
    <s v="−0,170"/>
    <x v="1"/>
  </r>
  <r>
    <x v="1607"/>
    <n v="-0.51300000000000001"/>
    <d v="2021-06-29T00:00:00"/>
    <s v="−0,170"/>
    <x v="1"/>
  </r>
  <r>
    <x v="1608"/>
    <n v="-0.51500000000000001"/>
    <d v="2021-06-30T00:00:00"/>
    <s v="−0,171"/>
    <x v="1"/>
  </r>
  <r>
    <x v="1609"/>
    <n v="-0.51300000000000001"/>
    <d v="2021-07-01T00:00:00"/>
    <s v="−0,172"/>
    <x v="1"/>
  </r>
  <r>
    <x v="1610"/>
    <n v="-0.51200000000000001"/>
    <d v="2021-07-02T00:00:00"/>
    <s v="−0,174"/>
    <x v="1"/>
  </r>
  <r>
    <x v="1611"/>
    <n v="-0.51300000000000001"/>
    <d v="2021-07-05T00:00:00"/>
    <s v="−0,175"/>
    <x v="1"/>
  </r>
  <r>
    <x v="1612"/>
    <n v="-0.51300000000000001"/>
    <d v="2021-07-06T00:00:00"/>
    <s v="−0,177"/>
    <x v="1"/>
  </r>
  <r>
    <x v="1613"/>
    <n v="-0.51100000000000001"/>
    <d v="2021-07-07T00:00:00"/>
    <s v="−0,180"/>
    <x v="1"/>
  </r>
  <r>
    <x v="1614"/>
    <n v="-0.51500000000000001"/>
    <d v="2021-07-08T00:00:00"/>
    <s v="−0,185"/>
    <x v="1"/>
  </r>
  <r>
    <x v="1615"/>
    <n v="-0.51400000000000001"/>
    <d v="2021-07-09T00:00:00"/>
    <s v="−0,187"/>
    <x v="1"/>
  </r>
  <r>
    <x v="1616"/>
    <n v="-0.51100000000000001"/>
    <d v="2021-07-12T00:00:00"/>
    <s v="−0,189"/>
    <x v="1"/>
  </r>
  <r>
    <x v="1617"/>
    <n v="-0.51300000000000001"/>
    <d v="2021-07-13T00:00:00"/>
    <s v="−0,188"/>
    <x v="1"/>
  </r>
  <r>
    <x v="1618"/>
    <n v="-0.51300000000000001"/>
    <d v="2021-07-14T00:00:00"/>
    <s v="−0,192"/>
    <x v="1"/>
  </r>
  <r>
    <x v="1619"/>
    <n v="-0.51300000000000001"/>
    <d v="2021-07-15T00:00:00"/>
    <s v="−0,197"/>
    <x v="1"/>
  </r>
  <r>
    <x v="1620"/>
    <n v="-0.51500000000000001"/>
    <d v="2021-07-16T00:00:00"/>
    <s v="−0,202"/>
    <x v="1"/>
  </r>
  <r>
    <x v="1621"/>
    <n v="-0.51500000000000001"/>
    <d v="2021-07-19T00:00:00"/>
    <s v="−0,208"/>
    <x v="1"/>
  </r>
  <r>
    <x v="1622"/>
    <n v="-0.51800000000000002"/>
    <d v="2021-07-20T00:00:00"/>
    <s v="−0,215"/>
    <x v="1"/>
  </r>
  <r>
    <x v="1623"/>
    <n v="-0.51300000000000001"/>
    <d v="2021-07-21T00:00:00"/>
    <s v="−0,223"/>
    <x v="1"/>
  </r>
  <r>
    <x v="1624"/>
    <n v="-0.51700000000000002"/>
    <d v="2021-07-22T00:00:00"/>
    <s v="−0,230"/>
    <x v="1"/>
  </r>
  <r>
    <x v="1625"/>
    <n v="-0.51900000000000002"/>
    <d v="2021-07-23T00:00:00"/>
    <s v="−0,239"/>
    <x v="1"/>
  </r>
  <r>
    <x v="1626"/>
    <n v="-0.51900000000000002"/>
    <d v="2021-07-26T00:00:00"/>
    <s v="−0,248"/>
    <x v="1"/>
  </r>
  <r>
    <x v="1627"/>
    <n v="-0.52300000000000002"/>
    <d v="2021-07-27T00:00:00"/>
    <s v="−0,257"/>
    <x v="1"/>
  </r>
  <r>
    <x v="1628"/>
    <n v="-0.52400000000000002"/>
    <d v="2021-07-28T00:00:00"/>
    <s v="−0,266"/>
    <x v="1"/>
  </r>
  <r>
    <x v="1629"/>
    <n v="-0.52400000000000002"/>
    <d v="2021-07-29T00:00:00"/>
    <s v="−0,275"/>
    <x v="1"/>
  </r>
  <r>
    <x v="1630"/>
    <n v="-0.52300000000000002"/>
    <d v="2021-07-30T00:00:00"/>
    <s v="−0,283"/>
    <x v="1"/>
  </r>
  <r>
    <x v="1631"/>
    <n v="-0.52300000000000002"/>
    <d v="2021-08-02T00:00:00"/>
    <s v="−0,292"/>
    <x v="1"/>
  </r>
  <r>
    <x v="1632"/>
    <n v="-0.52500000000000002"/>
    <d v="2021-08-03T00:00:00"/>
    <s v="−0,300"/>
    <x v="1"/>
  </r>
  <r>
    <x v="1633"/>
    <n v="-0.53100000000000003"/>
    <d v="2021-08-04T00:00:00"/>
    <s v="−0,307"/>
    <x v="1"/>
  </r>
  <r>
    <x v="1634"/>
    <n v="-0.52700000000000002"/>
    <d v="2021-08-05T00:00:00"/>
    <s v="−0,314"/>
    <x v="1"/>
  </r>
  <r>
    <x v="1635"/>
    <n v="-0.52400000000000002"/>
    <d v="2021-08-06T00:00:00"/>
    <s v="−0,319"/>
    <x v="1"/>
  </r>
  <r>
    <x v="1636"/>
    <n v="-0.52700000000000002"/>
    <d v="2021-08-09T00:00:00"/>
    <s v="−0,324"/>
    <x v="1"/>
  </r>
  <r>
    <x v="1637"/>
    <n v="-0.52800000000000002"/>
    <d v="2021-08-10T00:00:00"/>
    <s v="−0,330"/>
    <x v="1"/>
  </r>
  <r>
    <x v="1638"/>
    <n v="-0.53"/>
    <d v="2021-08-11T00:00:00"/>
    <s v="−0,335"/>
    <x v="1"/>
  </r>
  <r>
    <x v="1639"/>
    <n v="-0.52700000000000002"/>
    <d v="2021-08-12T00:00:00"/>
    <s v="−0,340"/>
    <x v="1"/>
  </r>
  <r>
    <x v="1640"/>
    <n v="-0.52800000000000002"/>
    <d v="2021-08-13T00:00:00"/>
    <s v="−0,345"/>
    <x v="1"/>
  </r>
  <r>
    <x v="1641"/>
    <n v="-0.52700000000000002"/>
    <d v="2021-08-16T00:00:00"/>
    <s v="−0,348"/>
    <x v="1"/>
  </r>
  <r>
    <x v="1642"/>
    <n v="-0.52700000000000002"/>
    <d v="2021-08-17T00:00:00"/>
    <s v="−0,352"/>
    <x v="1"/>
  </r>
  <r>
    <x v="1643"/>
    <n v="-0.52700000000000002"/>
    <d v="2021-08-18T00:00:00"/>
    <s v="−0,355"/>
    <x v="1"/>
  </r>
  <r>
    <x v="1644"/>
    <n v="-0.52900000000000003"/>
    <d v="2021-08-19T00:00:00"/>
    <s v="−0,358"/>
    <x v="1"/>
  </r>
  <r>
    <x v="1645"/>
    <n v="-0.52800000000000002"/>
    <d v="2021-08-20T00:00:00"/>
    <s v="−0,354"/>
    <x v="1"/>
  </r>
  <r>
    <x v="1646"/>
    <n v="-0.52900000000000003"/>
    <d v="2021-08-23T00:00:00"/>
    <s v="−0,357"/>
    <x v="1"/>
  </r>
  <r>
    <x v="1647"/>
    <n v="-0.52700000000000002"/>
    <d v="2021-08-24T00:00:00"/>
    <s v="−0,359"/>
    <x v="1"/>
  </r>
  <r>
    <x v="1648"/>
    <n v="-0.52800000000000002"/>
    <d v="2021-08-25T00:00:00"/>
    <s v="−0,360"/>
    <x v="1"/>
  </r>
  <r>
    <x v="1649"/>
    <n v="-0.53"/>
    <d v="2021-08-26T00:00:00"/>
    <s v="−0,359"/>
    <x v="1"/>
  </r>
  <r>
    <x v="1650"/>
    <n v="-0.52900000000000003"/>
    <d v="2021-08-27T00:00:00"/>
    <s v="−0,358"/>
    <x v="1"/>
  </r>
  <r>
    <x v="1651"/>
    <n v="-0.52900000000000003"/>
    <d v="2021-08-30T00:00:00"/>
    <s v="−0,357"/>
    <x v="1"/>
  </r>
  <r>
    <x v="1652"/>
    <n v="-0.52200000000000002"/>
    <d v="2021-08-31T00:00:00"/>
    <s v="−0,355"/>
    <x v="1"/>
  </r>
  <r>
    <x v="1653"/>
    <n v="-0.52100000000000002"/>
    <d v="2021-09-01T00:00:00"/>
    <s v="−0,351"/>
    <x v="1"/>
  </r>
  <r>
    <x v="1654"/>
    <n v="-0.52"/>
    <d v="2021-09-02T00:00:00"/>
    <s v="−0,348"/>
    <x v="1"/>
  </r>
  <r>
    <x v="1655"/>
    <n v="-0.51900000000000002"/>
    <d v="2021-09-03T00:00:00"/>
    <s v="−0,346"/>
    <x v="1"/>
  </r>
  <r>
    <x v="1656"/>
    <n v="-0.52"/>
    <d v="2021-09-06T00:00:00"/>
    <s v="−0,342"/>
    <x v="1"/>
  </r>
  <r>
    <x v="1657"/>
    <n v="-0.51800000000000002"/>
    <d v="2021-09-07T00:00:00"/>
    <s v="−0,339"/>
    <x v="1"/>
  </r>
  <r>
    <x v="1658"/>
    <n v="-0.51700000000000002"/>
    <d v="2021-09-08T00:00:00"/>
    <s v="−0,335"/>
    <x v="1"/>
  </r>
  <r>
    <x v="1659"/>
    <n v="-0.52200000000000002"/>
    <d v="2021-09-09T00:00:00"/>
    <s v="−0,330"/>
    <x v="1"/>
  </r>
  <r>
    <x v="1660"/>
    <n v="-0.51900000000000002"/>
    <d v="2021-09-10T00:00:00"/>
    <s v="−0,326"/>
    <x v="1"/>
  </r>
  <r>
    <x v="1661"/>
    <n v="-0.52"/>
    <d v="2021-09-13T00:00:00"/>
    <s v="−0,323"/>
    <x v="1"/>
  </r>
  <r>
    <x v="1662"/>
    <n v="-0.52200000000000002"/>
    <d v="2021-09-14T00:00:00"/>
    <s v="−0,319"/>
    <x v="1"/>
  </r>
  <r>
    <x v="1663"/>
    <n v="-0.52400000000000002"/>
    <d v="2021-09-15T00:00:00"/>
    <s v="−0,314"/>
    <x v="1"/>
  </r>
  <r>
    <x v="1664"/>
    <n v="-0.52200000000000002"/>
    <d v="2021-09-16T00:00:00"/>
    <s v="−0,309"/>
    <x v="1"/>
  </r>
  <r>
    <x v="1665"/>
    <n v="-0.52600000000000002"/>
    <d v="2021-09-17T00:00:00"/>
    <s v="−0,309"/>
    <x v="1"/>
  </r>
  <r>
    <x v="1666"/>
    <n v="-0.52800000000000002"/>
    <d v="2021-09-20T00:00:00"/>
    <s v="−0,292"/>
    <x v="1"/>
  </r>
  <r>
    <x v="1667"/>
    <n v="-0.53"/>
    <d v="2021-09-21T00:00:00"/>
    <s v="−0,287"/>
    <x v="1"/>
  </r>
  <r>
    <x v="1668"/>
    <n v="-0.52300000000000002"/>
    <d v="2021-09-22T00:00:00"/>
    <s v="−0,283"/>
    <x v="1"/>
  </r>
  <r>
    <x v="1669"/>
    <n v="-0.52800000000000002"/>
    <d v="2021-09-23T00:00:00"/>
    <s v="−0,268"/>
    <x v="1"/>
  </r>
  <r>
    <x v="1670"/>
    <n v="-0.52300000000000002"/>
    <d v="2021-09-24T00:00:00"/>
    <s v="−0,263"/>
    <x v="1"/>
  </r>
  <r>
    <x v="1671"/>
    <n v="-0.51700000000000002"/>
    <d v="2021-09-27T00:00:00"/>
    <s v="−0,257"/>
    <x v="1"/>
  </r>
  <r>
    <x v="1672"/>
    <n v="-0.52300000000000002"/>
    <d v="2021-09-28T00:00:00"/>
    <s v="−0,249"/>
    <x v="1"/>
  </r>
  <r>
    <x v="1673"/>
    <n v="-0.52300000000000002"/>
    <d v="2021-09-29T00:00:00"/>
    <s v="−0,244"/>
    <x v="1"/>
  </r>
  <r>
    <x v="1674"/>
    <n v="-0.52800000000000002"/>
    <d v="2021-09-30T00:00:00"/>
    <s v="−0,238"/>
    <x v="1"/>
  </r>
  <r>
    <x v="1675"/>
    <n v="-0.52600000000000002"/>
    <d v="2021-10-01T00:00:00"/>
    <s v="−0,234"/>
    <x v="1"/>
  </r>
  <r>
    <x v="1676"/>
    <n v="-0.52700000000000002"/>
    <d v="2021-10-04T00:00:00"/>
    <s v="−0,229"/>
    <x v="1"/>
  </r>
  <r>
    <x v="1677"/>
    <n v="-0.52500000000000002"/>
    <d v="2021-10-05T00:00:00"/>
    <s v="−0,225"/>
    <x v="1"/>
  </r>
  <r>
    <x v="1678"/>
    <n v="-0.53"/>
    <d v="2021-10-06T00:00:00"/>
    <s v="−0,220"/>
    <x v="1"/>
  </r>
  <r>
    <x v="1679"/>
    <n v="-0.52600000000000002"/>
    <d v="2021-10-07T00:00:00"/>
    <s v="−0,216"/>
    <x v="1"/>
  </r>
  <r>
    <x v="1680"/>
    <n v="-0.51800000000000002"/>
    <d v="2021-10-08T00:00:00"/>
    <s v="−0,210"/>
    <x v="1"/>
  </r>
  <r>
    <x v="1681"/>
    <n v="-0.52100000000000002"/>
    <d v="2021-10-11T00:00:00"/>
    <s v="−0,204"/>
    <x v="1"/>
  </r>
  <r>
    <x v="1682"/>
    <n v="-0.52300000000000002"/>
    <d v="2021-10-12T00:00:00"/>
    <s v="−0,197"/>
    <x v="1"/>
  </r>
  <r>
    <x v="1683"/>
    <n v="-0.52400000000000002"/>
    <d v="2021-10-13T00:00:00"/>
    <s v="−0,189"/>
    <x v="1"/>
  </r>
  <r>
    <x v="1684"/>
    <n v="-0.52300000000000002"/>
    <d v="2021-10-14T00:00:00"/>
    <s v="−0,184"/>
    <x v="1"/>
  </r>
  <r>
    <x v="1685"/>
    <n v="-0.52800000000000002"/>
    <d v="2021-10-15T00:00:00"/>
    <s v="−0,180"/>
    <x v="1"/>
  </r>
  <r>
    <x v="1686"/>
    <n v="-0.52700000000000002"/>
    <d v="2021-10-18T00:00:00"/>
    <s v="−0,174"/>
    <x v="1"/>
  </r>
  <r>
    <x v="1687"/>
    <n v="-0.52400000000000002"/>
    <d v="2021-10-19T00:00:00"/>
    <s v="−0,167"/>
    <x v="1"/>
  </r>
  <r>
    <x v="1688"/>
    <n v="-0.52700000000000002"/>
    <d v="2021-10-20T00:00:00"/>
    <s v="−0,159"/>
    <x v="1"/>
  </r>
  <r>
    <x v="1689"/>
    <n v="-0.53200000000000003"/>
    <d v="2021-10-21T00:00:00"/>
    <s v="−0,153"/>
    <x v="1"/>
  </r>
  <r>
    <x v="1690"/>
    <n v="-0.53400000000000003"/>
    <d v="2021-10-22T00:00:00"/>
    <s v="−0,148"/>
    <x v="1"/>
  </r>
  <r>
    <x v="1691"/>
    <n v="-0.52800000000000002"/>
    <d v="2021-10-25T00:00:00"/>
    <s v="−0,144"/>
    <x v="1"/>
  </r>
  <r>
    <x v="1692"/>
    <n v="-0.53300000000000003"/>
    <m/>
    <s v="−0,144"/>
    <x v="1"/>
  </r>
  <r>
    <x v="1693"/>
    <n v="-0.53600000000000003"/>
    <d v="2021-10-27T00:00:00"/>
    <s v="−0,142"/>
    <x v="1"/>
  </r>
  <r>
    <x v="1694"/>
    <n v="-0.53300000000000003"/>
    <d v="2021-10-28T00:00:00"/>
    <s v="−0,139"/>
    <x v="1"/>
  </r>
  <r>
    <x v="1695"/>
    <n v="-0.52700000000000002"/>
    <d v="2021-10-29T00:00:00"/>
    <s v="−0,134"/>
    <x v="1"/>
  </r>
  <r>
    <x v="1696"/>
    <n v="-0.52900000000000003"/>
    <m/>
    <n v="-0.13400000000000001"/>
    <x v="14"/>
  </r>
  <r>
    <x v="1697"/>
    <n v="-0.53400000000000003"/>
    <d v="2021-11-02T00:00:00"/>
    <s v="−0,131"/>
    <x v="1"/>
  </r>
  <r>
    <x v="1698"/>
    <n v="-0.53800000000000003"/>
    <d v="2021-11-03T00:00:00"/>
    <s v="−0,129"/>
    <x v="1"/>
  </r>
  <r>
    <x v="1699"/>
    <n v="-0.53800000000000003"/>
    <d v="2021-11-04T00:00:00"/>
    <s v="−0,126"/>
    <x v="1"/>
  </r>
  <r>
    <x v="1700"/>
    <n v="-0.53600000000000003"/>
    <d v="2021-11-05T00:00:00"/>
    <s v="−0,128"/>
    <x v="1"/>
  </r>
  <r>
    <x v="1701"/>
    <n v="-0.53700000000000003"/>
    <d v="2021-11-08T00:00:00"/>
    <s v="−0,131"/>
    <x v="1"/>
  </r>
  <r>
    <x v="1702"/>
    <n v="-0.53300000000000003"/>
    <d v="2021-11-09T00:00:00"/>
    <s v="−0,135"/>
    <x v="1"/>
  </r>
  <r>
    <x v="1703"/>
    <n v="-0.53200000000000003"/>
    <d v="2021-11-10T00:00:00"/>
    <s v="−0,140"/>
    <x v="1"/>
  </r>
  <r>
    <x v="1704"/>
    <n v="-0.52700000000000002"/>
    <d v="2021-11-11T00:00:00"/>
    <s v="−0,145"/>
    <x v="1"/>
  </r>
  <r>
    <x v="1705"/>
    <n v="-0.53300000000000003"/>
    <d v="2021-11-12T00:00:00"/>
    <s v="−0,150"/>
    <x v="1"/>
  </r>
  <r>
    <x v="1706"/>
    <n v="-0.52800000000000002"/>
    <d v="2021-11-15T00:00:00"/>
    <s v="−0,154"/>
    <x v="1"/>
  </r>
  <r>
    <x v="1707"/>
    <n v="-0.53"/>
    <d v="2021-11-16T00:00:00"/>
    <s v="−0,157"/>
    <x v="1"/>
  </r>
  <r>
    <x v="1708"/>
    <n v="-0.53800000000000003"/>
    <d v="2021-11-17T00:00:00"/>
    <s v="−0,161"/>
    <x v="1"/>
  </r>
  <r>
    <x v="1709"/>
    <n v="-0.53300000000000003"/>
    <d v="2021-11-18T00:00:00"/>
    <s v="−0,167"/>
    <x v="1"/>
  </r>
  <r>
    <x v="1710"/>
    <n v="-0.52800000000000002"/>
    <d v="2021-11-19T00:00:00"/>
    <s v="−0,174"/>
    <x v="1"/>
  </r>
  <r>
    <x v="1711"/>
    <n v="-0.52800000000000002"/>
    <d v="2021-11-22T00:00:00"/>
    <s v="−0,160"/>
    <x v="1"/>
  </r>
  <r>
    <x v="1712"/>
    <n v="-0.53300000000000003"/>
    <d v="2021-11-23T00:00:00"/>
    <s v="−0,165"/>
    <x v="1"/>
  </r>
  <r>
    <x v="1713"/>
    <n v="-0.54"/>
    <d v="2021-11-24T00:00:00"/>
    <s v="−0,169"/>
    <x v="1"/>
  </r>
  <r>
    <x v="1714"/>
    <n v="-0.54200000000000004"/>
    <d v="2021-11-25T00:00:00"/>
    <s v="−0,171"/>
    <x v="1"/>
  </r>
  <r>
    <x v="1715"/>
    <n v="-0.53700000000000003"/>
    <d v="2021-11-26T00:00:00"/>
    <s v="−0,176"/>
    <x v="1"/>
  </r>
  <r>
    <x v="1716"/>
    <n v="-0.53600000000000003"/>
    <d v="2021-11-29T00:00:00"/>
    <s v="−0,184"/>
    <x v="1"/>
  </r>
  <r>
    <x v="1717"/>
    <n v="-0.53800000000000003"/>
    <d v="2021-11-30T00:00:00"/>
    <s v="−0,191"/>
    <x v="1"/>
  </r>
  <r>
    <x v="1718"/>
    <n v="-0.54100000000000004"/>
    <d v="2021-12-01T00:00:00"/>
    <s v="−0,195"/>
    <x v="1"/>
  </r>
  <r>
    <x v="1719"/>
    <n v="-0.54100000000000004"/>
    <d v="2021-12-02T00:00:00"/>
    <s v="−0,200"/>
    <x v="1"/>
  </r>
  <r>
    <x v="1720"/>
    <n v="-0.53700000000000003"/>
    <d v="2021-12-03T00:00:00"/>
    <s v="−0,203"/>
    <x v="1"/>
  </r>
  <r>
    <x v="1721"/>
    <n v="-0.54300000000000004"/>
    <d v="2021-12-06T00:00:00"/>
    <s v="−0,206"/>
    <x v="1"/>
  </r>
  <r>
    <x v="1722"/>
    <n v="-0.53800000000000003"/>
    <d v="2021-12-07T00:00:00"/>
    <s v="−0,208"/>
    <x v="1"/>
  </r>
  <r>
    <x v="1723"/>
    <n v="-0.54"/>
    <m/>
    <s v="−0,208"/>
    <x v="1"/>
  </r>
  <r>
    <x v="1724"/>
    <n v="-0.54600000000000004"/>
    <d v="2021-12-09T00:00:00"/>
    <s v="−0,208"/>
    <x v="1"/>
  </r>
  <r>
    <x v="1725"/>
    <n v="-0.54300000000000004"/>
    <d v="2021-12-10T00:00:00"/>
    <s v="−0,210"/>
    <x v="1"/>
  </r>
  <r>
    <x v="1726"/>
    <n v="-0.54700000000000004"/>
    <d v="2021-12-13T00:00:00"/>
    <s v="−0,212"/>
    <x v="1"/>
  </r>
  <r>
    <x v="1727"/>
    <n v="-0.54500000000000004"/>
    <d v="2021-12-14T00:00:00"/>
    <s v="−0,214"/>
    <x v="1"/>
  </r>
  <r>
    <x v="1728"/>
    <n v="-0.54700000000000004"/>
    <d v="2021-12-15T00:00:00"/>
    <s v="−0,216"/>
    <x v="1"/>
  </r>
  <r>
    <x v="1729"/>
    <n v="-0.54800000000000004"/>
    <d v="2021-12-16T00:00:00"/>
    <s v="−0,217"/>
    <x v="1"/>
  </r>
  <r>
    <x v="1730"/>
    <n v="-0.55100000000000005"/>
    <d v="2021-12-17T00:00:00"/>
    <s v="−0,219"/>
    <x v="1"/>
  </r>
  <r>
    <x v="1731"/>
    <n v="-0.55400000000000005"/>
    <d v="2021-12-20T00:00:00"/>
    <s v="−0,220"/>
    <x v="1"/>
  </r>
  <r>
    <x v="1732"/>
    <n v="-0.55100000000000005"/>
    <d v="2021-12-21T00:00:00"/>
    <s v="−0,219"/>
    <x v="1"/>
  </r>
  <r>
    <x v="1733"/>
    <n v="-0.54500000000000004"/>
    <d v="2021-12-22T00:00:00"/>
    <s v="−0,218"/>
    <x v="1"/>
  </r>
  <r>
    <x v="1734"/>
    <n v="-0.53700000000000003"/>
    <d v="2021-12-23T00:00:00"/>
    <s v="−0,219"/>
    <x v="1"/>
  </r>
  <r>
    <x v="1735"/>
    <n v="-0.54400000000000004"/>
    <m/>
    <s v="−0,219"/>
    <x v="1"/>
  </r>
  <r>
    <x v="1736"/>
    <n v="-0.54400000000000004"/>
    <d v="2021-12-27T00:00:00"/>
    <s v="−0,219"/>
    <x v="1"/>
  </r>
  <r>
    <x v="1737"/>
    <n v="-0.54800000000000004"/>
    <d v="2021-12-28T00:00:00"/>
    <s v="−0,215"/>
    <x v="1"/>
  </r>
  <r>
    <x v="1738"/>
    <n v="-0.54400000000000004"/>
    <d v="2021-12-29T00:00:00"/>
    <s v="−0,211"/>
    <x v="1"/>
  </r>
  <r>
    <x v="1739"/>
    <n v="-0.54600000000000004"/>
    <d v="2021-12-30T00:00:00"/>
    <s v="−0,204"/>
    <x v="1"/>
  </r>
  <r>
    <x v="1740"/>
    <n v="-0.54600000000000004"/>
    <d v="2021-12-31T00:00:00"/>
    <s v="−0,198"/>
    <x v="1"/>
  </r>
  <r>
    <x v="1741"/>
    <n v="-0.53900000000000003"/>
    <d v="2022-01-03T00:00:00"/>
    <s v="−0,190"/>
    <x v="1"/>
  </r>
  <r>
    <x v="1742"/>
    <n v="-0.53500000000000003"/>
    <d v="2022-01-04T00:00:00"/>
    <s v="−0,180"/>
    <x v="1"/>
  </r>
  <r>
    <x v="1743"/>
    <n v="-0.54100000000000004"/>
    <d v="2022-01-05T00:00:00"/>
    <s v="−0,171"/>
    <x v="1"/>
  </r>
  <r>
    <x v="1744"/>
    <n v="-0.53400000000000003"/>
    <m/>
    <s v="−0,171"/>
    <x v="1"/>
  </r>
  <r>
    <x v="1745"/>
    <n v="-0.53600000000000003"/>
    <d v="2022-01-07T00:00:00"/>
    <s v="−0,160"/>
    <x v="1"/>
  </r>
  <r>
    <x v="1746"/>
    <n v="-0.53100000000000003"/>
    <d v="2022-01-10T00:00:00"/>
    <s v="−0,149"/>
    <x v="1"/>
  </r>
  <r>
    <x v="1747"/>
    <n v="-0.52800000000000002"/>
    <d v="2022-01-11T00:00:00"/>
    <s v="−0,138"/>
    <x v="1"/>
  </r>
  <r>
    <x v="1748"/>
    <n v="-0.52900000000000003"/>
    <d v="2022-01-12T00:00:00"/>
    <s v="−0,127"/>
    <x v="1"/>
  </r>
  <r>
    <x v="1749"/>
    <n v="-0.53400000000000003"/>
    <d v="2022-01-13T00:00:00"/>
    <s v="−0,114"/>
    <x v="1"/>
  </r>
  <r>
    <x v="1750"/>
    <n v="-0.53300000000000003"/>
    <d v="2022-01-14T00:00:00"/>
    <s v="−0,104"/>
    <x v="1"/>
  </r>
  <r>
    <x v="1751"/>
    <n v="-0.52300000000000002"/>
    <d v="2022-01-17T00:00:00"/>
    <s v="−0,094"/>
    <x v="1"/>
  </r>
  <r>
    <x v="1752"/>
    <n v="-0.52400000000000002"/>
    <d v="2022-01-18T00:00:00"/>
    <s v="−0,081"/>
    <x v="1"/>
  </r>
  <r>
    <x v="1753"/>
    <n v="-0.52400000000000002"/>
    <d v="2022-01-19T00:00:00"/>
    <s v="−0,067"/>
    <x v="1"/>
  </r>
  <r>
    <x v="1754"/>
    <n v="-0.52100000000000002"/>
    <d v="2022-01-20T00:00:00"/>
    <s v="−0,056"/>
    <x v="1"/>
  </r>
  <r>
    <x v="1755"/>
    <n v="-0.52200000000000002"/>
    <d v="2022-01-21T00:00:00"/>
    <s v="−0,048"/>
    <x v="1"/>
  </r>
  <r>
    <x v="1756"/>
    <n v="-0.52200000000000002"/>
    <d v="2022-01-24T00:00:00"/>
    <s v="−0,043"/>
    <x v="1"/>
  </r>
  <r>
    <x v="1757"/>
    <n v="-0.52300000000000002"/>
    <d v="2022-01-25T00:00:00"/>
    <s v="−0,039"/>
    <x v="1"/>
  </r>
  <r>
    <x v="1758"/>
    <n v="-0.52400000000000002"/>
    <d v="2022-01-26T00:00:00"/>
    <s v="−0,026"/>
    <x v="1"/>
  </r>
  <r>
    <x v="1759"/>
    <n v="-0.51800000000000002"/>
    <d v="2022-01-27T00:00:00"/>
    <s v="−0,020"/>
    <x v="1"/>
  </r>
  <r>
    <x v="1760"/>
    <n v="-0.51900000000000002"/>
    <d v="2022-01-28T00:00:00"/>
    <s v="−0,015"/>
    <x v="1"/>
  </r>
  <r>
    <x v="1761"/>
    <n v="-0.51400000000000001"/>
    <d v="2022-01-31T00:00:00"/>
    <s v="−0,008"/>
    <x v="1"/>
  </r>
  <r>
    <x v="1762"/>
    <n v="-0.503"/>
    <d v="2022-02-01T00:00:00"/>
    <n v="0"/>
    <x v="1"/>
  </r>
  <r>
    <x v="1763"/>
    <n v="-0.502"/>
    <d v="2022-02-02T00:00:00"/>
    <n v="7.0000000000000001E-3"/>
    <x v="1"/>
  </r>
  <r>
    <x v="1764"/>
    <n v="-0.499"/>
    <d v="2022-02-03T00:00:00"/>
    <n v="1.6E-2"/>
    <x v="1"/>
  </r>
  <r>
    <x v="1765"/>
    <n v="-0.47299999999999998"/>
    <d v="2022-02-04T00:00:00"/>
    <n v="0.03"/>
    <x v="1"/>
  </r>
  <r>
    <x v="1766"/>
    <n v="-0.45600000000000002"/>
    <d v="2022-02-07T00:00:00"/>
    <n v="4.5999999999999999E-2"/>
    <x v="1"/>
  </r>
  <r>
    <x v="1767"/>
    <n v="-0.46300000000000002"/>
    <d v="2022-02-08T00:00:00"/>
    <n v="6.2E-2"/>
    <x v="1"/>
  </r>
  <r>
    <x v="1768"/>
    <n v="-0.45700000000000002"/>
    <d v="2022-02-09T00:00:00"/>
    <n v="7.6999999999999999E-2"/>
    <x v="1"/>
  </r>
  <r>
    <x v="1769"/>
    <n v="-0.46700000000000003"/>
    <d v="2022-02-10T00:00:00"/>
    <n v="9.4E-2"/>
    <x v="1"/>
  </r>
  <r>
    <x v="1770"/>
    <n v="-0.45800000000000002"/>
    <d v="2022-02-11T00:00:00"/>
    <n v="0.114"/>
    <x v="1"/>
  </r>
  <r>
    <x v="1771"/>
    <n v="-0.44800000000000001"/>
    <d v="2022-02-14T00:00:00"/>
    <n v="0.13"/>
    <x v="1"/>
  </r>
  <r>
    <x v="1772"/>
    <n v="-0.45500000000000002"/>
    <d v="2022-02-15T00:00:00"/>
    <n v="0.14699999999999999"/>
    <x v="1"/>
  </r>
  <r>
    <x v="1773"/>
    <n v="-0.46100000000000002"/>
    <d v="2022-02-16T00:00:00"/>
    <n v="0.16300000000000001"/>
    <x v="1"/>
  </r>
  <r>
    <x v="1774"/>
    <n v="-0.47799999999999998"/>
    <d v="2022-02-17T00:00:00"/>
    <n v="0.17899999999999999"/>
    <x v="1"/>
  </r>
  <r>
    <x v="1775"/>
    <n v="-0.48699999999999999"/>
    <d v="2022-02-18T00:00:00"/>
    <n v="0.193"/>
    <x v="1"/>
  </r>
  <r>
    <x v="1776"/>
    <n v="-0.48199999999999998"/>
    <d v="2022-02-21T00:00:00"/>
    <n v="0.21"/>
    <x v="1"/>
  </r>
  <r>
    <x v="1777"/>
    <n v="-0.49"/>
    <d v="2022-02-22T00:00:00"/>
    <n v="0.22700000000000001"/>
    <x v="1"/>
  </r>
  <r>
    <x v="1778"/>
    <n v="-0.48299999999999998"/>
    <d v="2022-02-23T00:00:00"/>
    <n v="0.24399999999999999"/>
    <x v="1"/>
  </r>
  <r>
    <x v="1779"/>
    <n v="-0.48"/>
    <d v="2022-02-24T00:00:00"/>
    <n v="0.25700000000000001"/>
    <x v="1"/>
  </r>
  <r>
    <x v="1780"/>
    <n v="-0.48799999999999999"/>
    <d v="2022-02-25T00:00:00"/>
    <n v="0.27100000000000002"/>
    <x v="1"/>
  </r>
  <r>
    <x v="1781"/>
    <n v="-0.49299999999999999"/>
    <d v="2022-02-28T00:00:00"/>
    <n v="0.28199999999999997"/>
    <x v="1"/>
  </r>
  <r>
    <x v="1782"/>
    <n v="-0.496"/>
    <d v="2022-03-01T00:00:00"/>
    <n v="0.28499999999999998"/>
    <x v="1"/>
  </r>
  <r>
    <x v="1783"/>
    <n v="-0.502"/>
    <d v="2022-03-02T00:00:00"/>
    <n v="0.28599999999999998"/>
    <x v="1"/>
  </r>
  <r>
    <x v="1784"/>
    <n v="-0.48499999999999999"/>
    <d v="2022-03-03T00:00:00"/>
    <n v="0.28899999999999998"/>
    <x v="1"/>
  </r>
  <r>
    <x v="1785"/>
    <n v="-0.48199999999999998"/>
    <d v="2022-03-04T00:00:00"/>
    <n v="0.28100000000000003"/>
    <x v="1"/>
  </r>
  <r>
    <x v="1786"/>
    <n v="-0.45300000000000001"/>
    <d v="2022-03-07T00:00:00"/>
    <n v="0.27200000000000002"/>
    <x v="1"/>
  </r>
  <r>
    <x v="1787"/>
    <n v="-0.443"/>
    <d v="2022-03-08T00:00:00"/>
    <n v="0.26600000000000001"/>
    <x v="1"/>
  </r>
  <r>
    <x v="1788"/>
    <n v="-0.42399999999999999"/>
    <d v="2022-03-09T00:00:00"/>
    <n v="0.26500000000000001"/>
    <x v="1"/>
  </r>
  <r>
    <x v="1789"/>
    <n v="-0.42699999999999999"/>
    <d v="2022-03-10T00:00:00"/>
    <n v="0.26300000000000001"/>
    <x v="1"/>
  </r>
  <r>
    <x v="1790"/>
    <n v="-0.41399999999999998"/>
    <d v="2022-03-11T00:00:00"/>
    <n v="0.26500000000000001"/>
    <x v="1"/>
  </r>
  <r>
    <x v="1791"/>
    <n v="-0.41299999999999998"/>
    <d v="2022-03-14T00:00:00"/>
    <n v="0.27200000000000002"/>
    <x v="1"/>
  </r>
  <r>
    <x v="1792"/>
    <n v="-0.40699999999999997"/>
    <d v="2022-03-15T00:00:00"/>
    <n v="0.27400000000000002"/>
    <x v="1"/>
  </r>
  <r>
    <x v="1793"/>
    <n v="-0.39300000000000002"/>
    <d v="2022-03-16T00:00:00"/>
    <n v="0.27800000000000002"/>
    <x v="1"/>
  </r>
  <r>
    <x v="1794"/>
    <n v="-0.40200000000000002"/>
    <d v="2022-03-17T00:00:00"/>
    <n v="0.28399999999999997"/>
    <x v="1"/>
  </r>
  <r>
    <x v="1795"/>
    <n v="-0.39300000000000002"/>
    <d v="2022-03-18T00:00:00"/>
    <n v="0.28999999999999998"/>
    <x v="1"/>
  </r>
  <r>
    <x v="1796"/>
    <n v="-0.39100000000000001"/>
    <d v="2022-03-21T00:00:00"/>
    <n v="0.29899999999999999"/>
    <x v="1"/>
  </r>
  <r>
    <x v="1797"/>
    <n v="-0.39300000000000002"/>
    <d v="2022-03-22T00:00:00"/>
    <n v="0.31"/>
    <x v="1"/>
  </r>
  <r>
    <x v="1798"/>
    <n v="-0.39200000000000002"/>
    <d v="2022-03-23T00:00:00"/>
    <n v="0.31900000000000001"/>
    <x v="1"/>
  </r>
  <r>
    <x v="1799"/>
    <n v="-0.39700000000000002"/>
    <d v="2022-03-24T00:00:00"/>
    <n v="0.33200000000000002"/>
    <x v="1"/>
  </r>
  <r>
    <x v="1800"/>
    <n v="-0.39200000000000002"/>
    <d v="2022-03-25T00:00:00"/>
    <n v="0.34399999999999997"/>
    <x v="1"/>
  </r>
  <r>
    <x v="1801"/>
    <n v="-0.38800000000000001"/>
    <d v="2022-03-28T00:00:00"/>
    <n v="0.36"/>
    <x v="1"/>
  </r>
  <r>
    <x v="1802"/>
    <n v="-0.38100000000000001"/>
    <d v="2022-03-29T00:00:00"/>
    <n v="0.38700000000000001"/>
    <x v="1"/>
  </r>
  <r>
    <x v="1803"/>
    <n v="-0.371"/>
    <d v="2022-03-30T00:00:00"/>
    <n v="0.42799999999999999"/>
    <x v="1"/>
  </r>
  <r>
    <x v="1804"/>
    <n v="-0.36699999999999999"/>
    <d v="2022-03-31T00:00:00"/>
    <n v="0.44900000000000001"/>
    <x v="1"/>
  </r>
  <r>
    <x v="1805"/>
    <n v="-0.36199999999999999"/>
    <d v="2022-04-01T00:00:00"/>
    <n v="0.47399999999999998"/>
    <x v="1"/>
  </r>
  <r>
    <x v="1806"/>
    <n v="-0.35799999999999998"/>
    <d v="2022-04-04T00:00:00"/>
    <n v="0.497"/>
    <x v="1"/>
  </r>
  <r>
    <x v="1807"/>
    <n v="-0.375"/>
    <d v="2022-04-05T00:00:00"/>
    <n v="0.52200000000000002"/>
    <x v="1"/>
  </r>
  <r>
    <x v="1808"/>
    <n v="-0.36099999999999999"/>
    <d v="2022-04-06T00:00:00"/>
    <n v="0.54600000000000004"/>
    <x v="1"/>
  </r>
  <r>
    <x v="1809"/>
    <n v="-0.35499999999999998"/>
    <d v="2022-04-07T00:00:00"/>
    <n v="0.57099999999999995"/>
    <x v="1"/>
  </r>
  <r>
    <x v="1810"/>
    <n v="-0.35"/>
    <d v="2022-04-08T00:00:00"/>
    <n v="0.59099999999999997"/>
    <x v="1"/>
  </r>
  <r>
    <x v="1811"/>
    <n v="-0.33400000000000002"/>
    <d v="2022-04-11T00:00:00"/>
    <n v="0.61199999999999999"/>
    <x v="1"/>
  </r>
  <r>
    <x v="1812"/>
    <n v="-0.32"/>
    <d v="2022-04-12T00:00:00"/>
    <n v="0.63300000000000001"/>
    <x v="1"/>
  </r>
  <r>
    <x v="1813"/>
    <n v="-0.32800000000000001"/>
    <d v="2022-04-13T00:00:00"/>
    <n v="0.65300000000000002"/>
    <x v="1"/>
  </r>
  <r>
    <x v="1814"/>
    <n v="-0.317"/>
    <d v="2022-04-14T00:00:00"/>
    <n v="0.67100000000000004"/>
    <x v="1"/>
  </r>
  <r>
    <x v="1815"/>
    <n v="-0.317"/>
    <d v="2022-04-15T00:00:00"/>
    <n v="0.68400000000000005"/>
    <x v="1"/>
  </r>
  <r>
    <x v="1816"/>
    <n v="-0.317"/>
    <m/>
    <n v="0.68400000000000005"/>
    <x v="1"/>
  </r>
  <r>
    <x v="1817"/>
    <n v="-0.33300000000000002"/>
    <d v="2022-04-19T00:00:00"/>
    <n v="0.70699999999999996"/>
    <x v="1"/>
  </r>
  <r>
    <x v="1818"/>
    <n v="-0.33200000000000002"/>
    <d v="2022-04-20T00:00:00"/>
    <n v="0.754"/>
    <x v="1"/>
  </r>
  <r>
    <x v="1819"/>
    <n v="-0.31"/>
    <d v="2022-04-21T00:00:00"/>
    <n v="0.77300000000000002"/>
    <x v="1"/>
  </r>
  <r>
    <x v="1820"/>
    <n v="-0.26800000000000002"/>
    <d v="2022-04-22T00:00:00"/>
    <n v="0.79400000000000004"/>
    <x v="1"/>
  </r>
  <r>
    <x v="1821"/>
    <n v="-0.23899999999999999"/>
    <d v="2022-04-25T00:00:00"/>
    <n v="0.81200000000000006"/>
    <x v="1"/>
  </r>
  <r>
    <x v="1822"/>
    <n v="-0.246"/>
    <d v="2022-04-26T00:00:00"/>
    <n v="0.82399999999999995"/>
    <x v="1"/>
  </r>
  <r>
    <x v="1823"/>
    <n v="-0.251"/>
    <d v="2022-04-27T00:00:00"/>
    <n v="0.83299999999999996"/>
    <x v="1"/>
  </r>
  <r>
    <x v="1824"/>
    <n v="-0.24199999999999999"/>
    <d v="2022-04-28T00:00:00"/>
    <n v="0.84199999999999997"/>
    <x v="1"/>
  </r>
  <r>
    <x v="1825"/>
    <n v="-0.22600000000000001"/>
    <d v="2022-04-29T00:00:00"/>
    <n v="0.86"/>
    <x v="1"/>
  </r>
  <r>
    <x v="1826"/>
    <n v="-0.20399999999999999"/>
    <d v="2022-05-02T00:00:00"/>
    <n v="0.877"/>
    <x v="15"/>
  </r>
  <r>
    <x v="1827"/>
    <n v="-0.19800000000000001"/>
    <d v="2022-05-03T00:00:00"/>
    <n v="0.89800000000000002"/>
    <x v="1"/>
  </r>
  <r>
    <x v="1828"/>
    <n v="-0.20499999999999999"/>
    <d v="2022-05-04T00:00:00"/>
    <n v="0.91700000000000004"/>
    <x v="1"/>
  </r>
  <r>
    <x v="1829"/>
    <n v="-0.20599999999999999"/>
    <d v="2022-05-05T00:00:00"/>
    <n v="0.92900000000000005"/>
    <x v="1"/>
  </r>
  <r>
    <x v="1830"/>
    <n v="-0.20599999999999999"/>
    <d v="2022-05-06T00:00:00"/>
    <n v="0.94799999999999995"/>
    <x v="1"/>
  </r>
  <r>
    <x v="1831"/>
    <n v="-0.183"/>
    <d v="2022-05-09T00:00:00"/>
    <n v="0.96599999999999997"/>
    <x v="1"/>
  </r>
  <r>
    <x v="1832"/>
    <n v="-0.20200000000000001"/>
    <d v="2022-05-10T00:00:00"/>
    <n v="0.97499999999999998"/>
    <x v="1"/>
  </r>
  <r>
    <x v="1833"/>
    <n v="-0.20799999999999999"/>
    <d v="2022-05-11T00:00:00"/>
    <n v="0.98199999999999998"/>
    <x v="1"/>
  </r>
  <r>
    <x v="1834"/>
    <n v="-0.21099999999999999"/>
    <d v="2022-05-12T00:00:00"/>
    <n v="0.98699999999999999"/>
    <x v="1"/>
  </r>
  <r>
    <x v="1835"/>
    <n v="-0.20899999999999999"/>
    <d v="2022-05-13T00:00:00"/>
    <n v="0.99299999999999999"/>
    <x v="1"/>
  </r>
  <r>
    <x v="1836"/>
    <n v="-0.192"/>
    <d v="2022-05-16T00:00:00"/>
    <n v="0.995"/>
    <x v="1"/>
  </r>
  <r>
    <x v="1837"/>
    <n v="-0.16600000000000001"/>
    <d v="2022-05-17T00:00:00"/>
    <n v="1.0009999999999999"/>
    <x v="1"/>
  </r>
  <r>
    <x v="1838"/>
    <n v="-0.126"/>
    <d v="2022-05-18T00:00:00"/>
    <n v="1.0109999999999999"/>
    <x v="1"/>
  </r>
  <r>
    <x v="1839"/>
    <n v="-9.6000000000000002E-2"/>
    <d v="2022-05-19T00:00:00"/>
    <n v="1.0169999999999999"/>
    <x v="1"/>
  </r>
  <r>
    <x v="1840"/>
    <n v="-7.8E-2"/>
    <d v="2022-05-20T00:00:00"/>
    <n v="1.0209999999999999"/>
    <x v="1"/>
  </r>
  <r>
    <x v="1841"/>
    <n v="-8.5000000000000006E-2"/>
    <d v="2022-05-23T00:00:00"/>
    <n v="1.0289999999999999"/>
    <x v="1"/>
  </r>
  <r>
    <x v="1842"/>
    <n v="-7.2999999999999995E-2"/>
    <d v="2022-05-24T00:00:00"/>
    <n v="1.0409999999999999"/>
    <x v="1"/>
  </r>
  <r>
    <x v="1843"/>
    <n v="-6.2E-2"/>
    <d v="2022-05-25T00:00:00"/>
    <n v="1.0509999999999999"/>
    <x v="1"/>
  </r>
  <r>
    <x v="1844"/>
    <n v="-6.0999999999999999E-2"/>
    <m/>
    <n v="1.0509999999999999"/>
    <x v="1"/>
  </r>
  <r>
    <x v="1845"/>
    <n v="-7.5999999999999998E-2"/>
    <d v="2022-05-27T00:00:00"/>
    <n v="1.0609999999999999"/>
    <x v="1"/>
  </r>
  <r>
    <x v="1846"/>
    <n v="-6.8000000000000005E-2"/>
    <d v="2022-05-30T00:00:00"/>
    <n v="1.07"/>
    <x v="1"/>
  </r>
  <r>
    <x v="1847"/>
    <n v="-4.4999999999999998E-2"/>
    <d v="2022-05-31T00:00:00"/>
    <n v="1.095"/>
    <x v="1"/>
  </r>
  <r>
    <x v="1848"/>
    <n v="-3.4000000000000002E-2"/>
    <d v="2022-06-01T00:00:00"/>
    <n v="1.1060000000000001"/>
    <x v="1"/>
  </r>
  <r>
    <x v="1849"/>
    <n v="-1.7000000000000001E-2"/>
    <d v="2022-06-02T00:00:00"/>
    <n v="1.119"/>
    <x v="1"/>
  </r>
  <r>
    <x v="1850"/>
    <n v="-8.0000000000000002E-3"/>
    <d v="2022-06-03T00:00:00"/>
    <n v="1.135"/>
    <x v="1"/>
  </r>
  <r>
    <x v="1851"/>
    <n v="8.9999999999999993E-3"/>
    <m/>
    <n v="1.135"/>
    <x v="1"/>
  </r>
  <r>
    <x v="1852"/>
    <n v="2.9000000000000001E-2"/>
    <d v="2022-06-07T00:00:00"/>
    <n v="1.147"/>
    <x v="1"/>
  </r>
  <r>
    <x v="1853"/>
    <n v="3.4000000000000002E-2"/>
    <d v="2022-06-08T00:00:00"/>
    <n v="1.161"/>
    <x v="1"/>
  </r>
  <r>
    <x v="1854"/>
    <n v="6.3E-2"/>
    <d v="2022-06-09T00:00:00"/>
    <n v="1.1819999999999999"/>
    <x v="1"/>
  </r>
  <r>
    <x v="1855"/>
    <n v="8.3000000000000004E-2"/>
    <d v="2022-06-10T00:00:00"/>
    <n v="1.2090000000000001"/>
    <x v="1"/>
  </r>
  <r>
    <x v="1856"/>
    <n v="0.108"/>
    <d v="2022-06-13T00:00:00"/>
    <n v="1.2490000000000001"/>
    <x v="1"/>
  </r>
  <r>
    <x v="1857"/>
    <n v="0.17499999999999999"/>
    <d v="2022-06-14T00:00:00"/>
    <n v="1.2929999999999999"/>
    <x v="1"/>
  </r>
  <r>
    <x v="1858"/>
    <n v="0.23699999999999999"/>
    <d v="2022-06-15T00:00:00"/>
    <n v="1.333"/>
    <x v="1"/>
  </r>
  <r>
    <x v="1859"/>
    <n v="0.249"/>
    <m/>
    <n v="1.333"/>
    <x v="1"/>
  </r>
  <r>
    <x v="1860"/>
    <n v="0.29099999999999998"/>
    <d v="2022-06-17T00:00:00"/>
    <n v="1.371"/>
    <x v="1"/>
  </r>
  <r>
    <x v="1861"/>
    <n v="0.27300000000000002"/>
    <d v="2022-06-20T00:00:00"/>
    <n v="1.405"/>
    <x v="1"/>
  </r>
  <r>
    <x v="1862"/>
    <n v="0.28899999999999998"/>
    <d v="2022-06-21T00:00:00"/>
    <n v="1.448"/>
    <x v="1"/>
  </r>
  <r>
    <x v="1863"/>
    <n v="0.29099999999999998"/>
    <d v="2022-06-22T00:00:00"/>
    <n v="1.4850000000000001"/>
    <x v="1"/>
  </r>
  <r>
    <x v="1864"/>
    <n v="0.27300000000000002"/>
    <d v="2022-06-23T00:00:00"/>
    <n v="1.5089999999999999"/>
    <x v="1"/>
  </r>
  <r>
    <x v="1865"/>
    <n v="0.223"/>
    <d v="2022-06-24T00:00:00"/>
    <n v="1.532"/>
    <x v="1"/>
  </r>
  <r>
    <x v="1866"/>
    <n v="0.223"/>
    <d v="2022-06-27T00:00:00"/>
    <n v="1.5609999999999999"/>
    <x v="1"/>
  </r>
  <r>
    <x v="1867"/>
    <n v="0.22500000000000001"/>
    <d v="2022-06-28T00:00:00"/>
    <n v="1.593"/>
    <x v="1"/>
  </r>
  <r>
    <x v="1868"/>
    <n v="0.27800000000000002"/>
    <d v="2022-06-29T00:00:00"/>
    <n v="1.6180000000000001"/>
    <x v="1"/>
  </r>
  <r>
    <x v="1869"/>
    <n v="0.26300000000000001"/>
    <d v="2022-06-30T00:00:00"/>
    <n v="1.633"/>
    <x v="1"/>
  </r>
  <r>
    <x v="1870"/>
    <n v="0.23799999999999999"/>
    <d v="2022-07-01T00:00:00"/>
    <n v="1.641"/>
    <x v="1"/>
  </r>
  <r>
    <x v="1871"/>
    <n v="0.24099999999999999"/>
    <d v="2022-07-04T00:00:00"/>
    <n v="1.645"/>
    <x v="1"/>
  </r>
  <r>
    <x v="1872"/>
    <n v="0.23400000000000001"/>
    <d v="2022-07-05T00:00:00"/>
    <n v="1.6459999999999999"/>
    <x v="1"/>
  </r>
  <r>
    <x v="1873"/>
    <n v="0.22600000000000001"/>
    <d v="2022-07-06T00:00:00"/>
    <n v="1.641"/>
    <x v="1"/>
  </r>
  <r>
    <x v="1874"/>
    <n v="0.23799999999999999"/>
    <d v="2022-07-07T00:00:00"/>
    <n v="1.641"/>
    <x v="1"/>
  </r>
  <r>
    <x v="1875"/>
    <n v="0.32200000000000001"/>
    <d v="2022-07-08T00:00:00"/>
    <n v="1.637"/>
    <x v="1"/>
  </r>
  <r>
    <x v="1876"/>
    <n v="0.36499999999999999"/>
    <d v="2022-07-11T00:00:00"/>
    <n v="1.6259999999999999"/>
    <x v="1"/>
  </r>
  <r>
    <x v="1877"/>
    <n v="0.379"/>
    <d v="2022-07-12T00:00:00"/>
    <n v="1.6020000000000001"/>
    <x v="1"/>
  </r>
  <r>
    <x v="1878"/>
    <n v="0.36299999999999999"/>
    <d v="2022-07-13T00:00:00"/>
    <n v="1.573"/>
    <x v="1"/>
  </r>
  <r>
    <x v="1879"/>
    <n v="0.44800000000000001"/>
    <d v="2022-07-14T00:00:00"/>
    <n v="1.55"/>
    <x v="1"/>
  </r>
  <r>
    <x v="1880"/>
    <n v="0.53200000000000003"/>
    <d v="2022-07-15T00:00:00"/>
    <n v="1.5629999999999999"/>
    <x v="1"/>
  </r>
  <r>
    <x v="1881"/>
    <n v="0.503"/>
    <d v="2022-07-18T00:00:00"/>
    <n v="1.54"/>
    <x v="1"/>
  </r>
  <r>
    <x v="1882"/>
    <n v="0.53400000000000003"/>
    <d v="2022-07-19T00:00:00"/>
    <n v="1.514"/>
    <x v="1"/>
  </r>
  <r>
    <x v="1883"/>
    <n v="0.63500000000000001"/>
    <d v="2022-07-20T00:00:00"/>
    <n v="1.4930000000000001"/>
    <x v="1"/>
  </r>
  <r>
    <x v="1884"/>
    <n v="0.63200000000000001"/>
    <d v="2022-07-21T00:00:00"/>
    <n v="1.4830000000000001"/>
    <x v="1"/>
  </r>
  <r>
    <x v="1885"/>
    <n v="0.70599999999999996"/>
    <d v="2022-07-22T00:00:00"/>
    <n v="1.4650000000000001"/>
    <x v="1"/>
  </r>
  <r>
    <x v="1886"/>
    <n v="0.63300000000000001"/>
    <d v="2022-07-25T00:00:00"/>
    <n v="1.4419999999999999"/>
    <x v="1"/>
  </r>
  <r>
    <x v="1887"/>
    <n v="0.623"/>
    <d v="2022-07-26T00:00:00"/>
    <n v="1.411"/>
    <x v="1"/>
  </r>
  <r>
    <x v="1888"/>
    <n v="0.63100000000000001"/>
    <d v="2022-07-27T00:00:00"/>
    <n v="1.383"/>
    <x v="1"/>
  </r>
  <r>
    <x v="1889"/>
    <n v="0.66"/>
    <d v="2022-07-28T00:00:00"/>
    <n v="1.36"/>
    <x v="1"/>
  </r>
  <r>
    <x v="1890"/>
    <n v="0.65300000000000002"/>
    <d v="2022-07-29T00:00:00"/>
    <n v="1.341"/>
    <x v="1"/>
  </r>
  <r>
    <x v="1891"/>
    <n v="0.65400000000000003"/>
    <d v="2022-08-01T00:00:00"/>
    <n v="1.319"/>
    <x v="1"/>
  </r>
  <r>
    <x v="1892"/>
    <n v="0.65200000000000002"/>
    <d v="2022-08-02T00:00:00"/>
    <n v="1.296"/>
    <x v="1"/>
  </r>
  <r>
    <x v="1893"/>
    <n v="0.66700000000000004"/>
    <d v="2022-08-03T00:00:00"/>
    <n v="1.284"/>
    <x v="1"/>
  </r>
  <r>
    <x v="1894"/>
    <n v="0.68899999999999995"/>
    <d v="2022-08-04T00:00:00"/>
    <n v="1.266"/>
    <x v="1"/>
  </r>
  <r>
    <x v="1895"/>
    <n v="0.67800000000000005"/>
    <d v="2022-08-05T00:00:00"/>
    <n v="1.248"/>
    <x v="1"/>
  </r>
  <r>
    <x v="1896"/>
    <n v="0.72899999999999998"/>
    <d v="2022-08-08T00:00:00"/>
    <n v="1.234"/>
    <x v="1"/>
  </r>
  <r>
    <x v="1897"/>
    <n v="0.73699999999999999"/>
    <d v="2022-08-09T00:00:00"/>
    <n v="1.2290000000000001"/>
    <x v="1"/>
  </r>
  <r>
    <x v="1898"/>
    <n v="0.77400000000000002"/>
    <d v="2022-08-10T00:00:00"/>
    <n v="1.2190000000000001"/>
    <x v="1"/>
  </r>
  <r>
    <x v="1899"/>
    <n v="0.76400000000000001"/>
    <d v="2022-08-11T00:00:00"/>
    <n v="1.21"/>
    <x v="1"/>
  </r>
  <r>
    <x v="1900"/>
    <n v="0.76600000000000001"/>
    <d v="2022-08-12T00:00:00"/>
    <n v="1.206"/>
    <x v="1"/>
  </r>
  <r>
    <x v="1901"/>
    <n v="0.745"/>
    <m/>
    <n v="1.206"/>
    <x v="1"/>
  </r>
  <r>
    <x v="1902"/>
    <n v="0.73499999999999999"/>
    <d v="2022-08-16T00:00:00"/>
    <n v="1.198"/>
    <x v="1"/>
  </r>
  <r>
    <x v="1903"/>
    <n v="0.753"/>
    <d v="2022-08-17T00:00:00"/>
    <n v="1.1919999999999999"/>
    <x v="1"/>
  </r>
  <r>
    <x v="1904"/>
    <n v="0.82599999999999996"/>
    <d v="2022-08-18T00:00:00"/>
    <n v="1.1870000000000001"/>
    <x v="1"/>
  </r>
  <r>
    <x v="1905"/>
    <n v="0.86199999999999999"/>
    <d v="2022-08-19T00:00:00"/>
    <n v="1.1879999999999999"/>
    <x v="1"/>
  </r>
  <r>
    <x v="1906"/>
    <n v="0.90800000000000003"/>
    <d v="2022-08-22T00:00:00"/>
    <n v="1.2"/>
    <x v="1"/>
  </r>
  <r>
    <x v="1907"/>
    <n v="0.92600000000000005"/>
    <d v="2022-08-23T00:00:00"/>
    <n v="1.216"/>
    <x v="1"/>
  </r>
  <r>
    <x v="1908"/>
    <n v="0.94699999999999995"/>
    <d v="2022-08-24T00:00:00"/>
    <n v="1.238"/>
    <x v="1"/>
  </r>
  <r>
    <x v="1909"/>
    <n v="0.98399999999999999"/>
    <d v="2022-08-25T00:00:00"/>
    <n v="1.2589999999999999"/>
    <x v="1"/>
  </r>
  <r>
    <x v="1910"/>
    <n v="0.98299999999999998"/>
    <d v="2022-08-26T00:00:00"/>
    <n v="1.286"/>
    <x v="1"/>
  </r>
  <r>
    <x v="1911"/>
    <n v="1.077"/>
    <d v="2022-08-29T00:00:00"/>
    <n v="1.3220000000000001"/>
    <x v="1"/>
  </r>
  <r>
    <x v="1912"/>
    <n v="1.1930000000000001"/>
    <d v="2022-08-30T00:00:00"/>
    <n v="1.361"/>
    <x v="1"/>
  </r>
  <r>
    <x v="1913"/>
    <n v="1.2030000000000001"/>
    <d v="2022-08-31T00:00:00"/>
    <n v="1.4039999999999999"/>
    <x v="1"/>
  </r>
  <r>
    <x v="1914"/>
    <n v="1.24"/>
    <d v="2022-09-01T00:00:00"/>
    <n v="1.4430000000000001"/>
    <x v="1"/>
  </r>
  <r>
    <x v="1915"/>
    <n v="1.29"/>
    <d v="2022-09-02T00:00:00"/>
    <n v="1.4810000000000001"/>
    <x v="1"/>
  </r>
  <r>
    <x v="1916"/>
    <n v="1.298"/>
    <d v="2022-09-05T00:00:00"/>
    <n v="1.5189999999999999"/>
    <x v="1"/>
  </r>
  <r>
    <x v="1917"/>
    <n v="1.337"/>
    <d v="2022-09-06T00:00:00"/>
    <n v="1.5529999999999999"/>
    <x v="1"/>
  </r>
  <r>
    <x v="1918"/>
    <n v="1.363"/>
    <d v="2022-09-07T00:00:00"/>
    <n v="1.585"/>
    <x v="1"/>
  </r>
  <r>
    <x v="1919"/>
    <n v="1.3540000000000001"/>
    <d v="2022-09-08T00:00:00"/>
    <n v="1.6240000000000001"/>
    <x v="1"/>
  </r>
  <r>
    <x v="1920"/>
    <n v="1.4419999999999999"/>
    <d v="2022-09-09T00:00:00"/>
    <n v="1.663"/>
    <x v="1"/>
  </r>
  <r>
    <x v="1921"/>
    <n v="1.494"/>
    <d v="2022-09-12T00:00:00"/>
    <n v="1.7"/>
    <x v="1"/>
  </r>
  <r>
    <x v="1922"/>
    <n v="1.538"/>
    <d v="2022-09-13T00:00:00"/>
    <n v="1.738"/>
    <x v="1"/>
  </r>
  <r>
    <x v="1923"/>
    <n v="1.548"/>
    <d v="2022-09-14T00:00:00"/>
    <n v="1.7729999999999999"/>
    <x v="1"/>
  </r>
  <r>
    <x v="1924"/>
    <n v="1.6080000000000001"/>
    <d v="2022-09-15T00:00:00"/>
    <n v="1.8069999999999999"/>
    <x v="1"/>
  </r>
  <r>
    <x v="1925"/>
    <n v="1.6719999999999999"/>
    <d v="2022-09-16T00:00:00"/>
    <n v="1.8380000000000001"/>
    <x v="1"/>
  </r>
  <r>
    <x v="1926"/>
    <n v="1.7370000000000001"/>
    <d v="2022-09-19T00:00:00"/>
    <n v="1.869"/>
    <x v="1"/>
  </r>
  <r>
    <x v="1927"/>
    <n v="1.74"/>
    <d v="2022-09-20T00:00:00"/>
    <n v="1.9019999999999999"/>
    <x v="1"/>
  </r>
  <r>
    <x v="1928"/>
    <n v="1.766"/>
    <d v="2022-09-21T00:00:00"/>
    <n v="1.9330000000000001"/>
    <x v="1"/>
  </r>
  <r>
    <x v="1929"/>
    <n v="1.7629999999999999"/>
    <d v="2022-09-22T00:00:00"/>
    <n v="1.9670000000000001"/>
    <x v="1"/>
  </r>
  <r>
    <x v="1930"/>
    <n v="1.8029999999999999"/>
    <d v="2022-09-23T00:00:00"/>
    <n v="2.0009999999999999"/>
    <x v="1"/>
  </r>
  <r>
    <x v="1931"/>
    <n v="1.8029999999999999"/>
    <d v="2022-09-26T00:00:00"/>
    <n v="2.0329999999999999"/>
    <x v="1"/>
  </r>
  <r>
    <x v="1932"/>
    <n v="1.851"/>
    <d v="2022-09-27T00:00:00"/>
    <n v="2.0659999999999998"/>
    <x v="1"/>
  </r>
  <r>
    <x v="1933"/>
    <n v="1.8580000000000001"/>
    <d v="2022-09-28T00:00:00"/>
    <n v="2.1030000000000002"/>
    <x v="1"/>
  </r>
  <r>
    <x v="1934"/>
    <n v="1.8"/>
    <d v="2022-09-29T00:00:00"/>
    <n v="2.1349999999999998"/>
    <x v="1"/>
  </r>
  <r>
    <x v="1935"/>
    <n v="1.8089999999999999"/>
    <d v="2022-09-30T00:00:00"/>
    <n v="2.1629999999999998"/>
    <x v="1"/>
  </r>
  <r>
    <x v="1936"/>
    <n v="1.7749999999999999"/>
    <d v="2022-10-03T00:00:00"/>
    <n v="2.1869999999999998"/>
    <x v="1"/>
  </r>
  <r>
    <x v="1937"/>
    <n v="1.762"/>
    <d v="2022-10-04T00:00:00"/>
    <n v="2.2040000000000002"/>
    <x v="1"/>
  </r>
  <r>
    <x v="1938"/>
    <n v="1.7310000000000001"/>
    <d v="2022-10-05T00:00:00"/>
    <n v="2.2269999999999999"/>
    <x v="1"/>
  </r>
  <r>
    <x v="1939"/>
    <n v="1.8380000000000001"/>
    <d v="2022-10-06T00:00:00"/>
    <n v="2.2519999999999998"/>
    <x v="1"/>
  </r>
  <r>
    <x v="1940"/>
    <n v="1.897"/>
    <d v="2022-10-07T00:00:00"/>
    <n v="2.2770000000000001"/>
    <x v="1"/>
  </r>
  <r>
    <x v="1941"/>
    <n v="1.962"/>
    <d v="2022-10-10T00:00:00"/>
    <n v="2.3050000000000002"/>
    <x v="1"/>
  </r>
  <r>
    <x v="1942"/>
    <n v="2.0030000000000001"/>
    <d v="2022-10-11T00:00:00"/>
    <n v="2.3359999999999999"/>
    <x v="1"/>
  </r>
  <r>
    <x v="1943"/>
    <n v="1.998"/>
    <d v="2022-10-12T00:00:00"/>
    <n v="2.367"/>
    <x v="1"/>
  </r>
  <r>
    <x v="1944"/>
    <n v="2.012"/>
    <d v="2022-10-13T00:00:00"/>
    <n v="2.3959999999999999"/>
    <x v="1"/>
  </r>
  <r>
    <x v="1945"/>
    <n v="2.0270000000000001"/>
    <d v="2022-10-14T00:00:00"/>
    <n v="2.42"/>
    <x v="1"/>
  </r>
  <r>
    <x v="1946"/>
    <n v="2.032"/>
    <d v="2022-10-17T00:00:00"/>
    <n v="2.444"/>
    <x v="1"/>
  </r>
  <r>
    <x v="1947"/>
    <n v="2.0379999999999998"/>
    <d v="2022-10-18T00:00:00"/>
    <n v="2.4649999999999999"/>
    <x v="1"/>
  </r>
  <r>
    <x v="1948"/>
    <n v="2.0569999999999999"/>
    <d v="2022-10-19T00:00:00"/>
    <n v="2.488"/>
    <x v="1"/>
  </r>
  <r>
    <x v="1949"/>
    <n v="2.0830000000000002"/>
    <d v="2022-10-20T00:00:00"/>
    <n v="2.552"/>
    <x v="1"/>
  </r>
  <r>
    <x v="1950"/>
    <n v="2.1070000000000002"/>
    <d v="2022-10-21T00:00:00"/>
    <n v="2.5750000000000002"/>
    <x v="1"/>
  </r>
  <r>
    <x v="1951"/>
    <n v="2.1320000000000001"/>
    <d v="2022-10-24T00:00:00"/>
    <n v="2.5859999999999999"/>
    <x v="1"/>
  </r>
  <r>
    <x v="1952"/>
    <n v="2.1059999999999999"/>
    <d v="2022-10-25T00:00:00"/>
    <n v="2.593"/>
    <x v="1"/>
  </r>
  <r>
    <x v="1953"/>
    <n v="2.1030000000000002"/>
    <m/>
    <n v="2.593"/>
    <x v="1"/>
  </r>
  <r>
    <x v="1954"/>
    <n v="2.1179999999999999"/>
    <d v="2022-10-27T00:00:00"/>
    <n v="2.593"/>
    <x v="1"/>
  </r>
  <r>
    <x v="1955"/>
    <n v="2.0339999999999998"/>
    <d v="2022-10-28T00:00:00"/>
    <n v="2.5880000000000001"/>
    <x v="1"/>
  </r>
  <r>
    <x v="1956"/>
    <n v="2.13"/>
    <d v="2022-10-31T00:00:00"/>
    <n v="2.5910000000000002"/>
    <x v="1"/>
  </r>
  <r>
    <x v="1957"/>
    <n v="2.1680000000000001"/>
    <m/>
    <n v="2.5910000000000002"/>
    <x v="16"/>
  </r>
  <r>
    <x v="1958"/>
    <n v="2.198"/>
    <d v="2022-11-02T00:00:00"/>
    <n v="2.5990000000000002"/>
    <x v="1"/>
  </r>
  <r>
    <x v="1959"/>
    <n v="2.2250000000000001"/>
    <d v="2022-11-03T00:00:00"/>
    <n v="2.6190000000000002"/>
    <x v="1"/>
  </r>
  <r>
    <x v="1960"/>
    <n v="2.278"/>
    <d v="2022-11-04T00:00:00"/>
    <n v="2.6339999999999999"/>
    <x v="1"/>
  </r>
  <r>
    <x v="1961"/>
    <n v="2.2959999999999998"/>
    <d v="2022-11-07T00:00:00"/>
    <n v="2.6469999999999998"/>
    <x v="1"/>
  </r>
  <r>
    <x v="1962"/>
    <n v="2.3159999999999998"/>
    <d v="2022-11-08T00:00:00"/>
    <n v="2.6549999999999998"/>
    <x v="1"/>
  </r>
  <r>
    <x v="1963"/>
    <n v="2.3330000000000002"/>
    <d v="2022-11-09T00:00:00"/>
    <n v="2.6579999999999999"/>
    <x v="1"/>
  </r>
  <r>
    <x v="1964"/>
    <n v="2.319"/>
    <d v="2022-11-10T00:00:00"/>
    <n v="2.6509999999999998"/>
    <x v="1"/>
  </r>
  <r>
    <x v="1965"/>
    <n v="2.2909999999999999"/>
    <d v="2022-11-11T00:00:00"/>
    <n v="2.6419999999999999"/>
    <x v="1"/>
  </r>
  <r>
    <x v="1966"/>
    <n v="2.3370000000000002"/>
    <d v="2022-11-14T00:00:00"/>
    <n v="2.6349999999999998"/>
    <x v="1"/>
  </r>
  <r>
    <x v="1967"/>
    <n v="2.2999999999999998"/>
    <d v="2022-11-15T00:00:00"/>
    <n v="2.63"/>
    <x v="1"/>
  </r>
  <r>
    <x v="1968"/>
    <n v="2.3109999999999999"/>
    <d v="2022-11-16T00:00:00"/>
    <n v="2.62"/>
    <x v="1"/>
  </r>
  <r>
    <x v="1969"/>
    <n v="2.294"/>
    <d v="2022-11-17T00:00:00"/>
    <n v="2.6070000000000002"/>
    <x v="1"/>
  </r>
  <r>
    <x v="1970"/>
    <n v="2.3420000000000001"/>
    <d v="2022-11-18T00:00:00"/>
    <n v="2.5920000000000001"/>
    <x v="1"/>
  </r>
  <r>
    <x v="1971"/>
    <n v="2.327"/>
    <d v="2022-11-21T00:00:00"/>
    <n v="2.5720000000000001"/>
    <x v="1"/>
  </r>
  <r>
    <x v="1972"/>
    <n v="2.3380000000000001"/>
    <d v="2022-11-22T00:00:00"/>
    <n v="2.5499999999999998"/>
    <x v="1"/>
  </r>
  <r>
    <x v="1973"/>
    <n v="2.36"/>
    <d v="2022-11-23T00:00:00"/>
    <n v="2.5329999999999999"/>
    <x v="1"/>
  </r>
  <r>
    <x v="1974"/>
    <n v="2.3679999999999999"/>
    <d v="2022-11-24T00:00:00"/>
    <n v="2.5139999999999998"/>
    <x v="1"/>
  </r>
  <r>
    <x v="1975"/>
    <n v="2.3740000000000001"/>
    <d v="2022-11-25T00:00:00"/>
    <n v="2.504"/>
    <x v="1"/>
  </r>
  <r>
    <x v="1976"/>
    <n v="2.4359999999999999"/>
    <d v="2022-11-28T00:00:00"/>
    <n v="2.4990000000000001"/>
    <x v="1"/>
  </r>
  <r>
    <x v="1977"/>
    <n v="2.4420000000000002"/>
    <d v="2022-11-29T00:00:00"/>
    <n v="2.4870000000000001"/>
    <x v="1"/>
  </r>
  <r>
    <x v="1978"/>
    <n v="2.4140000000000001"/>
    <d v="2022-11-30T00:00:00"/>
    <n v="2.476"/>
    <x v="1"/>
  </r>
  <r>
    <x v="1979"/>
    <n v="2.4049999999999998"/>
    <d v="2022-12-01T00:00:00"/>
    <n v="2.456"/>
    <x v="1"/>
  </r>
  <r>
    <x v="1980"/>
    <n v="2.4060000000000001"/>
    <d v="2022-12-02T00:00:00"/>
    <n v="2.4329999999999998"/>
    <x v="1"/>
  </r>
  <r>
    <x v="1981"/>
    <n v="2.4359999999999999"/>
    <m/>
    <m/>
    <x v="1"/>
  </r>
  <r>
    <x v="1982"/>
    <n v="2.4430000000000001"/>
    <m/>
    <m/>
    <x v="1"/>
  </r>
  <r>
    <x v="1983"/>
    <n v="2.4420000000000002"/>
    <m/>
    <m/>
    <x v="1"/>
  </r>
  <r>
    <x v="1984"/>
    <n v="2.456"/>
    <m/>
    <m/>
    <x v="1"/>
  </r>
  <r>
    <x v="1985"/>
    <n v="2.4660000000000002"/>
    <m/>
    <m/>
    <x v="1"/>
  </r>
  <r>
    <x v="1986"/>
    <n v="2.5270000000000001"/>
    <m/>
    <m/>
    <x v="1"/>
  </r>
  <r>
    <x v="1987"/>
    <n v="2.4790000000000001"/>
    <m/>
    <m/>
    <x v="1"/>
  </r>
  <r>
    <x v="1988"/>
    <n v="2.5190000000000001"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B3A416-62FD-46F1-BC3E-4CB09F73CF38}" name="PivotTable2" cacheId="8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W29:AX54" firstHeaderRow="1" firstDataRow="1" firstDataCol="1" rowPageCount="1" colPageCount="1"/>
  <pivotFields count="7">
    <pivotField axis="axisPage" numFmtId="168" multipleItemSelectionAllowed="1" showAll="0">
      <items count="15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x="11"/>
        <item h="1" x="12"/>
        <item h="1" x="13"/>
        <item t="default"/>
      </items>
    </pivotField>
    <pivotField showAll="0"/>
    <pivotField showAll="0"/>
    <pivotField showAll="0"/>
    <pivotField dataField="1" showAll="0">
      <items count="18">
        <item x="12"/>
        <item x="13"/>
        <item x="14"/>
        <item x="10"/>
        <item x="4"/>
        <item x="11"/>
        <item x="9"/>
        <item x="5"/>
        <item x="6"/>
        <item x="3"/>
        <item x="7"/>
        <item x="8"/>
        <item x="0"/>
        <item x="2"/>
        <item x="15"/>
        <item x="16"/>
        <item x="1"/>
        <item t="default"/>
      </items>
    </pivotField>
    <pivotField axis="axisRow" multipleItemSelectionAllowed="1" showAll="0">
      <items count="7">
        <item h="1" sd="0" x="0"/>
        <item h="1" sd="0" x="1"/>
        <item sd="0" x="2"/>
        <item h="1" sd="0" x="3"/>
        <item sd="0" x="4"/>
        <item h="1" sd="0" x="5"/>
        <item t="default"/>
      </items>
    </pivotField>
    <pivotField axis="axisRow" showAll="0">
      <items count="11">
        <item sd="0" x="0"/>
        <item x="1"/>
        <item x="2"/>
        <item x="3"/>
        <item x="4"/>
        <item x="5"/>
        <item x="6"/>
        <item x="7"/>
        <item x="8"/>
        <item sd="0" x="9"/>
        <item t="default"/>
      </items>
    </pivotField>
  </pivotFields>
  <rowFields count="2">
    <field x="6"/>
    <field x="5"/>
  </rowFields>
  <rowItems count="25">
    <i>
      <x v="1"/>
    </i>
    <i r="1">
      <x v="2"/>
    </i>
    <i r="1">
      <x v="4"/>
    </i>
    <i>
      <x v="2"/>
    </i>
    <i r="1">
      <x v="2"/>
    </i>
    <i r="1">
      <x v="4"/>
    </i>
    <i>
      <x v="3"/>
    </i>
    <i r="1">
      <x v="2"/>
    </i>
    <i r="1">
      <x v="4"/>
    </i>
    <i>
      <x v="4"/>
    </i>
    <i r="1">
      <x v="2"/>
    </i>
    <i r="1">
      <x v="4"/>
    </i>
    <i>
      <x v="5"/>
    </i>
    <i r="1">
      <x v="2"/>
    </i>
    <i r="1">
      <x v="4"/>
    </i>
    <i>
      <x v="6"/>
    </i>
    <i r="1">
      <x v="2"/>
    </i>
    <i r="1">
      <x v="4"/>
    </i>
    <i>
      <x v="7"/>
    </i>
    <i r="1">
      <x v="2"/>
    </i>
    <i r="1">
      <x v="4"/>
    </i>
    <i>
      <x v="8"/>
    </i>
    <i r="1">
      <x v="2"/>
    </i>
    <i r="1">
      <x v="4"/>
    </i>
    <i t="grand">
      <x/>
    </i>
  </rowItems>
  <colItems count="1">
    <i/>
  </colItems>
  <pageFields count="1">
    <pageField fld="0" hier="-1"/>
  </pageFields>
  <dataFields count="1">
    <dataField name="Summe von Zinssatz" fld="4" baseField="0" baseItem="0" numFmtId="166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2" dT="2022-12-16T10:19:03.13" personId="{AC4312BD-2DC7-47DE-8C23-50F93E9CAF1B}" id="{091185F8-1508-4B59-8994-C6E4DCB54F8E}">
    <text>Umrechnungsfaktor</text>
  </threadedComment>
  <threadedComment ref="L32" dT="2023-02-08T15:00:30.52" personId="{AC4312BD-2DC7-47DE-8C23-50F93E9CAF1B}" id="{3E00AF64-1F05-4F2B-B709-A8D5210CA598}">
    <text>gemäss Endabrechnung 29.1.2021</text>
  </threadedComment>
  <threadedComment ref="L38" dT="2022-12-16T10:19:17.81" personId="{AC4312BD-2DC7-47DE-8C23-50F93E9CAF1B}" id="{CEC8F65F-B428-4EA3-9E63-CF5FAABDD112}">
    <text>Umrechnungsfaktor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oenb.at/" TargetMode="External"/><Relationship Id="rId13" Type="http://schemas.openxmlformats.org/officeDocument/2006/relationships/control" Target="../activeX/activeX1.xml"/><Relationship Id="rId18" Type="http://schemas.openxmlformats.org/officeDocument/2006/relationships/image" Target="../media/image3.emf"/><Relationship Id="rId3" Type="http://schemas.openxmlformats.org/officeDocument/2006/relationships/hyperlink" Target="https://www.oenb.at/isaweb/meta.jsp;jsessionid=21D02462B6829581EA2DC8549133B43A?lang=DE&amp;pos=VDBZIUDRB" TargetMode="External"/><Relationship Id="rId21" Type="http://schemas.microsoft.com/office/2017/10/relationships/threadedComment" Target="../threadedComments/threadedComment1.xml"/><Relationship Id="rId7" Type="http://schemas.openxmlformats.org/officeDocument/2006/relationships/hyperlink" Target="https://www.oenb.at/isaweb/meta.jsp;jsessionid=21D02462B6829581EA2DC8549133B43A?lang=DE&amp;pos=VDBZIUDRBRLZ" TargetMode="External"/><Relationship Id="rId12" Type="http://schemas.openxmlformats.org/officeDocument/2006/relationships/vmlDrawing" Target="../drawings/vmlDrawing1.vml"/><Relationship Id="rId17" Type="http://schemas.openxmlformats.org/officeDocument/2006/relationships/control" Target="../activeX/activeX3.xml"/><Relationship Id="rId2" Type="http://schemas.openxmlformats.org/officeDocument/2006/relationships/hyperlink" Target="https://www.oenb.at/isaweb/meta.jsp;jsessionid=21D02462B6829581EA2DC8549133B43A?lang=DE&amp;pos=VDBZIUDRB" TargetMode="External"/><Relationship Id="rId16" Type="http://schemas.openxmlformats.org/officeDocument/2006/relationships/image" Target="../media/image2.emf"/><Relationship Id="rId20" Type="http://schemas.openxmlformats.org/officeDocument/2006/relationships/comments" Target="../comments1.xml"/><Relationship Id="rId1" Type="http://schemas.openxmlformats.org/officeDocument/2006/relationships/hyperlink" Target="https://www.oenb.at/isaweb/report.do?report=2.11.1" TargetMode="External"/><Relationship Id="rId6" Type="http://schemas.openxmlformats.org/officeDocument/2006/relationships/hyperlink" Target="https://www.oenb.at/isaweb/meta.jsp;jsessionid=21D02462B6829581EA2DC8549133B43A?lang=DE&amp;pos=VDBZIUDRBRLZ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www.oenb.at/isaweb/meta.jsp;jsessionid=21D02462B6829581EA2DC8549133B43A?lang=DE&amp;pos=VDBZIUDRB" TargetMode="External"/><Relationship Id="rId15" Type="http://schemas.openxmlformats.org/officeDocument/2006/relationships/control" Target="../activeX/activeX2.xml"/><Relationship Id="rId10" Type="http://schemas.openxmlformats.org/officeDocument/2006/relationships/printerSettings" Target="../printerSettings/printerSettings1.bin"/><Relationship Id="rId19" Type="http://schemas.openxmlformats.org/officeDocument/2006/relationships/ctrlProp" Target="../ctrlProps/ctrlProp1.xml"/><Relationship Id="rId4" Type="http://schemas.openxmlformats.org/officeDocument/2006/relationships/hyperlink" Target="https://www.oenb.at/isaweb/meta.jsp;jsessionid=21D02462B6829581EA2DC8549133B43A?lang=DE&amp;pos=VDBZIUDRB" TargetMode="External"/><Relationship Id="rId9" Type="http://schemas.openxmlformats.org/officeDocument/2006/relationships/hyperlink" Target="https://www.oenb.at/Statistik/Standardisierte-Tabellen/zinssaetze-und-wechselkurse/renditen-oesterreichischer-bundesanleihen.html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oenb.at/isaweb/meta.jsp;jsessionid=21D02462B6829581EA2DC8549133B43A?lang=DE&amp;pos=VDBZIUDRBRLZ" TargetMode="External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https://www.oenb.at/isaweb/meta.jsp;jsessionid=21D02462B6829581EA2DC8549133B43A?lang=DE&amp;pos=VDBZIUDRB" TargetMode="External"/><Relationship Id="rId7" Type="http://schemas.openxmlformats.org/officeDocument/2006/relationships/hyperlink" Target="https://www.oenb.at/isaweb/meta.jsp;jsessionid=21D02462B6829581EA2DC8549133B43A?lang=DE&amp;pos=VDBZIUDRBRLZ" TargetMode="External"/><Relationship Id="rId12" Type="http://schemas.openxmlformats.org/officeDocument/2006/relationships/vmlDrawing" Target="../drawings/vmlDrawing2.vml"/><Relationship Id="rId17" Type="http://schemas.openxmlformats.org/officeDocument/2006/relationships/control" Target="../activeX/activeX6.xml"/><Relationship Id="rId2" Type="http://schemas.openxmlformats.org/officeDocument/2006/relationships/hyperlink" Target="https://www.oenb.at/isaweb/report.do?report=2.11.1" TargetMode="External"/><Relationship Id="rId16" Type="http://schemas.openxmlformats.org/officeDocument/2006/relationships/image" Target="../media/image5.emf"/><Relationship Id="rId1" Type="http://schemas.openxmlformats.org/officeDocument/2006/relationships/pivotTable" Target="../pivotTables/pivotTable1.xml"/><Relationship Id="rId6" Type="http://schemas.openxmlformats.org/officeDocument/2006/relationships/hyperlink" Target="https://www.oenb.at/isaweb/meta.jsp;jsessionid=21D02462B6829581EA2DC8549133B43A?lang=DE&amp;pos=VDBZIUDRB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www.oenb.at/isaweb/meta.jsp;jsessionid=21D02462B6829581EA2DC8549133B43A?lang=DE&amp;pos=VDBZIUDRB" TargetMode="External"/><Relationship Id="rId15" Type="http://schemas.openxmlformats.org/officeDocument/2006/relationships/control" Target="../activeX/activeX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www.oenb.at/isaweb/meta.jsp;jsessionid=21D02462B6829581EA2DC8549133B43A?lang=DE&amp;pos=VDBZIUDRB" TargetMode="External"/><Relationship Id="rId9" Type="http://schemas.openxmlformats.org/officeDocument/2006/relationships/hyperlink" Target="https://www.oenb.at/" TargetMode="External"/><Relationship Id="rId1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C2EC-1FEC-46DC-91D0-D520F457DBE9}">
  <sheetPr codeName="Tabelle2">
    <pageSetUpPr fitToPage="1"/>
  </sheetPr>
  <dimension ref="A1:BR2031"/>
  <sheetViews>
    <sheetView tabSelected="1" topLeftCell="G1" zoomScale="80" zoomScaleNormal="80" workbookViewId="0">
      <pane ySplit="10" topLeftCell="A11" activePane="bottomLeft" state="frozen"/>
      <selection pane="bottomLeft" activeCell="L32" sqref="L32"/>
    </sheetView>
  </sheetViews>
  <sheetFormatPr baseColWidth="10" defaultRowHeight="12.75"/>
  <cols>
    <col min="1" max="1" width="13" style="225" customWidth="1"/>
    <col min="2" max="2" width="19.7109375" style="225" customWidth="1"/>
    <col min="3" max="3" width="21.7109375" style="225" customWidth="1"/>
    <col min="4" max="5" width="19.7109375" style="225" customWidth="1"/>
    <col min="6" max="6" width="21.7109375" style="225" customWidth="1"/>
    <col min="7" max="7" width="20.42578125" style="225" customWidth="1"/>
    <col min="8" max="8" width="21.42578125" customWidth="1"/>
    <col min="9" max="9" width="24.85546875" style="1" customWidth="1"/>
    <col min="10" max="10" width="13.7109375" customWidth="1"/>
    <col min="11" max="11" width="15.140625" customWidth="1"/>
    <col min="12" max="12" width="12.85546875" bestFit="1" customWidth="1"/>
    <col min="13" max="13" width="13.85546875" bestFit="1" customWidth="1"/>
    <col min="14" max="14" width="11.28515625" customWidth="1"/>
    <col min="15" max="15" width="16.5703125" customWidth="1"/>
    <col min="16" max="16" width="15.7109375" customWidth="1"/>
    <col min="17" max="17" width="16" customWidth="1"/>
    <col min="20" max="20" width="15" customWidth="1"/>
    <col min="22" max="22" width="13.28515625" bestFit="1" customWidth="1"/>
    <col min="23" max="23" width="13.140625" bestFit="1" customWidth="1"/>
    <col min="24" max="24" width="19.7109375" customWidth="1"/>
    <col min="25" max="25" width="17" customWidth="1"/>
    <col min="26" max="26" width="17.5703125" bestFit="1" customWidth="1"/>
    <col min="27" max="29" width="12" bestFit="1" customWidth="1"/>
    <col min="30" max="30" width="21.140625" customWidth="1"/>
    <col min="33" max="33" width="13.42578125" customWidth="1"/>
    <col min="34" max="34" width="13.140625" customWidth="1"/>
    <col min="37" max="37" width="11.42578125" style="302"/>
    <col min="38" max="38" width="12.85546875" style="302" customWidth="1"/>
    <col min="39" max="39" width="12.7109375" style="302" customWidth="1"/>
    <col min="40" max="40" width="10.7109375" style="302" customWidth="1"/>
    <col min="41" max="41" width="7.140625" style="302" bestFit="1" customWidth="1"/>
    <col min="42" max="42" width="5.140625" style="302" customWidth="1"/>
    <col min="43" max="43" width="8" style="302" customWidth="1"/>
    <col min="44" max="44" width="9.42578125" style="302" customWidth="1"/>
    <col min="45" max="54" width="5.140625" style="302" customWidth="1"/>
    <col min="55" max="55" width="22.42578125" style="302" bestFit="1" customWidth="1"/>
    <col min="56" max="56" width="19.7109375" style="302" bestFit="1" customWidth="1"/>
    <col min="57" max="59" width="11.42578125" style="302"/>
    <col min="62" max="62" width="17.85546875" style="104" customWidth="1"/>
    <col min="63" max="63" width="11.42578125" style="104"/>
    <col min="64" max="64" width="20.140625" customWidth="1"/>
    <col min="66" max="66" width="14" customWidth="1"/>
  </cols>
  <sheetData>
    <row r="1" spans="1:68">
      <c r="G1" s="324"/>
      <c r="H1" s="325"/>
      <c r="I1" s="201"/>
      <c r="J1" s="202"/>
      <c r="K1" s="326">
        <f>+K2+J2</f>
        <v>20104.919999999998</v>
      </c>
      <c r="L1" s="326">
        <f t="shared" ref="L1:Q1" si="0">+L2+K2</f>
        <v>27546.36</v>
      </c>
      <c r="M1" s="326">
        <f t="shared" si="0"/>
        <v>28212</v>
      </c>
      <c r="N1" s="326">
        <f t="shared" si="0"/>
        <v>28407.72</v>
      </c>
      <c r="O1" s="326">
        <f t="shared" si="0"/>
        <v>28604.160000000003</v>
      </c>
      <c r="P1" s="326">
        <f t="shared" si="0"/>
        <v>27788.28</v>
      </c>
      <c r="Q1" s="326">
        <f t="shared" si="0"/>
        <v>26394.239999999998</v>
      </c>
      <c r="R1" s="202"/>
      <c r="S1" s="202"/>
      <c r="T1" s="327"/>
      <c r="U1" s="327"/>
      <c r="V1" s="327"/>
      <c r="W1" s="328"/>
      <c r="X1" s="305"/>
      <c r="Y1" s="305"/>
      <c r="Z1" s="304"/>
      <c r="AA1" s="305"/>
      <c r="AB1" s="305"/>
      <c r="AC1" s="305"/>
      <c r="AD1" s="305"/>
      <c r="AE1" s="305"/>
      <c r="AF1" s="305"/>
      <c r="AG1" s="305"/>
      <c r="AH1" s="305"/>
      <c r="AI1" s="305"/>
      <c r="AJ1" s="305"/>
      <c r="AK1" s="305"/>
      <c r="AL1" s="305"/>
      <c r="AM1" s="305"/>
      <c r="AN1" s="305"/>
      <c r="AO1" s="305"/>
      <c r="AP1" s="305"/>
    </row>
    <row r="2" spans="1:68">
      <c r="G2" s="329"/>
      <c r="H2" s="64"/>
      <c r="I2" s="330"/>
      <c r="J2" s="205">
        <f>SUM(J5:J7)*6</f>
        <v>6664.92</v>
      </c>
      <c r="K2" s="205">
        <f>SUM(K5:K7)*12</f>
        <v>13440</v>
      </c>
      <c r="L2" s="205">
        <f t="shared" ref="L2:Q2" si="1">SUM(L5:L7)*12</f>
        <v>14106.36</v>
      </c>
      <c r="M2" s="205">
        <f t="shared" si="1"/>
        <v>14105.64</v>
      </c>
      <c r="N2" s="205">
        <f t="shared" si="1"/>
        <v>14302.080000000002</v>
      </c>
      <c r="O2" s="205">
        <f t="shared" si="1"/>
        <v>14302.080000000002</v>
      </c>
      <c r="P2" s="205">
        <f t="shared" si="1"/>
        <v>13486.199999999999</v>
      </c>
      <c r="Q2" s="205">
        <f t="shared" si="1"/>
        <v>12908.04</v>
      </c>
      <c r="R2" s="64"/>
      <c r="S2" s="64"/>
      <c r="T2" s="305"/>
      <c r="U2" s="305"/>
      <c r="V2" s="305"/>
      <c r="W2" s="331"/>
      <c r="X2" s="305"/>
      <c r="Y2" s="305"/>
      <c r="Z2" s="305"/>
      <c r="AA2" s="644"/>
      <c r="AB2" s="644"/>
      <c r="AC2" s="644"/>
      <c r="AD2" s="644"/>
      <c r="AE2" s="644"/>
      <c r="AF2" s="644"/>
      <c r="AG2" s="644"/>
      <c r="AH2" s="644"/>
      <c r="AI2" s="644"/>
      <c r="AJ2" s="644"/>
      <c r="AK2" s="644"/>
      <c r="AL2" s="644"/>
      <c r="AM2" s="305"/>
      <c r="AN2" s="305"/>
      <c r="AO2" s="305"/>
      <c r="AP2" s="305"/>
      <c r="BN2" s="89" t="s">
        <v>524</v>
      </c>
    </row>
    <row r="3" spans="1:68" s="5" customFormat="1">
      <c r="A3" s="226"/>
      <c r="B3" s="226"/>
      <c r="C3" s="226"/>
      <c r="D3" s="226"/>
      <c r="E3" s="226"/>
      <c r="F3" s="226"/>
      <c r="G3" s="332"/>
      <c r="H3" s="333">
        <f>+H10*10*12</f>
        <v>109615.71428571429</v>
      </c>
      <c r="I3" s="230"/>
      <c r="J3" s="15">
        <v>2015</v>
      </c>
      <c r="K3" s="74">
        <v>2016</v>
      </c>
      <c r="L3" s="15">
        <v>2017</v>
      </c>
      <c r="M3" s="74">
        <v>2018</v>
      </c>
      <c r="N3" s="15">
        <v>2019</v>
      </c>
      <c r="O3" s="74">
        <v>2020</v>
      </c>
      <c r="P3" s="15">
        <v>2021</v>
      </c>
      <c r="Q3" s="74">
        <v>2022</v>
      </c>
      <c r="R3" s="15">
        <v>2023</v>
      </c>
      <c r="S3" s="319">
        <v>2024</v>
      </c>
      <c r="T3" s="308"/>
      <c r="U3" s="308"/>
      <c r="V3" s="308"/>
      <c r="W3" s="334"/>
      <c r="X3" s="308"/>
      <c r="Y3" s="308"/>
      <c r="Z3" s="308"/>
      <c r="AA3" s="309"/>
      <c r="AB3" s="310"/>
      <c r="AC3" s="311"/>
      <c r="AD3" s="312"/>
      <c r="AE3" s="311"/>
      <c r="AF3" s="310"/>
      <c r="AG3" s="311"/>
      <c r="AH3" s="312"/>
      <c r="AI3" s="311"/>
      <c r="AJ3" s="310"/>
      <c r="AK3" s="311"/>
      <c r="AL3" s="312"/>
      <c r="AM3" s="308"/>
      <c r="AN3" s="308"/>
      <c r="AO3" s="308"/>
      <c r="AP3" s="308"/>
      <c r="AQ3" s="303"/>
      <c r="AR3" s="303"/>
      <c r="AS3" s="303"/>
      <c r="AT3" s="303"/>
      <c r="AU3" s="303"/>
      <c r="AV3" s="303"/>
      <c r="AW3" s="303"/>
      <c r="AX3" s="303"/>
      <c r="AY3" s="303"/>
      <c r="AZ3" s="303"/>
      <c r="BA3" s="303"/>
      <c r="BB3" s="303"/>
      <c r="BC3" s="303"/>
      <c r="BD3" s="303"/>
      <c r="BE3" s="303"/>
      <c r="BF3" s="303"/>
      <c r="BG3" s="303"/>
      <c r="BH3" s="180" t="s">
        <v>48</v>
      </c>
      <c r="BI3" s="181">
        <v>42125</v>
      </c>
      <c r="BJ3" s="188"/>
      <c r="BK3" s="188"/>
    </row>
    <row r="4" spans="1:68">
      <c r="G4" s="329"/>
      <c r="H4" s="64"/>
      <c r="I4" s="330"/>
      <c r="J4" s="64"/>
      <c r="K4" s="64"/>
      <c r="L4" s="64"/>
      <c r="M4" s="64"/>
      <c r="N4" s="64"/>
      <c r="O4" s="64"/>
      <c r="P4" s="64"/>
      <c r="Q4" s="64"/>
      <c r="R4" s="64"/>
      <c r="S4" s="64"/>
      <c r="T4" s="305"/>
      <c r="U4" s="305"/>
      <c r="V4" s="305"/>
      <c r="W4" s="331"/>
      <c r="X4" s="305"/>
      <c r="Y4" s="305"/>
      <c r="Z4" s="313"/>
      <c r="AA4" s="305"/>
      <c r="AB4" s="305"/>
      <c r="AC4" s="305"/>
      <c r="AD4" s="314"/>
      <c r="AE4" s="305"/>
      <c r="AF4" s="305"/>
      <c r="AG4" s="305"/>
      <c r="AH4" s="314"/>
      <c r="AI4" s="305"/>
      <c r="AJ4" s="305"/>
      <c r="AK4" s="305"/>
      <c r="AL4" s="314"/>
      <c r="AM4" s="305"/>
      <c r="AN4" s="305"/>
      <c r="AO4" s="305"/>
      <c r="AP4" s="305"/>
      <c r="BH4" s="180" t="s">
        <v>49</v>
      </c>
      <c r="BI4" s="182">
        <f ca="1">+TODAY()</f>
        <v>45054</v>
      </c>
      <c r="BN4" s="89" t="s">
        <v>52</v>
      </c>
    </row>
    <row r="5" spans="1:68" ht="18">
      <c r="G5" s="329"/>
      <c r="H5" s="86">
        <f>+AI2</f>
        <v>0</v>
      </c>
      <c r="I5" s="335" t="s">
        <v>552</v>
      </c>
      <c r="J5" s="336">
        <v>390.14</v>
      </c>
      <c r="K5" s="336">
        <v>390</v>
      </c>
      <c r="L5" s="336">
        <v>390.14</v>
      </c>
      <c r="M5" s="337">
        <v>390.14</v>
      </c>
      <c r="N5" s="336">
        <v>390.14</v>
      </c>
      <c r="O5" s="336">
        <v>390.14</v>
      </c>
      <c r="P5" s="336">
        <v>390.14</v>
      </c>
      <c r="Q5" s="336">
        <v>390.14</v>
      </c>
      <c r="R5" s="336">
        <v>390.14</v>
      </c>
      <c r="S5" s="338">
        <f t="shared" ref="S5:S9" si="2">+R5/P5-1</f>
        <v>0</v>
      </c>
      <c r="T5" s="305"/>
      <c r="U5" s="305">
        <f>+Q5*6</f>
        <v>2340.84</v>
      </c>
      <c r="V5" s="318">
        <v>76000</v>
      </c>
      <c r="W5" s="331"/>
      <c r="X5" s="305"/>
      <c r="Y5" s="313"/>
      <c r="Z5" s="313"/>
      <c r="AA5" s="305"/>
      <c r="AB5" s="305"/>
      <c r="AC5" s="305"/>
      <c r="AD5" s="314"/>
      <c r="AE5" s="305"/>
      <c r="AF5" s="305"/>
      <c r="AG5" s="305"/>
      <c r="AH5" s="314"/>
      <c r="AI5" s="305"/>
      <c r="AJ5" s="305"/>
      <c r="AK5" s="305"/>
      <c r="AL5" s="314"/>
      <c r="AM5" s="305"/>
      <c r="AN5" s="305"/>
      <c r="AO5" s="305"/>
      <c r="AP5" s="305"/>
      <c r="BH5" s="180"/>
      <c r="BI5" s="180"/>
    </row>
    <row r="6" spans="1:68">
      <c r="G6" s="329"/>
      <c r="H6" s="87">
        <f>+AE2</f>
        <v>0</v>
      </c>
      <c r="I6" s="335" t="s">
        <v>1</v>
      </c>
      <c r="J6" s="336">
        <v>720.68</v>
      </c>
      <c r="K6" s="336">
        <v>730</v>
      </c>
      <c r="L6" s="336">
        <v>785.39</v>
      </c>
      <c r="M6" s="337">
        <v>785.33</v>
      </c>
      <c r="N6" s="336">
        <v>801.7</v>
      </c>
      <c r="O6" s="336">
        <v>801.7</v>
      </c>
      <c r="P6" s="336">
        <v>546.87</v>
      </c>
      <c r="Q6" s="336">
        <v>529.09</v>
      </c>
      <c r="R6" s="336">
        <v>791.22</v>
      </c>
      <c r="S6" s="338">
        <f>+R6/Q6-1</f>
        <v>0.49543555916762738</v>
      </c>
      <c r="T6" s="305"/>
      <c r="U6" s="305">
        <f t="shared" ref="U6:U9" si="3">+Q6*6</f>
        <v>3174.54</v>
      </c>
      <c r="V6" s="318">
        <v>59276.41</v>
      </c>
      <c r="W6" s="331"/>
      <c r="X6" s="305"/>
      <c r="Y6" s="313"/>
      <c r="Z6" s="313"/>
      <c r="AA6" s="305"/>
      <c r="AB6" s="305"/>
      <c r="AC6" s="305"/>
      <c r="AD6" s="314"/>
      <c r="AE6" s="305"/>
      <c r="AF6" s="305"/>
      <c r="AG6" s="305"/>
      <c r="AH6" s="314"/>
      <c r="AI6" s="305"/>
      <c r="AJ6" s="305"/>
      <c r="AK6" s="305"/>
      <c r="AL6" s="314"/>
      <c r="AM6" s="305"/>
      <c r="AN6" s="305"/>
      <c r="AO6" s="305"/>
      <c r="AP6" s="305"/>
      <c r="BH6" s="180"/>
      <c r="BI6" s="180"/>
    </row>
    <row r="7" spans="1:68">
      <c r="G7" s="329"/>
      <c r="H7" s="88">
        <f>+AA2</f>
        <v>0</v>
      </c>
      <c r="I7" s="335" t="s">
        <v>34</v>
      </c>
      <c r="J7" s="336"/>
      <c r="K7" s="336"/>
      <c r="L7" s="336"/>
      <c r="M7" s="337"/>
      <c r="N7" s="336"/>
      <c r="O7" s="336"/>
      <c r="P7" s="336">
        <v>186.84</v>
      </c>
      <c r="Q7" s="336">
        <v>156.44</v>
      </c>
      <c r="R7" s="336">
        <v>233.96</v>
      </c>
      <c r="S7" s="338">
        <f>+R7/Q7-1</f>
        <v>0.49552544106366669</v>
      </c>
      <c r="T7" s="305"/>
      <c r="U7" s="305">
        <f t="shared" si="3"/>
        <v>938.64</v>
      </c>
      <c r="V7" s="318">
        <v>200472.06</v>
      </c>
      <c r="W7" s="331"/>
      <c r="X7" s="305"/>
      <c r="Y7" s="313"/>
      <c r="Z7" s="313"/>
      <c r="AA7" s="305"/>
      <c r="AB7" s="305"/>
      <c r="AC7" s="305"/>
      <c r="AD7" s="314"/>
      <c r="AE7" s="305"/>
      <c r="AF7" s="305"/>
      <c r="AG7" s="305"/>
      <c r="AH7" s="314"/>
      <c r="AI7" s="305"/>
      <c r="AJ7" s="305"/>
      <c r="AK7" s="305"/>
      <c r="AL7" s="314"/>
      <c r="AM7" s="305"/>
      <c r="AN7" s="305"/>
      <c r="AO7" s="305"/>
      <c r="AP7" s="305"/>
      <c r="BH7" s="180"/>
      <c r="BI7" s="183" t="s">
        <v>50</v>
      </c>
    </row>
    <row r="8" spans="1:68">
      <c r="G8" s="329"/>
      <c r="H8" s="64"/>
      <c r="I8" s="365" t="s">
        <v>2</v>
      </c>
      <c r="J8" s="366">
        <v>-390.14</v>
      </c>
      <c r="K8" s="366">
        <v>-390.14</v>
      </c>
      <c r="L8" s="366">
        <v>-390.14</v>
      </c>
      <c r="M8" s="366">
        <v>-390.14</v>
      </c>
      <c r="N8" s="366">
        <v>-390.14</v>
      </c>
      <c r="O8" s="366">
        <v>-390.14</v>
      </c>
      <c r="P8" s="366">
        <v>-390.14</v>
      </c>
      <c r="Q8" s="366">
        <v>-390.14</v>
      </c>
      <c r="R8" s="366">
        <v>-390.14</v>
      </c>
      <c r="S8" s="367">
        <f t="shared" si="2"/>
        <v>0</v>
      </c>
      <c r="T8" s="305"/>
      <c r="U8" s="305">
        <f t="shared" si="3"/>
        <v>-2340.84</v>
      </c>
      <c r="V8" s="318">
        <v>85120</v>
      </c>
      <c r="W8" s="417">
        <f>SUM(V6:V8)</f>
        <v>344868.47</v>
      </c>
      <c r="X8" s="415">
        <f>+L38</f>
        <v>0.16840731070496084</v>
      </c>
      <c r="Y8" s="313"/>
      <c r="Z8" s="313"/>
      <c r="AA8" s="305"/>
      <c r="AB8" s="305"/>
      <c r="AC8" s="306"/>
      <c r="AD8" s="314"/>
      <c r="AE8" s="305"/>
      <c r="AF8" s="305"/>
      <c r="AG8" s="306"/>
      <c r="AH8" s="314"/>
      <c r="AI8" s="305"/>
      <c r="AJ8" s="305"/>
      <c r="AK8" s="305"/>
      <c r="AL8" s="314"/>
      <c r="AM8" s="305"/>
      <c r="AN8" s="305"/>
      <c r="AO8" s="305"/>
      <c r="AP8" s="305"/>
      <c r="BH8" s="184" t="s">
        <v>51</v>
      </c>
      <c r="BI8" s="184" t="s">
        <v>401</v>
      </c>
      <c r="BJ8" s="103" t="s">
        <v>404</v>
      </c>
      <c r="BK8" s="103" t="s">
        <v>402</v>
      </c>
      <c r="BL8" s="106" t="s">
        <v>405</v>
      </c>
      <c r="BN8" s="89" t="s">
        <v>53</v>
      </c>
    </row>
    <row r="9" spans="1:68">
      <c r="G9" s="329"/>
      <c r="H9" s="64"/>
      <c r="I9" s="330" t="s">
        <v>3</v>
      </c>
      <c r="J9" s="64">
        <v>133.76</v>
      </c>
      <c r="K9" s="64">
        <v>133</v>
      </c>
      <c r="L9" s="64">
        <v>133.76</v>
      </c>
      <c r="M9" s="64">
        <v>133.76</v>
      </c>
      <c r="N9" s="64">
        <v>167.2</v>
      </c>
      <c r="O9" s="64">
        <v>167.2</v>
      </c>
      <c r="P9" s="64">
        <v>167.2</v>
      </c>
      <c r="Q9" s="64">
        <v>167.2</v>
      </c>
      <c r="R9" s="64">
        <v>183.92</v>
      </c>
      <c r="S9" s="339">
        <f t="shared" si="2"/>
        <v>0.10000000000000009</v>
      </c>
      <c r="T9" s="305"/>
      <c r="U9" s="305">
        <f t="shared" si="3"/>
        <v>1003.1999999999999</v>
      </c>
      <c r="V9" s="318">
        <v>36480</v>
      </c>
      <c r="W9" s="417">
        <f>+W8/X8*X9</f>
        <v>2047823.6280620152</v>
      </c>
      <c r="X9" s="416">
        <v>1</v>
      </c>
      <c r="Y9" s="313"/>
      <c r="Z9" s="313"/>
      <c r="AA9" s="305"/>
      <c r="AB9" s="305"/>
      <c r="AC9" s="306"/>
      <c r="AD9" s="314"/>
      <c r="AE9" s="305"/>
      <c r="AF9" s="305"/>
      <c r="AG9" s="306"/>
      <c r="AH9" s="314"/>
      <c r="AI9" s="305"/>
      <c r="AJ9" s="305"/>
      <c r="AK9" s="305"/>
      <c r="AL9" s="314"/>
      <c r="AM9" s="305"/>
      <c r="AN9" s="305"/>
      <c r="AO9" s="305"/>
      <c r="AP9" s="305"/>
      <c r="BH9" s="185">
        <v>42125</v>
      </c>
      <c r="BI9" s="186">
        <v>6.4000000000000001E-2</v>
      </c>
      <c r="BK9" s="105">
        <v>0.12</v>
      </c>
      <c r="BL9" s="111">
        <f>+(BI9+BK9)/2+0.37</f>
        <v>0.46199999999999997</v>
      </c>
      <c r="BN9" s="89" t="s">
        <v>54</v>
      </c>
    </row>
    <row r="10" spans="1:68" ht="15">
      <c r="G10" s="528">
        <f>SUM(J10:Q10)*12</f>
        <v>86963.76</v>
      </c>
      <c r="H10" s="64">
        <f>+AVERAGE(J10:P10)</f>
        <v>913.46428571428567</v>
      </c>
      <c r="I10" s="340" t="s">
        <v>4</v>
      </c>
      <c r="J10" s="341">
        <f>SUM(J5:J9)</f>
        <v>854.43999999999994</v>
      </c>
      <c r="K10" s="341">
        <f t="shared" ref="K10:R10" si="4">SUM(K5:K9)</f>
        <v>862.86</v>
      </c>
      <c r="L10" s="341">
        <f t="shared" si="4"/>
        <v>919.15</v>
      </c>
      <c r="M10" s="341">
        <f t="shared" si="4"/>
        <v>919.09</v>
      </c>
      <c r="N10" s="341">
        <f t="shared" si="4"/>
        <v>968.90000000000009</v>
      </c>
      <c r="O10" s="341">
        <f t="shared" si="4"/>
        <v>968.90000000000009</v>
      </c>
      <c r="P10" s="341">
        <f t="shared" si="4"/>
        <v>900.90999999999985</v>
      </c>
      <c r="Q10" s="341">
        <f>SUM(Q5:Q9)</f>
        <v>852.73</v>
      </c>
      <c r="R10" s="341">
        <f t="shared" si="4"/>
        <v>1209.1000000000004</v>
      </c>
      <c r="S10" s="339">
        <f>+R10/P10-1</f>
        <v>0.34208744491680698</v>
      </c>
      <c r="T10" s="305"/>
      <c r="U10" s="305"/>
      <c r="V10" s="318">
        <f>SUM(V5:V9)</f>
        <v>457348.47</v>
      </c>
      <c r="W10" s="331"/>
      <c r="X10" s="305"/>
      <c r="Y10" s="313"/>
      <c r="Z10" s="313"/>
      <c r="AA10" s="305"/>
      <c r="AB10" s="305"/>
      <c r="AC10" s="306"/>
      <c r="AD10" s="315"/>
      <c r="AE10" s="305"/>
      <c r="AF10" s="305"/>
      <c r="AG10" s="306"/>
      <c r="AH10" s="315"/>
      <c r="AI10" s="305"/>
      <c r="AJ10" s="305"/>
      <c r="AK10" s="305"/>
      <c r="AL10" s="314"/>
      <c r="AM10" s="305"/>
      <c r="AN10" s="305"/>
      <c r="AO10" s="305"/>
      <c r="AP10" s="305"/>
      <c r="BH10" s="185">
        <v>42128</v>
      </c>
      <c r="BI10" s="186">
        <v>6.4000000000000001E-2</v>
      </c>
      <c r="BJ10" s="189">
        <v>42128</v>
      </c>
      <c r="BK10" s="190">
        <v>0.127</v>
      </c>
    </row>
    <row r="11" spans="1:68" ht="38.25">
      <c r="G11" s="329"/>
      <c r="H11" s="305"/>
      <c r="I11" s="330"/>
      <c r="J11" s="64"/>
      <c r="K11" s="64"/>
      <c r="L11" s="64"/>
      <c r="M11" s="64"/>
      <c r="N11" s="64"/>
      <c r="O11" s="64"/>
      <c r="P11" s="64"/>
      <c r="Q11" s="64"/>
      <c r="R11" s="64"/>
      <c r="S11" s="339"/>
      <c r="T11" s="305"/>
      <c r="U11" s="305"/>
      <c r="V11" s="318"/>
      <c r="W11" s="331"/>
      <c r="X11" s="305"/>
      <c r="Y11" s="313"/>
      <c r="Z11" s="313"/>
      <c r="AA11" s="305"/>
      <c r="AB11" s="316"/>
      <c r="AC11" s="305"/>
      <c r="AD11" s="305"/>
      <c r="AE11" s="305"/>
      <c r="AF11" s="316"/>
      <c r="AG11" s="305"/>
      <c r="AH11" s="305"/>
      <c r="AI11" s="305"/>
      <c r="AJ11" s="316"/>
      <c r="AK11" s="305"/>
      <c r="AL11" s="315"/>
      <c r="AM11" s="317"/>
      <c r="AN11" s="306"/>
      <c r="AO11" s="317"/>
      <c r="AP11" s="317"/>
      <c r="AQ11" s="307"/>
      <c r="AR11" s="307"/>
      <c r="AS11" s="307"/>
      <c r="AT11" s="307"/>
      <c r="AU11" s="307"/>
      <c r="AV11" s="307"/>
      <c r="AW11" s="307"/>
      <c r="AX11" s="307"/>
      <c r="AY11" s="307"/>
      <c r="AZ11" s="307"/>
      <c r="BA11" s="307"/>
      <c r="BB11" s="307"/>
      <c r="BH11" s="185">
        <v>42129</v>
      </c>
      <c r="BI11" s="186">
        <v>6.0999999999999999E-2</v>
      </c>
      <c r="BJ11" s="189">
        <v>42129</v>
      </c>
      <c r="BK11" s="190">
        <v>0.13500000000000001</v>
      </c>
      <c r="BO11" s="92"/>
      <c r="BP11" s="97" t="s">
        <v>55</v>
      </c>
    </row>
    <row r="12" spans="1:68" ht="25.5">
      <c r="G12" s="329"/>
      <c r="H12" s="305"/>
      <c r="I12" s="330" t="s">
        <v>5</v>
      </c>
      <c r="J12" s="64">
        <v>177.38</v>
      </c>
      <c r="K12" s="64">
        <v>177.38</v>
      </c>
      <c r="L12" s="64">
        <v>177.38</v>
      </c>
      <c r="M12" s="64">
        <v>91.85</v>
      </c>
      <c r="N12" s="64">
        <v>94.17</v>
      </c>
      <c r="O12" s="64">
        <v>95.65</v>
      </c>
      <c r="P12" s="64">
        <v>95.65</v>
      </c>
      <c r="Q12" s="64">
        <v>104.29</v>
      </c>
      <c r="R12" s="64">
        <v>96.48</v>
      </c>
      <c r="S12" s="339"/>
      <c r="T12" s="305"/>
      <c r="U12" s="305"/>
      <c r="V12" s="305"/>
      <c r="W12" s="331"/>
      <c r="X12" s="305"/>
      <c r="Y12" s="313"/>
      <c r="Z12" s="313"/>
      <c r="AA12" s="305"/>
      <c r="AB12" s="305"/>
      <c r="AC12" s="306"/>
      <c r="AD12" s="315"/>
      <c r="AE12" s="305"/>
      <c r="AF12" s="305"/>
      <c r="AG12" s="305"/>
      <c r="AH12" s="314"/>
      <c r="AI12" s="305"/>
      <c r="AJ12" s="305"/>
      <c r="AK12" s="305"/>
      <c r="AL12" s="314"/>
      <c r="AM12" s="305"/>
      <c r="AN12" s="306"/>
      <c r="AO12" s="305"/>
      <c r="AP12" s="305"/>
      <c r="BH12" s="185">
        <v>42130</v>
      </c>
      <c r="BI12" s="186">
        <v>6.2E-2</v>
      </c>
      <c r="BJ12" s="189">
        <v>42130</v>
      </c>
      <c r="BK12" s="190">
        <v>0.14699999999999999</v>
      </c>
      <c r="BO12" s="93" t="s">
        <v>53</v>
      </c>
      <c r="BP12" s="97" t="s">
        <v>56</v>
      </c>
    </row>
    <row r="13" spans="1:68" ht="15.75" thickBot="1">
      <c r="G13" s="329"/>
      <c r="H13" s="305"/>
      <c r="I13" s="330" t="s">
        <v>6</v>
      </c>
      <c r="J13" s="64">
        <v>20.239999999999998</v>
      </c>
      <c r="K13" s="64">
        <v>20.239999999999998</v>
      </c>
      <c r="L13" s="64">
        <v>20.46</v>
      </c>
      <c r="M13" s="64">
        <v>20.65</v>
      </c>
      <c r="N13" s="64">
        <v>21.08</v>
      </c>
      <c r="O13" s="64">
        <v>21.51</v>
      </c>
      <c r="P13" s="64">
        <v>21.84</v>
      </c>
      <c r="Q13" s="64">
        <v>22.14</v>
      </c>
      <c r="R13" s="64">
        <v>22.75</v>
      </c>
      <c r="S13" s="339"/>
      <c r="T13" s="305"/>
      <c r="U13" s="305"/>
      <c r="V13" s="305"/>
      <c r="W13" s="331"/>
      <c r="X13" s="305"/>
      <c r="Y13" s="305"/>
      <c r="Z13" s="313"/>
      <c r="AA13" s="305"/>
      <c r="AB13" s="305"/>
      <c r="AC13" s="306"/>
      <c r="AD13" s="315"/>
      <c r="AE13" s="305"/>
      <c r="AF13" s="305"/>
      <c r="AG13" s="305"/>
      <c r="AH13" s="314"/>
      <c r="AI13" s="305"/>
      <c r="AJ13" s="305"/>
      <c r="AK13" s="305"/>
      <c r="AL13" s="314"/>
      <c r="AM13" s="305"/>
      <c r="AN13" s="306"/>
      <c r="AO13" s="305"/>
      <c r="AP13" s="305"/>
      <c r="BH13" s="185">
        <v>42131</v>
      </c>
      <c r="BI13" s="186">
        <v>6.0999999999999999E-2</v>
      </c>
      <c r="BJ13" s="189">
        <v>42131</v>
      </c>
      <c r="BK13" s="190">
        <v>0.16200000000000001</v>
      </c>
      <c r="BO13" s="93" t="s">
        <v>54</v>
      </c>
      <c r="BP13" s="90"/>
    </row>
    <row r="14" spans="1:68" ht="15">
      <c r="G14" s="329"/>
      <c r="H14" s="305"/>
      <c r="I14" s="330" t="s">
        <v>7</v>
      </c>
      <c r="J14" s="64">
        <v>60.56</v>
      </c>
      <c r="K14" s="64">
        <v>60.56</v>
      </c>
      <c r="L14" s="64">
        <v>70.459999999999994</v>
      </c>
      <c r="M14" s="64">
        <v>70.41</v>
      </c>
      <c r="N14" s="64">
        <v>71.819999999999993</v>
      </c>
      <c r="O14" s="64">
        <v>71.819999999999993</v>
      </c>
      <c r="P14" s="64">
        <v>84.5</v>
      </c>
      <c r="Q14" s="64">
        <v>92.95</v>
      </c>
      <c r="R14" s="64">
        <v>107.03</v>
      </c>
      <c r="S14" s="339"/>
      <c r="T14" s="305"/>
      <c r="U14" s="305"/>
      <c r="V14" s="305"/>
      <c r="W14" s="331"/>
      <c r="X14" s="305"/>
      <c r="Y14" s="207"/>
      <c r="Z14" s="208" t="s">
        <v>429</v>
      </c>
      <c r="AA14" s="209" t="s">
        <v>435</v>
      </c>
      <c r="AB14" s="210"/>
      <c r="AC14" s="305"/>
      <c r="AD14" s="314"/>
      <c r="AE14" s="305"/>
      <c r="AF14" s="305"/>
      <c r="AG14" s="305"/>
      <c r="AH14" s="314"/>
      <c r="AI14" s="305"/>
      <c r="AJ14" s="305"/>
      <c r="AK14" s="305"/>
      <c r="AL14" s="314"/>
      <c r="AM14" s="305"/>
      <c r="AN14" s="306"/>
      <c r="AO14" s="305"/>
      <c r="AP14" s="305"/>
      <c r="BH14" s="185">
        <v>42132</v>
      </c>
      <c r="BI14" s="186">
        <v>6.0999999999999999E-2</v>
      </c>
      <c r="BJ14" s="189">
        <v>42132</v>
      </c>
      <c r="BK14" s="190">
        <v>0.17399999999999999</v>
      </c>
      <c r="BN14" s="645"/>
      <c r="BO14" s="645"/>
      <c r="BP14" s="645"/>
    </row>
    <row r="15" spans="1:68" ht="15">
      <c r="G15" s="329"/>
      <c r="H15" s="305"/>
      <c r="I15" s="330" t="s">
        <v>8</v>
      </c>
      <c r="J15" s="64">
        <v>18.3</v>
      </c>
      <c r="K15" s="64">
        <v>18.489999999999998</v>
      </c>
      <c r="L15" s="64">
        <v>19.79</v>
      </c>
      <c r="M15" s="64">
        <v>19.79</v>
      </c>
      <c r="N15" s="64">
        <v>20.81</v>
      </c>
      <c r="O15" s="64">
        <v>20.81</v>
      </c>
      <c r="P15" s="64">
        <v>19.71</v>
      </c>
      <c r="Q15" s="64">
        <v>18.91</v>
      </c>
      <c r="R15" s="64">
        <v>26.32</v>
      </c>
      <c r="S15" s="339"/>
      <c r="T15" s="305"/>
      <c r="U15" s="305"/>
      <c r="V15" s="305"/>
      <c r="W15" s="331"/>
      <c r="X15" s="305"/>
      <c r="Y15" s="211"/>
      <c r="Z15" s="212" t="s">
        <v>427</v>
      </c>
      <c r="AA15" s="212">
        <v>11415</v>
      </c>
      <c r="AB15" s="213" t="s">
        <v>428</v>
      </c>
      <c r="AC15" s="305"/>
      <c r="AD15" s="314"/>
      <c r="AE15" s="305"/>
      <c r="AF15" s="305"/>
      <c r="AG15" s="305"/>
      <c r="AH15" s="314"/>
      <c r="AI15" s="305"/>
      <c r="AJ15" s="305"/>
      <c r="AK15" s="305"/>
      <c r="AL15" s="314"/>
      <c r="AM15" s="305"/>
      <c r="AN15" s="306"/>
      <c r="AO15" s="305"/>
      <c r="AP15" s="305"/>
      <c r="BH15" s="187">
        <v>42135</v>
      </c>
      <c r="BI15" s="180">
        <v>6.0999999999999999E-2</v>
      </c>
      <c r="BJ15" s="191">
        <v>42135</v>
      </c>
      <c r="BK15" s="192">
        <v>0.187</v>
      </c>
      <c r="BN15" s="94">
        <v>42095</v>
      </c>
      <c r="BO15" s="95">
        <v>0.16400000000000001</v>
      </c>
      <c r="BP15" s="96">
        <v>8.65</v>
      </c>
    </row>
    <row r="16" spans="1:68" ht="15">
      <c r="G16" s="329"/>
      <c r="H16" s="305"/>
      <c r="I16" s="330" t="s">
        <v>9</v>
      </c>
      <c r="J16" s="64">
        <v>4.42</v>
      </c>
      <c r="K16" s="64">
        <v>4.42</v>
      </c>
      <c r="L16" s="64">
        <v>4.46</v>
      </c>
      <c r="M16" s="64">
        <v>4.5</v>
      </c>
      <c r="N16" s="64">
        <v>4.5999999999999996</v>
      </c>
      <c r="O16" s="64">
        <v>4.6900000000000004</v>
      </c>
      <c r="P16" s="64">
        <v>4.76</v>
      </c>
      <c r="Q16" s="64">
        <v>4.84</v>
      </c>
      <c r="R16" s="64">
        <v>4.97</v>
      </c>
      <c r="S16" s="339"/>
      <c r="T16" s="305"/>
      <c r="U16" s="305"/>
      <c r="V16" s="305"/>
      <c r="W16" s="331"/>
      <c r="X16" s="305"/>
      <c r="Y16" s="211"/>
      <c r="Z16" s="214" t="s">
        <v>432</v>
      </c>
      <c r="AA16" s="214"/>
      <c r="AB16" s="215"/>
      <c r="AC16" s="305"/>
      <c r="AD16" s="314"/>
      <c r="AE16" s="305"/>
      <c r="AF16" s="305"/>
      <c r="AG16" s="305"/>
      <c r="AH16" s="314"/>
      <c r="AI16" s="305"/>
      <c r="AJ16" s="305"/>
      <c r="AK16" s="305"/>
      <c r="AL16" s="314"/>
      <c r="AM16" s="305"/>
      <c r="AN16" s="306"/>
      <c r="AO16" s="305"/>
      <c r="AP16" s="305"/>
      <c r="BH16" s="187">
        <v>42136</v>
      </c>
      <c r="BI16" s="180">
        <v>6.0999999999999999E-2</v>
      </c>
      <c r="BJ16" s="191">
        <v>42136</v>
      </c>
      <c r="BK16" s="192">
        <v>0.20399999999999999</v>
      </c>
      <c r="BN16" s="94">
        <v>42096</v>
      </c>
      <c r="BO16" s="95">
        <v>0.159</v>
      </c>
      <c r="BP16" s="96">
        <v>8.65</v>
      </c>
    </row>
    <row r="17" spans="1:68" ht="15">
      <c r="G17" s="329"/>
      <c r="H17" s="305"/>
      <c r="I17" s="330" t="s">
        <v>10</v>
      </c>
      <c r="J17" s="64">
        <v>12.1</v>
      </c>
      <c r="K17" s="64">
        <v>12.24</v>
      </c>
      <c r="L17" s="64">
        <v>12.31</v>
      </c>
      <c r="M17" s="64">
        <v>12.56</v>
      </c>
      <c r="N17" s="64">
        <v>12.83</v>
      </c>
      <c r="O17" s="64">
        <v>13.02</v>
      </c>
      <c r="P17" s="64">
        <v>13.24</v>
      </c>
      <c r="Q17" s="64">
        <v>13.63</v>
      </c>
      <c r="R17" s="64">
        <v>14.9</v>
      </c>
      <c r="S17" s="339"/>
      <c r="T17" s="305"/>
      <c r="U17" s="305"/>
      <c r="V17" s="305"/>
      <c r="W17" s="331"/>
      <c r="X17" s="305"/>
      <c r="Y17" s="216" t="s">
        <v>431</v>
      </c>
      <c r="Z17" s="217">
        <v>3750</v>
      </c>
      <c r="AA17" s="218">
        <f>+Z17/AA15</f>
        <v>0.32851511169513797</v>
      </c>
      <c r="AB17" s="215" t="s">
        <v>433</v>
      </c>
      <c r="AC17" s="305"/>
      <c r="AD17" s="314"/>
      <c r="AE17" s="305"/>
      <c r="AF17" s="305"/>
      <c r="AG17" s="305"/>
      <c r="AH17" s="314"/>
      <c r="AI17" s="305"/>
      <c r="AJ17" s="305"/>
      <c r="AK17" s="305"/>
      <c r="AL17" s="314"/>
      <c r="AM17" s="305"/>
      <c r="AN17" s="306"/>
      <c r="AO17" s="305"/>
      <c r="AP17" s="305"/>
      <c r="BH17" s="187">
        <v>42137</v>
      </c>
      <c r="BI17" s="180">
        <v>0.06</v>
      </c>
      <c r="BJ17" s="191">
        <v>42137</v>
      </c>
      <c r="BK17" s="192">
        <v>0.221</v>
      </c>
      <c r="BN17" s="94">
        <v>42097</v>
      </c>
      <c r="BO17" s="95">
        <v>0.156</v>
      </c>
      <c r="BP17" s="96">
        <v>8.65</v>
      </c>
    </row>
    <row r="18" spans="1:68" ht="15">
      <c r="G18" s="329"/>
      <c r="H18" s="305"/>
      <c r="I18" s="330" t="s">
        <v>11</v>
      </c>
      <c r="J18" s="64">
        <v>6.88</v>
      </c>
      <c r="K18" s="64">
        <v>6.88</v>
      </c>
      <c r="L18" s="64">
        <v>6.88</v>
      </c>
      <c r="M18" s="64">
        <v>6.88</v>
      </c>
      <c r="N18" s="64">
        <v>6.88</v>
      </c>
      <c r="O18" s="64">
        <v>6.88</v>
      </c>
      <c r="P18" s="64">
        <v>6.88</v>
      </c>
      <c r="Q18" s="64">
        <v>6.88</v>
      </c>
      <c r="R18" s="64">
        <v>6.88</v>
      </c>
      <c r="S18" s="339"/>
      <c r="T18" s="305"/>
      <c r="U18" s="305"/>
      <c r="V18" s="305"/>
      <c r="W18" s="331"/>
      <c r="X18" s="305"/>
      <c r="Y18" s="216" t="s">
        <v>430</v>
      </c>
      <c r="Z18" s="217">
        <v>29140</v>
      </c>
      <c r="AA18" s="218">
        <f>+Z18/AA15</f>
        <v>2.5527814279456855</v>
      </c>
      <c r="AB18" s="215" t="s">
        <v>433</v>
      </c>
      <c r="AC18" s="305"/>
      <c r="AD18" s="314"/>
      <c r="AE18" s="305"/>
      <c r="AF18" s="305"/>
      <c r="AG18" s="305"/>
      <c r="AH18" s="314"/>
      <c r="AI18" s="305"/>
      <c r="AJ18" s="305"/>
      <c r="AK18" s="305"/>
      <c r="AL18" s="314"/>
      <c r="AM18" s="305"/>
      <c r="AN18" s="306"/>
      <c r="AO18" s="305"/>
      <c r="AP18" s="305"/>
      <c r="BH18" s="187">
        <v>42138</v>
      </c>
      <c r="BI18" s="180">
        <v>5.8999999999999997E-2</v>
      </c>
      <c r="BJ18" s="191"/>
      <c r="BK18" s="193">
        <f>+BK17</f>
        <v>0.221</v>
      </c>
      <c r="BN18" s="94">
        <v>42101</v>
      </c>
      <c r="BO18" s="95">
        <v>0.153</v>
      </c>
      <c r="BP18" s="96">
        <v>8.64</v>
      </c>
    </row>
    <row r="19" spans="1:68" ht="15">
      <c r="G19" s="329"/>
      <c r="H19" s="305"/>
      <c r="I19" s="330" t="s">
        <v>12</v>
      </c>
      <c r="J19" s="342">
        <f>SUM(J12:J18)</f>
        <v>299.88000000000005</v>
      </c>
      <c r="K19" s="342">
        <f>SUM(K12:K18)</f>
        <v>300.21000000000004</v>
      </c>
      <c r="L19" s="342">
        <f>SUM(L12:L18)</f>
        <v>311.74</v>
      </c>
      <c r="M19" s="342">
        <f>SUM(M12:M18)</f>
        <v>226.64</v>
      </c>
      <c r="N19" s="342">
        <f>SUM(N12:N18)</f>
        <v>232.19</v>
      </c>
      <c r="O19" s="342">
        <f t="shared" ref="O19:R19" si="5">SUM(O12:O18)</f>
        <v>234.38000000000002</v>
      </c>
      <c r="P19" s="342">
        <f t="shared" si="5"/>
        <v>246.58</v>
      </c>
      <c r="Q19" s="342">
        <f t="shared" si="5"/>
        <v>263.64</v>
      </c>
      <c r="R19" s="342">
        <f t="shared" si="5"/>
        <v>279.33</v>
      </c>
      <c r="S19" s="339">
        <f t="shared" ref="S19" si="6">+R19/P19-1</f>
        <v>0.13281693568010366</v>
      </c>
      <c r="T19" s="305"/>
      <c r="U19" s="305"/>
      <c r="V19" s="305"/>
      <c r="W19" s="331"/>
      <c r="X19" s="305"/>
      <c r="Y19" s="216" t="s">
        <v>426</v>
      </c>
      <c r="Z19" s="214"/>
      <c r="AA19" s="219">
        <f>+-(AA18-AB19)</f>
        <v>-1.2777814279456856</v>
      </c>
      <c r="AB19" s="220">
        <v>1.2749999999999999</v>
      </c>
      <c r="AC19" s="305"/>
      <c r="AD19" s="314"/>
      <c r="AE19" s="305"/>
      <c r="AF19" s="305"/>
      <c r="AG19" s="305"/>
      <c r="AH19" s="314"/>
      <c r="AI19" s="305"/>
      <c r="AJ19" s="305"/>
      <c r="AK19" s="305"/>
      <c r="AL19" s="314"/>
      <c r="AM19" s="305"/>
      <c r="AN19" s="306"/>
      <c r="AO19" s="305"/>
      <c r="AP19" s="305"/>
      <c r="BH19" s="187">
        <v>42139</v>
      </c>
      <c r="BI19" s="180">
        <v>5.8000000000000003E-2</v>
      </c>
      <c r="BJ19" s="191">
        <v>42139</v>
      </c>
      <c r="BK19" s="192">
        <v>0.23799999999999999</v>
      </c>
      <c r="BN19" s="94">
        <v>42102</v>
      </c>
      <c r="BO19" s="95">
        <v>0.152</v>
      </c>
      <c r="BP19" s="96">
        <v>8.6300000000000008</v>
      </c>
    </row>
    <row r="20" spans="1:68" ht="15.75" thickBot="1">
      <c r="G20" s="329"/>
      <c r="H20" s="305"/>
      <c r="I20" s="411"/>
      <c r="J20" s="64"/>
      <c r="K20" s="64"/>
      <c r="L20" s="64"/>
      <c r="M20" s="64"/>
      <c r="N20" s="64"/>
      <c r="O20" s="64"/>
      <c r="P20" s="64"/>
      <c r="Q20" s="64"/>
      <c r="R20" s="64"/>
      <c r="S20" s="339"/>
      <c r="T20" s="305"/>
      <c r="U20" s="305"/>
      <c r="V20" s="305"/>
      <c r="W20" s="331"/>
      <c r="X20" s="305"/>
      <c r="Y20" s="221"/>
      <c r="Z20" s="222" t="s">
        <v>425</v>
      </c>
      <c r="AA20" s="223">
        <f>SUM(AA17:AA19)</f>
        <v>1.6035151116951378</v>
      </c>
      <c r="AB20" s="224" t="s">
        <v>433</v>
      </c>
      <c r="AC20" s="306"/>
      <c r="AD20" s="315"/>
      <c r="AE20" s="318"/>
      <c r="AF20" s="318"/>
      <c r="AG20" s="306"/>
      <c r="AH20" s="315"/>
      <c r="AI20" s="318"/>
      <c r="AJ20" s="318"/>
      <c r="AK20" s="306"/>
      <c r="AL20" s="315"/>
      <c r="AM20" s="305"/>
      <c r="AN20" s="306"/>
      <c r="AO20" s="305"/>
      <c r="AP20" s="305"/>
      <c r="BH20" s="187">
        <v>42142</v>
      </c>
      <c r="BI20" s="180">
        <v>5.6000000000000001E-2</v>
      </c>
      <c r="BJ20" s="191">
        <v>42142</v>
      </c>
      <c r="BK20" s="192">
        <v>0.25600000000000001</v>
      </c>
      <c r="BN20" s="94">
        <v>42103</v>
      </c>
      <c r="BO20" s="95">
        <v>0.153</v>
      </c>
      <c r="BP20" s="96">
        <v>8.6300000000000008</v>
      </c>
    </row>
    <row r="21" spans="1:68" ht="15">
      <c r="G21" s="528"/>
      <c r="H21" s="305"/>
      <c r="I21" s="412" t="s">
        <v>13</v>
      </c>
      <c r="J21" s="11">
        <f t="shared" ref="J21:R21" si="7">+J19+J10</f>
        <v>1154.32</v>
      </c>
      <c r="K21" s="11">
        <f t="shared" si="7"/>
        <v>1163.0700000000002</v>
      </c>
      <c r="L21" s="11">
        <f t="shared" si="7"/>
        <v>1230.8899999999999</v>
      </c>
      <c r="M21" s="11">
        <f t="shared" si="7"/>
        <v>1145.73</v>
      </c>
      <c r="N21" s="11">
        <f t="shared" si="7"/>
        <v>1201.0900000000001</v>
      </c>
      <c r="O21" s="11">
        <f t="shared" si="7"/>
        <v>1203.2800000000002</v>
      </c>
      <c r="P21" s="11">
        <f t="shared" si="7"/>
        <v>1147.4899999999998</v>
      </c>
      <c r="Q21" s="11">
        <f t="shared" si="7"/>
        <v>1116.3699999999999</v>
      </c>
      <c r="R21" s="11">
        <f t="shared" si="7"/>
        <v>1488.4300000000003</v>
      </c>
      <c r="S21" s="320">
        <f>+R21/Q21-1</f>
        <v>0.33327660184347518</v>
      </c>
      <c r="T21" s="305"/>
      <c r="U21" s="305"/>
      <c r="V21" s="305"/>
      <c r="W21" s="331"/>
      <c r="X21" s="305"/>
      <c r="Y21" s="305"/>
      <c r="Z21" s="313"/>
      <c r="AA21" s="318"/>
      <c r="AB21" s="316"/>
      <c r="AC21" s="306"/>
      <c r="AD21" s="315"/>
      <c r="AE21" s="318"/>
      <c r="AF21" s="316"/>
      <c r="AG21" s="306"/>
      <c r="AH21" s="315"/>
      <c r="AI21" s="318"/>
      <c r="AJ21" s="316"/>
      <c r="AK21" s="306"/>
      <c r="AL21" s="315"/>
      <c r="AM21" s="317"/>
      <c r="AN21" s="306"/>
      <c r="AO21" s="317"/>
      <c r="AP21" s="317"/>
      <c r="AQ21" s="307"/>
      <c r="AR21" s="307"/>
      <c r="AS21" s="307"/>
      <c r="AT21" s="307"/>
      <c r="AU21" s="307"/>
      <c r="AV21" s="307"/>
      <c r="AW21" s="307"/>
      <c r="AX21" s="307"/>
      <c r="AY21" s="307"/>
      <c r="AZ21" s="307"/>
      <c r="BA21" s="307"/>
      <c r="BB21" s="307"/>
      <c r="BH21" s="187">
        <v>42143</v>
      </c>
      <c r="BI21" s="180">
        <v>5.7000000000000002E-2</v>
      </c>
      <c r="BJ21" s="191">
        <v>42143</v>
      </c>
      <c r="BK21" s="192">
        <v>0.27200000000000002</v>
      </c>
      <c r="BN21" s="94">
        <v>42104</v>
      </c>
      <c r="BO21" s="95">
        <v>0.152</v>
      </c>
      <c r="BP21" s="96">
        <v>8.6300000000000008</v>
      </c>
    </row>
    <row r="22" spans="1:68" ht="15">
      <c r="G22" s="329"/>
      <c r="H22" s="305"/>
      <c r="I22" s="408">
        <f>SUM(J22:K22)</f>
        <v>23191.4</v>
      </c>
      <c r="J22" s="318">
        <f>+J21*8</f>
        <v>9234.56</v>
      </c>
      <c r="K22" s="318">
        <f t="shared" ref="K22:P22" si="8">+K21*12</f>
        <v>13956.840000000002</v>
      </c>
      <c r="L22" s="318">
        <f t="shared" si="8"/>
        <v>14770.679999999998</v>
      </c>
      <c r="M22" s="318">
        <f t="shared" si="8"/>
        <v>13748.76</v>
      </c>
      <c r="N22" s="318">
        <f t="shared" si="8"/>
        <v>14413.080000000002</v>
      </c>
      <c r="O22" s="318">
        <f t="shared" si="8"/>
        <v>14439.360000000002</v>
      </c>
      <c r="P22" s="318">
        <f t="shared" si="8"/>
        <v>13769.879999999997</v>
      </c>
      <c r="Q22" s="305"/>
      <c r="R22" s="305"/>
      <c r="S22" s="409">
        <f>+R21-Q21</f>
        <v>372.0600000000004</v>
      </c>
      <c r="T22" s="305"/>
      <c r="U22" s="305"/>
      <c r="V22" s="305"/>
      <c r="W22" s="331"/>
      <c r="X22" s="305"/>
      <c r="Y22" s="305"/>
      <c r="Z22" s="313"/>
      <c r="AA22" s="305"/>
      <c r="AB22" s="305"/>
      <c r="AC22" s="305"/>
      <c r="AD22" s="314"/>
      <c r="AE22" s="305"/>
      <c r="AF22" s="305"/>
      <c r="AG22" s="305"/>
      <c r="AH22" s="314"/>
      <c r="AI22" s="305"/>
      <c r="AJ22" s="305"/>
      <c r="AK22" s="305"/>
      <c r="AL22" s="314"/>
      <c r="AM22" s="305"/>
      <c r="AN22" s="305"/>
      <c r="AO22" s="305"/>
      <c r="AP22" s="305"/>
      <c r="BH22" s="187">
        <v>42144</v>
      </c>
      <c r="BI22" s="180">
        <v>5.5E-2</v>
      </c>
      <c r="BJ22" s="191">
        <v>42144</v>
      </c>
      <c r="BK22" s="192">
        <v>0.28699999999999998</v>
      </c>
      <c r="BN22" s="94">
        <v>42107</v>
      </c>
      <c r="BO22" s="95">
        <v>0.15</v>
      </c>
      <c r="BP22" s="96">
        <v>8.6199999999999992</v>
      </c>
    </row>
    <row r="23" spans="1:68" ht="15.75" thickBot="1">
      <c r="G23" s="343"/>
      <c r="H23" s="344"/>
      <c r="I23" s="410">
        <f>+I22/2</f>
        <v>11595.7</v>
      </c>
      <c r="J23" s="344"/>
      <c r="K23" s="344"/>
      <c r="L23" s="344"/>
      <c r="M23" s="344"/>
      <c r="N23" s="344"/>
      <c r="O23" s="344"/>
      <c r="P23" s="344"/>
      <c r="Q23" s="344"/>
      <c r="R23" s="344"/>
      <c r="S23" s="344"/>
      <c r="T23" s="344"/>
      <c r="U23" s="344"/>
      <c r="V23" s="344"/>
      <c r="W23" s="345"/>
      <c r="X23" s="305"/>
      <c r="Y23" s="305"/>
      <c r="Z23" s="305"/>
      <c r="AA23" s="305"/>
      <c r="AB23" s="305"/>
      <c r="AC23" s="305"/>
      <c r="AD23" s="305"/>
      <c r="AE23" s="305"/>
      <c r="AF23" s="305"/>
      <c r="AG23" s="305"/>
      <c r="AH23" s="314"/>
      <c r="AI23" s="305"/>
      <c r="AJ23" s="305"/>
      <c r="AK23" s="305"/>
      <c r="AL23" s="314"/>
      <c r="AM23" s="305"/>
      <c r="AN23" s="305"/>
      <c r="AO23" s="305"/>
      <c r="AP23" s="305"/>
      <c r="BH23" s="187">
        <v>42145</v>
      </c>
      <c r="BI23" s="180">
        <v>5.3999999999999999E-2</v>
      </c>
      <c r="BJ23" s="191">
        <v>42145</v>
      </c>
      <c r="BK23" s="192">
        <v>0.30499999999999999</v>
      </c>
      <c r="BN23" s="94">
        <v>42108</v>
      </c>
      <c r="BO23" s="95">
        <v>0.14699999999999999</v>
      </c>
      <c r="BP23" s="96">
        <v>8.6199999999999992</v>
      </c>
    </row>
    <row r="24" spans="1:68" s="225" customFormat="1" ht="15">
      <c r="I24" s="228"/>
      <c r="J24" s="398"/>
      <c r="K24" s="369"/>
      <c r="AD24" s="399"/>
      <c r="AE24" s="214"/>
      <c r="AF24" s="214"/>
      <c r="AG24" s="214"/>
      <c r="AH24" s="399"/>
      <c r="AI24" s="214"/>
      <c r="AJ24" s="214"/>
      <c r="AK24" s="214"/>
      <c r="AL24" s="399"/>
      <c r="AM24" s="214"/>
      <c r="AN24" s="214"/>
      <c r="AO24" s="214"/>
      <c r="AP24" s="214"/>
      <c r="BH24" s="400">
        <v>42146</v>
      </c>
      <c r="BI24" s="225">
        <v>5.3999999999999999E-2</v>
      </c>
      <c r="BJ24" s="401">
        <v>42146</v>
      </c>
      <c r="BK24" s="402">
        <v>0.31900000000000001</v>
      </c>
      <c r="BN24" s="401">
        <v>42109</v>
      </c>
      <c r="BO24" s="402">
        <v>0.14299999999999999</v>
      </c>
      <c r="BP24" s="403">
        <v>8.61</v>
      </c>
    </row>
    <row r="25" spans="1:68" s="225" customFormat="1" ht="15">
      <c r="B25" s="414">
        <f>+B32-B28</f>
        <v>52853.150000000373</v>
      </c>
      <c r="I25" s="228"/>
      <c r="J25" s="265"/>
      <c r="K25" s="369"/>
      <c r="AD25" s="399"/>
      <c r="AE25" s="214"/>
      <c r="AF25" s="214"/>
      <c r="AG25" s="214"/>
      <c r="AH25" s="399"/>
      <c r="AI25" s="214"/>
      <c r="AJ25" s="214"/>
      <c r="AK25" s="214"/>
      <c r="AL25" s="399"/>
      <c r="AM25" s="214"/>
      <c r="AN25" s="214"/>
      <c r="AO25" s="214"/>
      <c r="AP25" s="214"/>
      <c r="BH25" s="400">
        <v>42149</v>
      </c>
      <c r="BI25" s="225">
        <v>5.3999999999999999E-2</v>
      </c>
      <c r="BJ25" s="401"/>
      <c r="BK25" s="404">
        <f>+BK24</f>
        <v>0.31900000000000001</v>
      </c>
      <c r="BN25" s="401">
        <v>42110</v>
      </c>
      <c r="BO25" s="402">
        <v>0.13900000000000001</v>
      </c>
      <c r="BP25" s="403">
        <v>8.61</v>
      </c>
    </row>
    <row r="26" spans="1:68" ht="23.25">
      <c r="A26" s="523" t="s">
        <v>28</v>
      </c>
      <c r="D26" s="265">
        <f>+D28+D27</f>
        <v>1490400</v>
      </c>
      <c r="G26" s="276">
        <v>29876</v>
      </c>
      <c r="H26" s="225"/>
      <c r="I26" s="225"/>
      <c r="J26" s="225"/>
      <c r="K26" s="225"/>
      <c r="L26" s="225"/>
      <c r="M26" s="225"/>
      <c r="N26" s="225"/>
      <c r="O26" s="225"/>
      <c r="P26" s="225"/>
      <c r="Q26" s="225"/>
      <c r="R26" s="225"/>
      <c r="S26" s="225"/>
      <c r="T26" s="225"/>
      <c r="U26" s="225"/>
      <c r="V26" s="225"/>
      <c r="W26" s="225"/>
      <c r="X26" s="225"/>
      <c r="Y26" s="225"/>
      <c r="Z26" s="225"/>
      <c r="AA26" s="225"/>
      <c r="AB26" s="225"/>
      <c r="AC26" s="225"/>
      <c r="AD26" s="314"/>
      <c r="AE26" s="305"/>
      <c r="AF26" s="305"/>
      <c r="AG26" s="305"/>
      <c r="AH26" s="314"/>
      <c r="AI26" s="305"/>
      <c r="AJ26" s="305"/>
      <c r="AK26" s="305"/>
      <c r="AL26" s="314"/>
      <c r="AM26" s="305"/>
      <c r="AN26" s="305"/>
      <c r="AO26" s="305"/>
      <c r="AP26" s="305"/>
      <c r="BH26" s="187">
        <v>42150</v>
      </c>
      <c r="BI26" s="180">
        <v>5.1999999999999998E-2</v>
      </c>
      <c r="BJ26" s="191">
        <v>42150</v>
      </c>
      <c r="BK26" s="192">
        <v>0.33200000000000002</v>
      </c>
      <c r="BN26" s="94">
        <v>42111</v>
      </c>
      <c r="BO26" s="95">
        <v>0.13600000000000001</v>
      </c>
      <c r="BP26" s="96">
        <v>8.61</v>
      </c>
    </row>
    <row r="27" spans="1:68" ht="15">
      <c r="D27" s="276">
        <v>1190400</v>
      </c>
      <c r="E27" s="276"/>
      <c r="F27" s="414">
        <f>+D26-D33</f>
        <v>-447656.3899999999</v>
      </c>
      <c r="G27" s="217">
        <f>+G26/12</f>
        <v>2489.6666666666665</v>
      </c>
      <c r="H27" s="214"/>
      <c r="I27" s="529">
        <f>+I28-G10</f>
        <v>276280.09680156654</v>
      </c>
      <c r="J27" s="414">
        <f>+I27+I37</f>
        <v>361461.06019582239</v>
      </c>
      <c r="K27" s="225"/>
      <c r="L27" s="225"/>
      <c r="M27" s="225"/>
      <c r="N27" s="225"/>
      <c r="O27" s="225"/>
      <c r="P27" s="225"/>
      <c r="Q27" s="225"/>
      <c r="R27" s="225"/>
      <c r="S27" s="225"/>
      <c r="T27" s="414">
        <f>+H33-T28</f>
        <v>60942.610000000102</v>
      </c>
      <c r="U27" s="225"/>
      <c r="V27" s="225"/>
      <c r="W27" s="225"/>
      <c r="X27" s="225"/>
      <c r="Y27" s="225"/>
      <c r="Z27" s="225"/>
      <c r="AA27" s="225"/>
      <c r="AB27" s="225"/>
      <c r="AC27" s="225"/>
      <c r="AD27" s="302"/>
      <c r="AE27" s="302"/>
      <c r="AF27" s="302"/>
      <c r="AG27" s="302"/>
      <c r="AH27" s="302"/>
      <c r="AI27" s="302"/>
      <c r="AJ27" s="302"/>
      <c r="AM27" s="305"/>
      <c r="AN27" s="305"/>
      <c r="AO27" s="305"/>
      <c r="AP27" s="305"/>
      <c r="AQ27" s="305"/>
      <c r="AR27" s="305"/>
      <c r="AS27" s="305"/>
      <c r="AT27" s="305"/>
      <c r="AU27" s="305"/>
      <c r="BH27" s="187">
        <v>42151</v>
      </c>
      <c r="BI27" s="180">
        <v>0.05</v>
      </c>
      <c r="BJ27" s="191">
        <v>42151</v>
      </c>
      <c r="BK27" s="192">
        <v>0.34399999999999997</v>
      </c>
      <c r="BN27" s="94">
        <v>42114</v>
      </c>
      <c r="BO27" s="95">
        <v>0.13300000000000001</v>
      </c>
      <c r="BP27" s="96">
        <v>8.6</v>
      </c>
    </row>
    <row r="28" spans="1:68" ht="51">
      <c r="A28" s="378" t="s">
        <v>533</v>
      </c>
      <c r="B28" s="419">
        <v>2701941</v>
      </c>
      <c r="D28" s="276">
        <v>300000</v>
      </c>
      <c r="E28" s="276"/>
      <c r="G28" s="225" t="s">
        <v>550</v>
      </c>
      <c r="H28" s="490">
        <v>1427336.39</v>
      </c>
      <c r="I28" s="418">
        <f>+I33+I34+I35</f>
        <v>363243.85680156655</v>
      </c>
      <c r="J28" s="225"/>
      <c r="K28" s="225"/>
      <c r="L28" s="225"/>
      <c r="M28" s="225"/>
      <c r="N28" s="225"/>
      <c r="O28" s="225"/>
      <c r="P28" s="225"/>
      <c r="Q28" s="225"/>
      <c r="R28" s="225"/>
      <c r="S28" s="225"/>
      <c r="T28" s="414">
        <v>1427336.39</v>
      </c>
      <c r="U28" s="225"/>
      <c r="V28" s="414"/>
      <c r="W28" s="225"/>
      <c r="X28" s="225"/>
      <c r="Y28" s="226"/>
      <c r="Z28" s="361" t="s">
        <v>522</v>
      </c>
      <c r="AA28" s="361" t="s">
        <v>402</v>
      </c>
      <c r="AB28" s="225"/>
      <c r="AC28" s="225"/>
      <c r="AD28" s="302"/>
      <c r="AE28" s="302"/>
      <c r="AF28" s="302"/>
      <c r="AG28" s="302"/>
      <c r="AH28" s="302"/>
      <c r="AI28" s="302"/>
      <c r="AJ28" s="302"/>
      <c r="AM28" s="305"/>
      <c r="AN28" s="305"/>
      <c r="AO28" s="305"/>
      <c r="AP28" s="305"/>
      <c r="AQ28" s="305"/>
      <c r="AR28" s="305"/>
      <c r="AS28" s="305"/>
      <c r="AT28" s="305"/>
      <c r="AU28" s="305"/>
      <c r="BH28" s="187">
        <v>42152</v>
      </c>
      <c r="BI28" s="180">
        <v>4.9000000000000002E-2</v>
      </c>
      <c r="BJ28" s="191">
        <v>42152</v>
      </c>
      <c r="BK28" s="192">
        <v>0.35599999999999998</v>
      </c>
      <c r="BN28" s="94">
        <v>42115</v>
      </c>
      <c r="BO28" s="95">
        <v>0.129</v>
      </c>
      <c r="BP28" s="96">
        <v>8.6</v>
      </c>
    </row>
    <row r="29" spans="1:68" ht="16.5" thickBot="1">
      <c r="G29" s="513">
        <f>+C53-C41</f>
        <v>54154.418604651175</v>
      </c>
      <c r="H29" s="491">
        <f>+H28-H34</f>
        <v>977559</v>
      </c>
      <c r="I29" s="492">
        <f>+H28-H29</f>
        <v>449777.3899999999</v>
      </c>
      <c r="J29" s="414">
        <f>+H34-C53</f>
        <v>-55663.8503100776</v>
      </c>
      <c r="K29" s="414">
        <f>+F53-F41</f>
        <v>54154.418604651175</v>
      </c>
      <c r="L29" s="225"/>
      <c r="M29" s="225"/>
      <c r="N29" s="225"/>
      <c r="O29" s="225"/>
      <c r="P29" s="225">
        <f>+J6*6</f>
        <v>4324.08</v>
      </c>
      <c r="Q29" s="225"/>
      <c r="R29" s="225"/>
      <c r="S29" s="225" t="s">
        <v>465</v>
      </c>
      <c r="T29" s="225"/>
      <c r="U29" s="225"/>
      <c r="V29" s="225"/>
      <c r="W29" s="225"/>
      <c r="X29" s="225"/>
      <c r="Y29" s="364">
        <v>42489</v>
      </c>
      <c r="Z29" s="361">
        <f>+VLOOKUP(Y29,BH8:BI1997,2,FALSE)</f>
        <v>-0.14099999999999999</v>
      </c>
      <c r="AA29" s="361">
        <f>+VLOOKUP(Y29,BH8:BK1997,4,FALSE)</f>
        <v>0.107</v>
      </c>
      <c r="AB29" s="225"/>
      <c r="AC29" s="225"/>
      <c r="AD29" s="302"/>
      <c r="AE29" s="165">
        <f>+AE30/6</f>
        <v>1725.1933333333334</v>
      </c>
      <c r="AF29" s="302"/>
      <c r="AG29" s="302"/>
      <c r="AH29" s="107">
        <v>1.2500000000000001E-2</v>
      </c>
      <c r="AI29" s="108"/>
      <c r="AJ29" s="108"/>
      <c r="AM29" s="305"/>
      <c r="AN29" s="308"/>
      <c r="AO29" s="308"/>
      <c r="AP29" s="305"/>
      <c r="AQ29" s="305"/>
      <c r="AR29" s="305"/>
      <c r="AS29" s="305"/>
      <c r="AT29" s="305"/>
      <c r="AU29" s="305"/>
      <c r="BH29" s="187">
        <v>42153</v>
      </c>
      <c r="BI29" s="180">
        <v>4.9000000000000002E-2</v>
      </c>
      <c r="BJ29" s="191">
        <v>42153</v>
      </c>
      <c r="BK29" s="192">
        <v>0.36699999999999999</v>
      </c>
      <c r="BN29" s="94">
        <v>42116</v>
      </c>
      <c r="BO29" s="95">
        <v>0.125</v>
      </c>
      <c r="BP29" s="96">
        <v>8.59</v>
      </c>
    </row>
    <row r="30" spans="1:68" ht="15.75" thickBot="1">
      <c r="B30" s="597" t="s">
        <v>525</v>
      </c>
      <c r="C30" s="598"/>
      <c r="D30" s="598"/>
      <c r="E30" s="599"/>
      <c r="G30" s="379"/>
      <c r="H30" s="414">
        <f>+H33-H29</f>
        <v>510720</v>
      </c>
      <c r="I30" s="493">
        <f>+H37-H36</f>
        <v>413748.72</v>
      </c>
      <c r="J30" s="514">
        <f>+E41+E59</f>
        <v>112480</v>
      </c>
      <c r="K30" s="225"/>
      <c r="L30" s="424"/>
      <c r="M30" s="225"/>
      <c r="N30" s="225"/>
      <c r="O30" s="225"/>
      <c r="P30" s="225"/>
      <c r="Q30" s="225"/>
      <c r="R30" s="225"/>
      <c r="S30" s="297" t="s">
        <v>546</v>
      </c>
      <c r="T30" s="369"/>
      <c r="U30" s="369"/>
      <c r="V30" s="369"/>
      <c r="W30" s="225"/>
      <c r="X30" s="225"/>
      <c r="Y30" s="363" t="s">
        <v>523</v>
      </c>
      <c r="Z30" s="362">
        <f>+(Z29+Z29)/2+0.37</f>
        <v>0.22900000000000001</v>
      </c>
      <c r="AA30" s="226"/>
      <c r="AB30" s="225"/>
      <c r="AC30" s="225"/>
      <c r="AD30" s="351">
        <v>53851926633</v>
      </c>
      <c r="AE30" s="352">
        <v>10351.16</v>
      </c>
      <c r="AF30" s="51" t="s">
        <v>36</v>
      </c>
      <c r="AG30" s="176">
        <v>1.805E-3</v>
      </c>
      <c r="AH30" s="109" t="s">
        <v>403</v>
      </c>
      <c r="AI30" s="110"/>
      <c r="AJ30" s="110"/>
      <c r="AM30" s="305"/>
      <c r="AN30" s="308"/>
      <c r="AO30" s="308"/>
      <c r="AP30" s="305"/>
      <c r="AQ30" s="305"/>
      <c r="AR30" s="305"/>
      <c r="AS30" s="305"/>
      <c r="AT30" s="305"/>
      <c r="AU30" s="305"/>
      <c r="BH30" s="187">
        <v>42156</v>
      </c>
      <c r="BI30" s="180">
        <v>4.9000000000000002E-2</v>
      </c>
      <c r="BJ30" s="191">
        <v>42156</v>
      </c>
      <c r="BK30" s="192">
        <v>0.374</v>
      </c>
      <c r="BN30" s="94">
        <v>42117</v>
      </c>
      <c r="BO30" s="95">
        <v>0.122</v>
      </c>
      <c r="BP30" s="96">
        <v>8.59</v>
      </c>
    </row>
    <row r="31" spans="1:68" ht="16.5" thickBot="1">
      <c r="B31" s="595" t="s">
        <v>530</v>
      </c>
      <c r="D31" s="595" t="s">
        <v>548</v>
      </c>
      <c r="E31" s="596" t="s">
        <v>549</v>
      </c>
      <c r="H31" s="376" t="s">
        <v>548</v>
      </c>
      <c r="I31" s="377" t="s">
        <v>549</v>
      </c>
      <c r="J31" s="368"/>
      <c r="K31" s="376" t="s">
        <v>530</v>
      </c>
      <c r="L31" s="377" t="s">
        <v>444</v>
      </c>
      <c r="M31" s="225"/>
      <c r="N31" s="380"/>
      <c r="O31" s="381">
        <v>44225</v>
      </c>
      <c r="P31" s="382"/>
      <c r="Q31" s="383"/>
      <c r="R31" s="225"/>
      <c r="S31" s="296" t="s">
        <v>458</v>
      </c>
      <c r="T31" s="225"/>
      <c r="U31" s="225"/>
      <c r="V31" s="225"/>
      <c r="W31" s="225"/>
      <c r="X31" s="225"/>
      <c r="Y31" s="225"/>
      <c r="Z31" s="225"/>
      <c r="AA31" s="225"/>
      <c r="AB31" s="225"/>
      <c r="AC31" s="225"/>
      <c r="AD31" s="302"/>
      <c r="AE31" s="302"/>
      <c r="AM31" s="305"/>
      <c r="AN31" s="308"/>
      <c r="AO31" s="305"/>
      <c r="AP31" s="305"/>
      <c r="AQ31" s="305"/>
      <c r="AR31" s="305"/>
      <c r="AS31" s="305"/>
      <c r="AT31" s="305"/>
      <c r="AU31" s="305"/>
      <c r="BH31" s="187">
        <v>42157</v>
      </c>
      <c r="BI31" s="180">
        <v>4.8000000000000001E-2</v>
      </c>
      <c r="BJ31" s="191">
        <v>42157</v>
      </c>
      <c r="BK31" s="192">
        <v>0.38200000000000001</v>
      </c>
      <c r="BN31" s="94">
        <v>42118</v>
      </c>
      <c r="BO31" s="95">
        <v>0.11899999999999999</v>
      </c>
      <c r="BP31" s="96">
        <v>8.59</v>
      </c>
    </row>
    <row r="32" spans="1:68" ht="39" thickBot="1">
      <c r="A32" s="378" t="s">
        <v>531</v>
      </c>
      <c r="B32" s="419">
        <f>SUM(B33:B34)</f>
        <v>2754794.1500000004</v>
      </c>
      <c r="C32" s="378" t="s">
        <v>535</v>
      </c>
      <c r="D32" s="419">
        <f>SUM(D33:D37)</f>
        <v>2754794.1499999994</v>
      </c>
      <c r="E32" s="423">
        <f>+D32*$L$38</f>
        <v>463927.47434725839</v>
      </c>
      <c r="G32" s="488">
        <f>+D32/E32</f>
        <v>5.9379844961240309</v>
      </c>
      <c r="H32" s="484">
        <f>SUM(H33:H37)</f>
        <v>2754794.1499999994</v>
      </c>
      <c r="I32" s="423">
        <f>+H32*$L$38</f>
        <v>463927.47434725839</v>
      </c>
      <c r="J32" s="371" t="s">
        <v>439</v>
      </c>
      <c r="K32" s="372">
        <v>766</v>
      </c>
      <c r="L32" s="373">
        <v>129</v>
      </c>
      <c r="M32" s="225"/>
      <c r="N32" s="384"/>
      <c r="O32" s="385" t="s">
        <v>43</v>
      </c>
      <c r="P32" s="385"/>
      <c r="Q32" s="386"/>
      <c r="R32" s="225"/>
      <c r="S32" s="296" t="s">
        <v>459</v>
      </c>
      <c r="T32" s="225"/>
      <c r="U32" s="225"/>
      <c r="V32" s="225"/>
      <c r="W32" s="225"/>
      <c r="X32" s="225"/>
      <c r="Y32" s="225"/>
      <c r="Z32" s="225"/>
      <c r="AA32" s="225"/>
      <c r="AB32" s="225"/>
      <c r="AC32" s="225"/>
      <c r="AD32" s="52" t="s">
        <v>30</v>
      </c>
      <c r="AE32" s="15" t="s">
        <v>31</v>
      </c>
      <c r="AF32" s="52" t="s">
        <v>27</v>
      </c>
      <c r="AG32" s="52" t="s">
        <v>26</v>
      </c>
      <c r="AH32" s="52" t="s">
        <v>32</v>
      </c>
      <c r="AI32" s="52" t="s">
        <v>35</v>
      </c>
      <c r="AM32" s="305"/>
      <c r="AN32" s="308"/>
      <c r="AO32" s="321"/>
      <c r="AP32" s="305"/>
      <c r="AQ32" s="305"/>
      <c r="AR32" s="305"/>
      <c r="AS32" s="305"/>
      <c r="AT32" s="305"/>
      <c r="AU32" s="305"/>
      <c r="BH32" s="187">
        <v>42158</v>
      </c>
      <c r="BI32" s="180">
        <v>4.8000000000000001E-2</v>
      </c>
      <c r="BJ32" s="191">
        <v>42158</v>
      </c>
      <c r="BK32" s="192">
        <v>0.39300000000000002</v>
      </c>
      <c r="BN32" s="94">
        <v>42121</v>
      </c>
      <c r="BO32" s="95">
        <v>0.11600000000000001</v>
      </c>
      <c r="BP32" s="96">
        <v>8.58</v>
      </c>
    </row>
    <row r="33" spans="1:68" ht="25.5">
      <c r="A33" s="420" t="s">
        <v>534</v>
      </c>
      <c r="B33" s="421">
        <v>2273780.37</v>
      </c>
      <c r="C33" s="517" t="s">
        <v>430</v>
      </c>
      <c r="D33" s="517">
        <v>1938056.39</v>
      </c>
      <c r="E33" s="426">
        <f>+D33*$L$38</f>
        <v>326382.86463446473</v>
      </c>
      <c r="G33" s="507" t="s">
        <v>1</v>
      </c>
      <c r="H33" s="505">
        <v>1488279</v>
      </c>
      <c r="I33" s="506">
        <f>+H33*$L$38</f>
        <v>250637.06396866843</v>
      </c>
      <c r="J33" s="374" t="s">
        <v>438</v>
      </c>
      <c r="K33" s="431">
        <v>592.36</v>
      </c>
      <c r="L33" s="432">
        <v>98.63</v>
      </c>
      <c r="M33" s="225">
        <v>1</v>
      </c>
      <c r="N33" s="387"/>
      <c r="O33" s="388" t="s">
        <v>44</v>
      </c>
      <c r="P33" s="389">
        <v>344868.47</v>
      </c>
      <c r="Q33" s="390"/>
      <c r="R33" s="225"/>
      <c r="S33" s="296" t="s">
        <v>460</v>
      </c>
      <c r="T33" s="225"/>
      <c r="U33" s="225"/>
      <c r="V33" s="225"/>
      <c r="W33" s="225"/>
      <c r="X33" s="225"/>
      <c r="Y33" s="225"/>
      <c r="Z33" s="225"/>
      <c r="AA33" s="225"/>
      <c r="AB33" s="225"/>
      <c r="AC33" s="225"/>
      <c r="AD33" s="26">
        <v>42856</v>
      </c>
      <c r="AE33">
        <v>0</v>
      </c>
      <c r="AF33">
        <v>9919.2099999999991</v>
      </c>
      <c r="AH33" s="112">
        <v>466052.01</v>
      </c>
      <c r="AM33" s="305"/>
      <c r="AN33" s="308"/>
      <c r="AO33" s="321"/>
      <c r="AP33" s="305"/>
      <c r="AQ33" s="321"/>
      <c r="AR33" s="305"/>
      <c r="AS33" s="305"/>
      <c r="AT33" s="305"/>
      <c r="AU33" s="305"/>
      <c r="BH33" s="187">
        <v>42159</v>
      </c>
      <c r="BI33" s="180">
        <v>4.9000000000000002E-2</v>
      </c>
      <c r="BJ33" s="191"/>
      <c r="BK33" s="193">
        <f>+BK32</f>
        <v>0.39300000000000002</v>
      </c>
      <c r="BN33" s="94">
        <v>42122</v>
      </c>
      <c r="BO33" s="95">
        <v>0.113</v>
      </c>
      <c r="BP33" s="96">
        <v>8.58</v>
      </c>
    </row>
    <row r="34" spans="1:68" ht="15">
      <c r="A34" s="420" t="s">
        <v>527</v>
      </c>
      <c r="B34" s="421">
        <v>481013.78</v>
      </c>
      <c r="C34" s="370"/>
      <c r="D34" s="370"/>
      <c r="E34" s="370"/>
      <c r="G34" s="515" t="s">
        <v>0</v>
      </c>
      <c r="H34" s="503">
        <f>1938056.39-H33</f>
        <v>449777.3899999999</v>
      </c>
      <c r="I34" s="516">
        <f t="shared" ref="I34:I37" si="9">+H34*$L$38</f>
        <v>75745.800665796327</v>
      </c>
      <c r="J34" s="371" t="s">
        <v>440</v>
      </c>
      <c r="K34" s="431">
        <v>470.19</v>
      </c>
      <c r="L34" s="432">
        <v>73.69</v>
      </c>
      <c r="M34" s="225">
        <v>1</v>
      </c>
      <c r="N34" s="387"/>
      <c r="O34" s="388" t="s">
        <v>45</v>
      </c>
      <c r="P34" s="389">
        <v>36480</v>
      </c>
      <c r="Q34" s="390"/>
      <c r="R34" s="225"/>
      <c r="S34" s="296" t="s">
        <v>461</v>
      </c>
      <c r="T34" s="225"/>
      <c r="U34" s="225"/>
      <c r="V34" s="225"/>
      <c r="W34" s="225"/>
      <c r="X34" s="225"/>
      <c r="Y34" s="225"/>
      <c r="Z34" s="225"/>
      <c r="AA34" s="225"/>
      <c r="AB34" s="225"/>
      <c r="AC34" s="225"/>
      <c r="AD34" s="26">
        <v>43040</v>
      </c>
      <c r="AE34" s="7">
        <f t="shared" ref="AE34:AE79" si="10">+$AE$30</f>
        <v>10351.16</v>
      </c>
      <c r="AF34" s="7">
        <f>+AE34-AG34</f>
        <v>9921.2011289966667</v>
      </c>
      <c r="AG34" s="7">
        <f t="shared" ref="AG34:AG79" si="11">+AH33*$AG$30*(AD34-AD33)/360</f>
        <v>429.9588710033334</v>
      </c>
      <c r="AH34" s="7">
        <f>+AH33-AF34</f>
        <v>456130.80887100333</v>
      </c>
      <c r="AM34" s="305"/>
      <c r="AN34" s="308"/>
      <c r="AO34" s="321"/>
      <c r="AP34" s="305"/>
      <c r="AQ34" s="305"/>
      <c r="AR34" s="305"/>
      <c r="AS34" s="305"/>
      <c r="AT34" s="305"/>
      <c r="AU34" s="305"/>
      <c r="BH34" s="187">
        <v>42160</v>
      </c>
      <c r="BI34" s="180">
        <v>0.05</v>
      </c>
      <c r="BJ34" s="191">
        <v>42160</v>
      </c>
      <c r="BK34" s="192">
        <v>0.40600000000000003</v>
      </c>
      <c r="BN34" s="94">
        <v>42123</v>
      </c>
      <c r="BO34" s="95">
        <v>0.114</v>
      </c>
      <c r="BP34" s="96">
        <v>8.57</v>
      </c>
    </row>
    <row r="35" spans="1:68" ht="15.75" thickBot="1">
      <c r="B35" s="532">
        <f>+B34*L38</f>
        <v>81006.23710182769</v>
      </c>
      <c r="C35" s="518" t="s">
        <v>536</v>
      </c>
      <c r="D35" s="519">
        <v>218880</v>
      </c>
      <c r="E35" s="426">
        <f>+D35*$L$38</f>
        <v>36860.992167101831</v>
      </c>
      <c r="G35" s="365" t="s">
        <v>526</v>
      </c>
      <c r="H35" s="504">
        <v>218880</v>
      </c>
      <c r="I35" s="433">
        <f t="shared" si="9"/>
        <v>36860.992167101831</v>
      </c>
      <c r="J35" s="375" t="s">
        <v>441</v>
      </c>
      <c r="K35" s="431">
        <v>37.44</v>
      </c>
      <c r="L35" s="432">
        <v>6.24</v>
      </c>
      <c r="M35" s="225">
        <v>0.95</v>
      </c>
      <c r="N35" s="391"/>
      <c r="O35" s="392" t="s">
        <v>46</v>
      </c>
      <c r="P35" s="393">
        <v>82579</v>
      </c>
      <c r="Q35" s="390"/>
      <c r="R35" s="225"/>
      <c r="S35" s="297" t="s">
        <v>462</v>
      </c>
      <c r="T35" s="225"/>
      <c r="U35" s="225"/>
      <c r="V35" s="225"/>
      <c r="W35" s="225"/>
      <c r="X35" s="225"/>
      <c r="Y35" s="225"/>
      <c r="Z35" s="225"/>
      <c r="AA35" s="225"/>
      <c r="AB35" s="225"/>
      <c r="AC35" s="225"/>
      <c r="AD35" s="26">
        <v>43221</v>
      </c>
      <c r="AE35" s="7">
        <f t="shared" si="10"/>
        <v>10351.16</v>
      </c>
      <c r="AF35" s="7">
        <f>+AE35-AG35</f>
        <v>9937.2149557994417</v>
      </c>
      <c r="AG35" s="7">
        <f t="shared" si="11"/>
        <v>413.9450442005587</v>
      </c>
      <c r="AH35" s="7">
        <f>+AH34-AF35</f>
        <v>446193.59391520388</v>
      </c>
      <c r="AM35" s="305"/>
      <c r="AN35" s="308"/>
      <c r="AO35" s="321"/>
      <c r="AP35" s="305"/>
      <c r="AQ35" s="305"/>
      <c r="AR35" s="305"/>
      <c r="AS35" s="305"/>
      <c r="AT35" s="305"/>
      <c r="AU35" s="305"/>
      <c r="BH35" s="187">
        <v>42163</v>
      </c>
      <c r="BI35" s="180">
        <v>4.9000000000000002E-2</v>
      </c>
      <c r="BJ35" s="191">
        <v>42163</v>
      </c>
      <c r="BK35" s="192">
        <v>0.41499999999999998</v>
      </c>
      <c r="BN35" s="94">
        <v>42124</v>
      </c>
      <c r="BO35" s="95">
        <v>0.12</v>
      </c>
      <c r="BP35" s="96">
        <v>8.57</v>
      </c>
    </row>
    <row r="36" spans="1:68" ht="15.75" thickBot="1">
      <c r="B36" s="414"/>
      <c r="C36" s="510" t="s">
        <v>537</v>
      </c>
      <c r="D36" s="422">
        <f>+H36</f>
        <v>92054.52</v>
      </c>
      <c r="E36" s="427">
        <f t="shared" ref="E36:E37" si="12">+D36*$L$38</f>
        <v>15502.654151436032</v>
      </c>
      <c r="G36" s="508" t="s">
        <v>528</v>
      </c>
      <c r="H36" s="482">
        <v>92054.52</v>
      </c>
      <c r="I36" s="430">
        <f t="shared" si="9"/>
        <v>15502.654151436032</v>
      </c>
      <c r="J36" s="375" t="s">
        <v>442</v>
      </c>
      <c r="K36" s="431">
        <v>138.38</v>
      </c>
      <c r="L36" s="432">
        <v>23.27</v>
      </c>
      <c r="M36" s="225">
        <f>+M35</f>
        <v>0.95</v>
      </c>
      <c r="N36" s="387"/>
      <c r="O36" s="394">
        <f>+P36-AH33</f>
        <v>-2124.5400000000373</v>
      </c>
      <c r="P36" s="395">
        <f>SUM(P33:P35)</f>
        <v>463927.47</v>
      </c>
      <c r="Q36" s="390"/>
      <c r="R36" s="225"/>
      <c r="S36" s="296" t="s">
        <v>463</v>
      </c>
      <c r="T36" s="225"/>
      <c r="U36" s="225"/>
      <c r="V36" s="225"/>
      <c r="W36" s="225"/>
      <c r="X36" s="225"/>
      <c r="Y36" s="225"/>
      <c r="Z36" s="225"/>
      <c r="AA36" s="225"/>
      <c r="AB36" s="225"/>
      <c r="AC36" s="225"/>
      <c r="AD36" s="26">
        <v>43405</v>
      </c>
      <c r="AE36" s="7">
        <f t="shared" si="10"/>
        <v>10351.16</v>
      </c>
      <c r="AF36" s="7">
        <f>+AE36-AG36</f>
        <v>9939.5216210802282</v>
      </c>
      <c r="AG36" s="7">
        <f t="shared" si="11"/>
        <v>411.6383789197709</v>
      </c>
      <c r="AH36" s="7">
        <f t="shared" ref="AH36:AH67" si="13">+AH35-AF36</f>
        <v>436254.07229412365</v>
      </c>
      <c r="AM36" s="305"/>
      <c r="AN36" s="308"/>
      <c r="AO36" s="321"/>
      <c r="AP36" s="305"/>
      <c r="AQ36" s="321"/>
      <c r="AR36" s="305"/>
      <c r="AS36" s="305"/>
      <c r="AT36" s="305"/>
      <c r="AU36" s="305"/>
      <c r="BH36" s="187">
        <v>42164</v>
      </c>
      <c r="BI36" s="180">
        <v>4.9000000000000002E-2</v>
      </c>
      <c r="BJ36" s="191">
        <v>42164</v>
      </c>
      <c r="BK36" s="192">
        <v>0.42399999999999999</v>
      </c>
      <c r="BN36" s="94">
        <v>42128</v>
      </c>
      <c r="BO36" s="95">
        <v>0.127</v>
      </c>
      <c r="BP36" s="96">
        <v>8.56</v>
      </c>
    </row>
    <row r="37" spans="1:68" ht="15.75" thickBot="1">
      <c r="C37" s="511" t="s">
        <v>529</v>
      </c>
      <c r="D37" s="450">
        <f>+H37</f>
        <v>505803.24</v>
      </c>
      <c r="E37" s="451">
        <f t="shared" si="12"/>
        <v>85180.963394255872</v>
      </c>
      <c r="G37" s="509" t="s">
        <v>529</v>
      </c>
      <c r="H37" s="429">
        <v>505803.24</v>
      </c>
      <c r="I37" s="430">
        <f t="shared" si="9"/>
        <v>85180.963394255872</v>
      </c>
      <c r="J37" s="375" t="s">
        <v>427</v>
      </c>
      <c r="K37" s="431">
        <f>SUM(K33:K36)</f>
        <v>1238.3699999999999</v>
      </c>
      <c r="L37" s="486">
        <f>+SUMPRODUCT(L33:L36,$M$33:$M$36)</f>
        <v>200.35449999999997</v>
      </c>
      <c r="M37" s="225"/>
      <c r="N37" s="387"/>
      <c r="O37" s="396"/>
      <c r="P37" s="396"/>
      <c r="Q37" s="390"/>
      <c r="R37" s="225"/>
      <c r="S37" s="296" t="s">
        <v>464</v>
      </c>
      <c r="T37" s="225"/>
      <c r="U37" s="225"/>
      <c r="V37" s="225"/>
      <c r="W37" s="225"/>
      <c r="X37" s="225"/>
      <c r="Y37" s="225"/>
      <c r="Z37" s="225"/>
      <c r="AA37" s="225"/>
      <c r="AB37" s="225"/>
      <c r="AC37" s="225"/>
      <c r="AD37" s="26">
        <v>43586</v>
      </c>
      <c r="AE37" s="7">
        <f t="shared" si="10"/>
        <v>10351.16</v>
      </c>
      <c r="AF37" s="7">
        <f t="shared" ref="AF37:AF79" si="14">+AE37-AG37</f>
        <v>9955.2533703087447</v>
      </c>
      <c r="AG37" s="7">
        <f t="shared" si="11"/>
        <v>395.90662969125464</v>
      </c>
      <c r="AH37" s="7">
        <f t="shared" si="13"/>
        <v>426298.81892381492</v>
      </c>
      <c r="AM37" s="305"/>
      <c r="AN37" s="308"/>
      <c r="AO37" s="321"/>
      <c r="AP37" s="305"/>
      <c r="AQ37" s="305"/>
      <c r="AR37" s="305"/>
      <c r="AS37" s="305"/>
      <c r="AT37" s="305"/>
      <c r="AU37" s="305"/>
      <c r="BH37" s="187">
        <v>42165</v>
      </c>
      <c r="BI37" s="180">
        <v>4.9000000000000002E-2</v>
      </c>
      <c r="BJ37" s="191">
        <v>42165</v>
      </c>
      <c r="BK37" s="192">
        <v>0.437</v>
      </c>
      <c r="BN37" s="94">
        <v>42129</v>
      </c>
      <c r="BO37" s="95">
        <v>0.13500000000000001</v>
      </c>
      <c r="BP37" s="96">
        <v>8.56</v>
      </c>
    </row>
    <row r="38" spans="1:68" ht="18.75" thickBot="1">
      <c r="A38" s="452"/>
      <c r="B38" s="468">
        <f>+B39-C39</f>
        <v>1447.8099999999977</v>
      </c>
      <c r="C38" s="469" t="s">
        <v>544</v>
      </c>
      <c r="D38" s="452"/>
      <c r="E38" s="468">
        <f>+E39-F39</f>
        <v>378.19999999999891</v>
      </c>
      <c r="F38" s="469" t="s">
        <v>545</v>
      </c>
      <c r="H38" s="265"/>
      <c r="I38" s="225"/>
      <c r="J38" s="428" t="s">
        <v>454</v>
      </c>
      <c r="K38" s="485">
        <v>1</v>
      </c>
      <c r="L38" s="489">
        <f>+L32/K32</f>
        <v>0.16840731070496084</v>
      </c>
      <c r="M38" s="225"/>
      <c r="N38" s="405"/>
      <c r="O38" s="406" t="s">
        <v>532</v>
      </c>
      <c r="P38" s="407">
        <v>5776.89</v>
      </c>
      <c r="Q38" s="397"/>
      <c r="R38" s="225"/>
      <c r="S38" s="225"/>
      <c r="T38" s="225"/>
      <c r="U38" s="225"/>
      <c r="V38" s="225"/>
      <c r="W38" s="225"/>
      <c r="X38" s="225"/>
      <c r="Y38" s="225"/>
      <c r="Z38" s="225"/>
      <c r="AA38" s="225"/>
      <c r="AB38" s="225"/>
      <c r="AC38" s="225"/>
      <c r="AD38" s="26">
        <v>43770</v>
      </c>
      <c r="AE38" s="7">
        <f t="shared" si="10"/>
        <v>10351.16</v>
      </c>
      <c r="AF38" s="7">
        <f t="shared" si="14"/>
        <v>9957.8756562750623</v>
      </c>
      <c r="AG38" s="7">
        <f t="shared" si="11"/>
        <v>393.28434372493723</v>
      </c>
      <c r="AH38" s="7">
        <f t="shared" si="13"/>
        <v>416340.94326753984</v>
      </c>
      <c r="AM38" s="305"/>
      <c r="AN38" s="308"/>
      <c r="AO38" s="321"/>
      <c r="AP38" s="305"/>
      <c r="AQ38" s="305"/>
      <c r="AR38" s="305"/>
      <c r="AS38" s="305"/>
      <c r="AT38" s="305"/>
      <c r="AU38" s="305"/>
      <c r="BH38" s="187">
        <v>42166</v>
      </c>
      <c r="BI38" s="180">
        <v>4.9000000000000002E-2</v>
      </c>
      <c r="BJ38" s="191">
        <v>42166</v>
      </c>
      <c r="BK38" s="192">
        <v>0.44900000000000001</v>
      </c>
      <c r="BN38" s="94">
        <v>42130</v>
      </c>
      <c r="BO38" s="95">
        <v>0.14699999999999999</v>
      </c>
      <c r="BP38" s="96">
        <v>8.56</v>
      </c>
    </row>
    <row r="39" spans="1:68" ht="15.75" thickBot="1">
      <c r="A39" s="470" t="s">
        <v>547</v>
      </c>
      <c r="B39" s="471">
        <f>+L10*12</f>
        <v>11029.8</v>
      </c>
      <c r="C39" s="512">
        <f>+C43+C47+C51+C57+C62</f>
        <v>9581.9900000000016</v>
      </c>
      <c r="D39" s="487"/>
      <c r="E39" s="472">
        <f>+Q10*12</f>
        <v>10232.76</v>
      </c>
      <c r="F39" s="512">
        <f>+F43+F47+F51+F57+F62</f>
        <v>9854.5600000000013</v>
      </c>
      <c r="G39" s="228" t="s">
        <v>31</v>
      </c>
      <c r="H39" s="242">
        <v>28276.813773831527</v>
      </c>
      <c r="I39" s="525">
        <f>+H39*L38</f>
        <v>4762.0221629559628</v>
      </c>
      <c r="J39" s="526">
        <f>+I39/6</f>
        <v>793.67036049266051</v>
      </c>
      <c r="K39" s="225"/>
      <c r="L39" s="276"/>
      <c r="M39" s="276"/>
      <c r="N39" s="225"/>
      <c r="O39" s="225"/>
      <c r="P39" s="225"/>
      <c r="Q39" s="227"/>
      <c r="R39" s="225"/>
      <c r="S39" s="225"/>
      <c r="T39" s="225"/>
      <c r="U39" s="227"/>
      <c r="V39" s="225"/>
      <c r="W39" s="225"/>
      <c r="X39" s="225"/>
      <c r="Y39" s="225"/>
      <c r="Z39" s="225"/>
      <c r="AA39" s="225"/>
      <c r="AB39" s="225"/>
      <c r="AD39" s="26">
        <v>43952</v>
      </c>
      <c r="AE39" s="7">
        <f t="shared" si="10"/>
        <v>10351.16</v>
      </c>
      <c r="AF39" s="7">
        <f t="shared" si="14"/>
        <v>9971.2373242421672</v>
      </c>
      <c r="AG39" s="7">
        <f t="shared" si="11"/>
        <v>379.922675757832</v>
      </c>
      <c r="AH39" s="7">
        <f t="shared" si="13"/>
        <v>406369.70594329765</v>
      </c>
      <c r="AM39" s="305"/>
      <c r="AN39" s="308"/>
      <c r="AO39" s="321"/>
      <c r="AP39" s="305"/>
      <c r="AQ39" s="321"/>
      <c r="AR39" s="305"/>
      <c r="AS39" s="305"/>
      <c r="AT39" s="305"/>
      <c r="AU39" s="305"/>
      <c r="BH39" s="187">
        <v>42167</v>
      </c>
      <c r="BI39" s="180">
        <v>0.05</v>
      </c>
      <c r="BJ39" s="191">
        <v>42167</v>
      </c>
      <c r="BK39" s="192">
        <v>0.45600000000000002</v>
      </c>
      <c r="BN39" s="94">
        <v>42131</v>
      </c>
      <c r="BO39" s="95">
        <v>0.16200000000000001</v>
      </c>
      <c r="BP39" s="96">
        <v>8.5399999999999991</v>
      </c>
    </row>
    <row r="40" spans="1:68" ht="18.75" thickBot="1">
      <c r="A40" s="435" t="s">
        <v>538</v>
      </c>
      <c r="B40" s="499" t="s">
        <v>543</v>
      </c>
      <c r="C40" s="436"/>
      <c r="D40" s="453"/>
      <c r="E40" s="214"/>
      <c r="F40" s="441"/>
      <c r="H40" s="225"/>
      <c r="I40" s="225"/>
      <c r="J40" s="225"/>
      <c r="K40" s="225"/>
      <c r="L40" s="225"/>
      <c r="M40" s="527">
        <v>44910</v>
      </c>
      <c r="N40" s="225"/>
      <c r="O40" s="527">
        <v>44910</v>
      </c>
      <c r="P40" s="225"/>
      <c r="Q40" s="225"/>
      <c r="R40" s="225"/>
      <c r="S40" s="225"/>
      <c r="T40" s="413">
        <f>+EDATE(G43,12*25)</f>
        <v>51257</v>
      </c>
      <c r="U40" s="284" t="s">
        <v>450</v>
      </c>
      <c r="V40" s="225"/>
      <c r="W40" s="266">
        <v>510720</v>
      </c>
      <c r="X40" s="225"/>
      <c r="Y40" s="225"/>
      <c r="Z40" s="252">
        <f>+EDATE(M43,12*34)</f>
        <v>12419</v>
      </c>
      <c r="AA40" s="284" t="s">
        <v>449</v>
      </c>
      <c r="AB40" s="225"/>
      <c r="AC40" s="266">
        <v>218880</v>
      </c>
      <c r="AD40" s="172">
        <v>44136</v>
      </c>
      <c r="AE40" s="173">
        <f t="shared" si="10"/>
        <v>10351.16</v>
      </c>
      <c r="AF40" s="173">
        <f t="shared" si="14"/>
        <v>9976.2613701725331</v>
      </c>
      <c r="AG40" s="173">
        <f t="shared" si="11"/>
        <v>374.89862982746666</v>
      </c>
      <c r="AH40" s="173">
        <f t="shared" si="13"/>
        <v>396393.4445731251</v>
      </c>
      <c r="AI40" s="72"/>
      <c r="AM40" s="305"/>
      <c r="AN40" s="308"/>
      <c r="AO40" s="321"/>
      <c r="AP40" s="305"/>
      <c r="AQ40" s="305"/>
      <c r="AR40" s="305"/>
      <c r="AS40" s="305"/>
      <c r="AT40" s="305"/>
      <c r="AU40" s="305"/>
      <c r="BH40" s="187">
        <v>42170</v>
      </c>
      <c r="BI40" s="180">
        <v>4.9000000000000002E-2</v>
      </c>
      <c r="BJ40" s="191">
        <v>42170</v>
      </c>
      <c r="BK40" s="192">
        <v>0.46300000000000002</v>
      </c>
      <c r="BN40" s="94">
        <v>42132</v>
      </c>
      <c r="BO40" s="95">
        <v>0.17399999999999999</v>
      </c>
      <c r="BP40" s="96">
        <v>8.5399999999999991</v>
      </c>
    </row>
    <row r="41" spans="1:68" ht="18.75" thickBot="1">
      <c r="A41" s="454" t="s">
        <v>539</v>
      </c>
      <c r="B41" s="497">
        <v>76000</v>
      </c>
      <c r="C41" s="498">
        <f>+B41*$G$32</f>
        <v>451286.82170542632</v>
      </c>
      <c r="D41" s="473" t="s">
        <v>539</v>
      </c>
      <c r="E41" s="497">
        <v>76000</v>
      </c>
      <c r="F41" s="498">
        <f>+E41*$G$32</f>
        <v>451286.82170542632</v>
      </c>
      <c r="G41" s="252">
        <f>+EDATE(G43,12*35)</f>
        <v>54909</v>
      </c>
      <c r="H41" s="284" t="s">
        <v>437</v>
      </c>
      <c r="I41" s="225"/>
      <c r="J41" s="225"/>
      <c r="K41" s="225"/>
      <c r="L41" s="225"/>
      <c r="M41" s="291" t="s">
        <v>456</v>
      </c>
      <c r="N41" s="225"/>
      <c r="O41" s="291" t="s">
        <v>456</v>
      </c>
      <c r="P41" s="225"/>
      <c r="Q41" s="225"/>
      <c r="R41" s="225"/>
      <c r="S41" s="225"/>
      <c r="T41" s="255" t="s">
        <v>31</v>
      </c>
      <c r="U41" s="52" t="s">
        <v>27</v>
      </c>
      <c r="V41" s="52" t="s">
        <v>26</v>
      </c>
      <c r="W41" s="231" t="s">
        <v>32</v>
      </c>
      <c r="X41" s="233" t="s">
        <v>436</v>
      </c>
      <c r="Y41" s="253" t="s">
        <v>444</v>
      </c>
      <c r="Z41" s="255" t="s">
        <v>31</v>
      </c>
      <c r="AA41" s="52" t="s">
        <v>27</v>
      </c>
      <c r="AB41" s="52" t="s">
        <v>26</v>
      </c>
      <c r="AC41" s="231" t="s">
        <v>32</v>
      </c>
      <c r="AD41" s="26">
        <v>44317</v>
      </c>
      <c r="AE41" s="7">
        <f t="shared" si="10"/>
        <v>10351.16</v>
      </c>
      <c r="AF41" s="7">
        <f t="shared" si="14"/>
        <v>9991.4274435853804</v>
      </c>
      <c r="AG41" s="7">
        <f t="shared" si="11"/>
        <v>359.73255641461895</v>
      </c>
      <c r="AH41" s="7">
        <f t="shared" si="13"/>
        <v>386402.01712953974</v>
      </c>
      <c r="AM41" s="305"/>
      <c r="AN41" s="308"/>
      <c r="AO41" s="321"/>
      <c r="AP41" s="305"/>
      <c r="AQ41" s="305"/>
      <c r="AR41" s="305"/>
      <c r="AS41" s="305"/>
      <c r="AT41" s="305"/>
      <c r="AU41" s="305"/>
      <c r="BH41" s="187">
        <v>42171</v>
      </c>
      <c r="BI41" s="180">
        <v>5.0999999999999997E-2</v>
      </c>
      <c r="BJ41" s="191">
        <v>42171</v>
      </c>
      <c r="BK41" s="192">
        <v>0.47</v>
      </c>
      <c r="BN41" s="94">
        <v>42135</v>
      </c>
      <c r="BO41" s="95">
        <v>0.187</v>
      </c>
      <c r="BP41" s="96">
        <v>8.5299999999999994</v>
      </c>
    </row>
    <row r="42" spans="1:68" ht="26.25" thickBot="1">
      <c r="A42" s="455">
        <v>42856</v>
      </c>
      <c r="B42" s="456">
        <v>-1064</v>
      </c>
      <c r="C42" s="437"/>
      <c r="D42" s="457">
        <v>44682</v>
      </c>
      <c r="E42" s="453">
        <v>-950.01</v>
      </c>
      <c r="F42" s="440"/>
      <c r="G42" s="442" t="s">
        <v>30</v>
      </c>
      <c r="H42" s="354" t="s">
        <v>31</v>
      </c>
      <c r="I42" s="353" t="s">
        <v>27</v>
      </c>
      <c r="J42" s="353" t="s">
        <v>26</v>
      </c>
      <c r="K42" s="355" t="s">
        <v>32</v>
      </c>
      <c r="L42" s="356" t="s">
        <v>436</v>
      </c>
      <c r="M42" s="357" t="s">
        <v>448</v>
      </c>
      <c r="N42" s="358" t="s">
        <v>402</v>
      </c>
      <c r="O42" s="359" t="s">
        <v>466</v>
      </c>
      <c r="P42" s="356" t="s">
        <v>521</v>
      </c>
      <c r="Q42" s="225"/>
      <c r="R42" s="258" t="s">
        <v>447</v>
      </c>
      <c r="S42" s="259" t="s">
        <v>446</v>
      </c>
      <c r="T42" s="63"/>
      <c r="W42" s="256">
        <f>+W40*$M$34</f>
        <v>510720</v>
      </c>
      <c r="Y42" s="63"/>
      <c r="AC42" s="256">
        <f>+AC40*$M$34</f>
        <v>218880</v>
      </c>
      <c r="AD42" s="26">
        <v>44501</v>
      </c>
      <c r="AE42" s="7">
        <f t="shared" si="10"/>
        <v>10351.16</v>
      </c>
      <c r="AF42" s="7">
        <f t="shared" si="14"/>
        <v>9994.6826724192706</v>
      </c>
      <c r="AG42" s="7">
        <f t="shared" si="11"/>
        <v>356.47732758072982</v>
      </c>
      <c r="AH42" s="7">
        <f t="shared" si="13"/>
        <v>376407.33445712045</v>
      </c>
      <c r="AM42" s="305"/>
      <c r="AN42" s="308"/>
      <c r="AO42" s="321"/>
      <c r="AP42" s="305"/>
      <c r="AQ42" s="321"/>
      <c r="AR42" s="305"/>
      <c r="AS42" s="305"/>
      <c r="AT42" s="305"/>
      <c r="AU42" s="305"/>
      <c r="BH42" s="187">
        <v>42172</v>
      </c>
      <c r="BI42" s="180">
        <v>4.9000000000000002E-2</v>
      </c>
      <c r="BJ42" s="191">
        <v>42172</v>
      </c>
      <c r="BK42" s="192">
        <v>0.47799999999999998</v>
      </c>
      <c r="BN42" s="94">
        <v>42136</v>
      </c>
      <c r="BO42" s="95">
        <v>0.20399999999999999</v>
      </c>
      <c r="BP42" s="96">
        <v>8.5299999999999994</v>
      </c>
    </row>
    <row r="43" spans="1:68" ht="15.75" thickBot="1">
      <c r="A43" s="458">
        <v>43040</v>
      </c>
      <c r="B43" s="459">
        <v>-1063.99</v>
      </c>
      <c r="C43" s="438">
        <f>SUM(B42:B43)</f>
        <v>-2127.9899999999998</v>
      </c>
      <c r="D43" s="460">
        <v>44866</v>
      </c>
      <c r="E43" s="453">
        <v>-950.01</v>
      </c>
      <c r="F43" s="476">
        <f>SUM(E42:E43)</f>
        <v>-1900.02</v>
      </c>
      <c r="G43" s="443">
        <v>42125</v>
      </c>
      <c r="K43" s="256">
        <v>1488279</v>
      </c>
      <c r="L43" s="254">
        <f>+VLOOKUP(G43,$BH$8:$BL$1048576,5,FALSE)/100</f>
        <v>4.62E-3</v>
      </c>
      <c r="M43" s="346"/>
      <c r="O43" s="346"/>
      <c r="Q43" s="225"/>
      <c r="R43" s="262">
        <f>+J6</f>
        <v>720.68</v>
      </c>
      <c r="S43" s="264">
        <f>+R43*6</f>
        <v>4324.08</v>
      </c>
      <c r="T43" s="242">
        <v>10351.16</v>
      </c>
      <c r="U43" s="7">
        <f t="shared" ref="U43:U90" si="15">+T43-V43</f>
        <v>9138.6255999999994</v>
      </c>
      <c r="V43" s="7">
        <f>+W42*$L$43*(G44-G43)/360</f>
        <v>1212.5344</v>
      </c>
      <c r="W43" s="7">
        <f>+W42-U43</f>
        <v>501581.37439999997</v>
      </c>
      <c r="Y43" s="63"/>
      <c r="AD43" s="26">
        <v>44682</v>
      </c>
      <c r="AE43" s="7">
        <f t="shared" si="10"/>
        <v>10351.16</v>
      </c>
      <c r="AF43" s="7">
        <f t="shared" si="14"/>
        <v>10009.565116100517</v>
      </c>
      <c r="AG43" s="7">
        <f t="shared" si="11"/>
        <v>341.59488389948206</v>
      </c>
      <c r="AH43" s="7">
        <f t="shared" si="13"/>
        <v>366397.76934101991</v>
      </c>
      <c r="AI43" s="43">
        <v>319549.96999999997</v>
      </c>
      <c r="AM43" s="305"/>
      <c r="AN43" s="308"/>
      <c r="AO43" s="321"/>
      <c r="AP43" s="305"/>
      <c r="AQ43" s="305"/>
      <c r="AR43" s="305"/>
      <c r="AS43" s="305"/>
      <c r="AT43" s="305"/>
      <c r="AU43" s="305"/>
      <c r="BH43" s="187">
        <v>42173</v>
      </c>
      <c r="BI43" s="180">
        <v>4.9000000000000002E-2</v>
      </c>
      <c r="BJ43" s="191">
        <v>42173</v>
      </c>
      <c r="BK43" s="192">
        <v>0.48599999999999999</v>
      </c>
      <c r="BN43" s="94">
        <v>42137</v>
      </c>
      <c r="BO43" s="95">
        <v>0.221</v>
      </c>
      <c r="BP43" s="96">
        <v>8.5299999999999994</v>
      </c>
    </row>
    <row r="44" spans="1:68" ht="15.75" thickBot="1">
      <c r="A44" s="425" t="s">
        <v>540</v>
      </c>
      <c r="B44" s="370" t="s">
        <v>541</v>
      </c>
      <c r="C44" s="478"/>
      <c r="D44" s="479"/>
      <c r="E44" s="480"/>
      <c r="F44" s="481"/>
      <c r="G44" s="444">
        <f>+EDATE(G43,6)+1</f>
        <v>42310</v>
      </c>
      <c r="H44" s="242"/>
      <c r="I44" s="7"/>
      <c r="J44" s="7"/>
      <c r="K44" s="7"/>
      <c r="L44" s="254">
        <f t="shared" ref="L44:L58" si="16">+VLOOKUP(G44,$BH$8:$BL$1048576,5,FALSE)/100</f>
        <v>5.6499999999999996E-3</v>
      </c>
      <c r="M44" s="347"/>
      <c r="O44" s="346"/>
      <c r="Q44" s="225"/>
      <c r="R44" s="263">
        <f>+K6</f>
        <v>730</v>
      </c>
      <c r="S44" s="264">
        <f>+R44*12</f>
        <v>8760</v>
      </c>
      <c r="T44" s="243">
        <f t="shared" ref="T44:T90" si="17">+$T$43</f>
        <v>10351.16</v>
      </c>
      <c r="U44" s="7">
        <f t="shared" si="15"/>
        <v>9179.6331031930677</v>
      </c>
      <c r="V44" s="7">
        <f t="shared" ref="V44:V90" si="18">+W43*$L$43*(G45-G44)/360</f>
        <v>1171.5268968069331</v>
      </c>
      <c r="W44" s="7">
        <f t="shared" ref="W44:W90" si="19">+W43-U44</f>
        <v>492401.7412968069</v>
      </c>
      <c r="Y44" s="63"/>
      <c r="AD44" s="26">
        <v>44866</v>
      </c>
      <c r="AE44" s="7">
        <f t="shared" si="10"/>
        <v>10351.16</v>
      </c>
      <c r="AF44" s="7">
        <f t="shared" si="14"/>
        <v>10013.13770235128</v>
      </c>
      <c r="AG44" s="7">
        <f t="shared" si="11"/>
        <v>338.02229764872089</v>
      </c>
      <c r="AH44" s="7">
        <f t="shared" si="13"/>
        <v>356384.63163866865</v>
      </c>
      <c r="AM44" s="305"/>
      <c r="AN44" s="308"/>
      <c r="AO44" s="321"/>
      <c r="AP44" s="305"/>
      <c r="AQ44" s="305"/>
      <c r="AR44" s="305"/>
      <c r="AS44" s="305"/>
      <c r="AT44" s="305"/>
      <c r="AU44" s="305"/>
      <c r="BH44" s="187">
        <v>42174</v>
      </c>
      <c r="BI44" s="180">
        <v>0.05</v>
      </c>
      <c r="BJ44" s="191">
        <v>42174</v>
      </c>
      <c r="BK44" s="192">
        <v>0.49399999999999999</v>
      </c>
      <c r="BN44" s="94">
        <v>42139</v>
      </c>
      <c r="BO44" s="95">
        <v>0.23799999999999999</v>
      </c>
      <c r="BP44" s="96">
        <v>8.52</v>
      </c>
    </row>
    <row r="45" spans="1:68" ht="15.75" thickBot="1">
      <c r="A45" s="461" t="s">
        <v>539</v>
      </c>
      <c r="B45" s="501">
        <v>33823.339999999997</v>
      </c>
      <c r="C45" s="434">
        <f>+B45*$G$32</f>
        <v>200842.46852713177</v>
      </c>
      <c r="D45" s="474" t="s">
        <v>572</v>
      </c>
      <c r="E45" s="501">
        <v>59276.41</v>
      </c>
      <c r="F45" s="434">
        <f>+E45*$G$32</f>
        <v>351982.40356589149</v>
      </c>
      <c r="G45" s="445">
        <f t="shared" ref="G45" si="20">+EDATE(G44,6)</f>
        <v>42492</v>
      </c>
      <c r="H45" s="7"/>
      <c r="I45" s="7">
        <f>+H45-J45</f>
        <v>0</v>
      </c>
      <c r="J45" s="7">
        <f>+K44*L44*(G45-G44)/360</f>
        <v>0</v>
      </c>
      <c r="K45" s="256">
        <v>1427336.39</v>
      </c>
      <c r="L45" s="524">
        <f t="shared" si="16"/>
        <v>3.5499999999999998E-3</v>
      </c>
      <c r="M45" s="346"/>
      <c r="O45" s="346"/>
      <c r="P45" s="360">
        <v>6.0800000000000003E-3</v>
      </c>
      <c r="Q45" s="225"/>
      <c r="R45" s="263"/>
      <c r="S45" s="264"/>
      <c r="T45" s="243">
        <f t="shared" si="17"/>
        <v>10351.16</v>
      </c>
      <c r="U45" s="7">
        <f t="shared" si="15"/>
        <v>9188.4353548844738</v>
      </c>
      <c r="V45" s="7">
        <f t="shared" si="18"/>
        <v>1162.7246451155265</v>
      </c>
      <c r="W45" s="7">
        <f t="shared" si="19"/>
        <v>483213.30594192242</v>
      </c>
      <c r="Y45" s="63"/>
      <c r="AD45" s="26">
        <v>45047</v>
      </c>
      <c r="AE45" s="7">
        <f t="shared" si="10"/>
        <v>10351.16</v>
      </c>
      <c r="AF45" s="7">
        <f t="shared" si="14"/>
        <v>10027.735997001357</v>
      </c>
      <c r="AG45" s="7">
        <f t="shared" si="11"/>
        <v>323.42400299864232</v>
      </c>
      <c r="AH45" s="7">
        <f t="shared" si="13"/>
        <v>346356.8956416673</v>
      </c>
      <c r="AM45" s="305"/>
      <c r="AN45" s="308"/>
      <c r="AO45" s="321"/>
      <c r="AP45" s="305"/>
      <c r="AQ45" s="321"/>
      <c r="AR45" s="305"/>
      <c r="AS45" s="305"/>
      <c r="AT45" s="305"/>
      <c r="AU45" s="305"/>
      <c r="BH45" s="187">
        <v>42177</v>
      </c>
      <c r="BI45" s="180">
        <v>4.8000000000000001E-2</v>
      </c>
      <c r="BJ45" s="191">
        <v>42177</v>
      </c>
      <c r="BK45" s="192">
        <v>0.502</v>
      </c>
      <c r="BN45" s="94">
        <v>42142</v>
      </c>
      <c r="BO45" s="95">
        <v>0.25600000000000001</v>
      </c>
      <c r="BP45" s="96">
        <v>8.51</v>
      </c>
    </row>
    <row r="46" spans="1:68" ht="15.75" thickBot="1">
      <c r="A46" s="455">
        <v>42856</v>
      </c>
      <c r="B46" s="456">
        <v>807.45</v>
      </c>
      <c r="C46" s="439"/>
      <c r="D46" s="457">
        <v>44682</v>
      </c>
      <c r="E46" s="456">
        <v>853.33</v>
      </c>
      <c r="F46" s="436"/>
      <c r="G46" s="446">
        <f>+EDATE(G45,6)</f>
        <v>42676</v>
      </c>
      <c r="H46" s="242">
        <f>+H39</f>
        <v>28276.813773831527</v>
      </c>
      <c r="I46" s="7">
        <f t="shared" ref="I46:I109" si="21">+H46-J46</f>
        <v>25686.991190642639</v>
      </c>
      <c r="J46" s="7">
        <f>+K45*L45*(G46-G45)/360</f>
        <v>2589.822583188889</v>
      </c>
      <c r="K46" s="7">
        <f t="shared" ref="K46:K109" si="22">+K45-I46</f>
        <v>1401649.3988093573</v>
      </c>
      <c r="L46" s="254">
        <f t="shared" si="16"/>
        <v>0</v>
      </c>
      <c r="M46" s="346"/>
      <c r="O46" s="346"/>
      <c r="P46" s="360">
        <v>3.8149999999999998E-3</v>
      </c>
      <c r="Q46" s="225"/>
      <c r="R46" s="263">
        <f>+L6</f>
        <v>785.39</v>
      </c>
      <c r="S46" s="264">
        <f>+R46*12</f>
        <v>9424.68</v>
      </c>
      <c r="T46" s="243">
        <f t="shared" si="17"/>
        <v>10351.16</v>
      </c>
      <c r="U46" s="7">
        <f t="shared" si="15"/>
        <v>9234.9372632741597</v>
      </c>
      <c r="V46" s="7">
        <f t="shared" si="18"/>
        <v>1116.2227367258408</v>
      </c>
      <c r="W46" s="7">
        <f t="shared" si="19"/>
        <v>473978.36867864826</v>
      </c>
      <c r="Y46" s="63"/>
      <c r="AD46" s="26">
        <v>45231</v>
      </c>
      <c r="AE46" s="7">
        <f t="shared" si="10"/>
        <v>10351.16</v>
      </c>
      <c r="AF46" s="7">
        <f t="shared" si="14"/>
        <v>10031.626521720804</v>
      </c>
      <c r="AG46" s="7">
        <f t="shared" si="11"/>
        <v>319.53347827919595</v>
      </c>
      <c r="AH46" s="7">
        <f t="shared" si="13"/>
        <v>336325.26911994652</v>
      </c>
      <c r="AM46" s="305"/>
      <c r="AN46" s="308"/>
      <c r="AO46" s="321"/>
      <c r="AP46" s="305"/>
      <c r="AQ46" s="305"/>
      <c r="AR46" s="305"/>
      <c r="AS46" s="305"/>
      <c r="AT46" s="305"/>
      <c r="AU46" s="305"/>
      <c r="BH46" s="187">
        <v>42178</v>
      </c>
      <c r="BI46" s="180">
        <v>4.8000000000000001E-2</v>
      </c>
      <c r="BJ46" s="191">
        <v>42178</v>
      </c>
      <c r="BK46" s="192">
        <v>0.51200000000000001</v>
      </c>
      <c r="BN46" s="94">
        <v>42143</v>
      </c>
      <c r="BO46" s="95">
        <v>0.27200000000000002</v>
      </c>
      <c r="BP46" s="96">
        <v>8.51</v>
      </c>
    </row>
    <row r="47" spans="1:68" ht="15">
      <c r="A47" s="455">
        <v>43040</v>
      </c>
      <c r="B47" s="456">
        <v>827.57</v>
      </c>
      <c r="C47" s="440">
        <f>SUM(B46:B47)</f>
        <v>1635.02</v>
      </c>
      <c r="D47" s="457">
        <v>44866</v>
      </c>
      <c r="E47" s="456">
        <v>979.31</v>
      </c>
      <c r="F47" s="440">
        <f>SUM(E46:E47)</f>
        <v>1832.6399999999999</v>
      </c>
      <c r="G47" s="443">
        <v>42856</v>
      </c>
      <c r="H47" s="7">
        <f>+$H$46</f>
        <v>28276.813773831527</v>
      </c>
      <c r="I47" s="7">
        <f t="shared" si="21"/>
        <v>28276.813773831527</v>
      </c>
      <c r="J47" s="7">
        <f t="shared" ref="J47:J108" si="23">+K46*L46*(G47-G46)/360</f>
        <v>0</v>
      </c>
      <c r="K47" s="7">
        <f t="shared" si="22"/>
        <v>1373372.5850355257</v>
      </c>
      <c r="L47" s="254">
        <f t="shared" si="16"/>
        <v>3.0149999999999999E-3</v>
      </c>
      <c r="M47" s="346"/>
      <c r="O47" s="346"/>
      <c r="P47" s="360">
        <v>1.805E-3</v>
      </c>
      <c r="Q47" s="225"/>
      <c r="R47" s="263"/>
      <c r="S47" s="264"/>
      <c r="T47" s="243">
        <f t="shared" si="17"/>
        <v>10351.16</v>
      </c>
      <c r="U47" s="7">
        <f t="shared" si="15"/>
        <v>9231.9390787601515</v>
      </c>
      <c r="V47" s="7">
        <f t="shared" si="18"/>
        <v>1119.2209212398479</v>
      </c>
      <c r="W47" s="7">
        <f t="shared" si="19"/>
        <v>464746.4295998881</v>
      </c>
      <c r="Y47" s="63"/>
      <c r="AD47" s="26">
        <v>45413</v>
      </c>
      <c r="AE47" s="7">
        <f t="shared" si="10"/>
        <v>10351.16</v>
      </c>
      <c r="AF47" s="7">
        <f t="shared" si="14"/>
        <v>10044.253849559462</v>
      </c>
      <c r="AG47" s="7">
        <f t="shared" si="11"/>
        <v>306.90615044053789</v>
      </c>
      <c r="AH47" s="7">
        <f t="shared" si="13"/>
        <v>326281.01527038706</v>
      </c>
      <c r="AM47" s="305"/>
      <c r="AN47" s="308"/>
      <c r="AO47" s="321"/>
      <c r="AP47" s="305"/>
      <c r="AQ47" s="305"/>
      <c r="AR47" s="305"/>
      <c r="AS47" s="305"/>
      <c r="AT47" s="305"/>
      <c r="AU47" s="305"/>
      <c r="BH47" s="187">
        <v>42179</v>
      </c>
      <c r="BI47" s="180">
        <v>4.9000000000000002E-2</v>
      </c>
      <c r="BJ47" s="191">
        <v>42179</v>
      </c>
      <c r="BK47" s="192">
        <v>0.53700000000000003</v>
      </c>
      <c r="BN47" s="94">
        <v>42144</v>
      </c>
      <c r="BO47" s="95">
        <v>0.28699999999999998</v>
      </c>
      <c r="BP47" s="96">
        <v>8.51</v>
      </c>
    </row>
    <row r="48" spans="1:68" ht="15">
      <c r="A48" s="425" t="s">
        <v>540</v>
      </c>
      <c r="B48" s="370" t="s">
        <v>541</v>
      </c>
      <c r="C48" s="439"/>
      <c r="D48" s="453"/>
      <c r="E48" s="214"/>
      <c r="F48" s="436"/>
      <c r="G48" s="447">
        <v>43040</v>
      </c>
      <c r="H48" s="7">
        <f t="shared" ref="H48:H111" si="24">+$H$46</f>
        <v>28276.813773831527</v>
      </c>
      <c r="I48" s="7">
        <f t="shared" si="21"/>
        <v>26160.446620291783</v>
      </c>
      <c r="J48" s="7">
        <f t="shared" si="23"/>
        <v>2116.3671535397452</v>
      </c>
      <c r="K48" s="7">
        <f t="shared" si="22"/>
        <v>1347212.1384152339</v>
      </c>
      <c r="L48" s="254">
        <f t="shared" si="16"/>
        <v>3.4799999999999996E-3</v>
      </c>
      <c r="M48" s="346"/>
      <c r="O48" s="346"/>
      <c r="P48" s="360">
        <v>3.2299999999999998E-3</v>
      </c>
      <c r="Q48" s="225"/>
      <c r="R48" s="263">
        <f>+M6</f>
        <v>785.33</v>
      </c>
      <c r="S48" s="264">
        <f>+R48*12</f>
        <v>9423.9600000000009</v>
      </c>
      <c r="T48" s="243">
        <f t="shared" si="17"/>
        <v>10351.16</v>
      </c>
      <c r="U48" s="7">
        <f t="shared" si="15"/>
        <v>9271.631501777727</v>
      </c>
      <c r="V48" s="7">
        <f t="shared" si="18"/>
        <v>1079.5284982222734</v>
      </c>
      <c r="W48" s="7">
        <f t="shared" si="19"/>
        <v>455474.79809811036</v>
      </c>
      <c r="Y48" s="63"/>
      <c r="AD48" s="26">
        <v>45597</v>
      </c>
      <c r="AE48" s="7">
        <f t="shared" si="10"/>
        <v>10351.16</v>
      </c>
      <c r="AF48" s="7">
        <f t="shared" si="14"/>
        <v>10050.147636689997</v>
      </c>
      <c r="AG48" s="7">
        <f t="shared" si="11"/>
        <v>301.01236331000263</v>
      </c>
      <c r="AH48" s="7">
        <f t="shared" si="13"/>
        <v>316230.86763369705</v>
      </c>
      <c r="AM48" s="305"/>
      <c r="AN48" s="322"/>
      <c r="AO48" s="323"/>
      <c r="AP48" s="305"/>
      <c r="AQ48" s="321"/>
      <c r="AR48" s="305"/>
      <c r="AS48" s="305"/>
      <c r="AT48" s="305"/>
      <c r="AU48" s="305"/>
      <c r="BH48" s="187">
        <v>42180</v>
      </c>
      <c r="BI48" s="180">
        <v>4.9000000000000002E-2</v>
      </c>
      <c r="BJ48" s="191">
        <v>42180</v>
      </c>
      <c r="BK48" s="192">
        <v>0.54800000000000004</v>
      </c>
      <c r="BN48" s="94">
        <v>42145</v>
      </c>
      <c r="BO48" s="95">
        <v>0.30499999999999999</v>
      </c>
      <c r="BP48" s="96">
        <v>8.51</v>
      </c>
    </row>
    <row r="49" spans="1:68" ht="15">
      <c r="A49" s="461" t="s">
        <v>539</v>
      </c>
      <c r="B49" s="501">
        <v>216813.66</v>
      </c>
      <c r="C49" s="434">
        <f>+B49*$G$32</f>
        <v>1287436.1516279071</v>
      </c>
      <c r="D49" s="474" t="s">
        <v>571</v>
      </c>
      <c r="E49" s="501">
        <v>200472.06</v>
      </c>
      <c r="F49" s="434">
        <f>+E49*$G$32</f>
        <v>1190399.9841860465</v>
      </c>
      <c r="G49" s="445">
        <v>43221</v>
      </c>
      <c r="H49" s="7">
        <f t="shared" si="24"/>
        <v>28276.813773831527</v>
      </c>
      <c r="I49" s="7">
        <f t="shared" si="21"/>
        <v>25919.641602317672</v>
      </c>
      <c r="J49" s="7">
        <f t="shared" si="23"/>
        <v>2357.1721715138538</v>
      </c>
      <c r="K49" s="7">
        <f t="shared" si="22"/>
        <v>1321292.4968129164</v>
      </c>
      <c r="L49" s="254">
        <f t="shared" si="16"/>
        <v>4.1700000000000001E-3</v>
      </c>
      <c r="M49" s="346"/>
      <c r="O49" s="346"/>
      <c r="P49" s="360">
        <v>4.4200000000000003E-3</v>
      </c>
      <c r="Q49" s="225"/>
      <c r="R49" s="263"/>
      <c r="S49" s="264"/>
      <c r="T49" s="243">
        <f t="shared" si="17"/>
        <v>10351.16</v>
      </c>
      <c r="U49" s="7">
        <f t="shared" si="15"/>
        <v>9275.6321767576628</v>
      </c>
      <c r="V49" s="7">
        <f t="shared" si="18"/>
        <v>1075.5278232423379</v>
      </c>
      <c r="W49" s="7">
        <f t="shared" si="19"/>
        <v>446199.16592135269</v>
      </c>
      <c r="Y49" s="63"/>
      <c r="AD49" s="41">
        <v>45778</v>
      </c>
      <c r="AE49" s="42">
        <f t="shared" si="10"/>
        <v>10351.16</v>
      </c>
      <c r="AF49" s="42">
        <f t="shared" si="14"/>
        <v>10064.176095527037</v>
      </c>
      <c r="AG49" s="42">
        <f t="shared" si="11"/>
        <v>286.98390447296384</v>
      </c>
      <c r="AH49" s="42">
        <f t="shared" si="13"/>
        <v>306166.69153817004</v>
      </c>
      <c r="AM49" s="305"/>
      <c r="AN49" s="308"/>
      <c r="AO49" s="321"/>
      <c r="AP49" s="305"/>
      <c r="AQ49" s="305"/>
      <c r="AR49" s="305"/>
      <c r="AS49" s="305"/>
      <c r="AT49" s="305"/>
      <c r="AU49" s="305"/>
      <c r="BH49" s="187">
        <v>42181</v>
      </c>
      <c r="BI49" s="180">
        <v>0.05</v>
      </c>
      <c r="BJ49" s="191">
        <v>42181</v>
      </c>
      <c r="BK49" s="192">
        <v>0.56000000000000005</v>
      </c>
      <c r="BN49" s="94">
        <v>42146</v>
      </c>
      <c r="BO49" s="95">
        <v>0.31900000000000001</v>
      </c>
      <c r="BP49" s="96">
        <v>8.5</v>
      </c>
    </row>
    <row r="50" spans="1:68" ht="15">
      <c r="A50" s="455">
        <v>42856</v>
      </c>
      <c r="B50" s="456">
        <v>3203.96</v>
      </c>
      <c r="C50" s="439"/>
      <c r="D50" s="457">
        <v>44682</v>
      </c>
      <c r="E50" s="456">
        <v>2885.96</v>
      </c>
      <c r="F50" s="436"/>
      <c r="G50" s="446">
        <v>43405</v>
      </c>
      <c r="H50" s="7">
        <f t="shared" si="24"/>
        <v>28276.813773831527</v>
      </c>
      <c r="I50" s="7">
        <f t="shared" si="21"/>
        <v>25460.699032290933</v>
      </c>
      <c r="J50" s="7">
        <f t="shared" si="23"/>
        <v>2816.1147415405958</v>
      </c>
      <c r="K50" s="7">
        <f t="shared" si="22"/>
        <v>1295831.7977806255</v>
      </c>
      <c r="L50" s="254">
        <f t="shared" si="16"/>
        <v>4.2849999999999997E-3</v>
      </c>
      <c r="M50" s="346"/>
      <c r="O50" s="346"/>
      <c r="P50" s="360">
        <v>3.8249999999999998E-3</v>
      </c>
      <c r="Q50" s="225"/>
      <c r="R50" s="263">
        <f>+N6</f>
        <v>801.7</v>
      </c>
      <c r="S50" s="264">
        <f>+R50*12</f>
        <v>9620.4000000000015</v>
      </c>
      <c r="T50" s="243">
        <f t="shared" si="17"/>
        <v>10351.16</v>
      </c>
      <c r="U50" s="7">
        <f t="shared" si="15"/>
        <v>9314.7137040923517</v>
      </c>
      <c r="V50" s="7">
        <f t="shared" si="18"/>
        <v>1036.4462959076486</v>
      </c>
      <c r="W50" s="7">
        <f t="shared" si="19"/>
        <v>436884.45221726032</v>
      </c>
      <c r="Y50" s="63"/>
      <c r="AD50" s="26">
        <v>45962</v>
      </c>
      <c r="AE50" s="7">
        <f t="shared" si="10"/>
        <v>10351.16</v>
      </c>
      <c r="AF50" s="7">
        <f t="shared" si="14"/>
        <v>10068.704217795397</v>
      </c>
      <c r="AG50" s="7">
        <f t="shared" si="11"/>
        <v>282.45578220460288</v>
      </c>
      <c r="AH50" s="7">
        <f t="shared" si="13"/>
        <v>296097.98732037464</v>
      </c>
      <c r="AM50" s="305"/>
      <c r="AN50" s="308"/>
      <c r="AO50" s="321"/>
      <c r="AP50" s="305"/>
      <c r="AQ50" s="305"/>
      <c r="AR50" s="305"/>
      <c r="AS50" s="305"/>
      <c r="AT50" s="305"/>
      <c r="AU50" s="305"/>
      <c r="BH50" s="187">
        <v>42184</v>
      </c>
      <c r="BI50" s="180">
        <v>0.05</v>
      </c>
      <c r="BJ50" s="191">
        <v>42184</v>
      </c>
      <c r="BK50" s="192">
        <v>0.57199999999999995</v>
      </c>
      <c r="BN50" s="94">
        <v>42150</v>
      </c>
      <c r="BO50" s="95">
        <v>0.33200000000000002</v>
      </c>
      <c r="BP50" s="96">
        <v>8.49</v>
      </c>
    </row>
    <row r="51" spans="1:68" ht="15">
      <c r="A51" s="455">
        <v>43040</v>
      </c>
      <c r="B51" s="456">
        <v>3283.81</v>
      </c>
      <c r="C51" s="440">
        <f>SUM(B50:B51)</f>
        <v>6487.77</v>
      </c>
      <c r="D51" s="457">
        <v>44866</v>
      </c>
      <c r="E51" s="456">
        <v>3311.98</v>
      </c>
      <c r="F51" s="440">
        <f>SUM(E50:E51)</f>
        <v>6197.9400000000005</v>
      </c>
      <c r="G51" s="443">
        <v>43586</v>
      </c>
      <c r="H51" s="7">
        <f t="shared" si="24"/>
        <v>28276.813773831527</v>
      </c>
      <c r="I51" s="7">
        <f t="shared" si="21"/>
        <v>25485.070149160176</v>
      </c>
      <c r="J51" s="7">
        <f t="shared" si="23"/>
        <v>2791.743624671351</v>
      </c>
      <c r="K51" s="7">
        <f t="shared" si="22"/>
        <v>1270346.7276314653</v>
      </c>
      <c r="L51" s="254">
        <f t="shared" si="16"/>
        <v>2.8699999999999997E-3</v>
      </c>
      <c r="M51" s="346"/>
      <c r="O51" s="346"/>
      <c r="P51" s="360">
        <v>3.3600000000000001E-3</v>
      </c>
      <c r="Q51" s="225"/>
      <c r="R51" s="263"/>
      <c r="S51" s="264"/>
      <c r="T51" s="243">
        <f t="shared" si="17"/>
        <v>10351.16</v>
      </c>
      <c r="U51" s="7">
        <f t="shared" si="15"/>
        <v>9319.5301801643091</v>
      </c>
      <c r="V51" s="7">
        <f t="shared" si="18"/>
        <v>1031.6298198356908</v>
      </c>
      <c r="W51" s="7">
        <f t="shared" si="19"/>
        <v>427564.922037096</v>
      </c>
      <c r="Y51" s="63"/>
      <c r="AD51" s="26">
        <v>46143</v>
      </c>
      <c r="AE51" s="7">
        <f t="shared" si="10"/>
        <v>10351.16</v>
      </c>
      <c r="AF51" s="7">
        <f t="shared" si="14"/>
        <v>10082.446964034714</v>
      </c>
      <c r="AG51" s="7">
        <f t="shared" si="11"/>
        <v>268.71303596528611</v>
      </c>
      <c r="AH51" s="7">
        <f t="shared" si="13"/>
        <v>286015.54035633994</v>
      </c>
      <c r="AM51" s="305"/>
      <c r="AN51" s="308"/>
      <c r="AO51" s="321"/>
      <c r="AP51" s="305"/>
      <c r="AQ51" s="321"/>
      <c r="AR51" s="305"/>
      <c r="AS51" s="305"/>
      <c r="AT51" s="305"/>
      <c r="AU51" s="305"/>
      <c r="BH51" s="187">
        <v>42185</v>
      </c>
      <c r="BI51" s="180">
        <v>0.05</v>
      </c>
      <c r="BJ51" s="191">
        <v>42185</v>
      </c>
      <c r="BK51" s="192">
        <v>0.58299999999999996</v>
      </c>
      <c r="BN51" s="94">
        <v>42151</v>
      </c>
      <c r="BO51" s="95">
        <v>0.34399999999999997</v>
      </c>
      <c r="BP51" s="96">
        <v>8.49</v>
      </c>
    </row>
    <row r="52" spans="1:68" ht="15.75" thickBot="1">
      <c r="A52" s="425" t="s">
        <v>540</v>
      </c>
      <c r="B52" s="494" t="s">
        <v>541</v>
      </c>
      <c r="C52" s="439"/>
      <c r="D52" s="453"/>
      <c r="E52" s="456"/>
      <c r="F52" s="436"/>
      <c r="G52" s="447">
        <v>43770</v>
      </c>
      <c r="H52" s="7">
        <f t="shared" si="24"/>
        <v>28276.813773831527</v>
      </c>
      <c r="I52" s="7">
        <f t="shared" si="21"/>
        <v>26413.356274032572</v>
      </c>
      <c r="J52" s="7">
        <f t="shared" si="23"/>
        <v>1863.4574997989557</v>
      </c>
      <c r="K52" s="7">
        <f t="shared" si="22"/>
        <v>1243933.3713574328</v>
      </c>
      <c r="L52" s="254">
        <f t="shared" si="16"/>
        <v>6.0499999999999996E-4</v>
      </c>
      <c r="M52" s="346"/>
      <c r="O52" s="346"/>
      <c r="P52" s="360">
        <v>9.9999999999999995E-8</v>
      </c>
      <c r="Q52" s="225"/>
      <c r="R52" s="263">
        <f>+O6</f>
        <v>801.7</v>
      </c>
      <c r="S52" s="264">
        <f>+R52*12</f>
        <v>9620.4000000000015</v>
      </c>
      <c r="T52" s="243">
        <f t="shared" si="17"/>
        <v>10351.16</v>
      </c>
      <c r="U52" s="7">
        <f t="shared" si="15"/>
        <v>9352.5108637620233</v>
      </c>
      <c r="V52" s="7">
        <f t="shared" si="18"/>
        <v>998.64913623797736</v>
      </c>
      <c r="W52" s="7">
        <f t="shared" si="19"/>
        <v>418212.411173334</v>
      </c>
      <c r="Y52" s="63"/>
      <c r="AD52" s="26">
        <v>46327</v>
      </c>
      <c r="AE52" s="7">
        <f t="shared" si="10"/>
        <v>10351.16</v>
      </c>
      <c r="AF52" s="7">
        <f t="shared" si="14"/>
        <v>10087.294774269034</v>
      </c>
      <c r="AG52" s="7">
        <f t="shared" si="11"/>
        <v>263.86522573096568</v>
      </c>
      <c r="AH52" s="7">
        <f t="shared" si="13"/>
        <v>275928.2455820709</v>
      </c>
      <c r="AM52" s="305"/>
      <c r="AN52" s="308"/>
      <c r="AO52" s="321"/>
      <c r="AP52" s="305"/>
      <c r="AQ52" s="305"/>
      <c r="AR52" s="305"/>
      <c r="AS52" s="305"/>
      <c r="AT52" s="305"/>
      <c r="AU52" s="305"/>
      <c r="BH52" s="187">
        <v>42186</v>
      </c>
      <c r="BI52" s="180">
        <v>4.9000000000000002E-2</v>
      </c>
      <c r="BJ52" s="191">
        <v>42186</v>
      </c>
      <c r="BK52" s="192">
        <v>0.59</v>
      </c>
      <c r="BN52" s="94">
        <v>42152</v>
      </c>
      <c r="BO52" s="95">
        <v>0.35599999999999998</v>
      </c>
      <c r="BP52" s="96">
        <v>8.49</v>
      </c>
    </row>
    <row r="53" spans="1:68" ht="15.75" thickBot="1">
      <c r="A53" s="461" t="s">
        <v>539</v>
      </c>
      <c r="B53" s="495">
        <v>85120</v>
      </c>
      <c r="C53" s="496">
        <f>+B53*$G$32</f>
        <v>505441.2403100775</v>
      </c>
      <c r="D53" s="474" t="s">
        <v>570</v>
      </c>
      <c r="E53" s="495">
        <v>85120</v>
      </c>
      <c r="F53" s="496">
        <f>+E53*$G$32</f>
        <v>505441.2403100775</v>
      </c>
      <c r="G53" s="445">
        <v>43952</v>
      </c>
      <c r="H53" s="7">
        <f t="shared" si="24"/>
        <v>28276.813773831527</v>
      </c>
      <c r="I53" s="7">
        <f t="shared" si="21"/>
        <v>27896.342930719951</v>
      </c>
      <c r="J53" s="7">
        <f t="shared" si="23"/>
        <v>380.47084311157477</v>
      </c>
      <c r="K53" s="7">
        <f t="shared" si="22"/>
        <v>1216037.0284267128</v>
      </c>
      <c r="L53" s="254">
        <f t="shared" si="16"/>
        <v>2.215E-3</v>
      </c>
      <c r="M53" s="346"/>
      <c r="O53" s="346"/>
      <c r="P53" s="360">
        <v>9.5999999999999992E-3</v>
      </c>
      <c r="Q53" s="225"/>
      <c r="R53" s="263"/>
      <c r="S53" s="264"/>
      <c r="T53" s="243">
        <f t="shared" si="17"/>
        <v>10351.16</v>
      </c>
      <c r="U53" s="7">
        <f t="shared" si="15"/>
        <v>9358.2540338059753</v>
      </c>
      <c r="V53" s="7">
        <f t="shared" si="18"/>
        <v>992.90596619402379</v>
      </c>
      <c r="W53" s="7">
        <f t="shared" si="19"/>
        <v>408854.15713952802</v>
      </c>
      <c r="Y53" s="63"/>
      <c r="AD53" s="26">
        <v>46508</v>
      </c>
      <c r="AE53" s="7">
        <f t="shared" si="10"/>
        <v>10351.16</v>
      </c>
      <c r="AF53" s="7">
        <f t="shared" si="14"/>
        <v>10100.751284797527</v>
      </c>
      <c r="AG53" s="7">
        <f t="shared" si="11"/>
        <v>250.40871520247356</v>
      </c>
      <c r="AH53" s="7">
        <f t="shared" si="13"/>
        <v>265827.4942972734</v>
      </c>
      <c r="AM53" s="305"/>
      <c r="AN53" s="308"/>
      <c r="AO53" s="321"/>
      <c r="AP53" s="305"/>
      <c r="AQ53" s="305"/>
      <c r="AR53" s="305"/>
      <c r="AS53" s="305"/>
      <c r="AT53" s="305"/>
      <c r="AU53" s="305"/>
      <c r="BH53" s="187">
        <v>42187</v>
      </c>
      <c r="BI53" s="180">
        <v>4.8000000000000001E-2</v>
      </c>
      <c r="BJ53" s="191">
        <v>42187</v>
      </c>
      <c r="BK53" s="192">
        <v>0.59599999999999997</v>
      </c>
      <c r="BN53" s="94">
        <v>42153</v>
      </c>
      <c r="BO53" s="95">
        <v>0.36699999999999999</v>
      </c>
      <c r="BP53" s="96">
        <v>8.48</v>
      </c>
    </row>
    <row r="54" spans="1:68" ht="15">
      <c r="A54" s="455">
        <v>42856</v>
      </c>
      <c r="B54" s="456">
        <v>1117.19</v>
      </c>
      <c r="C54" s="439"/>
      <c r="D54" s="457">
        <v>44682</v>
      </c>
      <c r="E54" s="456">
        <v>1520</v>
      </c>
      <c r="F54" s="436"/>
      <c r="G54" s="448">
        <v>44137</v>
      </c>
      <c r="H54" s="7">
        <f t="shared" si="24"/>
        <v>28276.813773831527</v>
      </c>
      <c r="I54" s="7">
        <f t="shared" si="21"/>
        <v>26892.64273682165</v>
      </c>
      <c r="J54" s="7">
        <f t="shared" si="23"/>
        <v>1384.1710370098783</v>
      </c>
      <c r="K54" s="7">
        <f t="shared" si="22"/>
        <v>1189144.3856898912</v>
      </c>
      <c r="L54" s="254">
        <f t="shared" si="16"/>
        <v>-1.14E-3</v>
      </c>
      <c r="M54" s="346"/>
      <c r="O54" s="346"/>
      <c r="Q54" s="225"/>
      <c r="R54" s="263">
        <f>+P6+P7</f>
        <v>733.71</v>
      </c>
      <c r="S54" s="264">
        <f>+R54*12</f>
        <v>8804.52</v>
      </c>
      <c r="T54" s="243">
        <f t="shared" si="17"/>
        <v>10351.16</v>
      </c>
      <c r="U54" s="7">
        <f t="shared" si="15"/>
        <v>9396.212973641108</v>
      </c>
      <c r="V54" s="7">
        <f t="shared" si="18"/>
        <v>954.94702635889098</v>
      </c>
      <c r="W54" s="7">
        <f t="shared" si="19"/>
        <v>399457.9441658869</v>
      </c>
      <c r="Y54" s="63"/>
      <c r="AD54" s="26">
        <v>46692</v>
      </c>
      <c r="AE54" s="7">
        <f t="shared" si="10"/>
        <v>10351.16</v>
      </c>
      <c r="AF54" s="7">
        <f t="shared" si="14"/>
        <v>10105.919368316638</v>
      </c>
      <c r="AG54" s="7">
        <f t="shared" si="11"/>
        <v>245.24063168336232</v>
      </c>
      <c r="AH54" s="7">
        <f t="shared" si="13"/>
        <v>255721.57492895675</v>
      </c>
      <c r="AM54" s="305"/>
      <c r="AN54" s="308"/>
      <c r="AO54" s="321"/>
      <c r="AP54" s="305"/>
      <c r="AQ54" s="321"/>
      <c r="AR54" s="318"/>
      <c r="AS54" s="305"/>
      <c r="AT54" s="305"/>
      <c r="AU54" s="305"/>
      <c r="BH54" s="187">
        <v>42188</v>
      </c>
      <c r="BI54" s="180">
        <v>4.9000000000000002E-2</v>
      </c>
      <c r="BJ54" s="191">
        <v>42188</v>
      </c>
      <c r="BK54" s="192">
        <v>0.59799999999999998</v>
      </c>
      <c r="BN54" s="94">
        <v>42156</v>
      </c>
      <c r="BO54" s="95">
        <v>0.374</v>
      </c>
      <c r="BP54" s="96">
        <v>8.48</v>
      </c>
    </row>
    <row r="55" spans="1:68" ht="15">
      <c r="A55" s="455">
        <v>42857</v>
      </c>
      <c r="B55" s="456">
        <v>402.81</v>
      </c>
      <c r="C55" s="439"/>
      <c r="D55" s="457">
        <v>44866</v>
      </c>
      <c r="E55" s="456">
        <v>1520</v>
      </c>
      <c r="F55" s="436"/>
      <c r="G55" s="443">
        <v>44319</v>
      </c>
      <c r="H55" s="7">
        <f t="shared" si="24"/>
        <v>28276.813773831527</v>
      </c>
      <c r="I55" s="299">
        <f t="shared" si="21"/>
        <v>28962.157321450803</v>
      </c>
      <c r="J55" s="300">
        <f t="shared" si="23"/>
        <v>-685.34354761927398</v>
      </c>
      <c r="K55" s="299">
        <f t="shared" si="22"/>
        <v>1160182.2283684404</v>
      </c>
      <c r="L55" s="301">
        <f t="shared" si="16"/>
        <v>2.5000000000000022E-5</v>
      </c>
      <c r="M55" s="346"/>
      <c r="O55" s="346"/>
      <c r="Q55" s="225"/>
      <c r="R55" s="263"/>
      <c r="S55" s="264"/>
      <c r="T55" s="243">
        <f t="shared" si="17"/>
        <v>10351.16</v>
      </c>
      <c r="U55" s="7">
        <f t="shared" si="15"/>
        <v>9418.1593950765437</v>
      </c>
      <c r="V55" s="7">
        <f t="shared" si="18"/>
        <v>933.00060492345654</v>
      </c>
      <c r="W55" s="7">
        <f t="shared" si="19"/>
        <v>390039.78477081034</v>
      </c>
      <c r="Y55" s="63"/>
      <c r="AD55" s="26">
        <v>46874</v>
      </c>
      <c r="AE55" s="7">
        <f t="shared" si="10"/>
        <v>10351.16</v>
      </c>
      <c r="AF55" s="7">
        <f t="shared" si="14"/>
        <v>10117.806959500245</v>
      </c>
      <c r="AG55" s="7">
        <f t="shared" si="11"/>
        <v>233.35304049975437</v>
      </c>
      <c r="AH55" s="7">
        <f t="shared" si="13"/>
        <v>245603.7679694565</v>
      </c>
      <c r="AM55" s="305"/>
      <c r="AN55" s="305"/>
      <c r="AO55" s="321"/>
      <c r="AP55" s="305"/>
      <c r="AQ55" s="305"/>
      <c r="AR55" s="305"/>
      <c r="AS55" s="305"/>
      <c r="AT55" s="305"/>
      <c r="AU55" s="305"/>
      <c r="BH55" s="187">
        <v>42191</v>
      </c>
      <c r="BI55" s="180">
        <v>4.9000000000000002E-2</v>
      </c>
      <c r="BJ55" s="191">
        <v>42191</v>
      </c>
      <c r="BK55" s="192">
        <v>0.59799999999999998</v>
      </c>
      <c r="BN55" s="94">
        <v>42157</v>
      </c>
      <c r="BO55" s="95">
        <v>0.38200000000000001</v>
      </c>
      <c r="BP55" s="96">
        <v>8.4700000000000006</v>
      </c>
    </row>
    <row r="56" spans="1:68" ht="15">
      <c r="A56" s="455">
        <v>43040</v>
      </c>
      <c r="B56" s="456">
        <v>1137.83</v>
      </c>
      <c r="C56" s="439"/>
      <c r="D56" s="453"/>
      <c r="E56" s="214"/>
      <c r="F56" s="436"/>
      <c r="G56" s="447">
        <v>44501</v>
      </c>
      <c r="H56" s="7">
        <f t="shared" si="24"/>
        <v>28276.813773831527</v>
      </c>
      <c r="I56" s="7">
        <f t="shared" si="21"/>
        <v>28262.150359556315</v>
      </c>
      <c r="J56" s="7">
        <f t="shared" si="23"/>
        <v>14.663414275212247</v>
      </c>
      <c r="K56" s="7">
        <f t="shared" si="22"/>
        <v>1131920.0780088841</v>
      </c>
      <c r="L56" s="254">
        <f t="shared" si="16"/>
        <v>3.8499999999999976E-4</v>
      </c>
      <c r="M56" s="346"/>
      <c r="O56" s="346"/>
      <c r="Q56" s="225"/>
      <c r="R56" s="263">
        <f>+Q6+Q7</f>
        <v>685.53</v>
      </c>
      <c r="S56" s="264">
        <f>+R56*12</f>
        <v>8226.36</v>
      </c>
      <c r="T56" s="243">
        <f t="shared" si="17"/>
        <v>10351.16</v>
      </c>
      <c r="U56" s="7">
        <f t="shared" si="15"/>
        <v>9440.1570760369777</v>
      </c>
      <c r="V56" s="7">
        <f t="shared" si="18"/>
        <v>911.00292396302268</v>
      </c>
      <c r="W56" s="7">
        <f t="shared" si="19"/>
        <v>380599.62769477337</v>
      </c>
      <c r="Y56" s="63"/>
      <c r="AD56" s="26">
        <v>47058</v>
      </c>
      <c r="AE56" s="7">
        <f t="shared" si="10"/>
        <v>10351.16</v>
      </c>
      <c r="AF56" s="7">
        <f t="shared" si="14"/>
        <v>10124.576879394401</v>
      </c>
      <c r="AG56" s="7">
        <f t="shared" si="11"/>
        <v>226.5831206055997</v>
      </c>
      <c r="AH56" s="7">
        <f t="shared" si="13"/>
        <v>235479.19109006209</v>
      </c>
      <c r="AM56" s="305"/>
      <c r="AN56" s="305"/>
      <c r="AO56" s="305"/>
      <c r="AP56" s="305"/>
      <c r="AQ56" s="305"/>
      <c r="AR56" s="305"/>
      <c r="AS56" s="305"/>
      <c r="AT56" s="305"/>
      <c r="AU56" s="305"/>
      <c r="BH56" s="187">
        <v>42192</v>
      </c>
      <c r="BI56" s="180">
        <v>4.9000000000000002E-2</v>
      </c>
      <c r="BJ56" s="191">
        <v>42192</v>
      </c>
      <c r="BK56" s="192">
        <v>0.59499999999999997</v>
      </c>
      <c r="BN56" s="94">
        <v>42158</v>
      </c>
      <c r="BO56" s="95">
        <v>0.39300000000000002</v>
      </c>
      <c r="BP56" s="96">
        <v>8.4700000000000006</v>
      </c>
    </row>
    <row r="57" spans="1:68" ht="15">
      <c r="A57" s="462">
        <v>43041</v>
      </c>
      <c r="B57" s="463">
        <v>382.17</v>
      </c>
      <c r="C57" s="464">
        <f>SUM(B54:B57)</f>
        <v>3040</v>
      </c>
      <c r="D57" s="465"/>
      <c r="E57" s="466"/>
      <c r="F57" s="464">
        <f>SUM(E54:E57)</f>
        <v>3040</v>
      </c>
      <c r="G57" s="445">
        <v>44683</v>
      </c>
      <c r="H57" s="7">
        <f t="shared" si="24"/>
        <v>28276.813773831527</v>
      </c>
      <c r="I57" s="7">
        <f t="shared" si="21"/>
        <v>28056.498107536852</v>
      </c>
      <c r="J57" s="7">
        <f t="shared" si="23"/>
        <v>220.31566629467352</v>
      </c>
      <c r="K57" s="7">
        <f t="shared" si="22"/>
        <v>1103863.5799013472</v>
      </c>
      <c r="L57" s="254">
        <f t="shared" si="16"/>
        <v>7.0650000000000001E-3</v>
      </c>
      <c r="M57" s="346"/>
      <c r="O57" s="346"/>
      <c r="R57" s="263"/>
      <c r="S57" s="264"/>
      <c r="T57" s="243">
        <f t="shared" si="17"/>
        <v>10351.16</v>
      </c>
      <c r="U57" s="7">
        <f t="shared" si="15"/>
        <v>9457.3217743588248</v>
      </c>
      <c r="V57" s="7">
        <f t="shared" si="18"/>
        <v>893.83822564117531</v>
      </c>
      <c r="W57" s="7">
        <f t="shared" si="19"/>
        <v>371142.30592041457</v>
      </c>
      <c r="Y57" s="63"/>
      <c r="AD57" s="26">
        <v>47239</v>
      </c>
      <c r="AE57" s="7">
        <f t="shared" si="10"/>
        <v>10351.16</v>
      </c>
      <c r="AF57" s="7">
        <f t="shared" si="14"/>
        <v>10137.459363541448</v>
      </c>
      <c r="AG57" s="7">
        <f t="shared" si="11"/>
        <v>213.700636458552</v>
      </c>
      <c r="AH57" s="7">
        <f t="shared" si="13"/>
        <v>225341.73172652064</v>
      </c>
      <c r="BH57" s="187">
        <v>42193</v>
      </c>
      <c r="BI57" s="180">
        <v>4.9000000000000002E-2</v>
      </c>
      <c r="BJ57" s="191">
        <v>42193</v>
      </c>
      <c r="BK57" s="192">
        <v>0.58699999999999997</v>
      </c>
      <c r="BN57" s="94">
        <v>42160</v>
      </c>
      <c r="BO57" s="95">
        <v>0.40600000000000003</v>
      </c>
      <c r="BP57" s="96">
        <v>8.4700000000000006</v>
      </c>
    </row>
    <row r="58" spans="1:68" ht="15.75" thickBot="1">
      <c r="A58" s="477" t="s">
        <v>538</v>
      </c>
      <c r="B58" s="500" t="s">
        <v>542</v>
      </c>
      <c r="C58" s="439"/>
      <c r="D58" s="453"/>
      <c r="E58" s="214"/>
      <c r="F58" s="436"/>
      <c r="G58" s="446">
        <v>44866</v>
      </c>
      <c r="H58" s="7">
        <f t="shared" si="24"/>
        <v>28276.813773831527</v>
      </c>
      <c r="I58" s="7">
        <f t="shared" si="21"/>
        <v>24312.425709563326</v>
      </c>
      <c r="J58" s="7">
        <f t="shared" si="23"/>
        <v>3964.3880642682002</v>
      </c>
      <c r="K58" s="7">
        <f t="shared" si="22"/>
        <v>1079551.1541917839</v>
      </c>
      <c r="L58" s="254">
        <f t="shared" si="16"/>
        <v>2.7495000000000002E-2</v>
      </c>
      <c r="M58" s="346"/>
      <c r="O58" s="346"/>
      <c r="R58" s="292">
        <f>+R6+R7</f>
        <v>1025.18</v>
      </c>
      <c r="S58" s="264">
        <f>+R58*12</f>
        <v>12302.16</v>
      </c>
      <c r="T58" s="243">
        <f t="shared" si="17"/>
        <v>10351.16</v>
      </c>
      <c r="U58" s="7">
        <f t="shared" si="15"/>
        <v>9479.5322945459066</v>
      </c>
      <c r="V58" s="7">
        <f t="shared" si="18"/>
        <v>871.62770545409353</v>
      </c>
      <c r="W58" s="7">
        <f t="shared" si="19"/>
        <v>361662.77362586866</v>
      </c>
      <c r="Y58" s="63"/>
      <c r="AD58" s="26">
        <v>47423</v>
      </c>
      <c r="AE58" s="7">
        <f t="shared" si="10"/>
        <v>10351.16</v>
      </c>
      <c r="AF58" s="7">
        <f t="shared" si="14"/>
        <v>10143.269733497189</v>
      </c>
      <c r="AG58" s="7">
        <f t="shared" si="11"/>
        <v>207.89026650281122</v>
      </c>
      <c r="AH58" s="7">
        <f t="shared" si="13"/>
        <v>215198.46199302346</v>
      </c>
      <c r="BH58" s="187">
        <v>42194</v>
      </c>
      <c r="BI58" s="180">
        <v>4.9000000000000002E-2</v>
      </c>
      <c r="BJ58" s="191">
        <v>42194</v>
      </c>
      <c r="BK58" s="192">
        <v>0.58399999999999996</v>
      </c>
      <c r="BN58" s="94">
        <v>42163</v>
      </c>
      <c r="BO58" s="95">
        <v>0.41499999999999998</v>
      </c>
      <c r="BP58" s="96">
        <v>8.4600000000000009</v>
      </c>
    </row>
    <row r="59" spans="1:68" ht="15.75" thickBot="1">
      <c r="A59" s="454" t="s">
        <v>539</v>
      </c>
      <c r="B59" s="497">
        <v>36480</v>
      </c>
      <c r="C59" s="502">
        <f>+B59*$G$32</f>
        <v>216617.67441860464</v>
      </c>
      <c r="D59" s="473" t="s">
        <v>539</v>
      </c>
      <c r="E59" s="497">
        <v>36480</v>
      </c>
      <c r="F59" s="502">
        <f>+E59*$G$32</f>
        <v>216617.67441860464</v>
      </c>
      <c r="G59" s="449">
        <v>45049</v>
      </c>
      <c r="H59" s="7">
        <f t="shared" si="24"/>
        <v>28276.813773831527</v>
      </c>
      <c r="I59" s="7">
        <f t="shared" si="21"/>
        <v>13188.332123375783</v>
      </c>
      <c r="J59" s="7">
        <f>+K58*L58*(G59-G58)/360</f>
        <v>15088.481650455744</v>
      </c>
      <c r="K59" s="7">
        <f>+K58-I59</f>
        <v>1066362.8220684081</v>
      </c>
      <c r="L59" s="268">
        <f>+(M59+N59)/2/100+0.37%</f>
        <v>3.1164050000000006E-2</v>
      </c>
      <c r="M59" s="348">
        <v>3.0598100000000001</v>
      </c>
      <c r="N59">
        <f>+BK1989</f>
        <v>2.4329999999999998</v>
      </c>
      <c r="O59" s="346" t="s">
        <v>467</v>
      </c>
      <c r="R59" s="47"/>
      <c r="S59" s="257"/>
      <c r="T59" s="243">
        <f t="shared" si="17"/>
        <v>10351.16</v>
      </c>
      <c r="U59" s="7">
        <f t="shared" si="15"/>
        <v>9501.7949761396467</v>
      </c>
      <c r="V59" s="7">
        <f t="shared" si="18"/>
        <v>849.36502386035249</v>
      </c>
      <c r="W59" s="7">
        <f t="shared" si="19"/>
        <v>352160.97864972899</v>
      </c>
      <c r="Y59" s="63"/>
      <c r="AD59" s="26">
        <v>47604</v>
      </c>
      <c r="AE59" s="7">
        <f t="shared" si="10"/>
        <v>10351.16</v>
      </c>
      <c r="AF59" s="7">
        <f t="shared" si="14"/>
        <v>10155.864406873803</v>
      </c>
      <c r="AG59" s="7">
        <f t="shared" si="11"/>
        <v>195.29559312619648</v>
      </c>
      <c r="AH59" s="7">
        <f t="shared" si="13"/>
        <v>205042.59758614967</v>
      </c>
      <c r="BH59" s="187">
        <v>42195</v>
      </c>
      <c r="BI59" s="180">
        <v>4.9000000000000002E-2</v>
      </c>
      <c r="BJ59" s="191">
        <v>42195</v>
      </c>
      <c r="BK59" s="192">
        <v>0.58299999999999996</v>
      </c>
      <c r="BN59" s="94">
        <v>42164</v>
      </c>
      <c r="BO59" s="95">
        <v>0.42399999999999999</v>
      </c>
      <c r="BP59" s="96">
        <v>8.4499999999999993</v>
      </c>
    </row>
    <row r="60" spans="1:68" ht="15">
      <c r="A60" s="455">
        <v>42811</v>
      </c>
      <c r="B60" s="456">
        <v>-1064</v>
      </c>
      <c r="C60" s="439"/>
      <c r="D60" s="457">
        <v>44682</v>
      </c>
      <c r="E60" s="456">
        <v>342</v>
      </c>
      <c r="F60" s="436"/>
      <c r="G60" s="447">
        <v>45232</v>
      </c>
      <c r="H60" s="7">
        <f t="shared" si="24"/>
        <v>28276.813773831527</v>
      </c>
      <c r="I60" s="7">
        <f t="shared" si="21"/>
        <v>11383.786752082025</v>
      </c>
      <c r="J60" s="7">
        <f>+K59*L59*(G60-G59)/360</f>
        <v>16893.027021749502</v>
      </c>
      <c r="K60" s="7">
        <f t="shared" si="22"/>
        <v>1054979.0353163262</v>
      </c>
      <c r="L60" s="268">
        <f t="shared" ref="L60:L112" si="25">+(M60+N60)/2/100+0.37%</f>
        <v>3.0865499999999997E-2</v>
      </c>
      <c r="M60" s="348">
        <v>3.0001000000000002</v>
      </c>
      <c r="N60">
        <f>+$N$59</f>
        <v>2.4329999999999998</v>
      </c>
      <c r="O60" s="346" t="s">
        <v>468</v>
      </c>
      <c r="R60" s="47"/>
      <c r="S60" s="257"/>
      <c r="T60" s="243">
        <f t="shared" si="17"/>
        <v>10351.16</v>
      </c>
      <c r="U60" s="7">
        <f t="shared" si="15"/>
        <v>9533.1487400931219</v>
      </c>
      <c r="V60" s="7">
        <f t="shared" si="18"/>
        <v>818.01125990687888</v>
      </c>
      <c r="W60" s="7">
        <f t="shared" si="19"/>
        <v>342627.82990963588</v>
      </c>
      <c r="Y60" s="63"/>
      <c r="AD60" s="26">
        <v>47788</v>
      </c>
      <c r="AE60" s="7">
        <f t="shared" si="10"/>
        <v>10351.16</v>
      </c>
      <c r="AF60" s="7">
        <f t="shared" si="14"/>
        <v>10161.996812471356</v>
      </c>
      <c r="AG60" s="7">
        <f t="shared" si="11"/>
        <v>189.16318752864456</v>
      </c>
      <c r="AH60" s="7">
        <f t="shared" si="13"/>
        <v>194880.60077367831</v>
      </c>
      <c r="BH60" s="187">
        <v>42198</v>
      </c>
      <c r="BI60" s="180">
        <v>4.9000000000000002E-2</v>
      </c>
      <c r="BJ60" s="191">
        <v>42198</v>
      </c>
      <c r="BK60" s="192">
        <v>0.58499999999999996</v>
      </c>
      <c r="BN60" s="94">
        <v>42165</v>
      </c>
      <c r="BO60" s="95">
        <v>0.437</v>
      </c>
      <c r="BP60" s="96">
        <v>8.4499999999999993</v>
      </c>
    </row>
    <row r="61" spans="1:68" ht="15">
      <c r="A61" s="455">
        <v>42856</v>
      </c>
      <c r="B61" s="456">
        <v>1063.99</v>
      </c>
      <c r="C61" s="439"/>
      <c r="D61" s="457">
        <v>44866</v>
      </c>
      <c r="E61" s="456">
        <v>342</v>
      </c>
      <c r="F61" s="436"/>
      <c r="G61" s="445">
        <v>45413</v>
      </c>
      <c r="H61" s="7">
        <f t="shared" si="24"/>
        <v>28276.813773831527</v>
      </c>
      <c r="I61" s="7">
        <f t="shared" si="21"/>
        <v>11905.134801513064</v>
      </c>
      <c r="J61" s="7">
        <f t="shared" si="23"/>
        <v>16371.678972318463</v>
      </c>
      <c r="K61" s="7">
        <f t="shared" si="22"/>
        <v>1043073.9005148131</v>
      </c>
      <c r="L61" s="268">
        <f t="shared" si="25"/>
        <v>2.9881749999999999E-2</v>
      </c>
      <c r="M61" s="348">
        <v>2.80335</v>
      </c>
      <c r="N61">
        <f t="shared" ref="N61:N112" si="26">+$N$59</f>
        <v>2.4329999999999998</v>
      </c>
      <c r="O61" s="346" t="s">
        <v>469</v>
      </c>
      <c r="R61" s="47"/>
      <c r="S61" s="257"/>
      <c r="T61" s="243">
        <f t="shared" si="17"/>
        <v>10351.16</v>
      </c>
      <c r="U61" s="7">
        <f t="shared" si="15"/>
        <v>9542.1014843067132</v>
      </c>
      <c r="V61" s="7">
        <f t="shared" si="18"/>
        <v>809.05851569328695</v>
      </c>
      <c r="W61" s="7">
        <f t="shared" si="19"/>
        <v>333085.72842532914</v>
      </c>
      <c r="Y61" s="63"/>
      <c r="AD61" s="26">
        <v>47969</v>
      </c>
      <c r="AE61" s="7">
        <f t="shared" si="10"/>
        <v>10351.16</v>
      </c>
      <c r="AF61" s="7">
        <f t="shared" si="14"/>
        <v>10174.303148122875</v>
      </c>
      <c r="AG61" s="7">
        <f t="shared" si="11"/>
        <v>176.8568518771238</v>
      </c>
      <c r="AH61" s="7">
        <f t="shared" si="13"/>
        <v>184706.29762555542</v>
      </c>
      <c r="BH61" s="187">
        <v>42199</v>
      </c>
      <c r="BI61" s="180">
        <v>4.9000000000000002E-2</v>
      </c>
      <c r="BJ61" s="191">
        <v>42199</v>
      </c>
      <c r="BK61" s="192">
        <v>0.58499999999999996</v>
      </c>
      <c r="BN61" s="94">
        <v>42166</v>
      </c>
      <c r="BO61" s="95">
        <v>0.44900000000000001</v>
      </c>
      <c r="BP61" s="96">
        <v>8.44</v>
      </c>
    </row>
    <row r="62" spans="1:68" ht="15">
      <c r="A62" s="462">
        <v>42736</v>
      </c>
      <c r="B62" s="463">
        <v>547.20000000000005</v>
      </c>
      <c r="C62" s="475">
        <f>SUM(B60:B62)</f>
        <v>547.19000000000005</v>
      </c>
      <c r="D62" s="465"/>
      <c r="E62" s="466"/>
      <c r="F62" s="475">
        <f>SUM(E60:E62)</f>
        <v>684</v>
      </c>
      <c r="G62" s="446">
        <v>45597</v>
      </c>
      <c r="H62" s="7">
        <f t="shared" si="24"/>
        <v>28276.813773831527</v>
      </c>
      <c r="I62" s="7">
        <f t="shared" si="21"/>
        <v>12346.056193513841</v>
      </c>
      <c r="J62" s="7">
        <f t="shared" si="23"/>
        <v>15930.757580317686</v>
      </c>
      <c r="K62" s="7">
        <f t="shared" si="22"/>
        <v>1030727.8443212993</v>
      </c>
      <c r="L62" s="268">
        <f t="shared" si="25"/>
        <v>2.8797999999999997E-2</v>
      </c>
      <c r="M62" s="348">
        <v>2.5865999999999998</v>
      </c>
      <c r="N62">
        <f t="shared" si="26"/>
        <v>2.4329999999999998</v>
      </c>
      <c r="O62" s="346" t="s">
        <v>470</v>
      </c>
      <c r="R62" s="47"/>
      <c r="S62" s="257"/>
      <c r="T62" s="243">
        <f t="shared" si="17"/>
        <v>10351.16</v>
      </c>
      <c r="U62" s="7">
        <f t="shared" si="15"/>
        <v>9577.457367156032</v>
      </c>
      <c r="V62" s="7">
        <f t="shared" si="18"/>
        <v>773.70263284396867</v>
      </c>
      <c r="W62" s="7">
        <f t="shared" si="19"/>
        <v>323508.27105817309</v>
      </c>
      <c r="Y62" s="63"/>
      <c r="AD62" s="26">
        <v>48153</v>
      </c>
      <c r="AE62" s="7">
        <f t="shared" si="10"/>
        <v>10351.16</v>
      </c>
      <c r="AF62" s="7">
        <f t="shared" si="14"/>
        <v>10180.758178979446</v>
      </c>
      <c r="AG62" s="7">
        <f t="shared" si="11"/>
        <v>170.40182102055408</v>
      </c>
      <c r="AH62" s="7">
        <f t="shared" si="13"/>
        <v>174525.53944657597</v>
      </c>
      <c r="BH62" s="187">
        <v>42200</v>
      </c>
      <c r="BI62" s="180">
        <v>4.9000000000000002E-2</v>
      </c>
      <c r="BJ62" s="191">
        <v>42200</v>
      </c>
      <c r="BK62" s="192">
        <v>0.58199999999999996</v>
      </c>
      <c r="BN62" s="94">
        <v>42167</v>
      </c>
      <c r="BO62" s="95">
        <v>0.45600000000000002</v>
      </c>
      <c r="BP62" s="96">
        <v>8.43</v>
      </c>
    </row>
    <row r="63" spans="1:68" ht="15">
      <c r="G63" s="234">
        <v>45778</v>
      </c>
      <c r="H63" s="7">
        <f t="shared" si="24"/>
        <v>28276.813773831527</v>
      </c>
      <c r="I63" s="7">
        <f t="shared" si="21"/>
        <v>13352.911042169237</v>
      </c>
      <c r="J63" s="7">
        <f t="shared" si="23"/>
        <v>14923.902731662291</v>
      </c>
      <c r="K63" s="7">
        <f t="shared" si="22"/>
        <v>1017374.9332791301</v>
      </c>
      <c r="L63" s="268">
        <f t="shared" si="25"/>
        <v>2.8538750000000002E-2</v>
      </c>
      <c r="M63" s="348">
        <v>2.5347499999999998</v>
      </c>
      <c r="N63">
        <f t="shared" si="26"/>
        <v>2.4329999999999998</v>
      </c>
      <c r="O63" s="346" t="s">
        <v>471</v>
      </c>
      <c r="R63" s="47"/>
      <c r="S63" s="257"/>
      <c r="T63" s="243">
        <f t="shared" si="17"/>
        <v>10351.16</v>
      </c>
      <c r="U63" s="7">
        <f t="shared" si="15"/>
        <v>9587.2491359412998</v>
      </c>
      <c r="V63" s="7">
        <f t="shared" si="18"/>
        <v>763.91086405869942</v>
      </c>
      <c r="W63" s="7">
        <f t="shared" si="19"/>
        <v>313921.02192223177</v>
      </c>
      <c r="Y63" s="63"/>
      <c r="AD63" s="26">
        <v>48335</v>
      </c>
      <c r="AE63" s="7">
        <f t="shared" si="10"/>
        <v>10351.16</v>
      </c>
      <c r="AF63" s="7">
        <f t="shared" si="14"/>
        <v>10191.900597323349</v>
      </c>
      <c r="AG63" s="7">
        <f t="shared" si="11"/>
        <v>159.25940267665186</v>
      </c>
      <c r="AH63" s="7">
        <f t="shared" si="13"/>
        <v>164333.63884925263</v>
      </c>
      <c r="BH63" s="187">
        <v>42201</v>
      </c>
      <c r="BI63" s="180">
        <v>4.9000000000000002E-2</v>
      </c>
      <c r="BJ63" s="191">
        <v>42201</v>
      </c>
      <c r="BK63" s="192">
        <v>0.57999999999999996</v>
      </c>
      <c r="BN63" s="94">
        <v>42170</v>
      </c>
      <c r="BO63" s="95">
        <v>0.46300000000000002</v>
      </c>
      <c r="BP63" s="96">
        <v>8.43</v>
      </c>
    </row>
    <row r="64" spans="1:68" ht="15">
      <c r="C64" s="414"/>
      <c r="G64" s="235">
        <v>45962</v>
      </c>
      <c r="H64" s="7">
        <f t="shared" si="24"/>
        <v>28276.813773831527</v>
      </c>
      <c r="I64" s="7">
        <f t="shared" si="21"/>
        <v>13436.902569970309</v>
      </c>
      <c r="J64" s="7">
        <f t="shared" si="23"/>
        <v>14839.911203861218</v>
      </c>
      <c r="K64" s="7">
        <f t="shared" si="22"/>
        <v>1003938.0307091598</v>
      </c>
      <c r="L64" s="268">
        <f t="shared" si="25"/>
        <v>2.8149250000000001E-2</v>
      </c>
      <c r="M64" s="348">
        <v>2.4568500000000002</v>
      </c>
      <c r="N64">
        <f t="shared" si="26"/>
        <v>2.4329999999999998</v>
      </c>
      <c r="O64" s="346" t="s">
        <v>472</v>
      </c>
      <c r="R64" s="47"/>
      <c r="S64" s="257"/>
      <c r="T64" s="243">
        <f t="shared" si="17"/>
        <v>10351.16</v>
      </c>
      <c r="U64" s="7">
        <f t="shared" si="15"/>
        <v>9621.9737862449765</v>
      </c>
      <c r="V64" s="7">
        <f t="shared" si="18"/>
        <v>729.18621375502403</v>
      </c>
      <c r="W64" s="7">
        <f t="shared" si="19"/>
        <v>304299.04813598678</v>
      </c>
      <c r="Y64" s="63"/>
      <c r="AD64" s="26">
        <v>48519</v>
      </c>
      <c r="AE64" s="7">
        <f t="shared" si="10"/>
        <v>10351.16</v>
      </c>
      <c r="AF64" s="7">
        <f t="shared" si="14"/>
        <v>10199.553088514962</v>
      </c>
      <c r="AG64" s="7">
        <f t="shared" si="11"/>
        <v>151.6069114850383</v>
      </c>
      <c r="AH64" s="7">
        <f t="shared" si="13"/>
        <v>154134.08576073768</v>
      </c>
      <c r="BH64" s="187">
        <v>42202</v>
      </c>
      <c r="BI64" s="180">
        <v>4.9000000000000002E-2</v>
      </c>
      <c r="BJ64" s="191">
        <v>42202</v>
      </c>
      <c r="BK64" s="192">
        <v>0.57799999999999996</v>
      </c>
      <c r="BN64" s="94">
        <v>42171</v>
      </c>
      <c r="BO64" s="95">
        <v>0.47</v>
      </c>
      <c r="BP64" s="96">
        <v>8.42</v>
      </c>
    </row>
    <row r="65" spans="2:68" ht="15">
      <c r="B65" s="370" t="s">
        <v>541</v>
      </c>
      <c r="C65" s="520">
        <f>+C45+C49</f>
        <v>1488278.6201550388</v>
      </c>
      <c r="E65" s="370" t="s">
        <v>541</v>
      </c>
      <c r="F65" s="520">
        <f>+F45+F49</f>
        <v>1542382.3877519381</v>
      </c>
      <c r="G65" s="236">
        <v>46143</v>
      </c>
      <c r="H65" s="7">
        <f t="shared" si="24"/>
        <v>28276.813773831527</v>
      </c>
      <c r="I65" s="7">
        <f t="shared" si="21"/>
        <v>14068.262183331231</v>
      </c>
      <c r="J65" s="7">
        <f t="shared" si="23"/>
        <v>14208.551590500296</v>
      </c>
      <c r="K65" s="7">
        <f t="shared" si="22"/>
        <v>989869.76852582861</v>
      </c>
      <c r="L65" s="268">
        <f t="shared" si="25"/>
        <v>2.8018799999999996E-2</v>
      </c>
      <c r="M65" s="348">
        <v>2.4307599999999998</v>
      </c>
      <c r="N65">
        <f t="shared" si="26"/>
        <v>2.4329999999999998</v>
      </c>
      <c r="O65" s="346" t="s">
        <v>473</v>
      </c>
      <c r="R65" s="47"/>
      <c r="S65" s="257"/>
      <c r="T65" s="243">
        <f t="shared" si="17"/>
        <v>10351.16</v>
      </c>
      <c r="U65" s="7">
        <f t="shared" si="15"/>
        <v>9632.6085143348901</v>
      </c>
      <c r="V65" s="7">
        <f t="shared" si="18"/>
        <v>718.55148566511014</v>
      </c>
      <c r="W65" s="7">
        <f t="shared" si="19"/>
        <v>294666.43962165189</v>
      </c>
      <c r="Y65" s="63"/>
      <c r="AD65" s="26">
        <v>48700</v>
      </c>
      <c r="AE65" s="7">
        <f t="shared" si="10"/>
        <v>10351.16</v>
      </c>
      <c r="AF65" s="7">
        <f t="shared" si="14"/>
        <v>10211.28117642094</v>
      </c>
      <c r="AG65" s="7">
        <f t="shared" si="11"/>
        <v>139.87882357906057</v>
      </c>
      <c r="AH65" s="7">
        <f t="shared" si="13"/>
        <v>143922.80458431673</v>
      </c>
      <c r="BH65" s="187">
        <v>42205</v>
      </c>
      <c r="BI65" s="180">
        <v>4.9000000000000002E-2</v>
      </c>
      <c r="BJ65" s="191">
        <v>42205</v>
      </c>
      <c r="BK65" s="192">
        <v>0.57099999999999995</v>
      </c>
      <c r="BN65" s="94">
        <v>42172</v>
      </c>
      <c r="BO65" s="95">
        <v>0.47799999999999998</v>
      </c>
      <c r="BP65" s="96">
        <v>8.42</v>
      </c>
    </row>
    <row r="66" spans="2:68" ht="15">
      <c r="B66" s="370" t="s">
        <v>541</v>
      </c>
      <c r="C66" s="467">
        <f>+C53</f>
        <v>505441.2403100775</v>
      </c>
      <c r="E66" s="370" t="s">
        <v>541</v>
      </c>
      <c r="F66" s="467">
        <f>+F53</f>
        <v>505441.2403100775</v>
      </c>
      <c r="G66" s="237">
        <v>46327</v>
      </c>
      <c r="H66" s="7">
        <f t="shared" si="24"/>
        <v>28276.813773831527</v>
      </c>
      <c r="I66" s="7">
        <f t="shared" si="21"/>
        <v>14101.165982308325</v>
      </c>
      <c r="J66" s="7">
        <f t="shared" si="23"/>
        <v>14175.647791523203</v>
      </c>
      <c r="K66" s="7">
        <f t="shared" si="22"/>
        <v>975768.60254352028</v>
      </c>
      <c r="L66" s="268">
        <f t="shared" si="25"/>
        <v>2.7998450000000001E-2</v>
      </c>
      <c r="M66" s="348">
        <v>2.4266899999999998</v>
      </c>
      <c r="N66">
        <f t="shared" si="26"/>
        <v>2.4329999999999998</v>
      </c>
      <c r="O66" s="346" t="s">
        <v>474</v>
      </c>
      <c r="R66" s="47"/>
      <c r="S66" s="257"/>
      <c r="T66" s="243">
        <f t="shared" si="17"/>
        <v>10351.16</v>
      </c>
      <c r="U66" s="7">
        <f t="shared" si="15"/>
        <v>9666.6989718321729</v>
      </c>
      <c r="V66" s="7">
        <f t="shared" si="18"/>
        <v>684.46102816782707</v>
      </c>
      <c r="W66" s="7">
        <f t="shared" si="19"/>
        <v>284999.74064981972</v>
      </c>
      <c r="Y66" s="63"/>
      <c r="AD66" s="26">
        <v>48884</v>
      </c>
      <c r="AE66" s="7">
        <f t="shared" si="10"/>
        <v>10351.16</v>
      </c>
      <c r="AF66" s="7">
        <f t="shared" si="14"/>
        <v>10218.383217059602</v>
      </c>
      <c r="AG66" s="7">
        <f t="shared" si="11"/>
        <v>132.77678294039796</v>
      </c>
      <c r="AH66" s="7">
        <f t="shared" si="13"/>
        <v>133704.42136725713</v>
      </c>
      <c r="BH66" s="187">
        <v>42206</v>
      </c>
      <c r="BI66" s="180">
        <v>4.9000000000000002E-2</v>
      </c>
      <c r="BJ66" s="191">
        <v>42206</v>
      </c>
      <c r="BK66" s="192">
        <v>0.56399999999999995</v>
      </c>
      <c r="BN66" s="94">
        <v>42173</v>
      </c>
      <c r="BO66" s="95">
        <v>0.48599999999999999</v>
      </c>
      <c r="BP66" s="96">
        <v>8.42</v>
      </c>
    </row>
    <row r="67" spans="2:68" ht="15">
      <c r="B67" s="435" t="s">
        <v>543</v>
      </c>
      <c r="C67" s="521">
        <f>+C41</f>
        <v>451286.82170542632</v>
      </c>
      <c r="E67" s="435" t="s">
        <v>543</v>
      </c>
      <c r="F67" s="521">
        <f>+F41</f>
        <v>451286.82170542632</v>
      </c>
      <c r="G67" s="234">
        <v>46508</v>
      </c>
      <c r="H67" s="7">
        <f t="shared" si="24"/>
        <v>28276.813773831527</v>
      </c>
      <c r="I67" s="7">
        <f t="shared" si="21"/>
        <v>14540.920646583978</v>
      </c>
      <c r="J67" s="7">
        <f t="shared" si="23"/>
        <v>13735.893127247549</v>
      </c>
      <c r="K67" s="7">
        <f t="shared" si="22"/>
        <v>961227.68189693626</v>
      </c>
      <c r="L67" s="268">
        <f t="shared" si="25"/>
        <v>2.7992099999999999E-2</v>
      </c>
      <c r="M67" s="348">
        <v>2.4254199999999999</v>
      </c>
      <c r="N67">
        <f t="shared" si="26"/>
        <v>2.4329999999999998</v>
      </c>
      <c r="O67" s="346" t="s">
        <v>475</v>
      </c>
      <c r="R67" s="47"/>
      <c r="S67" s="257"/>
      <c r="T67" s="243">
        <f t="shared" si="17"/>
        <v>10351.16</v>
      </c>
      <c r="U67" s="7">
        <f t="shared" si="15"/>
        <v>9678.1806124122249</v>
      </c>
      <c r="V67" s="7">
        <f t="shared" si="18"/>
        <v>672.97938758777434</v>
      </c>
      <c r="W67" s="7">
        <f t="shared" si="19"/>
        <v>275321.5600374075</v>
      </c>
      <c r="Y67" s="63"/>
      <c r="AD67" s="26">
        <v>49065</v>
      </c>
      <c r="AE67" s="7">
        <f t="shared" si="10"/>
        <v>10351.16</v>
      </c>
      <c r="AF67" s="7">
        <f t="shared" si="14"/>
        <v>10229.821380603362</v>
      </c>
      <c r="AG67" s="7">
        <f t="shared" si="11"/>
        <v>121.33861939663817</v>
      </c>
      <c r="AH67" s="7">
        <f t="shared" si="13"/>
        <v>123474.59998665377</v>
      </c>
      <c r="BH67" s="187">
        <v>42207</v>
      </c>
      <c r="BI67" s="180">
        <v>4.9000000000000002E-2</v>
      </c>
      <c r="BJ67" s="191">
        <v>42207</v>
      </c>
      <c r="BK67" s="192">
        <v>0.55800000000000005</v>
      </c>
      <c r="BN67" s="94">
        <v>42174</v>
      </c>
      <c r="BO67" s="95">
        <v>0.49399999999999999</v>
      </c>
      <c r="BP67" s="96">
        <v>8.41</v>
      </c>
    </row>
    <row r="68" spans="2:68" ht="15">
      <c r="B68" s="477" t="s">
        <v>542</v>
      </c>
      <c r="C68" s="522">
        <f>+C59</f>
        <v>216617.67441860464</v>
      </c>
      <c r="E68" s="477" t="s">
        <v>542</v>
      </c>
      <c r="F68" s="522">
        <f>+F59</f>
        <v>216617.67441860464</v>
      </c>
      <c r="G68" s="235">
        <v>46692</v>
      </c>
      <c r="H68" s="7">
        <f t="shared" si="24"/>
        <v>28276.813773831527</v>
      </c>
      <c r="I68" s="7">
        <f t="shared" si="21"/>
        <v>14524.458838902056</v>
      </c>
      <c r="J68" s="7">
        <f t="shared" si="23"/>
        <v>13752.354934929472</v>
      </c>
      <c r="K68" s="7">
        <f t="shared" si="22"/>
        <v>946703.2230580342</v>
      </c>
      <c r="L68" s="268">
        <f t="shared" si="25"/>
        <v>2.799455E-2</v>
      </c>
      <c r="M68" s="348">
        <v>2.42591</v>
      </c>
      <c r="N68">
        <f t="shared" si="26"/>
        <v>2.4329999999999998</v>
      </c>
      <c r="O68" s="346" t="s">
        <v>476</v>
      </c>
      <c r="R68" s="47"/>
      <c r="S68" s="257"/>
      <c r="T68" s="243">
        <f t="shared" si="17"/>
        <v>10351.16</v>
      </c>
      <c r="U68" s="7">
        <f t="shared" si="15"/>
        <v>9708.1006096059609</v>
      </c>
      <c r="V68" s="7">
        <f t="shared" si="18"/>
        <v>643.05939039403813</v>
      </c>
      <c r="W68" s="7">
        <f t="shared" si="19"/>
        <v>265613.45942780154</v>
      </c>
      <c r="Y68" s="63"/>
      <c r="AD68" s="26">
        <v>49249</v>
      </c>
      <c r="AE68" s="7">
        <f t="shared" si="10"/>
        <v>10351.16</v>
      </c>
      <c r="AF68" s="7">
        <f>+AE68-AG68</f>
        <v>10237.247821812312</v>
      </c>
      <c r="AG68" s="7">
        <f t="shared" si="11"/>
        <v>113.91217818768736</v>
      </c>
      <c r="AH68" s="7">
        <f>+AH67-AF68</f>
        <v>113237.35216484146</v>
      </c>
      <c r="BH68" s="187">
        <v>42208</v>
      </c>
      <c r="BI68" s="180">
        <v>4.9000000000000002E-2</v>
      </c>
      <c r="BJ68" s="191">
        <v>42208</v>
      </c>
      <c r="BK68" s="192">
        <v>0.55100000000000005</v>
      </c>
      <c r="BN68" s="94">
        <v>42177</v>
      </c>
      <c r="BO68" s="95">
        <v>0.502</v>
      </c>
      <c r="BP68" s="96">
        <v>8.41</v>
      </c>
    </row>
    <row r="69" spans="2:68" ht="15">
      <c r="C69" s="483"/>
      <c r="F69" s="483"/>
      <c r="G69" s="236">
        <v>46874</v>
      </c>
      <c r="H69" s="7">
        <f t="shared" si="24"/>
        <v>28276.813773831527</v>
      </c>
      <c r="I69" s="7">
        <f t="shared" si="21"/>
        <v>14878.312135562664</v>
      </c>
      <c r="J69" s="7">
        <f t="shared" si="23"/>
        <v>13398.501638268863</v>
      </c>
      <c r="K69" s="7">
        <f t="shared" si="22"/>
        <v>931824.91092247155</v>
      </c>
      <c r="L69" s="268">
        <f t="shared" si="25"/>
        <v>2.7996550000000002E-2</v>
      </c>
      <c r="M69" s="348">
        <v>2.42631</v>
      </c>
      <c r="N69">
        <f t="shared" si="26"/>
        <v>2.4329999999999998</v>
      </c>
      <c r="O69" s="346" t="s">
        <v>477</v>
      </c>
      <c r="R69" s="47"/>
      <c r="S69" s="257"/>
      <c r="T69" s="243">
        <f t="shared" si="17"/>
        <v>10351.16</v>
      </c>
      <c r="U69" s="7">
        <f t="shared" si="15"/>
        <v>9723.9580844711509</v>
      </c>
      <c r="V69" s="7">
        <f t="shared" si="18"/>
        <v>627.20191552884876</v>
      </c>
      <c r="W69" s="7">
        <f t="shared" si="19"/>
        <v>255889.5013433304</v>
      </c>
      <c r="Y69" s="63"/>
      <c r="AD69" s="26">
        <v>49430</v>
      </c>
      <c r="AE69" s="7">
        <f t="shared" si="10"/>
        <v>10351.16</v>
      </c>
      <c r="AF69" s="7">
        <f t="shared" si="14"/>
        <v>10248.395530169404</v>
      </c>
      <c r="AG69" s="7">
        <f t="shared" si="11"/>
        <v>102.76446983059591</v>
      </c>
      <c r="AH69" s="7">
        <f t="shared" ref="AH69:AH79" si="27">+AH68-AF69</f>
        <v>102988.95663467205</v>
      </c>
      <c r="BH69" s="187">
        <v>42209</v>
      </c>
      <c r="BI69" s="180">
        <v>4.8000000000000001E-2</v>
      </c>
      <c r="BJ69" s="191">
        <v>42209</v>
      </c>
      <c r="BK69" s="192">
        <v>0.54300000000000004</v>
      </c>
      <c r="BN69" s="94">
        <v>42178</v>
      </c>
      <c r="BO69" s="95">
        <v>0.51200000000000001</v>
      </c>
      <c r="BP69" s="96">
        <v>8.4</v>
      </c>
    </row>
    <row r="70" spans="2:68" ht="15">
      <c r="C70" s="414"/>
      <c r="F70" s="414"/>
      <c r="G70" s="237">
        <v>47058</v>
      </c>
      <c r="H70" s="7">
        <f t="shared" si="24"/>
        <v>28276.813773831527</v>
      </c>
      <c r="I70" s="7">
        <f t="shared" si="21"/>
        <v>14943.007055445081</v>
      </c>
      <c r="J70" s="7">
        <f t="shared" si="23"/>
        <v>13333.806718386446</v>
      </c>
      <c r="K70" s="7">
        <f t="shared" si="22"/>
        <v>916881.90386702644</v>
      </c>
      <c r="L70" s="268">
        <f t="shared" si="25"/>
        <v>2.7975800000000002E-2</v>
      </c>
      <c r="M70" s="348">
        <v>2.4221599999999999</v>
      </c>
      <c r="N70">
        <f t="shared" si="26"/>
        <v>2.4329999999999998</v>
      </c>
      <c r="O70" s="346" t="s">
        <v>478</v>
      </c>
      <c r="R70" s="47"/>
      <c r="S70" s="257"/>
      <c r="T70" s="243">
        <f t="shared" si="17"/>
        <v>10351.16</v>
      </c>
      <c r="U70" s="7">
        <f t="shared" si="15"/>
        <v>9756.7713366296666</v>
      </c>
      <c r="V70" s="7">
        <f t="shared" si="18"/>
        <v>594.38866337033267</v>
      </c>
      <c r="W70" s="7">
        <f t="shared" si="19"/>
        <v>246132.73000670073</v>
      </c>
      <c r="Y70" s="63"/>
      <c r="AD70" s="26">
        <v>49614</v>
      </c>
      <c r="AE70" s="7">
        <f t="shared" si="10"/>
        <v>10351.16</v>
      </c>
      <c r="AF70" s="7">
        <f t="shared" si="14"/>
        <v>10256.146965895812</v>
      </c>
      <c r="AG70" s="7">
        <f t="shared" si="11"/>
        <v>95.0130341041869</v>
      </c>
      <c r="AH70" s="7">
        <f t="shared" si="27"/>
        <v>92732.809668776245</v>
      </c>
      <c r="BH70" s="187">
        <v>42212</v>
      </c>
      <c r="BI70" s="180">
        <v>4.9000000000000002E-2</v>
      </c>
      <c r="BJ70" s="191">
        <v>42212</v>
      </c>
      <c r="BK70" s="192">
        <v>0.53500000000000003</v>
      </c>
      <c r="BN70" s="94">
        <v>42179</v>
      </c>
      <c r="BO70" s="95">
        <v>0.53700000000000003</v>
      </c>
      <c r="BP70" s="96">
        <v>8.44</v>
      </c>
    </row>
    <row r="71" spans="2:68" ht="15">
      <c r="C71" s="422">
        <f>SUM(C65:C70)</f>
        <v>2661624.3565891474</v>
      </c>
      <c r="F71" s="422">
        <f>SUM(F65:F70)</f>
        <v>2715728.1241860464</v>
      </c>
      <c r="G71" s="234">
        <v>47239</v>
      </c>
      <c r="H71" s="7">
        <f t="shared" si="24"/>
        <v>28276.813773831527</v>
      </c>
      <c r="I71" s="7">
        <f t="shared" si="21"/>
        <v>15380.309988601606</v>
      </c>
      <c r="J71" s="7">
        <f t="shared" si="23"/>
        <v>12896.503785229921</v>
      </c>
      <c r="K71" s="7">
        <f t="shared" si="22"/>
        <v>901501.59387842484</v>
      </c>
      <c r="L71" s="268">
        <f t="shared" si="25"/>
        <v>2.7970200000000001E-2</v>
      </c>
      <c r="M71" s="348">
        <v>2.4210400000000001</v>
      </c>
      <c r="N71">
        <f t="shared" si="26"/>
        <v>2.4329999999999998</v>
      </c>
      <c r="O71" s="346" t="s">
        <v>479</v>
      </c>
      <c r="R71" s="47"/>
      <c r="S71" s="47"/>
      <c r="T71" s="243">
        <f t="shared" si="17"/>
        <v>10351.16</v>
      </c>
      <c r="U71" s="7">
        <f t="shared" si="15"/>
        <v>9769.9585802108431</v>
      </c>
      <c r="V71" s="7">
        <f t="shared" si="18"/>
        <v>581.20141978915592</v>
      </c>
      <c r="W71" s="7">
        <f t="shared" si="19"/>
        <v>236362.7714264899</v>
      </c>
      <c r="Y71" s="63"/>
      <c r="AD71" s="26">
        <v>49796</v>
      </c>
      <c r="AE71" s="7">
        <f t="shared" si="10"/>
        <v>10351.16</v>
      </c>
      <c r="AF71" s="7">
        <f t="shared" si="14"/>
        <v>10266.538735265862</v>
      </c>
      <c r="AG71" s="7">
        <f t="shared" si="11"/>
        <v>84.621264734138009</v>
      </c>
      <c r="AH71" s="7">
        <f t="shared" si="27"/>
        <v>82466.270933510386</v>
      </c>
      <c r="BH71" s="187">
        <v>42213</v>
      </c>
      <c r="BI71" s="180">
        <v>4.8000000000000001E-2</v>
      </c>
      <c r="BJ71" s="191">
        <v>42213</v>
      </c>
      <c r="BK71" s="192">
        <v>0.52900000000000003</v>
      </c>
      <c r="BN71" s="94">
        <v>42180</v>
      </c>
      <c r="BO71" s="95">
        <v>0.54800000000000004</v>
      </c>
      <c r="BP71" s="96">
        <v>8.44</v>
      </c>
    </row>
    <row r="72" spans="2:68" ht="15">
      <c r="G72" s="235">
        <v>47423</v>
      </c>
      <c r="H72" s="7">
        <f t="shared" si="24"/>
        <v>28276.813773831527</v>
      </c>
      <c r="I72" s="7">
        <f t="shared" si="21"/>
        <v>15389.055167936829</v>
      </c>
      <c r="J72" s="7">
        <f t="shared" si="23"/>
        <v>12887.758605894698</v>
      </c>
      <c r="K72" s="7">
        <f t="shared" si="22"/>
        <v>886112.53871048801</v>
      </c>
      <c r="L72" s="268">
        <f t="shared" si="25"/>
        <v>2.8218899999999998E-2</v>
      </c>
      <c r="M72" s="348">
        <v>2.47078</v>
      </c>
      <c r="N72">
        <f t="shared" si="26"/>
        <v>2.4329999999999998</v>
      </c>
      <c r="O72" s="346" t="s">
        <v>480</v>
      </c>
      <c r="R72" s="47"/>
      <c r="S72" s="47"/>
      <c r="T72" s="243">
        <f t="shared" si="17"/>
        <v>10351.16</v>
      </c>
      <c r="U72" s="7">
        <f t="shared" si="15"/>
        <v>9802.1286757715025</v>
      </c>
      <c r="V72" s="7">
        <f t="shared" si="18"/>
        <v>549.03132422849831</v>
      </c>
      <c r="W72" s="7">
        <f t="shared" si="19"/>
        <v>226560.6427507184</v>
      </c>
      <c r="Y72" s="63"/>
      <c r="AD72" s="26">
        <v>49980</v>
      </c>
      <c r="AE72" s="7">
        <f t="shared" si="10"/>
        <v>10351.16</v>
      </c>
      <c r="AF72" s="7">
        <f t="shared" si="14"/>
        <v>10275.08028360434</v>
      </c>
      <c r="AG72" s="7">
        <f t="shared" si="11"/>
        <v>76.079716395659631</v>
      </c>
      <c r="AH72" s="7">
        <f t="shared" si="27"/>
        <v>72191.190649906042</v>
      </c>
      <c r="BH72" s="187">
        <v>42214</v>
      </c>
      <c r="BI72" s="180">
        <v>4.8000000000000001E-2</v>
      </c>
      <c r="BJ72" s="191">
        <v>42214</v>
      </c>
      <c r="BK72" s="192">
        <v>0.52200000000000002</v>
      </c>
      <c r="BN72" s="94">
        <v>42181</v>
      </c>
      <c r="BO72" s="95">
        <v>0.56000000000000005</v>
      </c>
      <c r="BP72" s="96">
        <v>8.44</v>
      </c>
    </row>
    <row r="73" spans="2:68" ht="15">
      <c r="B73" s="414"/>
      <c r="C73" s="414"/>
      <c r="D73" s="414"/>
      <c r="E73" s="414"/>
      <c r="G73" s="236">
        <v>47604</v>
      </c>
      <c r="H73" s="7">
        <f t="shared" si="24"/>
        <v>28276.813773831527</v>
      </c>
      <c r="I73" s="7">
        <f t="shared" si="21"/>
        <v>15704.794544748896</v>
      </c>
      <c r="J73" s="7">
        <f t="shared" si="23"/>
        <v>12572.019229082631</v>
      </c>
      <c r="K73" s="7">
        <f t="shared" si="22"/>
        <v>870407.74416573916</v>
      </c>
      <c r="L73" s="268">
        <f t="shared" si="25"/>
        <v>2.8308699999999999E-2</v>
      </c>
      <c r="M73" s="348">
        <v>2.48874</v>
      </c>
      <c r="N73">
        <f t="shared" si="26"/>
        <v>2.4329999999999998</v>
      </c>
      <c r="O73" s="346" t="s">
        <v>481</v>
      </c>
      <c r="R73" s="47"/>
      <c r="S73" s="47"/>
      <c r="T73" s="243">
        <f t="shared" si="17"/>
        <v>10351.16</v>
      </c>
      <c r="U73" s="7">
        <f t="shared" si="15"/>
        <v>9816.1748022513038</v>
      </c>
      <c r="V73" s="7">
        <f t="shared" si="18"/>
        <v>534.98519774869635</v>
      </c>
      <c r="W73" s="7">
        <f t="shared" si="19"/>
        <v>216744.46794846709</v>
      </c>
      <c r="Y73" s="63"/>
      <c r="AD73" s="26">
        <v>50161</v>
      </c>
      <c r="AE73" s="7">
        <f t="shared" si="10"/>
        <v>10351.16</v>
      </c>
      <c r="AF73" s="7">
        <f t="shared" si="14"/>
        <v>10285.645491829784</v>
      </c>
      <c r="AG73" s="7">
        <f t="shared" si="11"/>
        <v>65.514508170215422</v>
      </c>
      <c r="AH73" s="7">
        <f t="shared" si="27"/>
        <v>61905.54515807626</v>
      </c>
      <c r="BH73" s="187">
        <v>42215</v>
      </c>
      <c r="BI73" s="180">
        <v>4.8000000000000001E-2</v>
      </c>
      <c r="BJ73" s="191">
        <v>42215</v>
      </c>
      <c r="BK73" s="192">
        <v>0.51100000000000001</v>
      </c>
      <c r="BN73" s="94">
        <v>42184</v>
      </c>
      <c r="BO73" s="95">
        <v>0.57199999999999995</v>
      </c>
      <c r="BP73" s="96">
        <v>8.43</v>
      </c>
    </row>
    <row r="74" spans="2:68" ht="15">
      <c r="B74" s="533">
        <f t="shared" ref="B74" si="28">+B45+B49+B41+B59+B53</f>
        <v>448237</v>
      </c>
      <c r="C74" s="533"/>
      <c r="D74" s="533"/>
      <c r="E74" s="533">
        <f>+E45+E49+E41+E59+E53</f>
        <v>457348.47</v>
      </c>
      <c r="G74" s="237">
        <v>47788</v>
      </c>
      <c r="H74" s="7">
        <f t="shared" si="24"/>
        <v>28276.813773831527</v>
      </c>
      <c r="I74" s="7">
        <f t="shared" si="21"/>
        <v>15682.978901229591</v>
      </c>
      <c r="J74" s="7">
        <f t="shared" si="23"/>
        <v>12593.834872601936</v>
      </c>
      <c r="K74" s="7">
        <f t="shared" si="22"/>
        <v>854724.76526450959</v>
      </c>
      <c r="L74" s="268">
        <f t="shared" si="25"/>
        <v>2.8530649999999998E-2</v>
      </c>
      <c r="M74" s="348">
        <v>2.5331299999999999</v>
      </c>
      <c r="N74">
        <f t="shared" si="26"/>
        <v>2.4329999999999998</v>
      </c>
      <c r="O74" s="346" t="s">
        <v>482</v>
      </c>
      <c r="R74" s="47"/>
      <c r="S74" s="47"/>
      <c r="T74" s="243">
        <f t="shared" si="17"/>
        <v>10351.16</v>
      </c>
      <c r="U74" s="7">
        <f t="shared" si="15"/>
        <v>9847.6987250337024</v>
      </c>
      <c r="V74" s="7">
        <f t="shared" si="18"/>
        <v>503.46127496629765</v>
      </c>
      <c r="W74" s="7">
        <f t="shared" si="19"/>
        <v>206896.7692234334</v>
      </c>
      <c r="Y74" s="63"/>
      <c r="AD74" s="26">
        <v>50345</v>
      </c>
      <c r="AE74" s="7">
        <f t="shared" si="10"/>
        <v>10351.16</v>
      </c>
      <c r="AF74" s="7">
        <f t="shared" si="14"/>
        <v>10294.048695394722</v>
      </c>
      <c r="AG74" s="7">
        <f t="shared" si="11"/>
        <v>57.111304605278576</v>
      </c>
      <c r="AH74" s="7">
        <f t="shared" si="27"/>
        <v>51611.496462681534</v>
      </c>
      <c r="BH74" s="187">
        <v>42216</v>
      </c>
      <c r="BI74" s="180">
        <v>4.8000000000000001E-2</v>
      </c>
      <c r="BJ74" s="191">
        <v>42216</v>
      </c>
      <c r="BK74" s="192">
        <v>0.501</v>
      </c>
      <c r="BN74" s="94">
        <v>42185</v>
      </c>
      <c r="BO74" s="95">
        <v>0.58299999999999996</v>
      </c>
      <c r="BP74" s="96">
        <v>8.43</v>
      </c>
    </row>
    <row r="75" spans="2:68" ht="15">
      <c r="B75" s="534">
        <f>+E75</f>
        <v>100683.6175456919</v>
      </c>
      <c r="C75" s="532"/>
      <c r="D75" s="532"/>
      <c r="E75" s="534">
        <f>+E36+E37</f>
        <v>100683.6175456919</v>
      </c>
      <c r="G75" s="234">
        <v>47969</v>
      </c>
      <c r="H75" s="7">
        <f t="shared" si="24"/>
        <v>28276.813773831527</v>
      </c>
      <c r="I75" s="7">
        <f t="shared" si="21"/>
        <v>16016.148730884328</v>
      </c>
      <c r="J75" s="7">
        <f t="shared" si="23"/>
        <v>12260.665042947199</v>
      </c>
      <c r="K75" s="7">
        <f t="shared" si="22"/>
        <v>838708.61653362529</v>
      </c>
      <c r="L75" s="268">
        <f t="shared" si="25"/>
        <v>2.8605449999999998E-2</v>
      </c>
      <c r="M75" s="348">
        <v>2.5480900000000002</v>
      </c>
      <c r="N75">
        <f t="shared" si="26"/>
        <v>2.4329999999999998</v>
      </c>
      <c r="O75" s="346" t="s">
        <v>483</v>
      </c>
      <c r="R75" s="47"/>
      <c r="S75" s="47"/>
      <c r="T75" s="243">
        <f t="shared" si="17"/>
        <v>10351.16</v>
      </c>
      <c r="U75" s="7">
        <f t="shared" si="15"/>
        <v>9862.6077622737321</v>
      </c>
      <c r="V75" s="7">
        <f t="shared" si="18"/>
        <v>488.55223772626738</v>
      </c>
      <c r="W75" s="7">
        <f t="shared" si="19"/>
        <v>197034.16146115967</v>
      </c>
      <c r="Y75" s="63"/>
      <c r="AD75" s="26">
        <v>50526</v>
      </c>
      <c r="AE75" s="7">
        <f t="shared" si="10"/>
        <v>10351.16</v>
      </c>
      <c r="AF75" s="7">
        <f t="shared" si="14"/>
        <v>10304.321850133776</v>
      </c>
      <c r="AG75" s="7">
        <f t="shared" si="11"/>
        <v>46.838149866223247</v>
      </c>
      <c r="AH75" s="7">
        <f t="shared" si="27"/>
        <v>41307.174612547758</v>
      </c>
      <c r="BH75" s="187">
        <v>42219</v>
      </c>
      <c r="BI75" s="180">
        <v>4.9000000000000002E-2</v>
      </c>
      <c r="BJ75" s="191">
        <v>42219</v>
      </c>
      <c r="BK75" s="192">
        <v>0.49199999999999999</v>
      </c>
      <c r="BN75" s="94">
        <v>42186</v>
      </c>
      <c r="BO75" s="95">
        <v>0.59</v>
      </c>
      <c r="BP75" s="96">
        <v>8.42</v>
      </c>
    </row>
    <row r="76" spans="2:68" ht="15">
      <c r="B76" s="533">
        <f>+B74+B75</f>
        <v>548920.6175456919</v>
      </c>
      <c r="C76" s="532"/>
      <c r="D76" s="532"/>
      <c r="E76" s="533">
        <f>+E75+E74</f>
        <v>558032.08754569187</v>
      </c>
      <c r="G76" s="235">
        <v>48153</v>
      </c>
      <c r="H76" s="7">
        <f t="shared" si="24"/>
        <v>28276.813773831527</v>
      </c>
      <c r="I76" s="7">
        <f t="shared" si="21"/>
        <v>16014.42132758928</v>
      </c>
      <c r="J76" s="7">
        <f t="shared" si="23"/>
        <v>12262.392446242247</v>
      </c>
      <c r="K76" s="7">
        <f t="shared" si="22"/>
        <v>822694.19520603598</v>
      </c>
      <c r="L76" s="268">
        <f t="shared" si="25"/>
        <v>2.8801649999999998E-2</v>
      </c>
      <c r="M76" s="348">
        <v>2.5873300000000001</v>
      </c>
      <c r="N76">
        <f t="shared" si="26"/>
        <v>2.4329999999999998</v>
      </c>
      <c r="O76" s="346" t="s">
        <v>484</v>
      </c>
      <c r="R76" s="47"/>
      <c r="S76" s="47"/>
      <c r="T76" s="243">
        <f t="shared" si="17"/>
        <v>10351.16</v>
      </c>
      <c r="U76" s="7">
        <f t="shared" si="15"/>
        <v>9890.9538768805505</v>
      </c>
      <c r="V76" s="7">
        <f t="shared" si="18"/>
        <v>460.20612311944859</v>
      </c>
      <c r="W76" s="7">
        <f t="shared" si="19"/>
        <v>187143.20758427912</v>
      </c>
      <c r="Y76" s="63"/>
      <c r="AD76" s="26">
        <v>50710</v>
      </c>
      <c r="AE76" s="7">
        <f t="shared" si="10"/>
        <v>10351.16</v>
      </c>
      <c r="AF76" s="7">
        <f t="shared" si="14"/>
        <v>10313.051836576891</v>
      </c>
      <c r="AG76" s="7">
        <f t="shared" si="11"/>
        <v>38.108163423109339</v>
      </c>
      <c r="AH76" s="7">
        <f t="shared" si="27"/>
        <v>30994.122775970867</v>
      </c>
      <c r="BH76" s="187">
        <v>42220</v>
      </c>
      <c r="BI76" s="180">
        <v>4.8000000000000001E-2</v>
      </c>
      <c r="BJ76" s="191">
        <v>42220</v>
      </c>
      <c r="BK76" s="192">
        <v>0.48399999999999999</v>
      </c>
      <c r="BN76" s="94">
        <v>42187</v>
      </c>
      <c r="BO76" s="95">
        <v>0.59599999999999997</v>
      </c>
      <c r="BP76" s="96">
        <v>8.42</v>
      </c>
    </row>
    <row r="77" spans="2:68" ht="15">
      <c r="G77" s="236">
        <v>48335</v>
      </c>
      <c r="H77" s="7">
        <f t="shared" si="24"/>
        <v>28276.813773831527</v>
      </c>
      <c r="I77" s="7">
        <f t="shared" si="21"/>
        <v>16297.700027557143</v>
      </c>
      <c r="J77" s="7">
        <f t="shared" si="23"/>
        <v>11979.113746274385</v>
      </c>
      <c r="K77" s="7">
        <f t="shared" si="22"/>
        <v>806396.49517847889</v>
      </c>
      <c r="L77" s="268">
        <f t="shared" si="25"/>
        <v>2.8869399999999996E-2</v>
      </c>
      <c r="M77" s="348">
        <v>2.6008800000000001</v>
      </c>
      <c r="N77">
        <f t="shared" si="26"/>
        <v>2.4329999999999998</v>
      </c>
      <c r="O77" s="346" t="s">
        <v>485</v>
      </c>
      <c r="R77" s="47"/>
      <c r="S77" s="47"/>
      <c r="T77" s="243">
        <f t="shared" si="17"/>
        <v>10351.16</v>
      </c>
      <c r="U77" s="7">
        <f t="shared" si="15"/>
        <v>9909.2525058243227</v>
      </c>
      <c r="V77" s="7">
        <f t="shared" si="18"/>
        <v>441.90749417567775</v>
      </c>
      <c r="W77" s="7">
        <f t="shared" si="19"/>
        <v>177233.9550784548</v>
      </c>
      <c r="Y77" s="63"/>
      <c r="AD77" s="164">
        <v>50891</v>
      </c>
      <c r="AE77" s="165">
        <f t="shared" si="10"/>
        <v>10351.16</v>
      </c>
      <c r="AF77" s="165">
        <f t="shared" si="14"/>
        <v>10323.032403106879</v>
      </c>
      <c r="AG77" s="165">
        <f t="shared" si="11"/>
        <v>28.127596893121009</v>
      </c>
      <c r="AH77" s="165">
        <f t="shared" si="27"/>
        <v>20671.09037286399</v>
      </c>
      <c r="BH77" s="187">
        <v>42221</v>
      </c>
      <c r="BI77" s="180">
        <v>4.8000000000000001E-2</v>
      </c>
      <c r="BJ77" s="191">
        <v>42221</v>
      </c>
      <c r="BK77" s="192">
        <v>0.48</v>
      </c>
      <c r="BN77" s="94">
        <v>42188</v>
      </c>
      <c r="BO77" s="95">
        <v>0.59799999999999998</v>
      </c>
      <c r="BP77" s="96">
        <v>8.42</v>
      </c>
    </row>
    <row r="78" spans="2:68" ht="15">
      <c r="G78" s="237">
        <v>48519</v>
      </c>
      <c r="H78" s="7">
        <f t="shared" si="24"/>
        <v>28276.813773831527</v>
      </c>
      <c r="I78" s="7">
        <f t="shared" si="21"/>
        <v>16378.053585124231</v>
      </c>
      <c r="J78" s="7">
        <f t="shared" si="23"/>
        <v>11898.760188707296</v>
      </c>
      <c r="K78" s="7">
        <f t="shared" si="22"/>
        <v>790018.44159335468</v>
      </c>
      <c r="L78" s="268">
        <f t="shared" si="25"/>
        <v>2.8935700000000002E-2</v>
      </c>
      <c r="M78" s="348">
        <v>2.6141399999999999</v>
      </c>
      <c r="N78">
        <f t="shared" si="26"/>
        <v>2.4329999999999998</v>
      </c>
      <c r="O78" s="346" t="s">
        <v>486</v>
      </c>
      <c r="R78" s="47"/>
      <c r="S78" s="47"/>
      <c r="T78" s="243">
        <f t="shared" si="17"/>
        <v>10351.16</v>
      </c>
      <c r="U78" s="7">
        <f t="shared" si="15"/>
        <v>9939.4750613452616</v>
      </c>
      <c r="V78" s="7">
        <f t="shared" si="18"/>
        <v>411.68493865473744</v>
      </c>
      <c r="W78" s="7">
        <f t="shared" si="19"/>
        <v>167294.48001710954</v>
      </c>
      <c r="Y78" s="63"/>
      <c r="AD78" s="164">
        <v>51075</v>
      </c>
      <c r="AE78" s="165">
        <f t="shared" si="10"/>
        <v>10351.16</v>
      </c>
      <c r="AF78" s="165">
        <f t="shared" si="14"/>
        <v>10332.089770737124</v>
      </c>
      <c r="AG78" s="165">
        <f t="shared" si="11"/>
        <v>19.070229262876634</v>
      </c>
      <c r="AH78" s="165">
        <f t="shared" si="27"/>
        <v>10339.000602126865</v>
      </c>
      <c r="BH78" s="187">
        <v>42222</v>
      </c>
      <c r="BI78" s="180">
        <v>4.7E-2</v>
      </c>
      <c r="BJ78" s="191">
        <v>42222</v>
      </c>
      <c r="BK78" s="192">
        <v>0.48099999999999998</v>
      </c>
      <c r="BN78" s="94">
        <v>42191</v>
      </c>
      <c r="BO78" s="95">
        <v>0.59799999999999998</v>
      </c>
      <c r="BP78" s="96">
        <v>8.41</v>
      </c>
    </row>
    <row r="79" spans="2:68" ht="15">
      <c r="G79" s="234">
        <v>48700</v>
      </c>
      <c r="H79" s="7">
        <f t="shared" si="24"/>
        <v>28276.813773831527</v>
      </c>
      <c r="I79" s="7">
        <f t="shared" si="21"/>
        <v>16783.446195235076</v>
      </c>
      <c r="J79" s="7">
        <f t="shared" si="23"/>
        <v>11493.367578596451</v>
      </c>
      <c r="K79" s="7">
        <f t="shared" si="22"/>
        <v>773234.99539811956</v>
      </c>
      <c r="L79" s="268">
        <f t="shared" si="25"/>
        <v>2.8962250000000002E-2</v>
      </c>
      <c r="M79" s="348">
        <v>2.6194500000000001</v>
      </c>
      <c r="N79">
        <f t="shared" si="26"/>
        <v>2.4329999999999998</v>
      </c>
      <c r="O79" s="346" t="s">
        <v>487</v>
      </c>
      <c r="R79" s="47"/>
      <c r="S79" s="47"/>
      <c r="T79" s="243">
        <f t="shared" si="17"/>
        <v>10351.16</v>
      </c>
      <c r="U79" s="7">
        <f t="shared" si="15"/>
        <v>9956.1219678529324</v>
      </c>
      <c r="V79" s="7">
        <f t="shared" si="18"/>
        <v>395.03803214706801</v>
      </c>
      <c r="W79" s="7">
        <f t="shared" si="19"/>
        <v>157338.35804925661</v>
      </c>
      <c r="Y79" s="63"/>
      <c r="AD79" s="166" t="s">
        <v>551</v>
      </c>
      <c r="AE79" s="167">
        <f t="shared" si="10"/>
        <v>10351.16</v>
      </c>
      <c r="AF79" s="167" t="e">
        <f t="shared" si="14"/>
        <v>#VALUE!</v>
      </c>
      <c r="AG79" s="167" t="e">
        <f t="shared" si="11"/>
        <v>#VALUE!</v>
      </c>
      <c r="AH79" s="167" t="e">
        <f t="shared" si="27"/>
        <v>#VALUE!</v>
      </c>
      <c r="BH79" s="187">
        <v>42223</v>
      </c>
      <c r="BI79" s="180">
        <v>4.5999999999999999E-2</v>
      </c>
      <c r="BJ79" s="191">
        <v>42223</v>
      </c>
      <c r="BK79" s="192">
        <v>0.47299999999999998</v>
      </c>
      <c r="BN79" s="94">
        <v>42192</v>
      </c>
      <c r="BO79" s="95">
        <v>0.59499999999999997</v>
      </c>
      <c r="BP79" s="96">
        <v>8.41</v>
      </c>
    </row>
    <row r="80" spans="2:68" ht="15">
      <c r="D80" s="530"/>
      <c r="G80" s="235">
        <v>48884</v>
      </c>
      <c r="H80" s="7">
        <f t="shared" si="24"/>
        <v>28276.813773831527</v>
      </c>
      <c r="I80" s="7">
        <f t="shared" si="21"/>
        <v>16830.671981702828</v>
      </c>
      <c r="J80" s="7">
        <f t="shared" si="23"/>
        <v>11446.141792128697</v>
      </c>
      <c r="K80" s="7">
        <f t="shared" si="22"/>
        <v>756404.32341641677</v>
      </c>
      <c r="L80" s="268">
        <f t="shared" si="25"/>
        <v>2.8746899999999999E-2</v>
      </c>
      <c r="M80" s="348">
        <v>2.5763799999999999</v>
      </c>
      <c r="N80">
        <f t="shared" si="26"/>
        <v>2.4329999999999998</v>
      </c>
      <c r="O80" s="346" t="s">
        <v>488</v>
      </c>
      <c r="R80" s="47"/>
      <c r="S80" s="47"/>
      <c r="T80" s="243">
        <f t="shared" si="17"/>
        <v>10351.16</v>
      </c>
      <c r="U80" s="7">
        <f t="shared" si="15"/>
        <v>9985.6892173112519</v>
      </c>
      <c r="V80" s="7">
        <f t="shared" si="18"/>
        <v>365.47078268874822</v>
      </c>
      <c r="W80" s="7">
        <f t="shared" si="19"/>
        <v>147352.66883194537</v>
      </c>
      <c r="Y80" s="63"/>
      <c r="AD80" s="7"/>
      <c r="BH80" s="187">
        <v>42226</v>
      </c>
      <c r="BI80" s="180">
        <v>4.8000000000000001E-2</v>
      </c>
      <c r="BJ80" s="191">
        <v>42226</v>
      </c>
      <c r="BK80" s="192">
        <v>0.46300000000000002</v>
      </c>
      <c r="BN80" s="94">
        <v>42193</v>
      </c>
      <c r="BO80" s="95">
        <v>0.58699999999999997</v>
      </c>
      <c r="BP80" s="96">
        <v>8.4</v>
      </c>
    </row>
    <row r="81" spans="4:68" ht="15">
      <c r="D81" s="530"/>
      <c r="G81" s="236">
        <v>49065</v>
      </c>
      <c r="H81" s="7">
        <f t="shared" si="24"/>
        <v>28276.813773831527</v>
      </c>
      <c r="I81" s="7">
        <f t="shared" si="21"/>
        <v>17344.273275186224</v>
      </c>
      <c r="J81" s="7">
        <f t="shared" si="23"/>
        <v>10932.540498645303</v>
      </c>
      <c r="K81" s="7">
        <f t="shared" si="22"/>
        <v>739060.05014123057</v>
      </c>
      <c r="L81" s="268">
        <f t="shared" si="25"/>
        <v>2.8671100000000005E-2</v>
      </c>
      <c r="M81" s="348">
        <v>2.5612200000000001</v>
      </c>
      <c r="N81">
        <f t="shared" si="26"/>
        <v>2.4329999999999998</v>
      </c>
      <c r="O81" s="346" t="s">
        <v>489</v>
      </c>
      <c r="R81" s="47"/>
      <c r="S81" s="47"/>
      <c r="T81" s="243">
        <f t="shared" si="17"/>
        <v>10351.16</v>
      </c>
      <c r="U81" s="7">
        <f t="shared" si="15"/>
        <v>10003.211231331499</v>
      </c>
      <c r="V81" s="7">
        <f t="shared" si="18"/>
        <v>347.94876866850029</v>
      </c>
      <c r="W81" s="7">
        <f t="shared" si="19"/>
        <v>137349.45760061388</v>
      </c>
      <c r="Y81" s="63"/>
      <c r="BH81" s="187">
        <v>42227</v>
      </c>
      <c r="BI81" s="180">
        <v>4.5999999999999999E-2</v>
      </c>
      <c r="BJ81" s="191">
        <v>42227</v>
      </c>
      <c r="BK81" s="192">
        <v>0.45300000000000001</v>
      </c>
      <c r="BN81" s="94">
        <v>42194</v>
      </c>
      <c r="BO81" s="95">
        <v>0.58399999999999996</v>
      </c>
      <c r="BP81" s="96">
        <v>8.4</v>
      </c>
    </row>
    <row r="82" spans="4:68" ht="15">
      <c r="G82" s="237">
        <v>49249</v>
      </c>
      <c r="H82" s="7">
        <f t="shared" si="24"/>
        <v>28276.813773831527</v>
      </c>
      <c r="I82" s="7">
        <f t="shared" si="21"/>
        <v>17446.540754211583</v>
      </c>
      <c r="J82" s="7">
        <f t="shared" si="23"/>
        <v>10830.273019619945</v>
      </c>
      <c r="K82" s="7">
        <f t="shared" si="22"/>
        <v>721613.50938701897</v>
      </c>
      <c r="L82" s="268">
        <f t="shared" si="25"/>
        <v>2.8353499999999997E-2</v>
      </c>
      <c r="M82" s="348">
        <v>2.4977</v>
      </c>
      <c r="N82">
        <f t="shared" si="26"/>
        <v>2.4329999999999998</v>
      </c>
      <c r="O82" s="346" t="s">
        <v>490</v>
      </c>
      <c r="R82" s="47"/>
      <c r="S82" s="47"/>
      <c r="T82" s="243">
        <f t="shared" si="17"/>
        <v>10351.16</v>
      </c>
      <c r="U82" s="7">
        <f t="shared" si="15"/>
        <v>10032.120101570041</v>
      </c>
      <c r="V82" s="7">
        <f t="shared" si="18"/>
        <v>319.03989842995929</v>
      </c>
      <c r="W82" s="7">
        <f t="shared" si="19"/>
        <v>127317.33749904385</v>
      </c>
      <c r="Y82" s="63"/>
      <c r="BH82" s="187">
        <v>42228</v>
      </c>
      <c r="BI82" s="180">
        <v>4.5999999999999999E-2</v>
      </c>
      <c r="BJ82" s="191">
        <v>42228</v>
      </c>
      <c r="BK82" s="192">
        <v>0.44500000000000001</v>
      </c>
      <c r="BN82" s="94">
        <v>42195</v>
      </c>
      <c r="BO82" s="95">
        <v>0.58299999999999996</v>
      </c>
      <c r="BP82" s="96">
        <v>8.39</v>
      </c>
    </row>
    <row r="83" spans="4:68" ht="15">
      <c r="G83" s="234">
        <v>49430</v>
      </c>
      <c r="H83" s="7">
        <f t="shared" si="24"/>
        <v>28276.813773831527</v>
      </c>
      <c r="I83" s="7">
        <f t="shared" si="21"/>
        <v>17989.845375077981</v>
      </c>
      <c r="J83" s="7">
        <f t="shared" si="23"/>
        <v>10286.968398753545</v>
      </c>
      <c r="K83" s="7">
        <f t="shared" si="22"/>
        <v>703623.66401194094</v>
      </c>
      <c r="L83" s="268">
        <f t="shared" si="25"/>
        <v>2.8243900000000002E-2</v>
      </c>
      <c r="M83" s="348">
        <v>2.4757799999999999</v>
      </c>
      <c r="N83">
        <f t="shared" si="26"/>
        <v>2.4329999999999998</v>
      </c>
      <c r="O83" s="346" t="s">
        <v>491</v>
      </c>
      <c r="R83" s="47"/>
      <c r="S83" s="47"/>
      <c r="T83" s="243">
        <f t="shared" si="17"/>
        <v>10351.16</v>
      </c>
      <c r="U83" s="7">
        <f t="shared" si="15"/>
        <v>10050.521327052258</v>
      </c>
      <c r="V83" s="7">
        <f t="shared" si="18"/>
        <v>300.63867294774224</v>
      </c>
      <c r="W83" s="7">
        <f t="shared" si="19"/>
        <v>117266.81617199158</v>
      </c>
      <c r="Y83" s="63"/>
      <c r="BH83" s="187">
        <v>42229</v>
      </c>
      <c r="BI83" s="180">
        <v>4.5999999999999999E-2</v>
      </c>
      <c r="BJ83" s="191">
        <v>42229</v>
      </c>
      <c r="BK83" s="192">
        <v>0.438</v>
      </c>
      <c r="BN83" s="94">
        <v>42198</v>
      </c>
      <c r="BO83" s="95">
        <v>0.58499999999999996</v>
      </c>
      <c r="BP83" s="96">
        <v>8.39</v>
      </c>
    </row>
    <row r="84" spans="4:68" ht="15">
      <c r="G84" s="235">
        <v>49614</v>
      </c>
      <c r="H84" s="7">
        <f t="shared" si="24"/>
        <v>28276.813773831527</v>
      </c>
      <c r="I84" s="7">
        <f t="shared" si="21"/>
        <v>18119.463611793799</v>
      </c>
      <c r="J84" s="7">
        <f t="shared" si="23"/>
        <v>10157.350162037728</v>
      </c>
      <c r="K84" s="7">
        <f t="shared" si="22"/>
        <v>685504.20040014712</v>
      </c>
      <c r="L84" s="268">
        <f t="shared" si="25"/>
        <v>2.7749799999999998E-2</v>
      </c>
      <c r="M84" s="348">
        <v>2.37696</v>
      </c>
      <c r="N84">
        <f t="shared" si="26"/>
        <v>2.4329999999999998</v>
      </c>
      <c r="O84" s="346" t="s">
        <v>492</v>
      </c>
      <c r="R84" s="47"/>
      <c r="S84" s="47"/>
      <c r="T84" s="243">
        <f t="shared" si="17"/>
        <v>10351.16</v>
      </c>
      <c r="U84" s="7">
        <f t="shared" si="15"/>
        <v>10077.263806360952</v>
      </c>
      <c r="V84" s="7">
        <f t="shared" si="18"/>
        <v>273.89619363904836</v>
      </c>
      <c r="W84" s="7">
        <f t="shared" si="19"/>
        <v>107189.55236563063</v>
      </c>
      <c r="Y84" s="63"/>
      <c r="BH84" s="187">
        <v>42230</v>
      </c>
      <c r="BI84" s="180">
        <v>4.5999999999999999E-2</v>
      </c>
      <c r="BJ84" s="191">
        <v>42230</v>
      </c>
      <c r="BK84" s="192">
        <v>0.433</v>
      </c>
      <c r="BN84" s="94">
        <v>42199</v>
      </c>
      <c r="BO84" s="95">
        <v>0.58499999999999996</v>
      </c>
      <c r="BP84" s="96">
        <v>8.3800000000000008</v>
      </c>
    </row>
    <row r="85" spans="4:68" ht="15">
      <c r="G85" s="236">
        <v>49796</v>
      </c>
      <c r="H85" s="7">
        <f t="shared" si="24"/>
        <v>28276.813773831527</v>
      </c>
      <c r="I85" s="7">
        <f t="shared" si="21"/>
        <v>18659.830407809175</v>
      </c>
      <c r="J85" s="7">
        <f t="shared" si="23"/>
        <v>9616.9833660223539</v>
      </c>
      <c r="K85" s="7">
        <f t="shared" si="22"/>
        <v>666844.36999233789</v>
      </c>
      <c r="L85" s="268">
        <f t="shared" si="25"/>
        <v>2.757925E-2</v>
      </c>
      <c r="M85" s="348">
        <v>2.3428499999999999</v>
      </c>
      <c r="N85">
        <f t="shared" si="26"/>
        <v>2.4329999999999998</v>
      </c>
      <c r="O85" s="346" t="s">
        <v>493</v>
      </c>
      <c r="R85" s="47"/>
      <c r="S85" s="47"/>
      <c r="T85" s="243">
        <f t="shared" si="17"/>
        <v>10351.16</v>
      </c>
      <c r="U85" s="7">
        <f t="shared" si="15"/>
        <v>10098.049737013958</v>
      </c>
      <c r="V85" s="7">
        <f t="shared" si="18"/>
        <v>253.11026298604244</v>
      </c>
      <c r="W85" s="7">
        <f t="shared" si="19"/>
        <v>97091.502628616669</v>
      </c>
      <c r="Y85" s="63"/>
      <c r="BH85" s="187">
        <v>42233</v>
      </c>
      <c r="BI85" s="180">
        <v>4.3999999999999997E-2</v>
      </c>
      <c r="BJ85" s="191">
        <v>42233</v>
      </c>
      <c r="BK85" s="192">
        <v>0.42899999999999999</v>
      </c>
      <c r="BN85" s="94">
        <v>42200</v>
      </c>
      <c r="BO85" s="95">
        <v>0.58199999999999996</v>
      </c>
      <c r="BP85" s="96">
        <v>8.3800000000000008</v>
      </c>
    </row>
    <row r="86" spans="4:68" ht="15">
      <c r="G86" s="237">
        <v>49980</v>
      </c>
      <c r="H86" s="7">
        <f t="shared" si="24"/>
        <v>28276.813773831527</v>
      </c>
      <c r="I86" s="7">
        <f t="shared" si="21"/>
        <v>18876.934782819146</v>
      </c>
      <c r="J86" s="7">
        <f t="shared" si="23"/>
        <v>9399.8789910123833</v>
      </c>
      <c r="K86" s="7">
        <f t="shared" si="22"/>
        <v>647967.43520951876</v>
      </c>
      <c r="L86" s="268">
        <f t="shared" si="25"/>
        <v>2.6983649999999998E-2</v>
      </c>
      <c r="M86" s="348">
        <v>2.2237300000000002</v>
      </c>
      <c r="N86">
        <f t="shared" si="26"/>
        <v>2.4329999999999998</v>
      </c>
      <c r="O86" s="346" t="s">
        <v>494</v>
      </c>
      <c r="R86" s="47"/>
      <c r="S86" s="47"/>
      <c r="T86" s="243">
        <f t="shared" si="17"/>
        <v>10351.16</v>
      </c>
      <c r="U86" s="7">
        <f t="shared" si="15"/>
        <v>10125.632621310828</v>
      </c>
      <c r="V86" s="7">
        <f t="shared" si="18"/>
        <v>225.52737868917174</v>
      </c>
      <c r="W86" s="7">
        <f t="shared" si="19"/>
        <v>86965.870007305843</v>
      </c>
      <c r="Y86" s="63"/>
      <c r="BH86" s="187">
        <v>42234</v>
      </c>
      <c r="BI86" s="180">
        <v>4.2999999999999997E-2</v>
      </c>
      <c r="BJ86" s="191">
        <v>42234</v>
      </c>
      <c r="BK86" s="192">
        <v>0.42499999999999999</v>
      </c>
      <c r="BN86" s="94">
        <v>42201</v>
      </c>
      <c r="BO86" s="95">
        <v>0.57999999999999996</v>
      </c>
      <c r="BP86" s="96">
        <v>8.3800000000000008</v>
      </c>
    </row>
    <row r="87" spans="4:68" ht="15">
      <c r="G87" s="234">
        <v>50161</v>
      </c>
      <c r="H87" s="7">
        <f t="shared" si="24"/>
        <v>28276.813773831527</v>
      </c>
      <c r="I87" s="7">
        <f t="shared" si="21"/>
        <v>19485.982403166163</v>
      </c>
      <c r="J87" s="7">
        <f t="shared" si="23"/>
        <v>8790.8313706653626</v>
      </c>
      <c r="K87" s="7">
        <f t="shared" si="22"/>
        <v>628481.45280635264</v>
      </c>
      <c r="L87" s="268">
        <f t="shared" si="25"/>
        <v>2.6783349999999997E-2</v>
      </c>
      <c r="M87" s="348">
        <v>2.1836700000000002</v>
      </c>
      <c r="N87">
        <f t="shared" si="26"/>
        <v>2.4329999999999998</v>
      </c>
      <c r="O87" s="346" t="s">
        <v>495</v>
      </c>
      <c r="R87" s="47"/>
      <c r="S87" s="47"/>
      <c r="T87" s="243">
        <f t="shared" si="17"/>
        <v>10351.16</v>
      </c>
      <c r="U87" s="7">
        <f t="shared" si="15"/>
        <v>10145.804592289414</v>
      </c>
      <c r="V87" s="7">
        <f t="shared" si="18"/>
        <v>205.35540771058484</v>
      </c>
      <c r="W87" s="7">
        <f t="shared" si="19"/>
        <v>76820.065415016434</v>
      </c>
      <c r="Y87" s="63"/>
      <c r="BH87" s="187">
        <v>42235</v>
      </c>
      <c r="BI87" s="180">
        <v>4.2000000000000003E-2</v>
      </c>
      <c r="BJ87" s="191">
        <v>42235</v>
      </c>
      <c r="BK87" s="192">
        <v>0.42199999999999999</v>
      </c>
      <c r="BN87" s="94">
        <v>42202</v>
      </c>
      <c r="BO87" s="95">
        <v>0.57799999999999996</v>
      </c>
      <c r="BP87" s="96">
        <v>8.3800000000000008</v>
      </c>
    </row>
    <row r="88" spans="4:68" ht="15">
      <c r="G88" s="235">
        <v>50345</v>
      </c>
      <c r="H88" s="7">
        <f t="shared" si="24"/>
        <v>28276.813773831527</v>
      </c>
      <c r="I88" s="7">
        <f t="shared" si="21"/>
        <v>19673.362872998558</v>
      </c>
      <c r="J88" s="7">
        <f t="shared" si="23"/>
        <v>8603.4509008329678</v>
      </c>
      <c r="K88" s="7">
        <f t="shared" si="22"/>
        <v>608808.08993335406</v>
      </c>
      <c r="L88" s="268">
        <f t="shared" si="25"/>
        <v>2.6107199999999997E-2</v>
      </c>
      <c r="M88" s="348">
        <v>2.0484399999999998</v>
      </c>
      <c r="N88">
        <f t="shared" si="26"/>
        <v>2.4329999999999998</v>
      </c>
      <c r="O88" s="346" t="s">
        <v>496</v>
      </c>
      <c r="R88" s="47"/>
      <c r="S88" s="47"/>
      <c r="T88" s="243">
        <f t="shared" si="17"/>
        <v>10351.16</v>
      </c>
      <c r="U88" s="7">
        <f t="shared" si="15"/>
        <v>10172.719791385152</v>
      </c>
      <c r="V88" s="7">
        <f t="shared" si="18"/>
        <v>178.44020861484734</v>
      </c>
      <c r="W88" s="7">
        <f t="shared" si="19"/>
        <v>66647.345623631278</v>
      </c>
      <c r="Y88" s="63"/>
      <c r="BH88" s="187">
        <v>42236</v>
      </c>
      <c r="BI88" s="180">
        <v>4.2000000000000003E-2</v>
      </c>
      <c r="BJ88" s="191">
        <v>42236</v>
      </c>
      <c r="BK88" s="192">
        <v>0.41699999999999998</v>
      </c>
      <c r="BN88" s="94">
        <v>42205</v>
      </c>
      <c r="BO88" s="95">
        <v>0.57099999999999995</v>
      </c>
      <c r="BP88" s="96">
        <v>8.3699999999999992</v>
      </c>
    </row>
    <row r="89" spans="4:68" ht="15">
      <c r="G89" s="236">
        <v>50526</v>
      </c>
      <c r="H89" s="7">
        <f t="shared" si="24"/>
        <v>28276.813773831527</v>
      </c>
      <c r="I89" s="7">
        <f t="shared" si="21"/>
        <v>20285.525728395529</v>
      </c>
      <c r="J89" s="7">
        <f t="shared" si="23"/>
        <v>7991.2880454359965</v>
      </c>
      <c r="K89" s="7">
        <f t="shared" si="22"/>
        <v>588522.5642049585</v>
      </c>
      <c r="L89" s="268">
        <f t="shared" si="25"/>
        <v>2.5859050000000001E-2</v>
      </c>
      <c r="M89" s="348">
        <v>1.99881</v>
      </c>
      <c r="N89">
        <f t="shared" si="26"/>
        <v>2.4329999999999998</v>
      </c>
      <c r="O89" s="346" t="s">
        <v>497</v>
      </c>
      <c r="R89" s="47"/>
      <c r="S89" s="47"/>
      <c r="T89" s="243">
        <f t="shared" si="17"/>
        <v>10351.16</v>
      </c>
      <c r="U89" s="7">
        <f t="shared" si="15"/>
        <v>10193.783401200732</v>
      </c>
      <c r="V89" s="7">
        <f t="shared" si="18"/>
        <v>157.37659879926801</v>
      </c>
      <c r="W89" s="7">
        <f t="shared" si="19"/>
        <v>56453.562222430548</v>
      </c>
      <c r="Y89" s="63"/>
      <c r="BH89" s="187">
        <v>42237</v>
      </c>
      <c r="BI89" s="180">
        <v>4.2000000000000003E-2</v>
      </c>
      <c r="BJ89" s="191">
        <v>42237</v>
      </c>
      <c r="BK89" s="192">
        <v>0.41499999999999998</v>
      </c>
      <c r="BN89" s="94">
        <v>42206</v>
      </c>
      <c r="BO89" s="95">
        <v>0.56399999999999995</v>
      </c>
      <c r="BP89" s="96">
        <v>8.36</v>
      </c>
    </row>
    <row r="90" spans="4:68" ht="15">
      <c r="G90" s="237">
        <v>50710</v>
      </c>
      <c r="H90" s="7">
        <f t="shared" si="24"/>
        <v>28276.813773831527</v>
      </c>
      <c r="I90" s="7">
        <f t="shared" si="21"/>
        <v>20498.400628947144</v>
      </c>
      <c r="J90" s="7">
        <f t="shared" si="23"/>
        <v>7778.4131448843855</v>
      </c>
      <c r="K90" s="7">
        <f t="shared" si="22"/>
        <v>568024.16357601131</v>
      </c>
      <c r="L90" s="268">
        <f t="shared" si="25"/>
        <v>2.5142649999999996E-2</v>
      </c>
      <c r="M90" s="348">
        <v>1.8555299999999999</v>
      </c>
      <c r="N90">
        <f t="shared" si="26"/>
        <v>2.4329999999999998</v>
      </c>
      <c r="O90" s="346" t="s">
        <v>498</v>
      </c>
      <c r="R90" s="47"/>
      <c r="S90" s="47"/>
      <c r="T90" s="243">
        <f t="shared" si="17"/>
        <v>10351.16</v>
      </c>
      <c r="U90" s="7">
        <f t="shared" si="15"/>
        <v>10220.02778388433</v>
      </c>
      <c r="V90" s="7">
        <f t="shared" si="18"/>
        <v>131.13221611566908</v>
      </c>
      <c r="W90" s="7">
        <f t="shared" si="19"/>
        <v>46233.534438546216</v>
      </c>
      <c r="Y90" s="63"/>
      <c r="BH90" s="187">
        <v>42240</v>
      </c>
      <c r="BI90" s="180">
        <v>4.1000000000000002E-2</v>
      </c>
      <c r="BJ90" s="191">
        <v>42240</v>
      </c>
      <c r="BK90" s="192">
        <v>0.41299999999999998</v>
      </c>
      <c r="BN90" s="94">
        <v>42207</v>
      </c>
      <c r="BO90" s="95">
        <v>0.55800000000000005</v>
      </c>
      <c r="BP90" s="96">
        <v>8.36</v>
      </c>
    </row>
    <row r="91" spans="4:68" ht="15">
      <c r="G91" s="234">
        <v>50891</v>
      </c>
      <c r="H91" s="7">
        <f t="shared" si="24"/>
        <v>28276.813773831527</v>
      </c>
      <c r="I91" s="7">
        <f t="shared" si="21"/>
        <v>21096.326203618955</v>
      </c>
      <c r="J91" s="7">
        <f t="shared" si="23"/>
        <v>7180.4875702125728</v>
      </c>
      <c r="K91" s="7">
        <f t="shared" si="22"/>
        <v>546927.83737239242</v>
      </c>
      <c r="L91" s="268">
        <f t="shared" si="25"/>
        <v>2.4877799999999999E-2</v>
      </c>
      <c r="M91" s="348">
        <v>1.8025599999999999</v>
      </c>
      <c r="N91">
        <f t="shared" si="26"/>
        <v>2.4329999999999998</v>
      </c>
      <c r="O91" s="346" t="s">
        <v>499</v>
      </c>
      <c r="R91" s="47"/>
      <c r="S91" s="47"/>
      <c r="T91" s="7">
        <f>+M92-U91</f>
        <v>-107.5056159875538</v>
      </c>
      <c r="U91" s="7">
        <f>+W90*$L$43*(G92-G91)/360</f>
        <v>109.17278598755379</v>
      </c>
      <c r="V91" s="7">
        <f>+W90-T91</f>
        <v>46341.040054533769</v>
      </c>
      <c r="X91" s="63"/>
      <c r="BH91" s="187">
        <v>42241</v>
      </c>
      <c r="BI91" s="180">
        <v>4.1000000000000002E-2</v>
      </c>
      <c r="BJ91" s="191">
        <v>42241</v>
      </c>
      <c r="BK91" s="192">
        <v>0.41299999999999998</v>
      </c>
      <c r="BN91" s="94">
        <v>42208</v>
      </c>
      <c r="BO91" s="95">
        <v>0.55100000000000005</v>
      </c>
      <c r="BP91" s="96">
        <v>8.36</v>
      </c>
    </row>
    <row r="92" spans="4:68" ht="15">
      <c r="G92" s="235">
        <v>51075</v>
      </c>
      <c r="H92" s="7">
        <f t="shared" si="24"/>
        <v>28276.813773831527</v>
      </c>
      <c r="I92" s="7">
        <f t="shared" si="21"/>
        <v>21322.451304733597</v>
      </c>
      <c r="J92" s="7">
        <f t="shared" si="23"/>
        <v>6954.3624690979295</v>
      </c>
      <c r="K92" s="7">
        <f t="shared" si="22"/>
        <v>525605.38606765878</v>
      </c>
      <c r="L92" s="268">
        <f t="shared" si="25"/>
        <v>2.4200850000000003E-2</v>
      </c>
      <c r="M92" s="349">
        <v>1.66717</v>
      </c>
      <c r="N92">
        <f t="shared" si="26"/>
        <v>2.4329999999999998</v>
      </c>
      <c r="O92" s="346" t="s">
        <v>500</v>
      </c>
      <c r="R92" s="47"/>
      <c r="S92" s="47"/>
      <c r="T92" s="7"/>
      <c r="U92" s="7"/>
      <c r="V92" s="7"/>
      <c r="X92" s="63"/>
      <c r="BH92" s="187">
        <v>42242</v>
      </c>
      <c r="BI92" s="180">
        <v>3.9E-2</v>
      </c>
      <c r="BJ92" s="191">
        <v>42242</v>
      </c>
      <c r="BK92" s="192">
        <v>0.41499999999999998</v>
      </c>
      <c r="BN92" s="94">
        <v>42209</v>
      </c>
      <c r="BO92" s="95">
        <v>0.54300000000000004</v>
      </c>
      <c r="BP92" s="96">
        <v>8.36</v>
      </c>
    </row>
    <row r="93" spans="4:68" ht="15">
      <c r="G93" s="236">
        <v>51257</v>
      </c>
      <c r="H93" s="7">
        <f t="shared" si="24"/>
        <v>28276.813773831527</v>
      </c>
      <c r="I93" s="7">
        <f t="shared" si="21"/>
        <v>21846.098013971467</v>
      </c>
      <c r="J93" s="7">
        <f t="shared" si="23"/>
        <v>6430.7157598600597</v>
      </c>
      <c r="K93" s="7">
        <f t="shared" si="22"/>
        <v>503759.28805368731</v>
      </c>
      <c r="L93" s="268">
        <f t="shared" si="25"/>
        <v>2.3959000000000001E-2</v>
      </c>
      <c r="M93" s="349">
        <v>1.6188</v>
      </c>
      <c r="N93">
        <f t="shared" si="26"/>
        <v>2.4329999999999998</v>
      </c>
      <c r="O93" s="346" t="s">
        <v>501</v>
      </c>
      <c r="R93" s="47"/>
      <c r="S93" s="47"/>
      <c r="X93" s="63"/>
      <c r="BH93" s="187">
        <v>42243</v>
      </c>
      <c r="BI93" s="180">
        <v>3.9E-2</v>
      </c>
      <c r="BJ93" s="191">
        <v>42243</v>
      </c>
      <c r="BK93" s="192">
        <v>0.41799999999999998</v>
      </c>
      <c r="BN93" s="94">
        <v>42212</v>
      </c>
      <c r="BO93" s="95">
        <v>0.53500000000000003</v>
      </c>
      <c r="BP93" s="96">
        <v>8.35</v>
      </c>
    </row>
    <row r="94" spans="4:68" ht="15">
      <c r="G94" s="237">
        <v>51441</v>
      </c>
      <c r="H94" s="7">
        <f t="shared" si="24"/>
        <v>28276.813773831527</v>
      </c>
      <c r="I94" s="7">
        <f t="shared" si="21"/>
        <v>22107.923062787064</v>
      </c>
      <c r="J94" s="7">
        <f t="shared" si="23"/>
        <v>6168.8907110444616</v>
      </c>
      <c r="K94" s="7">
        <f t="shared" si="22"/>
        <v>481651.36499090027</v>
      </c>
      <c r="L94" s="268">
        <f t="shared" si="25"/>
        <v>2.3445050000000002E-2</v>
      </c>
      <c r="M94" s="350">
        <v>1.5160100000000001</v>
      </c>
      <c r="N94">
        <f t="shared" si="26"/>
        <v>2.4329999999999998</v>
      </c>
      <c r="O94" s="346" t="s">
        <v>502</v>
      </c>
      <c r="R94" s="47"/>
      <c r="S94" s="47"/>
      <c r="X94" s="63"/>
      <c r="BH94" s="187">
        <v>42244</v>
      </c>
      <c r="BI94" s="180">
        <v>0.04</v>
      </c>
      <c r="BJ94" s="191">
        <v>42244</v>
      </c>
      <c r="BK94" s="192">
        <v>0.42099999999999999</v>
      </c>
      <c r="BN94" s="94">
        <v>42213</v>
      </c>
      <c r="BO94" s="95">
        <v>0.52900000000000003</v>
      </c>
      <c r="BP94" s="96">
        <v>8.35</v>
      </c>
    </row>
    <row r="95" spans="4:68" ht="15">
      <c r="G95" s="234">
        <v>51622</v>
      </c>
      <c r="H95" s="7">
        <f t="shared" si="24"/>
        <v>28276.813773831527</v>
      </c>
      <c r="I95" s="7">
        <f t="shared" si="21"/>
        <v>22599.275994400519</v>
      </c>
      <c r="J95" s="7">
        <f t="shared" si="23"/>
        <v>5677.5377794310089</v>
      </c>
      <c r="K95" s="7">
        <f t="shared" si="22"/>
        <v>459052.08899649978</v>
      </c>
      <c r="L95" s="268">
        <f t="shared" si="25"/>
        <v>2.3265799999999996E-2</v>
      </c>
      <c r="M95" s="350">
        <v>1.4801599999999999</v>
      </c>
      <c r="N95">
        <f t="shared" si="26"/>
        <v>2.4329999999999998</v>
      </c>
      <c r="O95" s="346" t="s">
        <v>503</v>
      </c>
      <c r="R95" s="47"/>
      <c r="S95" s="47"/>
      <c r="X95" s="63"/>
      <c r="BH95" s="187">
        <v>42247</v>
      </c>
      <c r="BI95" s="180">
        <v>3.9E-2</v>
      </c>
      <c r="BJ95" s="191">
        <v>42247</v>
      </c>
      <c r="BK95" s="192">
        <v>0.42599999999999999</v>
      </c>
      <c r="BN95" s="94">
        <v>42214</v>
      </c>
      <c r="BO95" s="95">
        <v>0.52200000000000002</v>
      </c>
      <c r="BP95" s="96">
        <v>8.34</v>
      </c>
    </row>
    <row r="96" spans="4:68" ht="15">
      <c r="G96" s="260">
        <v>51806</v>
      </c>
      <c r="H96" s="7">
        <f t="shared" si="24"/>
        <v>28276.813773831527</v>
      </c>
      <c r="I96" s="261">
        <f t="shared" si="21"/>
        <v>22818.037682275535</v>
      </c>
      <c r="J96" s="261">
        <f t="shared" si="23"/>
        <v>5458.7760915559902</v>
      </c>
      <c r="K96" s="261">
        <f t="shared" si="22"/>
        <v>436234.05131422426</v>
      </c>
      <c r="L96" s="268">
        <f t="shared" si="25"/>
        <v>2.271165E-2</v>
      </c>
      <c r="M96" s="350">
        <v>1.3693299999999999</v>
      </c>
      <c r="N96">
        <f t="shared" si="26"/>
        <v>2.4329999999999998</v>
      </c>
      <c r="O96" s="346" t="s">
        <v>504</v>
      </c>
      <c r="R96" s="47"/>
      <c r="S96" s="47"/>
      <c r="X96" s="63"/>
      <c r="BH96" s="187">
        <v>42248</v>
      </c>
      <c r="BI96" s="180">
        <v>3.9E-2</v>
      </c>
      <c r="BJ96" s="191">
        <v>42248</v>
      </c>
      <c r="BK96" s="192">
        <v>0.433</v>
      </c>
      <c r="BN96" s="94">
        <v>42215</v>
      </c>
      <c r="BO96" s="95">
        <v>0.51100000000000001</v>
      </c>
      <c r="BP96" s="96">
        <v>8.34</v>
      </c>
    </row>
    <row r="97" spans="7:68" ht="15">
      <c r="G97" s="236">
        <v>51987</v>
      </c>
      <c r="H97" s="7">
        <f t="shared" si="24"/>
        <v>28276.813773831527</v>
      </c>
      <c r="I97" s="7">
        <f t="shared" si="21"/>
        <v>23295.495130589701</v>
      </c>
      <c r="J97" s="7">
        <f t="shared" si="23"/>
        <v>4981.3186432418252</v>
      </c>
      <c r="K97" s="7">
        <f t="shared" si="22"/>
        <v>412938.55618363456</v>
      </c>
      <c r="L97" s="268">
        <f t="shared" si="25"/>
        <v>2.2530250000000002E-2</v>
      </c>
      <c r="M97" s="350">
        <v>1.3330500000000001</v>
      </c>
      <c r="N97">
        <f t="shared" si="26"/>
        <v>2.4329999999999998</v>
      </c>
      <c r="O97" s="346" t="s">
        <v>505</v>
      </c>
      <c r="R97" s="47"/>
      <c r="S97" s="47"/>
      <c r="X97" s="63"/>
      <c r="BH97" s="187">
        <v>42249</v>
      </c>
      <c r="BI97" s="180">
        <v>3.9E-2</v>
      </c>
      <c r="BJ97" s="191">
        <v>42249</v>
      </c>
      <c r="BK97" s="192">
        <v>0.437</v>
      </c>
      <c r="BN97" s="94">
        <v>42216</v>
      </c>
      <c r="BO97" s="95">
        <v>0.501</v>
      </c>
      <c r="BP97" s="96">
        <v>8.34</v>
      </c>
    </row>
    <row r="98" spans="7:68" ht="15">
      <c r="G98" s="237">
        <v>52171</v>
      </c>
      <c r="H98" s="7">
        <f t="shared" si="24"/>
        <v>28276.813773831527</v>
      </c>
      <c r="I98" s="7">
        <f t="shared" si="21"/>
        <v>23521.635888820514</v>
      </c>
      <c r="J98" s="7">
        <f t="shared" si="23"/>
        <v>4755.177885011014</v>
      </c>
      <c r="K98" s="7">
        <f t="shared" si="22"/>
        <v>389416.92029481404</v>
      </c>
      <c r="L98" s="268">
        <f t="shared" si="25"/>
        <v>2.2006900000000003E-2</v>
      </c>
      <c r="M98" s="348">
        <v>1.22838</v>
      </c>
      <c r="N98">
        <f t="shared" si="26"/>
        <v>2.4329999999999998</v>
      </c>
      <c r="O98" s="346" t="s">
        <v>506</v>
      </c>
      <c r="R98" s="47"/>
      <c r="S98" s="47"/>
      <c r="BH98" s="187">
        <v>42250</v>
      </c>
      <c r="BI98" s="180">
        <v>3.7999999999999999E-2</v>
      </c>
      <c r="BJ98" s="191">
        <v>42250</v>
      </c>
      <c r="BK98" s="192">
        <v>0.439</v>
      </c>
      <c r="BN98" s="94">
        <v>42219</v>
      </c>
      <c r="BO98" s="95">
        <v>0.49199999999999999</v>
      </c>
      <c r="BP98" s="96">
        <v>8.33</v>
      </c>
    </row>
    <row r="99" spans="7:68" ht="15">
      <c r="G99" s="234">
        <v>52352</v>
      </c>
      <c r="H99" s="7">
        <f t="shared" si="24"/>
        <v>28276.813773831527</v>
      </c>
      <c r="I99" s="7">
        <f t="shared" si="21"/>
        <v>23968.078997704564</v>
      </c>
      <c r="J99" s="7">
        <f t="shared" si="23"/>
        <v>4308.7347761269612</v>
      </c>
      <c r="K99" s="7">
        <f t="shared" si="22"/>
        <v>365448.84129710949</v>
      </c>
      <c r="L99" s="268">
        <f t="shared" si="25"/>
        <v>2.1830250000000002E-2</v>
      </c>
      <c r="M99" s="348">
        <v>1.1930499999999999</v>
      </c>
      <c r="N99">
        <f t="shared" si="26"/>
        <v>2.4329999999999998</v>
      </c>
      <c r="O99" s="346" t="s">
        <v>507</v>
      </c>
      <c r="R99" s="47"/>
      <c r="S99" s="47"/>
      <c r="BH99" s="187">
        <v>42251</v>
      </c>
      <c r="BI99" s="180">
        <v>3.7999999999999999E-2</v>
      </c>
      <c r="BJ99" s="191">
        <v>42251</v>
      </c>
      <c r="BK99" s="192">
        <v>0.44</v>
      </c>
      <c r="BN99" s="94">
        <v>42220</v>
      </c>
      <c r="BO99" s="95">
        <v>0.48399999999999999</v>
      </c>
      <c r="BP99" s="96">
        <v>8.33</v>
      </c>
    </row>
    <row r="100" spans="7:68" ht="15">
      <c r="G100" s="235">
        <v>52536</v>
      </c>
      <c r="H100" s="7">
        <f t="shared" si="24"/>
        <v>28276.813773831527</v>
      </c>
      <c r="I100" s="7">
        <f t="shared" si="21"/>
        <v>24199.25132810479</v>
      </c>
      <c r="J100" s="7">
        <f t="shared" si="23"/>
        <v>4077.5624457267372</v>
      </c>
      <c r="K100" s="7">
        <f t="shared" si="22"/>
        <v>341249.58996900468</v>
      </c>
      <c r="L100" s="268">
        <f t="shared" si="25"/>
        <v>2.1832400000000002E-2</v>
      </c>
      <c r="M100" s="348">
        <v>1.1934800000000001</v>
      </c>
      <c r="N100">
        <f t="shared" si="26"/>
        <v>2.4329999999999998</v>
      </c>
      <c r="O100" s="346" t="s">
        <v>508</v>
      </c>
      <c r="R100" s="47"/>
      <c r="S100" s="47"/>
      <c r="BH100" s="187">
        <v>42254</v>
      </c>
      <c r="BI100" s="180">
        <v>3.7999999999999999E-2</v>
      </c>
      <c r="BJ100" s="191">
        <v>42254</v>
      </c>
      <c r="BK100" s="192">
        <v>0.441</v>
      </c>
      <c r="BN100" s="94">
        <v>42221</v>
      </c>
      <c r="BO100" s="95">
        <v>0.48</v>
      </c>
      <c r="BP100" s="96">
        <v>8.32</v>
      </c>
    </row>
    <row r="101" spans="7:68" ht="15">
      <c r="G101" s="236">
        <v>52718</v>
      </c>
      <c r="H101" s="7">
        <f t="shared" si="24"/>
        <v>28276.813773831527</v>
      </c>
      <c r="I101" s="7">
        <f t="shared" si="21"/>
        <v>24510.274457878328</v>
      </c>
      <c r="J101" s="7">
        <f t="shared" si="23"/>
        <v>3766.5393159532009</v>
      </c>
      <c r="K101" s="7">
        <f t="shared" si="22"/>
        <v>316739.31551112636</v>
      </c>
      <c r="L101" s="268">
        <f t="shared" si="25"/>
        <v>2.1833449999999997E-2</v>
      </c>
      <c r="M101" s="348">
        <v>1.1936899999999999</v>
      </c>
      <c r="N101">
        <f t="shared" si="26"/>
        <v>2.4329999999999998</v>
      </c>
      <c r="O101" s="346" t="s">
        <v>509</v>
      </c>
      <c r="R101" s="47"/>
      <c r="S101" s="47"/>
      <c r="BH101" s="187">
        <v>42255</v>
      </c>
      <c r="BI101" s="180">
        <v>3.7999999999999999E-2</v>
      </c>
      <c r="BJ101" s="191">
        <v>42255</v>
      </c>
      <c r="BK101" s="192">
        <v>0.443</v>
      </c>
      <c r="BN101" s="94">
        <v>42222</v>
      </c>
      <c r="BO101" s="95">
        <v>0.48099999999999998</v>
      </c>
      <c r="BP101" s="96">
        <v>8.3800000000000008</v>
      </c>
    </row>
    <row r="102" spans="7:68" ht="15">
      <c r="G102" s="237">
        <v>52902</v>
      </c>
      <c r="H102" s="7">
        <f t="shared" si="24"/>
        <v>28276.813773831527</v>
      </c>
      <c r="I102" s="7">
        <f t="shared" si="21"/>
        <v>24742.21874739448</v>
      </c>
      <c r="J102" s="7">
        <f t="shared" si="23"/>
        <v>3534.5950264370495</v>
      </c>
      <c r="K102" s="7">
        <f t="shared" si="22"/>
        <v>291997.09676373191</v>
      </c>
      <c r="L102" s="268">
        <f t="shared" si="25"/>
        <v>2.1571E-2</v>
      </c>
      <c r="M102" s="348">
        <v>1.1412</v>
      </c>
      <c r="N102">
        <f t="shared" si="26"/>
        <v>2.4329999999999998</v>
      </c>
      <c r="O102" s="346" t="s">
        <v>510</v>
      </c>
      <c r="R102" s="47"/>
      <c r="S102" s="47"/>
      <c r="BH102" s="187">
        <v>42256</v>
      </c>
      <c r="BI102" s="180">
        <v>3.7999999999999999E-2</v>
      </c>
      <c r="BJ102" s="191">
        <v>42256</v>
      </c>
      <c r="BK102" s="192">
        <v>0.44700000000000001</v>
      </c>
      <c r="BN102" s="94">
        <v>42223</v>
      </c>
      <c r="BO102" s="95">
        <v>0.47299999999999998</v>
      </c>
      <c r="BP102" s="96">
        <v>8.3800000000000008</v>
      </c>
    </row>
    <row r="103" spans="7:68" ht="15">
      <c r="G103" s="234">
        <v>53083</v>
      </c>
      <c r="H103" s="7">
        <f t="shared" si="24"/>
        <v>28276.813773831527</v>
      </c>
      <c r="I103" s="7">
        <f t="shared" si="21"/>
        <v>25109.982782868821</v>
      </c>
      <c r="J103" s="7">
        <f t="shared" si="23"/>
        <v>3166.8309909627042</v>
      </c>
      <c r="K103" s="7">
        <f t="shared" si="22"/>
        <v>266887.11398086307</v>
      </c>
      <c r="L103" s="268">
        <f t="shared" si="25"/>
        <v>2.1476700000000001E-2</v>
      </c>
      <c r="M103" s="348">
        <v>1.1223399999999999</v>
      </c>
      <c r="N103">
        <f t="shared" si="26"/>
        <v>2.4329999999999998</v>
      </c>
      <c r="O103" s="346" t="s">
        <v>511</v>
      </c>
      <c r="R103" s="47"/>
      <c r="S103" s="47"/>
      <c r="BH103" s="187">
        <v>42257</v>
      </c>
      <c r="BI103" s="180">
        <v>3.7999999999999999E-2</v>
      </c>
      <c r="BJ103" s="191">
        <v>42257</v>
      </c>
      <c r="BK103" s="192">
        <v>0.44900000000000001</v>
      </c>
      <c r="BN103" s="94">
        <v>42226</v>
      </c>
      <c r="BO103" s="95">
        <v>0.46300000000000002</v>
      </c>
      <c r="BP103" s="96">
        <v>8.3699999999999992</v>
      </c>
    </row>
    <row r="104" spans="7:68" ht="15">
      <c r="G104" s="235">
        <v>53267</v>
      </c>
      <c r="H104" s="7">
        <f t="shared" si="24"/>
        <v>28276.813773831527</v>
      </c>
      <c r="I104" s="7">
        <f t="shared" si="21"/>
        <v>25347.199261405873</v>
      </c>
      <c r="J104" s="7">
        <f t="shared" si="23"/>
        <v>2929.6145124256545</v>
      </c>
      <c r="K104" s="7">
        <f t="shared" si="22"/>
        <v>241539.91471945719</v>
      </c>
      <c r="L104" s="268">
        <f t="shared" si="25"/>
        <v>2.118275E-2</v>
      </c>
      <c r="M104" s="348">
        <v>1.06355</v>
      </c>
      <c r="N104">
        <f t="shared" si="26"/>
        <v>2.4329999999999998</v>
      </c>
      <c r="O104" s="346" t="s">
        <v>512</v>
      </c>
      <c r="R104" s="47"/>
      <c r="S104" s="47"/>
      <c r="BH104" s="187">
        <v>42258</v>
      </c>
      <c r="BI104" s="180">
        <v>3.6999999999999998E-2</v>
      </c>
      <c r="BJ104" s="191">
        <v>42258</v>
      </c>
      <c r="BK104" s="192">
        <v>0.45</v>
      </c>
      <c r="BN104" s="94">
        <v>42227</v>
      </c>
      <c r="BO104" s="95">
        <v>0.45300000000000001</v>
      </c>
      <c r="BP104" s="96">
        <v>8.3699999999999992</v>
      </c>
    </row>
    <row r="105" spans="7:68" ht="15">
      <c r="G105" s="236">
        <v>53448</v>
      </c>
      <c r="H105" s="7">
        <f t="shared" si="24"/>
        <v>28276.813773831527</v>
      </c>
      <c r="I105" s="7">
        <f t="shared" si="21"/>
        <v>25704.361516157172</v>
      </c>
      <c r="J105" s="7">
        <f t="shared" si="23"/>
        <v>2572.4522576743561</v>
      </c>
      <c r="K105" s="7">
        <f t="shared" si="22"/>
        <v>215835.55320330002</v>
      </c>
      <c r="L105" s="268">
        <f t="shared" si="25"/>
        <v>2.1080000000000002E-2</v>
      </c>
      <c r="M105" s="348">
        <v>1.0429999999999999</v>
      </c>
      <c r="N105">
        <f t="shared" si="26"/>
        <v>2.4329999999999998</v>
      </c>
      <c r="O105" s="346" t="s">
        <v>513</v>
      </c>
      <c r="R105" s="47"/>
      <c r="S105" s="47"/>
      <c r="BH105" s="187">
        <v>42261</v>
      </c>
      <c r="BI105" s="180">
        <v>3.6999999999999998E-2</v>
      </c>
      <c r="BJ105" s="191">
        <v>42261</v>
      </c>
      <c r="BK105" s="192">
        <v>0.45100000000000001</v>
      </c>
      <c r="BN105" s="94">
        <v>42228</v>
      </c>
      <c r="BO105" s="95">
        <v>0.44500000000000001</v>
      </c>
      <c r="BP105" s="96">
        <v>8.3699999999999992</v>
      </c>
    </row>
    <row r="106" spans="7:68" ht="15">
      <c r="G106" s="237">
        <v>53632</v>
      </c>
      <c r="H106" s="7">
        <f t="shared" si="24"/>
        <v>28276.813773831527</v>
      </c>
      <c r="I106" s="7">
        <f t="shared" si="21"/>
        <v>25951.353560162905</v>
      </c>
      <c r="J106" s="7">
        <f t="shared" si="23"/>
        <v>2325.4602136686221</v>
      </c>
      <c r="K106" s="7">
        <f t="shared" si="22"/>
        <v>189884.19964313711</v>
      </c>
      <c r="L106" s="268">
        <f t="shared" si="25"/>
        <v>2.109805E-2</v>
      </c>
      <c r="M106" s="348">
        <v>1.04661</v>
      </c>
      <c r="N106">
        <f t="shared" si="26"/>
        <v>2.4329999999999998</v>
      </c>
      <c r="O106" s="346" t="s">
        <v>514</v>
      </c>
      <c r="R106" s="47"/>
      <c r="S106" s="47"/>
      <c r="BH106" s="187">
        <v>42262</v>
      </c>
      <c r="BI106" s="180">
        <v>3.5999999999999997E-2</v>
      </c>
      <c r="BJ106" s="191">
        <v>42262</v>
      </c>
      <c r="BK106" s="192">
        <v>0.49399999999999999</v>
      </c>
      <c r="BN106" s="94">
        <v>42229</v>
      </c>
      <c r="BO106" s="95">
        <v>0.438</v>
      </c>
      <c r="BP106" s="96">
        <v>8.36</v>
      </c>
    </row>
    <row r="107" spans="7:68" ht="15">
      <c r="G107" s="234">
        <v>53813</v>
      </c>
      <c r="H107" s="7">
        <f t="shared" si="24"/>
        <v>28276.813773831527</v>
      </c>
      <c r="I107" s="7">
        <f t="shared" si="21"/>
        <v>26262.592309306969</v>
      </c>
      <c r="J107" s="7">
        <f t="shared" si="23"/>
        <v>2014.2214645245579</v>
      </c>
      <c r="K107" s="7">
        <f t="shared" si="22"/>
        <v>163621.60733383015</v>
      </c>
      <c r="L107" s="268">
        <f t="shared" si="25"/>
        <v>2.1104850000000001E-2</v>
      </c>
      <c r="M107" s="348">
        <v>1.0479700000000001</v>
      </c>
      <c r="N107">
        <f t="shared" si="26"/>
        <v>2.4329999999999998</v>
      </c>
      <c r="O107" s="346" t="s">
        <v>515</v>
      </c>
      <c r="R107" s="47"/>
      <c r="S107" s="47"/>
      <c r="BH107" s="187">
        <v>42263</v>
      </c>
      <c r="BI107" s="180">
        <v>3.5999999999999997E-2</v>
      </c>
      <c r="BJ107" s="191">
        <v>42263</v>
      </c>
      <c r="BK107" s="192">
        <v>0.497</v>
      </c>
      <c r="BN107" s="94">
        <v>42230</v>
      </c>
      <c r="BO107" s="95">
        <v>0.433</v>
      </c>
      <c r="BP107" s="96">
        <v>8.36</v>
      </c>
    </row>
    <row r="108" spans="7:68" ht="15">
      <c r="G108" s="235">
        <v>53997</v>
      </c>
      <c r="H108" s="7">
        <f t="shared" si="24"/>
        <v>28276.813773831527</v>
      </c>
      <c r="I108" s="7">
        <f t="shared" si="21"/>
        <v>26511.84003984473</v>
      </c>
      <c r="J108" s="7">
        <f t="shared" si="23"/>
        <v>1764.973733986797</v>
      </c>
      <c r="K108" s="7">
        <f t="shared" si="22"/>
        <v>137109.76729398541</v>
      </c>
      <c r="L108" s="268">
        <f t="shared" si="25"/>
        <v>2.0270650000000001E-2</v>
      </c>
      <c r="M108" s="348">
        <v>0.88112999999999997</v>
      </c>
      <c r="N108">
        <f t="shared" si="26"/>
        <v>2.4329999999999998</v>
      </c>
      <c r="O108" s="346" t="s">
        <v>516</v>
      </c>
      <c r="R108" s="47"/>
      <c r="S108" s="47"/>
      <c r="BH108" s="187">
        <v>42264</v>
      </c>
      <c r="BI108" s="180">
        <v>3.5999999999999997E-2</v>
      </c>
      <c r="BJ108" s="191">
        <v>42264</v>
      </c>
      <c r="BK108" s="192">
        <v>0.503</v>
      </c>
      <c r="BN108" s="94">
        <v>42233</v>
      </c>
      <c r="BO108" s="95">
        <v>0.42899999999999999</v>
      </c>
      <c r="BP108" s="96">
        <v>8.35</v>
      </c>
    </row>
    <row r="109" spans="7:68" ht="15">
      <c r="G109" s="236">
        <v>54179</v>
      </c>
      <c r="H109" s="7">
        <f t="shared" si="24"/>
        <v>28276.813773831527</v>
      </c>
      <c r="I109" s="7">
        <f t="shared" si="21"/>
        <v>26871.721143274848</v>
      </c>
      <c r="J109" s="7">
        <f t="shared" ref="J109:J113" si="29">+K108*L108*(G109-G108)/360</f>
        <v>1405.0926305566786</v>
      </c>
      <c r="K109" s="7">
        <f t="shared" si="22"/>
        <v>110238.04615071056</v>
      </c>
      <c r="L109" s="268">
        <f t="shared" si="25"/>
        <v>1.9996949999999999E-2</v>
      </c>
      <c r="M109" s="346">
        <v>0.82638999999999996</v>
      </c>
      <c r="N109">
        <f t="shared" si="26"/>
        <v>2.4329999999999998</v>
      </c>
      <c r="O109" s="346" t="s">
        <v>517</v>
      </c>
      <c r="R109" s="47"/>
      <c r="S109" s="47"/>
      <c r="BH109" s="187">
        <v>42265</v>
      </c>
      <c r="BI109" s="180">
        <v>3.5999999999999997E-2</v>
      </c>
      <c r="BJ109" s="191">
        <v>42265</v>
      </c>
      <c r="BK109" s="192">
        <v>0.504</v>
      </c>
      <c r="BN109" s="94">
        <v>42234</v>
      </c>
      <c r="BO109" s="95">
        <v>0.42499999999999999</v>
      </c>
      <c r="BP109" s="96">
        <v>8.35</v>
      </c>
    </row>
    <row r="110" spans="7:68" ht="15">
      <c r="G110" s="237">
        <v>54363</v>
      </c>
      <c r="H110" s="7">
        <f t="shared" si="24"/>
        <v>28276.813773831527</v>
      </c>
      <c r="I110" s="7">
        <f t="shared" ref="I110:I113" si="30">+H110-J110</f>
        <v>27150.107817600652</v>
      </c>
      <c r="J110" s="7">
        <f t="shared" si="29"/>
        <v>1126.7059562308755</v>
      </c>
      <c r="K110" s="7">
        <f t="shared" ref="K110:K113" si="31">+K109-I110</f>
        <v>83087.938333109909</v>
      </c>
      <c r="L110" s="268">
        <f t="shared" si="25"/>
        <v>2.0683699999999999E-2</v>
      </c>
      <c r="M110" s="346">
        <v>0.96374000000000004</v>
      </c>
      <c r="N110">
        <f t="shared" si="26"/>
        <v>2.4329999999999998</v>
      </c>
      <c r="O110" s="346" t="s">
        <v>518</v>
      </c>
      <c r="R110" s="47"/>
      <c r="S110" s="47"/>
      <c r="BH110" s="187">
        <v>42268</v>
      </c>
      <c r="BI110" s="180">
        <v>3.5999999999999997E-2</v>
      </c>
      <c r="BJ110" s="191">
        <v>42268</v>
      </c>
      <c r="BK110" s="192">
        <v>0.50600000000000001</v>
      </c>
      <c r="BN110" s="94">
        <v>42235</v>
      </c>
      <c r="BO110" s="95">
        <v>0.42199999999999999</v>
      </c>
      <c r="BP110" s="96">
        <v>8.35</v>
      </c>
    </row>
    <row r="111" spans="7:68" ht="15">
      <c r="G111" s="234">
        <v>54544</v>
      </c>
      <c r="H111" s="7">
        <f t="shared" si="24"/>
        <v>28276.813773831527</v>
      </c>
      <c r="I111" s="7">
        <f t="shared" si="30"/>
        <v>27412.756984364307</v>
      </c>
      <c r="J111" s="7">
        <f t="shared" si="29"/>
        <v>864.05678946721855</v>
      </c>
      <c r="K111" s="7">
        <f t="shared" si="31"/>
        <v>55675.181348745602</v>
      </c>
      <c r="L111" s="268">
        <f t="shared" si="25"/>
        <v>2.0936999999999997E-2</v>
      </c>
      <c r="M111" s="346">
        <v>1.0144</v>
      </c>
      <c r="N111">
        <f t="shared" si="26"/>
        <v>2.4329999999999998</v>
      </c>
      <c r="O111" s="346" t="s">
        <v>519</v>
      </c>
      <c r="R111" s="47"/>
      <c r="S111" s="47"/>
      <c r="BH111" s="187">
        <v>42269</v>
      </c>
      <c r="BI111" s="180">
        <v>3.4000000000000002E-2</v>
      </c>
      <c r="BJ111" s="191">
        <v>42269</v>
      </c>
      <c r="BK111" s="192">
        <v>0.503</v>
      </c>
      <c r="BN111" s="94">
        <v>42236</v>
      </c>
      <c r="BO111" s="95">
        <v>0.41699999999999998</v>
      </c>
      <c r="BP111" s="96">
        <v>8.34</v>
      </c>
    </row>
    <row r="112" spans="7:68" ht="15">
      <c r="G112" s="235">
        <v>54728</v>
      </c>
      <c r="H112" s="7">
        <f t="shared" ref="H112:H113" si="32">+$H$46</f>
        <v>28276.813773831527</v>
      </c>
      <c r="I112" s="7">
        <f t="shared" si="30"/>
        <v>27681.026234861089</v>
      </c>
      <c r="J112" s="7">
        <f t="shared" si="29"/>
        <v>595.78753897043975</v>
      </c>
      <c r="K112" s="7">
        <f t="shared" si="31"/>
        <v>27994.155113884513</v>
      </c>
      <c r="L112" s="268">
        <f t="shared" si="25"/>
        <v>2.0082549999999998E-2</v>
      </c>
      <c r="M112" s="346">
        <v>0.84350999999999998</v>
      </c>
      <c r="N112">
        <f t="shared" si="26"/>
        <v>2.4329999999999998</v>
      </c>
      <c r="O112" s="346" t="s">
        <v>520</v>
      </c>
      <c r="R112" s="47"/>
      <c r="S112" s="47"/>
      <c r="BH112" s="187">
        <v>42270</v>
      </c>
      <c r="BI112" s="180">
        <v>3.3000000000000002E-2</v>
      </c>
      <c r="BJ112" s="191">
        <v>42270</v>
      </c>
      <c r="BK112" s="192">
        <v>0.498</v>
      </c>
      <c r="BN112" s="94">
        <v>42237</v>
      </c>
      <c r="BO112" s="95">
        <v>0.41499999999999998</v>
      </c>
      <c r="BP112" s="96">
        <v>8.34</v>
      </c>
    </row>
    <row r="113" spans="7:68" ht="15">
      <c r="G113" s="236">
        <v>54909</v>
      </c>
      <c r="H113" s="7">
        <f t="shared" si="32"/>
        <v>28276.813773831527</v>
      </c>
      <c r="I113" s="7">
        <f t="shared" si="30"/>
        <v>27994.155113885405</v>
      </c>
      <c r="J113" s="7">
        <f t="shared" si="29"/>
        <v>282.65865994612159</v>
      </c>
      <c r="K113" s="240">
        <f t="shared" si="31"/>
        <v>-8.9130480773746967E-10</v>
      </c>
      <c r="L113" s="268"/>
      <c r="M113" s="346"/>
      <c r="O113" s="346"/>
      <c r="BH113" s="187">
        <v>42271</v>
      </c>
      <c r="BI113" s="180">
        <v>3.2000000000000001E-2</v>
      </c>
      <c r="BJ113" s="191">
        <v>42271</v>
      </c>
      <c r="BK113" s="192">
        <v>0.49199999999999999</v>
      </c>
      <c r="BN113" s="94">
        <v>42240</v>
      </c>
      <c r="BO113" s="95">
        <v>0.41299999999999998</v>
      </c>
      <c r="BP113" s="96">
        <v>8.33</v>
      </c>
    </row>
    <row r="114" spans="7:68" ht="15">
      <c r="G114" s="239"/>
      <c r="M114" s="346"/>
      <c r="BH114" s="187">
        <v>42272</v>
      </c>
      <c r="BI114" s="180">
        <v>0.03</v>
      </c>
      <c r="BJ114" s="191">
        <v>42272</v>
      </c>
      <c r="BK114" s="192">
        <v>0.48799999999999999</v>
      </c>
      <c r="BN114" s="94">
        <v>42241</v>
      </c>
      <c r="BO114" s="95">
        <v>0.41299999999999998</v>
      </c>
      <c r="BP114" s="96">
        <v>8.33</v>
      </c>
    </row>
    <row r="115" spans="7:68" ht="15">
      <c r="G115" s="239"/>
      <c r="K115" s="7"/>
      <c r="BH115" s="187">
        <v>42275</v>
      </c>
      <c r="BI115" s="180">
        <v>2.9000000000000001E-2</v>
      </c>
      <c r="BJ115" s="191">
        <v>42275</v>
      </c>
      <c r="BK115" s="192">
        <v>0.48199999999999998</v>
      </c>
      <c r="BN115" s="94">
        <v>42242</v>
      </c>
      <c r="BO115" s="95">
        <v>0.41499999999999998</v>
      </c>
      <c r="BP115" s="96">
        <v>8.33</v>
      </c>
    </row>
    <row r="116" spans="7:68" ht="15">
      <c r="G116" s="239"/>
      <c r="K116" s="16"/>
      <c r="BH116" s="187">
        <v>42276</v>
      </c>
      <c r="BI116" s="180">
        <v>2.9000000000000001E-2</v>
      </c>
      <c r="BJ116" s="191">
        <v>42276</v>
      </c>
      <c r="BK116" s="192">
        <v>0.47499999999999998</v>
      </c>
      <c r="BN116" s="94">
        <v>42243</v>
      </c>
      <c r="BO116" s="95">
        <v>0.41799999999999998</v>
      </c>
      <c r="BP116" s="96">
        <v>8.32</v>
      </c>
    </row>
    <row r="117" spans="7:68" ht="15">
      <c r="G117" s="239"/>
      <c r="BH117" s="187">
        <v>42277</v>
      </c>
      <c r="BI117" s="180">
        <v>2.9000000000000001E-2</v>
      </c>
      <c r="BJ117" s="191">
        <v>42277</v>
      </c>
      <c r="BK117" s="192">
        <v>0.46800000000000003</v>
      </c>
      <c r="BN117" s="94">
        <v>42244</v>
      </c>
      <c r="BO117" s="95">
        <v>0.42099999999999999</v>
      </c>
      <c r="BP117" s="96">
        <v>8.32</v>
      </c>
    </row>
    <row r="118" spans="7:68" ht="15">
      <c r="G118" s="239"/>
      <c r="BH118" s="187">
        <v>42278</v>
      </c>
      <c r="BI118" s="180">
        <v>2.7E-2</v>
      </c>
      <c r="BJ118" s="191">
        <v>42278</v>
      </c>
      <c r="BK118" s="192">
        <v>0.46200000000000002</v>
      </c>
      <c r="BN118" s="94">
        <v>42247</v>
      </c>
      <c r="BO118" s="95">
        <v>0.42599999999999999</v>
      </c>
      <c r="BP118" s="96">
        <v>8.31</v>
      </c>
    </row>
    <row r="119" spans="7:68" ht="15">
      <c r="G119" s="239"/>
      <c r="BH119" s="187">
        <v>42279</v>
      </c>
      <c r="BI119" s="180">
        <v>2.5999999999999999E-2</v>
      </c>
      <c r="BJ119" s="191">
        <v>42279</v>
      </c>
      <c r="BK119" s="192">
        <v>0.45700000000000002</v>
      </c>
      <c r="BN119" s="94">
        <v>42248</v>
      </c>
      <c r="BO119" s="95">
        <v>0.433</v>
      </c>
      <c r="BP119" s="96">
        <v>8.31</v>
      </c>
    </row>
    <row r="120" spans="7:68" ht="15">
      <c r="G120" s="239"/>
      <c r="BH120" s="187">
        <v>42282</v>
      </c>
      <c r="BI120" s="180">
        <v>2.7E-2</v>
      </c>
      <c r="BJ120" s="191">
        <v>42282</v>
      </c>
      <c r="BK120" s="192">
        <v>0.45200000000000001</v>
      </c>
      <c r="BN120" s="94">
        <v>42249</v>
      </c>
      <c r="BO120" s="95">
        <v>0.437</v>
      </c>
      <c r="BP120" s="96">
        <v>8.31</v>
      </c>
    </row>
    <row r="121" spans="7:68" ht="15">
      <c r="G121" s="239"/>
      <c r="BH121" s="187">
        <v>42283</v>
      </c>
      <c r="BI121" s="180">
        <v>2.7E-2</v>
      </c>
      <c r="BJ121" s="191">
        <v>42283</v>
      </c>
      <c r="BK121" s="192">
        <v>0.44900000000000001</v>
      </c>
      <c r="BN121" s="94">
        <v>42250</v>
      </c>
      <c r="BO121" s="95">
        <v>0.439</v>
      </c>
      <c r="BP121" s="96">
        <v>8.3000000000000007</v>
      </c>
    </row>
    <row r="122" spans="7:68" ht="15">
      <c r="G122" s="239"/>
      <c r="BH122" s="187">
        <v>42284</v>
      </c>
      <c r="BI122" s="180">
        <v>2.8000000000000001E-2</v>
      </c>
      <c r="BJ122" s="191">
        <v>42284</v>
      </c>
      <c r="BK122" s="192">
        <v>0.44600000000000001</v>
      </c>
      <c r="BN122" s="94">
        <v>42251</v>
      </c>
      <c r="BO122" s="95">
        <v>0.44</v>
      </c>
      <c r="BP122" s="96">
        <v>8.3000000000000007</v>
      </c>
    </row>
    <row r="123" spans="7:68" ht="15">
      <c r="G123" s="239"/>
      <c r="BH123" s="187">
        <v>42285</v>
      </c>
      <c r="BI123" s="180">
        <v>2.8000000000000001E-2</v>
      </c>
      <c r="BJ123" s="191">
        <v>42285</v>
      </c>
      <c r="BK123" s="192">
        <v>0.44500000000000001</v>
      </c>
      <c r="BN123" s="94">
        <v>42254</v>
      </c>
      <c r="BO123" s="95">
        <v>0.441</v>
      </c>
      <c r="BP123" s="96">
        <v>8.2899999999999991</v>
      </c>
    </row>
    <row r="124" spans="7:68" ht="15">
      <c r="G124" s="239"/>
      <c r="BH124" s="187">
        <v>42286</v>
      </c>
      <c r="BI124" s="180">
        <v>2.8000000000000001E-2</v>
      </c>
      <c r="BJ124" s="191">
        <v>42286</v>
      </c>
      <c r="BK124" s="192">
        <v>0.443</v>
      </c>
      <c r="BN124" s="94">
        <v>42255</v>
      </c>
      <c r="BO124" s="95">
        <v>0.443</v>
      </c>
      <c r="BP124" s="96">
        <v>8.2799999999999994</v>
      </c>
    </row>
    <row r="125" spans="7:68" ht="15">
      <c r="G125" s="239"/>
      <c r="BH125" s="187">
        <v>42289</v>
      </c>
      <c r="BI125" s="180">
        <v>2.7E-2</v>
      </c>
      <c r="BJ125" s="191">
        <v>42289</v>
      </c>
      <c r="BK125" s="192">
        <v>0.441</v>
      </c>
      <c r="BN125" s="94">
        <v>42256</v>
      </c>
      <c r="BO125" s="95">
        <v>0.44700000000000001</v>
      </c>
      <c r="BP125" s="96">
        <v>8.2799999999999994</v>
      </c>
    </row>
    <row r="126" spans="7:68" ht="15">
      <c r="G126" s="239"/>
      <c r="BH126" s="187">
        <v>42290</v>
      </c>
      <c r="BI126" s="180">
        <v>2.5999999999999999E-2</v>
      </c>
      <c r="BJ126" s="191">
        <v>42290</v>
      </c>
      <c r="BK126" s="192">
        <v>0.438</v>
      </c>
      <c r="BN126" s="94">
        <v>42257</v>
      </c>
      <c r="BO126" s="95">
        <v>0.44900000000000001</v>
      </c>
      <c r="BP126" s="96">
        <v>8.2799999999999994</v>
      </c>
    </row>
    <row r="127" spans="7:68" ht="15">
      <c r="G127" s="239"/>
      <c r="BH127" s="187">
        <v>42291</v>
      </c>
      <c r="BI127" s="180">
        <v>2.7E-2</v>
      </c>
      <c r="BJ127" s="191">
        <v>42291</v>
      </c>
      <c r="BK127" s="192">
        <v>0.432</v>
      </c>
      <c r="BN127" s="94">
        <v>42258</v>
      </c>
      <c r="BO127" s="95">
        <v>0.45</v>
      </c>
      <c r="BP127" s="96">
        <v>8.2799999999999994</v>
      </c>
    </row>
    <row r="128" spans="7:68" ht="15">
      <c r="G128" s="239"/>
      <c r="BH128" s="187">
        <v>42292</v>
      </c>
      <c r="BI128" s="180">
        <v>2.4E-2</v>
      </c>
      <c r="BJ128" s="191">
        <v>42292</v>
      </c>
      <c r="BK128" s="192">
        <v>0.42399999999999999</v>
      </c>
      <c r="BN128" s="94">
        <v>42261</v>
      </c>
      <c r="BO128" s="95">
        <v>0.45100000000000001</v>
      </c>
      <c r="BP128" s="96">
        <v>8.27</v>
      </c>
    </row>
    <row r="129" spans="7:68" ht="15">
      <c r="G129" s="239"/>
      <c r="BH129" s="187">
        <v>42293</v>
      </c>
      <c r="BI129" s="180">
        <v>2.1000000000000001E-2</v>
      </c>
      <c r="BJ129" s="191">
        <v>42293</v>
      </c>
      <c r="BK129" s="192">
        <v>0.42</v>
      </c>
      <c r="BN129" s="94">
        <v>42262</v>
      </c>
      <c r="BO129" s="95">
        <v>0.49399999999999999</v>
      </c>
      <c r="BP129" s="96">
        <v>8.74</v>
      </c>
    </row>
    <row r="130" spans="7:68" ht="15">
      <c r="G130" s="239"/>
      <c r="BH130" s="187">
        <v>42296</v>
      </c>
      <c r="BI130" s="180">
        <v>1.9E-2</v>
      </c>
      <c r="BJ130" s="191">
        <v>42296</v>
      </c>
      <c r="BK130" s="192">
        <v>0.41699999999999998</v>
      </c>
      <c r="BN130" s="94">
        <v>42263</v>
      </c>
      <c r="BO130" s="95">
        <v>0.497</v>
      </c>
      <c r="BP130" s="96">
        <v>8.74</v>
      </c>
    </row>
    <row r="131" spans="7:68" ht="15">
      <c r="G131" s="239"/>
      <c r="BH131" s="187">
        <v>42297</v>
      </c>
      <c r="BI131" s="180">
        <v>1.7999999999999999E-2</v>
      </c>
      <c r="BJ131" s="191">
        <v>42297</v>
      </c>
      <c r="BK131" s="192">
        <v>0.41599999999999998</v>
      </c>
      <c r="BN131" s="94">
        <v>42264</v>
      </c>
      <c r="BO131" s="95">
        <v>0.503</v>
      </c>
      <c r="BP131" s="96">
        <v>8.73</v>
      </c>
    </row>
    <row r="132" spans="7:68" ht="15">
      <c r="G132" s="239"/>
      <c r="BH132" s="187">
        <v>42298</v>
      </c>
      <c r="BI132" s="180">
        <v>1.9E-2</v>
      </c>
      <c r="BJ132" s="191">
        <v>42298</v>
      </c>
      <c r="BK132" s="192">
        <v>0.41599999999999998</v>
      </c>
      <c r="BN132" s="94">
        <v>42265</v>
      </c>
      <c r="BO132" s="95">
        <v>0.504</v>
      </c>
      <c r="BP132" s="96">
        <v>8.73</v>
      </c>
    </row>
    <row r="133" spans="7:68" ht="15">
      <c r="G133" s="239"/>
      <c r="BH133" s="187">
        <v>42299</v>
      </c>
      <c r="BI133" s="180">
        <v>1.9E-2</v>
      </c>
      <c r="BJ133" s="191">
        <v>42299</v>
      </c>
      <c r="BK133" s="192">
        <v>0.41399999999999998</v>
      </c>
      <c r="BN133" s="94">
        <v>42268</v>
      </c>
      <c r="BO133" s="95">
        <v>0.50600000000000001</v>
      </c>
      <c r="BP133" s="96">
        <v>8.7200000000000006</v>
      </c>
    </row>
    <row r="134" spans="7:68" ht="15">
      <c r="G134" s="239"/>
      <c r="BH134" s="187">
        <v>42300</v>
      </c>
      <c r="BI134" s="180">
        <v>0.01</v>
      </c>
      <c r="BJ134" s="191">
        <v>42300</v>
      </c>
      <c r="BK134" s="192">
        <v>0.40799999999999997</v>
      </c>
      <c r="BN134" s="94">
        <v>42269</v>
      </c>
      <c r="BO134" s="95">
        <v>0.503</v>
      </c>
      <c r="BP134" s="96">
        <v>8.7200000000000006</v>
      </c>
    </row>
    <row r="135" spans="7:68" ht="15">
      <c r="G135" s="239"/>
      <c r="BH135" s="187">
        <v>42303</v>
      </c>
      <c r="BI135" s="180">
        <v>8.0000000000000002E-3</v>
      </c>
      <c r="BJ135" s="191"/>
      <c r="BK135" s="193">
        <f>+BK134</f>
        <v>0.40799999999999997</v>
      </c>
      <c r="BN135" s="94">
        <v>42270</v>
      </c>
      <c r="BO135" s="95">
        <v>0.498</v>
      </c>
      <c r="BP135" s="96">
        <v>8.7200000000000006</v>
      </c>
    </row>
    <row r="136" spans="7:68" ht="15">
      <c r="G136" s="239"/>
      <c r="BH136" s="187">
        <v>42304</v>
      </c>
      <c r="BI136" s="180">
        <v>8.0000000000000002E-3</v>
      </c>
      <c r="BJ136" s="191">
        <v>42304</v>
      </c>
      <c r="BK136" s="192">
        <v>0.40100000000000002</v>
      </c>
      <c r="BN136" s="94">
        <v>42271</v>
      </c>
      <c r="BO136" s="95">
        <v>0.49199999999999999</v>
      </c>
      <c r="BP136" s="96">
        <v>8.7100000000000009</v>
      </c>
    </row>
    <row r="137" spans="7:68" ht="15">
      <c r="G137" s="239"/>
      <c r="BH137" s="187">
        <v>42305</v>
      </c>
      <c r="BI137" s="180">
        <v>6.0000000000000001E-3</v>
      </c>
      <c r="BJ137" s="191">
        <v>42305</v>
      </c>
      <c r="BK137" s="192">
        <v>0.39400000000000002</v>
      </c>
      <c r="BN137" s="94">
        <v>42272</v>
      </c>
      <c r="BO137" s="95">
        <v>0.48799999999999999</v>
      </c>
      <c r="BP137" s="96">
        <v>8.7100000000000009</v>
      </c>
    </row>
    <row r="138" spans="7:68" ht="15">
      <c r="G138" s="239"/>
      <c r="BH138" s="187">
        <v>42306</v>
      </c>
      <c r="BI138" s="180">
        <v>4.0000000000000001E-3</v>
      </c>
      <c r="BJ138" s="191">
        <v>42306</v>
      </c>
      <c r="BK138" s="192">
        <v>0.38800000000000001</v>
      </c>
      <c r="BN138" s="94">
        <v>42275</v>
      </c>
      <c r="BO138" s="95">
        <v>0.48199999999999998</v>
      </c>
      <c r="BP138" s="96">
        <v>8.6999999999999993</v>
      </c>
    </row>
    <row r="139" spans="7:68" ht="15">
      <c r="G139" s="239"/>
      <c r="BH139" s="187">
        <v>42307</v>
      </c>
      <c r="BI139" s="180">
        <v>6.0000000000000001E-3</v>
      </c>
      <c r="BJ139" s="191">
        <v>42307</v>
      </c>
      <c r="BK139" s="192">
        <v>0.38400000000000001</v>
      </c>
      <c r="BN139" s="94">
        <v>42276</v>
      </c>
      <c r="BO139" s="95">
        <v>0.47499999999999998</v>
      </c>
      <c r="BP139" s="96">
        <v>8.6999999999999993</v>
      </c>
    </row>
    <row r="140" spans="7:68" ht="15">
      <c r="G140" s="239"/>
      <c r="BH140" s="187">
        <v>42310</v>
      </c>
      <c r="BI140" s="180">
        <v>7.0000000000000001E-3</v>
      </c>
      <c r="BJ140" s="191">
        <v>42310</v>
      </c>
      <c r="BK140" s="192">
        <v>0.38300000000000001</v>
      </c>
      <c r="BL140" s="111">
        <f>+(BI140+BK140)/2+0.37</f>
        <v>0.56499999999999995</v>
      </c>
      <c r="BN140" s="94">
        <v>42277</v>
      </c>
      <c r="BO140" s="95">
        <v>0.46800000000000003</v>
      </c>
      <c r="BP140" s="96">
        <v>8.6999999999999993</v>
      </c>
    </row>
    <row r="141" spans="7:68" ht="15">
      <c r="G141" s="239"/>
      <c r="BH141" s="187">
        <v>42311</v>
      </c>
      <c r="BI141" s="180">
        <v>3.0000000000000001E-3</v>
      </c>
      <c r="BJ141" s="191">
        <v>42311</v>
      </c>
      <c r="BK141" s="192">
        <v>0.38200000000000001</v>
      </c>
      <c r="BN141" s="94">
        <v>42278</v>
      </c>
      <c r="BO141" s="95">
        <v>0.46200000000000002</v>
      </c>
      <c r="BP141" s="96">
        <v>8.6999999999999993</v>
      </c>
    </row>
    <row r="142" spans="7:68" ht="15">
      <c r="G142" s="239"/>
      <c r="BH142" s="187">
        <v>42312</v>
      </c>
      <c r="BI142" s="180">
        <v>0</v>
      </c>
      <c r="BJ142" s="191">
        <v>42312</v>
      </c>
      <c r="BK142" s="192">
        <v>0.379</v>
      </c>
      <c r="BN142" s="94">
        <v>42279</v>
      </c>
      <c r="BO142" s="95">
        <v>0.45700000000000002</v>
      </c>
      <c r="BP142" s="96">
        <v>8.69</v>
      </c>
    </row>
    <row r="143" spans="7:68" ht="15">
      <c r="G143" s="239"/>
      <c r="BH143" s="187">
        <v>42313</v>
      </c>
      <c r="BI143" s="180">
        <v>1E-3</v>
      </c>
      <c r="BJ143" s="191">
        <v>42313</v>
      </c>
      <c r="BK143" s="192">
        <v>0.38200000000000001</v>
      </c>
      <c r="BN143" s="94">
        <v>42282</v>
      </c>
      <c r="BO143" s="95">
        <v>0.45200000000000001</v>
      </c>
      <c r="BP143" s="96">
        <v>8.68</v>
      </c>
    </row>
    <row r="144" spans="7:68" ht="15">
      <c r="G144" s="239"/>
      <c r="BH144" s="187">
        <v>42314</v>
      </c>
      <c r="BI144" s="180">
        <v>-2E-3</v>
      </c>
      <c r="BJ144" s="191">
        <v>42314</v>
      </c>
      <c r="BK144" s="192">
        <v>0.38200000000000001</v>
      </c>
      <c r="BN144" s="94">
        <v>42283</v>
      </c>
      <c r="BO144" s="95">
        <v>0.44900000000000001</v>
      </c>
      <c r="BP144" s="96">
        <v>8.68</v>
      </c>
    </row>
    <row r="145" spans="7:68" ht="15">
      <c r="G145" s="239"/>
      <c r="BH145" s="187">
        <v>42317</v>
      </c>
      <c r="BI145" s="180">
        <v>1E-3</v>
      </c>
      <c r="BJ145" s="191">
        <v>42317</v>
      </c>
      <c r="BK145" s="192">
        <v>0.38200000000000001</v>
      </c>
      <c r="BN145" s="94">
        <v>42284</v>
      </c>
      <c r="BO145" s="95">
        <v>0.44600000000000001</v>
      </c>
      <c r="BP145" s="96">
        <v>8.68</v>
      </c>
    </row>
    <row r="146" spans="7:68" ht="15">
      <c r="G146" s="239"/>
      <c r="BH146" s="187">
        <v>42318</v>
      </c>
      <c r="BI146" s="180">
        <v>-4.0000000000000001E-3</v>
      </c>
      <c r="BJ146" s="191">
        <v>42318</v>
      </c>
      <c r="BK146" s="192">
        <v>0.38100000000000001</v>
      </c>
      <c r="BN146" s="94">
        <v>42285</v>
      </c>
      <c r="BO146" s="95">
        <v>0.44500000000000001</v>
      </c>
      <c r="BP146" s="96">
        <v>8.68</v>
      </c>
    </row>
    <row r="147" spans="7:68" ht="15">
      <c r="G147" s="239"/>
      <c r="BH147" s="187">
        <v>42319</v>
      </c>
      <c r="BI147" s="180">
        <v>-6.0000000000000001E-3</v>
      </c>
      <c r="BJ147" s="191">
        <v>42319</v>
      </c>
      <c r="BK147" s="192">
        <v>0.38</v>
      </c>
      <c r="BN147" s="94">
        <v>42286</v>
      </c>
      <c r="BO147" s="95">
        <v>0.443</v>
      </c>
      <c r="BP147" s="96">
        <v>8.68</v>
      </c>
    </row>
    <row r="148" spans="7:68" ht="15">
      <c r="G148" s="239"/>
      <c r="BH148" s="187">
        <v>42320</v>
      </c>
      <c r="BI148" s="180">
        <v>-1.0999999999999999E-2</v>
      </c>
      <c r="BJ148" s="191">
        <v>42320</v>
      </c>
      <c r="BK148" s="192">
        <v>0.379</v>
      </c>
      <c r="BN148" s="94">
        <v>42289</v>
      </c>
      <c r="BO148" s="95">
        <v>0.441</v>
      </c>
      <c r="BP148" s="96">
        <v>8.67</v>
      </c>
    </row>
    <row r="149" spans="7:68" ht="15">
      <c r="G149" s="239"/>
      <c r="BH149" s="187">
        <v>42321</v>
      </c>
      <c r="BI149" s="180">
        <v>-1.0999999999999999E-2</v>
      </c>
      <c r="BJ149" s="191">
        <v>42321</v>
      </c>
      <c r="BK149" s="192">
        <v>0.378</v>
      </c>
      <c r="BN149" s="94">
        <v>42290</v>
      </c>
      <c r="BO149" s="95">
        <v>0.438</v>
      </c>
      <c r="BP149" s="96">
        <v>8.67</v>
      </c>
    </row>
    <row r="150" spans="7:68" ht="15">
      <c r="G150" s="239"/>
      <c r="BH150" s="187">
        <v>42324</v>
      </c>
      <c r="BI150" s="180">
        <v>-1.2999999999999999E-2</v>
      </c>
      <c r="BJ150" s="191">
        <v>42324</v>
      </c>
      <c r="BK150" s="192">
        <v>0.375</v>
      </c>
      <c r="BN150" s="94">
        <v>42291</v>
      </c>
      <c r="BO150" s="95">
        <v>0.432</v>
      </c>
      <c r="BP150" s="96">
        <v>8.66</v>
      </c>
    </row>
    <row r="151" spans="7:68" ht="15">
      <c r="G151" s="239"/>
      <c r="BH151" s="187">
        <v>42325</v>
      </c>
      <c r="BI151" s="180">
        <v>-1.4999999999999999E-2</v>
      </c>
      <c r="BJ151" s="191">
        <v>42325</v>
      </c>
      <c r="BK151" s="192">
        <v>0.372</v>
      </c>
      <c r="BN151" s="94">
        <v>42292</v>
      </c>
      <c r="BO151" s="95">
        <v>0.42399999999999999</v>
      </c>
      <c r="BP151" s="96">
        <v>8.66</v>
      </c>
    </row>
    <row r="152" spans="7:68" ht="15">
      <c r="G152" s="239"/>
      <c r="BH152" s="187">
        <v>42326</v>
      </c>
      <c r="BI152" s="180">
        <v>-1.4999999999999999E-2</v>
      </c>
      <c r="BJ152" s="191">
        <v>42326</v>
      </c>
      <c r="BK152" s="192">
        <v>0.36599999999999999</v>
      </c>
      <c r="BN152" s="94">
        <v>42293</v>
      </c>
      <c r="BO152" s="95">
        <v>0.42</v>
      </c>
      <c r="BP152" s="96">
        <v>8.66</v>
      </c>
    </row>
    <row r="153" spans="7:68" ht="15">
      <c r="G153" s="239"/>
      <c r="BH153" s="187">
        <v>42327</v>
      </c>
      <c r="BI153" s="180">
        <v>-1.9E-2</v>
      </c>
      <c r="BJ153" s="191">
        <v>42327</v>
      </c>
      <c r="BK153" s="192">
        <v>0.36</v>
      </c>
      <c r="BN153" s="94">
        <v>42296</v>
      </c>
      <c r="BO153" s="95">
        <v>0.41699999999999998</v>
      </c>
      <c r="BP153" s="96">
        <v>8.65</v>
      </c>
    </row>
    <row r="154" spans="7:68" ht="15">
      <c r="G154" s="239"/>
      <c r="BH154" s="187">
        <v>42328</v>
      </c>
      <c r="BI154" s="180">
        <v>-2.4E-2</v>
      </c>
      <c r="BJ154" s="191">
        <v>42328</v>
      </c>
      <c r="BK154" s="192">
        <v>0.35699999999999998</v>
      </c>
      <c r="BN154" s="94">
        <v>42297</v>
      </c>
      <c r="BO154" s="95">
        <v>0.41599999999999998</v>
      </c>
      <c r="BP154" s="96">
        <v>8.65</v>
      </c>
    </row>
    <row r="155" spans="7:68" ht="15">
      <c r="G155" s="239"/>
      <c r="BH155" s="187">
        <v>42331</v>
      </c>
      <c r="BI155" s="180">
        <v>-0.03</v>
      </c>
      <c r="BJ155" s="191">
        <v>42331</v>
      </c>
      <c r="BK155" s="192">
        <v>0.35499999999999998</v>
      </c>
      <c r="BN155" s="94">
        <v>42298</v>
      </c>
      <c r="BO155" s="95">
        <v>0.41599999999999998</v>
      </c>
      <c r="BP155" s="96">
        <v>8.64</v>
      </c>
    </row>
    <row r="156" spans="7:68" ht="15">
      <c r="G156" s="239"/>
      <c r="BH156" s="187">
        <v>42332</v>
      </c>
      <c r="BI156" s="180">
        <v>-3.3000000000000002E-2</v>
      </c>
      <c r="BJ156" s="191">
        <v>42332</v>
      </c>
      <c r="BK156" s="192">
        <v>0.35499999999999998</v>
      </c>
      <c r="BN156" s="94">
        <v>42299</v>
      </c>
      <c r="BO156" s="95">
        <v>0.41399999999999998</v>
      </c>
      <c r="BP156" s="96">
        <v>8.64</v>
      </c>
    </row>
    <row r="157" spans="7:68" ht="15">
      <c r="G157" s="239"/>
      <c r="BH157" s="187">
        <v>42333</v>
      </c>
      <c r="BI157" s="180">
        <v>-3.1E-2</v>
      </c>
      <c r="BJ157" s="191">
        <v>42333</v>
      </c>
      <c r="BK157" s="192">
        <v>0.35499999999999998</v>
      </c>
      <c r="BN157" s="94">
        <v>42300</v>
      </c>
      <c r="BO157" s="95">
        <v>0.40799999999999997</v>
      </c>
      <c r="BP157" s="96">
        <v>8.64</v>
      </c>
    </row>
    <row r="158" spans="7:68" ht="15">
      <c r="G158" s="239"/>
      <c r="BH158" s="187">
        <v>42334</v>
      </c>
      <c r="BI158" s="180">
        <v>-3.9E-2</v>
      </c>
      <c r="BJ158" s="191">
        <v>42334</v>
      </c>
      <c r="BK158" s="192">
        <v>0.35299999999999998</v>
      </c>
      <c r="BN158" s="94">
        <v>42304</v>
      </c>
      <c r="BO158" s="95">
        <v>0.40100000000000002</v>
      </c>
      <c r="BP158" s="96">
        <v>8.6300000000000008</v>
      </c>
    </row>
    <row r="159" spans="7:68" ht="15">
      <c r="G159" s="239"/>
      <c r="BH159" s="187">
        <v>42335</v>
      </c>
      <c r="BI159" s="180">
        <v>-0.04</v>
      </c>
      <c r="BJ159" s="191">
        <v>42335</v>
      </c>
      <c r="BK159" s="192">
        <v>0.34899999999999998</v>
      </c>
      <c r="BN159" s="94">
        <v>42305</v>
      </c>
      <c r="BO159" s="95">
        <v>0.39400000000000002</v>
      </c>
      <c r="BP159" s="96">
        <v>8.6300000000000008</v>
      </c>
    </row>
    <row r="160" spans="7:68" ht="15">
      <c r="G160" s="239"/>
      <c r="BH160" s="187">
        <v>42338</v>
      </c>
      <c r="BI160" s="180">
        <v>-4.2999999999999997E-2</v>
      </c>
      <c r="BJ160" s="191">
        <v>42338</v>
      </c>
      <c r="BK160" s="192">
        <v>0.34499999999999997</v>
      </c>
      <c r="BN160" s="94">
        <v>42306</v>
      </c>
      <c r="BO160" s="95">
        <v>0.38800000000000001</v>
      </c>
      <c r="BP160" s="96">
        <v>8.6199999999999992</v>
      </c>
    </row>
    <row r="161" spans="7:68" ht="15">
      <c r="G161" s="239"/>
      <c r="BH161" s="187">
        <v>42339</v>
      </c>
      <c r="BI161" s="180">
        <v>-4.4999999999999998E-2</v>
      </c>
      <c r="BJ161" s="191">
        <v>42339</v>
      </c>
      <c r="BK161" s="192">
        <v>0.34100000000000003</v>
      </c>
      <c r="BN161" s="94">
        <v>42307</v>
      </c>
      <c r="BO161" s="95">
        <v>0.38400000000000001</v>
      </c>
      <c r="BP161" s="96">
        <v>8.6199999999999992</v>
      </c>
    </row>
    <row r="162" spans="7:68" ht="15">
      <c r="G162" s="239"/>
      <c r="BH162" s="187">
        <v>42340</v>
      </c>
      <c r="BI162" s="180">
        <v>-4.8000000000000001E-2</v>
      </c>
      <c r="BJ162" s="191">
        <v>42340</v>
      </c>
      <c r="BK162" s="192">
        <v>0.33600000000000002</v>
      </c>
      <c r="BN162" s="94">
        <v>42310</v>
      </c>
      <c r="BO162" s="95">
        <v>0.38300000000000001</v>
      </c>
      <c r="BP162" s="96">
        <v>8.61</v>
      </c>
    </row>
    <row r="163" spans="7:68" ht="15">
      <c r="G163" s="239"/>
      <c r="BH163" s="187">
        <v>42341</v>
      </c>
      <c r="BI163" s="180">
        <v>-5.0999999999999997E-2</v>
      </c>
      <c r="BJ163" s="191">
        <v>42341</v>
      </c>
      <c r="BK163" s="192">
        <v>0.33200000000000002</v>
      </c>
      <c r="BN163" s="94">
        <v>42311</v>
      </c>
      <c r="BO163" s="95">
        <v>0.38200000000000001</v>
      </c>
      <c r="BP163" s="96">
        <v>8.61</v>
      </c>
    </row>
    <row r="164" spans="7:68" ht="15">
      <c r="G164" s="239"/>
      <c r="BH164" s="187">
        <v>42342</v>
      </c>
      <c r="BI164" s="180">
        <v>-0.03</v>
      </c>
      <c r="BJ164" s="191">
        <v>42342</v>
      </c>
      <c r="BK164" s="192">
        <v>0.33400000000000002</v>
      </c>
      <c r="BN164" s="94">
        <v>42312</v>
      </c>
      <c r="BO164" s="95">
        <v>0.379</v>
      </c>
      <c r="BP164" s="96">
        <v>8.61</v>
      </c>
    </row>
    <row r="165" spans="7:68" ht="15">
      <c r="G165" s="239"/>
      <c r="BH165" s="187">
        <v>42345</v>
      </c>
      <c r="BI165" s="180">
        <v>-3.1E-2</v>
      </c>
      <c r="BJ165" s="191">
        <v>42345</v>
      </c>
      <c r="BK165" s="192">
        <v>0.33100000000000002</v>
      </c>
      <c r="BN165" s="94">
        <v>42313</v>
      </c>
      <c r="BO165" s="95">
        <v>0.38200000000000001</v>
      </c>
      <c r="BP165" s="96">
        <v>8.64</v>
      </c>
    </row>
    <row r="166" spans="7:68" ht="15">
      <c r="G166" s="239"/>
      <c r="BH166" s="187">
        <v>42346</v>
      </c>
      <c r="BI166" s="180">
        <v>-3.3000000000000002E-2</v>
      </c>
      <c r="BJ166" s="191"/>
      <c r="BK166" s="193">
        <f>+BK165</f>
        <v>0.33100000000000002</v>
      </c>
      <c r="BN166" s="94">
        <v>42314</v>
      </c>
      <c r="BO166" s="95">
        <v>0.38200000000000001</v>
      </c>
      <c r="BP166" s="96">
        <v>8.64</v>
      </c>
    </row>
    <row r="167" spans="7:68" ht="15">
      <c r="G167" s="239"/>
      <c r="BH167" s="187">
        <v>42347</v>
      </c>
      <c r="BI167" s="180">
        <v>-3.4000000000000002E-2</v>
      </c>
      <c r="BJ167" s="191">
        <v>42347</v>
      </c>
      <c r="BK167" s="192">
        <v>0.32900000000000001</v>
      </c>
      <c r="BN167" s="94">
        <v>42317</v>
      </c>
      <c r="BO167" s="95">
        <v>0.38200000000000001</v>
      </c>
      <c r="BP167" s="96">
        <v>8.6300000000000008</v>
      </c>
    </row>
    <row r="168" spans="7:68" ht="15">
      <c r="G168" s="239"/>
      <c r="BH168" s="187">
        <v>42348</v>
      </c>
      <c r="BI168" s="180">
        <v>-3.5999999999999997E-2</v>
      </c>
      <c r="BJ168" s="191">
        <v>42348</v>
      </c>
      <c r="BK168" s="192">
        <v>0.32700000000000001</v>
      </c>
      <c r="BN168" s="94">
        <v>42318</v>
      </c>
      <c r="BO168" s="95">
        <v>0.38100000000000001</v>
      </c>
      <c r="BP168" s="96">
        <v>8.6300000000000008</v>
      </c>
    </row>
    <row r="169" spans="7:68" ht="15">
      <c r="G169" s="239"/>
      <c r="BH169" s="187">
        <v>42349</v>
      </c>
      <c r="BI169" s="180">
        <v>-3.7999999999999999E-2</v>
      </c>
      <c r="BJ169" s="191">
        <v>42349</v>
      </c>
      <c r="BK169" s="192">
        <v>0.32500000000000001</v>
      </c>
      <c r="BN169" s="94">
        <v>42319</v>
      </c>
      <c r="BO169" s="95">
        <v>0.38</v>
      </c>
      <c r="BP169" s="96">
        <v>8.6300000000000008</v>
      </c>
    </row>
    <row r="170" spans="7:68" ht="15">
      <c r="G170" s="239"/>
      <c r="BH170" s="187">
        <v>42352</v>
      </c>
      <c r="BI170" s="180">
        <v>-3.9E-2</v>
      </c>
      <c r="BJ170" s="191">
        <v>42352</v>
      </c>
      <c r="BK170" s="192">
        <v>0.32400000000000001</v>
      </c>
      <c r="BN170" s="94">
        <v>42320</v>
      </c>
      <c r="BO170" s="95">
        <v>0.379</v>
      </c>
      <c r="BP170" s="96">
        <v>8.6199999999999992</v>
      </c>
    </row>
    <row r="171" spans="7:68" ht="15">
      <c r="G171" s="239"/>
      <c r="BH171" s="187">
        <v>42353</v>
      </c>
      <c r="BI171" s="180">
        <v>-4.1000000000000002E-2</v>
      </c>
      <c r="BJ171" s="191">
        <v>42353</v>
      </c>
      <c r="BK171" s="192">
        <v>0.32600000000000001</v>
      </c>
      <c r="BN171" s="94">
        <v>42321</v>
      </c>
      <c r="BO171" s="95">
        <v>0.378</v>
      </c>
      <c r="BP171" s="96">
        <v>8.6199999999999992</v>
      </c>
    </row>
    <row r="172" spans="7:68" ht="15">
      <c r="G172" s="239"/>
      <c r="BH172" s="187">
        <v>42354</v>
      </c>
      <c r="BI172" s="180">
        <v>-4.1000000000000002E-2</v>
      </c>
      <c r="BJ172" s="191">
        <v>42354</v>
      </c>
      <c r="BK172" s="192">
        <v>0.33</v>
      </c>
      <c r="BN172" s="94">
        <v>42324</v>
      </c>
      <c r="BO172" s="95">
        <v>0.375</v>
      </c>
      <c r="BP172" s="96">
        <v>8.61</v>
      </c>
    </row>
    <row r="173" spans="7:68" ht="15">
      <c r="G173" s="239"/>
      <c r="BH173" s="187">
        <v>42355</v>
      </c>
      <c r="BI173" s="180">
        <v>-4.1000000000000002E-2</v>
      </c>
      <c r="BJ173" s="191">
        <v>42355</v>
      </c>
      <c r="BK173" s="192">
        <v>0.33400000000000002</v>
      </c>
      <c r="BN173" s="94">
        <v>42325</v>
      </c>
      <c r="BO173" s="95">
        <v>0.372</v>
      </c>
      <c r="BP173" s="96">
        <v>8.61</v>
      </c>
    </row>
    <row r="174" spans="7:68" ht="15">
      <c r="G174" s="239"/>
      <c r="BH174" s="187">
        <v>42356</v>
      </c>
      <c r="BI174" s="180">
        <v>-4.1000000000000002E-2</v>
      </c>
      <c r="BJ174" s="191">
        <v>42356</v>
      </c>
      <c r="BK174" s="192">
        <v>0.33500000000000002</v>
      </c>
      <c r="BN174" s="94">
        <v>42326</v>
      </c>
      <c r="BO174" s="95">
        <v>0.36599999999999999</v>
      </c>
      <c r="BP174" s="96">
        <v>8.61</v>
      </c>
    </row>
    <row r="175" spans="7:68" ht="15">
      <c r="G175" s="239"/>
      <c r="BH175" s="187">
        <v>42359</v>
      </c>
      <c r="BI175" s="180">
        <v>-4.1000000000000002E-2</v>
      </c>
      <c r="BJ175" s="191">
        <v>42359</v>
      </c>
      <c r="BK175" s="192">
        <v>0.33700000000000002</v>
      </c>
      <c r="BN175" s="94">
        <v>42327</v>
      </c>
      <c r="BO175" s="95">
        <v>0.36</v>
      </c>
      <c r="BP175" s="96">
        <v>8.6</v>
      </c>
    </row>
    <row r="176" spans="7:68" ht="15">
      <c r="G176" s="239"/>
      <c r="BH176" s="187">
        <v>42360</v>
      </c>
      <c r="BI176" s="180">
        <v>-4.1000000000000002E-2</v>
      </c>
      <c r="BJ176" s="191">
        <v>42360</v>
      </c>
      <c r="BK176" s="192">
        <v>0.33900000000000002</v>
      </c>
      <c r="BN176" s="94">
        <v>42328</v>
      </c>
      <c r="BO176" s="95">
        <v>0.35699999999999998</v>
      </c>
      <c r="BP176" s="96">
        <v>8.6</v>
      </c>
    </row>
    <row r="177" spans="7:68" ht="15">
      <c r="G177" s="239"/>
      <c r="BH177" s="187">
        <v>42361</v>
      </c>
      <c r="BI177" s="180">
        <v>-4.1000000000000002E-2</v>
      </c>
      <c r="BJ177" s="191">
        <v>42361</v>
      </c>
      <c r="BK177" s="192">
        <v>0.34399999999999997</v>
      </c>
      <c r="BN177" s="94">
        <v>42331</v>
      </c>
      <c r="BO177" s="95">
        <v>0.35499999999999998</v>
      </c>
      <c r="BP177" s="96">
        <v>8.59</v>
      </c>
    </row>
    <row r="178" spans="7:68" ht="15">
      <c r="G178" s="239"/>
      <c r="BH178" s="187">
        <v>42362</v>
      </c>
      <c r="BI178" s="180">
        <v>-0.04</v>
      </c>
      <c r="BJ178" s="191"/>
      <c r="BK178" s="193">
        <f>+BK177</f>
        <v>0.34399999999999997</v>
      </c>
      <c r="BN178" s="94">
        <v>42332</v>
      </c>
      <c r="BO178" s="95">
        <v>0.35499999999999998</v>
      </c>
      <c r="BP178" s="96">
        <v>8.59</v>
      </c>
    </row>
    <row r="179" spans="7:68" ht="15">
      <c r="G179" s="239"/>
      <c r="BH179" s="187">
        <v>42363</v>
      </c>
      <c r="BI179" s="180">
        <v>-0.04</v>
      </c>
      <c r="BJ179" s="191"/>
      <c r="BK179" s="193">
        <f>+BK178</f>
        <v>0.34399999999999997</v>
      </c>
      <c r="BN179" s="94">
        <v>42333</v>
      </c>
      <c r="BO179" s="95">
        <v>0.35499999999999998</v>
      </c>
      <c r="BP179" s="96">
        <v>8.59</v>
      </c>
    </row>
    <row r="180" spans="7:68" ht="15">
      <c r="G180" s="239"/>
      <c r="BH180" s="187">
        <v>42366</v>
      </c>
      <c r="BI180" s="180">
        <v>-0.04</v>
      </c>
      <c r="BJ180" s="191">
        <v>42366</v>
      </c>
      <c r="BK180" s="192">
        <v>0.34799999999999998</v>
      </c>
      <c r="BN180" s="94">
        <v>42334</v>
      </c>
      <c r="BO180" s="95">
        <v>0.35299999999999998</v>
      </c>
      <c r="BP180" s="96">
        <v>8.58</v>
      </c>
    </row>
    <row r="181" spans="7:68" ht="15">
      <c r="G181" s="239"/>
      <c r="BH181" s="187">
        <v>42367</v>
      </c>
      <c r="BI181" s="180">
        <v>-4.2000000000000003E-2</v>
      </c>
      <c r="BJ181" s="191">
        <v>42367</v>
      </c>
      <c r="BK181" s="192">
        <v>0.35399999999999998</v>
      </c>
      <c r="BN181" s="94">
        <v>42335</v>
      </c>
      <c r="BO181" s="95">
        <v>0.34899999999999998</v>
      </c>
      <c r="BP181" s="96">
        <v>8.58</v>
      </c>
    </row>
    <row r="182" spans="7:68" ht="15">
      <c r="G182" s="239"/>
      <c r="BH182" s="187">
        <v>42368</v>
      </c>
      <c r="BI182" s="180">
        <v>-4.1000000000000002E-2</v>
      </c>
      <c r="BJ182" s="191">
        <v>42368</v>
      </c>
      <c r="BK182" s="192">
        <v>0.36099999999999999</v>
      </c>
      <c r="BN182" s="94">
        <v>42338</v>
      </c>
      <c r="BO182" s="95">
        <v>0.34499999999999997</v>
      </c>
      <c r="BP182" s="96">
        <v>8.57</v>
      </c>
    </row>
    <row r="183" spans="7:68" ht="15">
      <c r="G183" s="239"/>
      <c r="BH183" s="187">
        <v>42369</v>
      </c>
      <c r="BI183" s="180">
        <v>-0.04</v>
      </c>
      <c r="BJ183" s="191">
        <v>42369</v>
      </c>
      <c r="BK183" s="192">
        <v>0.36499999999999999</v>
      </c>
      <c r="BN183" s="94">
        <v>42339</v>
      </c>
      <c r="BO183" s="95">
        <v>0.34100000000000003</v>
      </c>
      <c r="BP183" s="96">
        <v>8.57</v>
      </c>
    </row>
    <row r="184" spans="7:68" ht="15">
      <c r="G184" s="239"/>
      <c r="BH184" s="187">
        <v>42370</v>
      </c>
      <c r="BI184" s="180">
        <v>-0.04</v>
      </c>
      <c r="BJ184" s="191"/>
      <c r="BK184" s="193">
        <f>+BK183</f>
        <v>0.36499999999999999</v>
      </c>
      <c r="BN184" s="94">
        <v>42340</v>
      </c>
      <c r="BO184" s="95">
        <v>0.33600000000000002</v>
      </c>
      <c r="BP184" s="96">
        <v>8.57</v>
      </c>
    </row>
    <row r="185" spans="7:68" ht="15">
      <c r="G185" s="239"/>
      <c r="BH185" s="187">
        <v>42373</v>
      </c>
      <c r="BI185" s="180">
        <v>-4.1000000000000002E-2</v>
      </c>
      <c r="BJ185" s="191">
        <v>42373</v>
      </c>
      <c r="BK185" s="192">
        <v>0.36799999999999999</v>
      </c>
      <c r="BN185" s="94">
        <v>42341</v>
      </c>
      <c r="BO185" s="95">
        <v>0.33200000000000002</v>
      </c>
      <c r="BP185" s="96">
        <v>8.57</v>
      </c>
    </row>
    <row r="186" spans="7:68" ht="15">
      <c r="G186" s="239"/>
      <c r="BH186" s="187">
        <v>42374</v>
      </c>
      <c r="BI186" s="180">
        <v>-4.1000000000000002E-2</v>
      </c>
      <c r="BJ186" s="191">
        <v>42374</v>
      </c>
      <c r="BK186" s="192">
        <v>0.373</v>
      </c>
      <c r="BN186" s="94">
        <v>42342</v>
      </c>
      <c r="BO186" s="95">
        <v>0.33400000000000002</v>
      </c>
      <c r="BP186" s="96">
        <v>8.56</v>
      </c>
    </row>
    <row r="187" spans="7:68" ht="15">
      <c r="G187" s="239"/>
      <c r="BH187" s="187">
        <v>42375</v>
      </c>
      <c r="BI187" s="180">
        <v>-4.3999999999999997E-2</v>
      </c>
      <c r="BJ187" s="191"/>
      <c r="BK187" s="193">
        <f>+BK186</f>
        <v>0.373</v>
      </c>
      <c r="BN187" s="94">
        <v>42345</v>
      </c>
      <c r="BO187" s="95">
        <v>0.33100000000000002</v>
      </c>
      <c r="BP187" s="96">
        <v>8.5500000000000007</v>
      </c>
    </row>
    <row r="188" spans="7:68" ht="15">
      <c r="G188" s="239"/>
      <c r="BH188" s="187">
        <v>42376</v>
      </c>
      <c r="BI188" s="180">
        <v>-0.05</v>
      </c>
      <c r="BJ188" s="191">
        <v>42376</v>
      </c>
      <c r="BK188" s="192">
        <v>0.373</v>
      </c>
      <c r="BN188" s="94">
        <v>42347</v>
      </c>
      <c r="BO188" s="95">
        <v>0.32900000000000001</v>
      </c>
      <c r="BP188" s="96">
        <v>8.5500000000000007</v>
      </c>
    </row>
    <row r="189" spans="7:68" ht="15">
      <c r="G189" s="239"/>
      <c r="BH189" s="187">
        <v>42377</v>
      </c>
      <c r="BI189" s="180">
        <v>-5.0999999999999997E-2</v>
      </c>
      <c r="BJ189" s="191">
        <v>42377</v>
      </c>
      <c r="BK189" s="192">
        <v>0.36899999999999999</v>
      </c>
      <c r="BN189" s="94">
        <v>42348</v>
      </c>
      <c r="BO189" s="95">
        <v>0.32700000000000001</v>
      </c>
      <c r="BP189" s="96">
        <v>8.5500000000000007</v>
      </c>
    </row>
    <row r="190" spans="7:68" ht="15">
      <c r="G190" s="239"/>
      <c r="BH190" s="187">
        <v>42380</v>
      </c>
      <c r="BI190" s="180">
        <v>-5.1999999999999998E-2</v>
      </c>
      <c r="BJ190" s="191">
        <v>42380</v>
      </c>
      <c r="BK190" s="192">
        <v>0.36599999999999999</v>
      </c>
      <c r="BN190" s="94">
        <v>42349</v>
      </c>
      <c r="BO190" s="95">
        <v>0.32500000000000001</v>
      </c>
      <c r="BP190" s="96">
        <v>8.5399999999999991</v>
      </c>
    </row>
    <row r="191" spans="7:68" ht="15">
      <c r="G191" s="239"/>
      <c r="BH191" s="187">
        <v>42381</v>
      </c>
      <c r="BI191" s="180">
        <v>-5.2999999999999999E-2</v>
      </c>
      <c r="BJ191" s="191">
        <v>42381</v>
      </c>
      <c r="BK191" s="192">
        <v>0.36699999999999999</v>
      </c>
      <c r="BN191" s="94">
        <v>42352</v>
      </c>
      <c r="BO191" s="95">
        <v>0.32400000000000001</v>
      </c>
      <c r="BP191" s="96">
        <v>8.5399999999999991</v>
      </c>
    </row>
    <row r="192" spans="7:68" ht="15">
      <c r="G192" s="239"/>
      <c r="BH192" s="187">
        <v>42382</v>
      </c>
      <c r="BI192" s="180">
        <v>-5.3999999999999999E-2</v>
      </c>
      <c r="BJ192" s="191">
        <v>42382</v>
      </c>
      <c r="BK192" s="192">
        <v>0.36599999999999999</v>
      </c>
      <c r="BN192" s="94">
        <v>42353</v>
      </c>
      <c r="BO192" s="95">
        <v>0.32600000000000001</v>
      </c>
      <c r="BP192" s="96">
        <v>8.5299999999999994</v>
      </c>
    </row>
    <row r="193" spans="7:68" ht="15">
      <c r="G193" s="239"/>
      <c r="BH193" s="187">
        <v>42383</v>
      </c>
      <c r="BI193" s="180">
        <v>-5.2999999999999999E-2</v>
      </c>
      <c r="BJ193" s="191">
        <v>42383</v>
      </c>
      <c r="BK193" s="192">
        <v>0.372</v>
      </c>
      <c r="BN193" s="94">
        <v>42354</v>
      </c>
      <c r="BO193" s="95">
        <v>0.33</v>
      </c>
      <c r="BP193" s="96">
        <v>8.5299999999999994</v>
      </c>
    </row>
    <row r="194" spans="7:68" ht="15">
      <c r="G194" s="239"/>
      <c r="BH194" s="187">
        <v>42384</v>
      </c>
      <c r="BI194" s="180">
        <v>-5.3999999999999999E-2</v>
      </c>
      <c r="BJ194" s="191">
        <v>42384</v>
      </c>
      <c r="BK194" s="192">
        <v>0.371</v>
      </c>
      <c r="BN194" s="94">
        <v>42355</v>
      </c>
      <c r="BO194" s="95">
        <v>0.33400000000000002</v>
      </c>
      <c r="BP194" s="96">
        <v>8.5299999999999994</v>
      </c>
    </row>
    <row r="195" spans="7:68" ht="15">
      <c r="G195" s="239"/>
      <c r="BH195" s="187">
        <v>42387</v>
      </c>
      <c r="BI195" s="180">
        <v>-5.3999999999999999E-2</v>
      </c>
      <c r="BJ195" s="191">
        <v>42387</v>
      </c>
      <c r="BK195" s="192">
        <v>0.36699999999999999</v>
      </c>
      <c r="BN195" s="94">
        <v>42356</v>
      </c>
      <c r="BO195" s="95">
        <v>0.33500000000000002</v>
      </c>
      <c r="BP195" s="96">
        <v>8.52</v>
      </c>
    </row>
    <row r="196" spans="7:68" ht="15">
      <c r="G196" s="239"/>
      <c r="BH196" s="187">
        <v>42388</v>
      </c>
      <c r="BI196" s="180">
        <v>-5.6000000000000001E-2</v>
      </c>
      <c r="BJ196" s="191">
        <v>42388</v>
      </c>
      <c r="BK196" s="192">
        <v>0.36299999999999999</v>
      </c>
      <c r="BN196" s="94">
        <v>42359</v>
      </c>
      <c r="BO196" s="95">
        <v>0.33700000000000002</v>
      </c>
      <c r="BP196" s="96">
        <v>8.52</v>
      </c>
    </row>
    <row r="197" spans="7:68" ht="15">
      <c r="G197" s="239"/>
      <c r="BH197" s="187">
        <v>42389</v>
      </c>
      <c r="BI197" s="180">
        <v>-6.0999999999999999E-2</v>
      </c>
      <c r="BJ197" s="191">
        <v>42389</v>
      </c>
      <c r="BK197" s="192">
        <v>0.35899999999999999</v>
      </c>
      <c r="BN197" s="94">
        <v>42360</v>
      </c>
      <c r="BO197" s="95">
        <v>0.33900000000000002</v>
      </c>
      <c r="BP197" s="96">
        <v>8.51</v>
      </c>
    </row>
    <row r="198" spans="7:68" ht="15">
      <c r="G198" s="239"/>
      <c r="BH198" s="187">
        <v>42390</v>
      </c>
      <c r="BI198" s="180">
        <v>-6.5000000000000002E-2</v>
      </c>
      <c r="BJ198" s="191">
        <v>42390</v>
      </c>
      <c r="BK198" s="192">
        <v>0.35599999999999998</v>
      </c>
      <c r="BN198" s="94">
        <v>42361</v>
      </c>
      <c r="BO198" s="95">
        <v>0.34399999999999997</v>
      </c>
      <c r="BP198" s="96">
        <v>8.51</v>
      </c>
    </row>
    <row r="199" spans="7:68" ht="15">
      <c r="G199" s="239"/>
      <c r="BH199" s="187">
        <v>42391</v>
      </c>
      <c r="BI199" s="180">
        <v>-7.3999999999999996E-2</v>
      </c>
      <c r="BJ199" s="191">
        <v>42391</v>
      </c>
      <c r="BK199" s="192">
        <v>0.35299999999999998</v>
      </c>
      <c r="BN199" s="94">
        <v>42366</v>
      </c>
      <c r="BO199" s="95">
        <v>0.34799999999999998</v>
      </c>
      <c r="BP199" s="96">
        <v>8.5</v>
      </c>
    </row>
    <row r="200" spans="7:68" ht="15">
      <c r="G200" s="239"/>
      <c r="BH200" s="187">
        <v>42394</v>
      </c>
      <c r="BI200" s="180">
        <v>-7.6999999999999999E-2</v>
      </c>
      <c r="BJ200" s="191">
        <v>42394</v>
      </c>
      <c r="BK200" s="192">
        <v>0.34799999999999998</v>
      </c>
      <c r="BN200" s="94">
        <v>42367</v>
      </c>
      <c r="BO200" s="95">
        <v>0.35399999999999998</v>
      </c>
      <c r="BP200" s="96">
        <v>8.49</v>
      </c>
    </row>
    <row r="201" spans="7:68" ht="15">
      <c r="G201" s="239"/>
      <c r="BH201" s="187">
        <v>42395</v>
      </c>
      <c r="BI201" s="180">
        <v>-8.2000000000000003E-2</v>
      </c>
      <c r="BJ201" s="191">
        <v>42395</v>
      </c>
      <c r="BK201" s="192">
        <v>0.34</v>
      </c>
      <c r="BN201" s="94">
        <v>42368</v>
      </c>
      <c r="BO201" s="95">
        <v>0.36099999999999999</v>
      </c>
      <c r="BP201" s="96">
        <v>8.49</v>
      </c>
    </row>
    <row r="202" spans="7:68" ht="15">
      <c r="G202" s="239"/>
      <c r="BH202" s="187">
        <v>42396</v>
      </c>
      <c r="BI202" s="180">
        <v>-8.2000000000000003E-2</v>
      </c>
      <c r="BJ202" s="191">
        <v>42396</v>
      </c>
      <c r="BK202" s="192">
        <v>0.33200000000000002</v>
      </c>
      <c r="BN202" s="94">
        <v>42369</v>
      </c>
      <c r="BO202" s="95">
        <v>0.36499999999999999</v>
      </c>
      <c r="BP202" s="96">
        <v>8.49</v>
      </c>
    </row>
    <row r="203" spans="7:68" ht="15">
      <c r="G203" s="239"/>
      <c r="BH203" s="187">
        <v>42397</v>
      </c>
      <c r="BI203" s="180">
        <v>-8.3000000000000004E-2</v>
      </c>
      <c r="BJ203" s="191">
        <v>42397</v>
      </c>
      <c r="BK203" s="192">
        <v>0.32300000000000001</v>
      </c>
      <c r="BN203" s="94">
        <v>42373</v>
      </c>
      <c r="BO203" s="95">
        <v>0.36799999999999999</v>
      </c>
      <c r="BP203" s="96">
        <v>8.48</v>
      </c>
    </row>
    <row r="204" spans="7:68" ht="15">
      <c r="G204" s="239"/>
      <c r="BH204" s="187">
        <v>42398</v>
      </c>
      <c r="BI204" s="180">
        <v>-8.8999999999999996E-2</v>
      </c>
      <c r="BJ204" s="191">
        <v>42398</v>
      </c>
      <c r="BK204" s="192">
        <v>0.311</v>
      </c>
      <c r="BN204" s="94">
        <v>42374</v>
      </c>
      <c r="BO204" s="95">
        <v>0.373</v>
      </c>
      <c r="BP204" s="96">
        <v>8.4700000000000006</v>
      </c>
    </row>
    <row r="205" spans="7:68" ht="15">
      <c r="G205" s="239"/>
      <c r="BH205" s="187">
        <v>42401</v>
      </c>
      <c r="BI205" s="180">
        <v>-9.4E-2</v>
      </c>
      <c r="BJ205" s="191">
        <v>42401</v>
      </c>
      <c r="BK205" s="192">
        <v>0.30399999999999999</v>
      </c>
      <c r="BN205" s="94">
        <v>42376</v>
      </c>
      <c r="BO205" s="95">
        <v>0.373</v>
      </c>
      <c r="BP205" s="96">
        <v>8.4700000000000006</v>
      </c>
    </row>
    <row r="206" spans="7:68" ht="15">
      <c r="G206" s="239"/>
      <c r="BH206" s="187">
        <v>42402</v>
      </c>
      <c r="BI206" s="180">
        <v>-9.4E-2</v>
      </c>
      <c r="BJ206" s="191">
        <v>42402</v>
      </c>
      <c r="BK206" s="192">
        <v>0.29499999999999998</v>
      </c>
      <c r="BN206" s="94">
        <v>42377</v>
      </c>
      <c r="BO206" s="95">
        <v>0.36899999999999999</v>
      </c>
      <c r="BP206" s="96">
        <v>8.4700000000000006</v>
      </c>
    </row>
    <row r="207" spans="7:68" ht="15">
      <c r="G207" s="239"/>
      <c r="BH207" s="187">
        <v>42403</v>
      </c>
      <c r="BI207" s="180">
        <v>-9.6000000000000002E-2</v>
      </c>
      <c r="BJ207" s="191">
        <v>42403</v>
      </c>
      <c r="BK207" s="192">
        <v>0.28499999999999998</v>
      </c>
      <c r="BN207" s="94">
        <v>42380</v>
      </c>
      <c r="BO207" s="95">
        <v>0.36599999999999999</v>
      </c>
      <c r="BP207" s="96">
        <v>8.4600000000000009</v>
      </c>
    </row>
    <row r="208" spans="7:68" ht="15">
      <c r="G208" s="239"/>
      <c r="BH208" s="187">
        <v>42404</v>
      </c>
      <c r="BI208" s="180">
        <v>-0.10199999999999999</v>
      </c>
      <c r="BJ208" s="191">
        <v>42404</v>
      </c>
      <c r="BK208" s="192">
        <v>0.27600000000000002</v>
      </c>
      <c r="BN208" s="94">
        <v>42381</v>
      </c>
      <c r="BO208" s="95">
        <v>0.36699999999999999</v>
      </c>
      <c r="BP208" s="96">
        <v>8.4600000000000009</v>
      </c>
    </row>
    <row r="209" spans="7:68" ht="15">
      <c r="G209" s="239"/>
      <c r="BH209" s="187">
        <v>42405</v>
      </c>
      <c r="BI209" s="180">
        <v>-0.104</v>
      </c>
      <c r="BJ209" s="191">
        <v>42405</v>
      </c>
      <c r="BK209" s="192">
        <v>0.26600000000000001</v>
      </c>
      <c r="BN209" s="94">
        <v>42382</v>
      </c>
      <c r="BO209" s="95">
        <v>0.36599999999999999</v>
      </c>
      <c r="BP209" s="96">
        <v>8.4499999999999993</v>
      </c>
    </row>
    <row r="210" spans="7:68" ht="15">
      <c r="G210" s="239"/>
      <c r="BH210" s="187">
        <v>42408</v>
      </c>
      <c r="BI210" s="180">
        <v>-0.107</v>
      </c>
      <c r="BJ210" s="191">
        <v>42408</v>
      </c>
      <c r="BK210" s="192">
        <v>0.255</v>
      </c>
      <c r="BN210" s="94">
        <v>42383</v>
      </c>
      <c r="BO210" s="95">
        <v>0.372</v>
      </c>
      <c r="BP210" s="96">
        <v>8.48</v>
      </c>
    </row>
    <row r="211" spans="7:68" ht="15">
      <c r="G211" s="239"/>
      <c r="BH211" s="187">
        <v>42409</v>
      </c>
      <c r="BI211" s="180">
        <v>-0.109</v>
      </c>
      <c r="BJ211" s="191">
        <v>42409</v>
      </c>
      <c r="BK211" s="192">
        <v>0.24199999999999999</v>
      </c>
      <c r="BN211" s="94">
        <v>42384</v>
      </c>
      <c r="BO211" s="95">
        <v>0.371</v>
      </c>
      <c r="BP211" s="96">
        <v>8.48</v>
      </c>
    </row>
    <row r="212" spans="7:68" ht="15">
      <c r="G212" s="239"/>
      <c r="BH212" s="187">
        <v>42410</v>
      </c>
      <c r="BI212" s="180">
        <v>-0.111</v>
      </c>
      <c r="BJ212" s="191">
        <v>42410</v>
      </c>
      <c r="BK212" s="192">
        <v>0.23100000000000001</v>
      </c>
      <c r="BN212" s="94">
        <v>42387</v>
      </c>
      <c r="BO212" s="95">
        <v>0.36699999999999999</v>
      </c>
      <c r="BP212" s="96">
        <v>8.4700000000000006</v>
      </c>
    </row>
    <row r="213" spans="7:68" ht="15">
      <c r="G213" s="239"/>
      <c r="BH213" s="187">
        <v>42411</v>
      </c>
      <c r="BI213" s="180">
        <v>-0.112</v>
      </c>
      <c r="BJ213" s="191">
        <v>42411</v>
      </c>
      <c r="BK213" s="192">
        <v>0.223</v>
      </c>
      <c r="BN213" s="94">
        <v>42388</v>
      </c>
      <c r="BO213" s="95">
        <v>0.36299999999999999</v>
      </c>
      <c r="BP213" s="96">
        <v>8.4700000000000006</v>
      </c>
    </row>
    <row r="214" spans="7:68" ht="15">
      <c r="G214" s="239"/>
      <c r="BH214" s="187">
        <v>42412</v>
      </c>
      <c r="BI214" s="180">
        <v>-0.11600000000000001</v>
      </c>
      <c r="BJ214" s="191">
        <v>42412</v>
      </c>
      <c r="BK214" s="192">
        <v>0.214</v>
      </c>
      <c r="BN214" s="94">
        <v>42389</v>
      </c>
      <c r="BO214" s="95">
        <v>0.35899999999999999</v>
      </c>
      <c r="BP214" s="96">
        <v>8.4700000000000006</v>
      </c>
    </row>
    <row r="215" spans="7:68" ht="15">
      <c r="G215" s="239"/>
      <c r="BH215" s="187">
        <v>42415</v>
      </c>
      <c r="BI215" s="180">
        <v>-0.11600000000000001</v>
      </c>
      <c r="BJ215" s="191">
        <v>42415</v>
      </c>
      <c r="BK215" s="192">
        <v>0.20499999999999999</v>
      </c>
      <c r="BN215" s="94">
        <v>42390</v>
      </c>
      <c r="BO215" s="95">
        <v>0.35599999999999998</v>
      </c>
      <c r="BP215" s="96">
        <v>8.4600000000000009</v>
      </c>
    </row>
    <row r="216" spans="7:68" ht="15">
      <c r="G216" s="239"/>
      <c r="BH216" s="187">
        <v>42416</v>
      </c>
      <c r="BI216" s="180">
        <v>-0.12</v>
      </c>
      <c r="BJ216" s="191">
        <v>42416</v>
      </c>
      <c r="BK216" s="192">
        <v>0.19700000000000001</v>
      </c>
      <c r="BN216" s="94">
        <v>42391</v>
      </c>
      <c r="BO216" s="95">
        <v>0.35299999999999998</v>
      </c>
      <c r="BP216" s="96">
        <v>8.4600000000000009</v>
      </c>
    </row>
    <row r="217" spans="7:68" ht="15">
      <c r="G217" s="239"/>
      <c r="BH217" s="187">
        <v>42417</v>
      </c>
      <c r="BI217" s="180">
        <v>-0.121</v>
      </c>
      <c r="BJ217" s="191">
        <v>42417</v>
      </c>
      <c r="BK217" s="192">
        <v>0.191</v>
      </c>
      <c r="BN217" s="94">
        <v>42394</v>
      </c>
      <c r="BO217" s="95">
        <v>0.34799999999999998</v>
      </c>
      <c r="BP217" s="96">
        <v>8.4499999999999993</v>
      </c>
    </row>
    <row r="218" spans="7:68" ht="15">
      <c r="G218" s="239"/>
      <c r="BH218" s="187">
        <v>42418</v>
      </c>
      <c r="BI218" s="180">
        <v>-0.124</v>
      </c>
      <c r="BJ218" s="191">
        <v>42418</v>
      </c>
      <c r="BK218" s="192">
        <v>0.184</v>
      </c>
      <c r="BN218" s="94">
        <v>42395</v>
      </c>
      <c r="BO218" s="95">
        <v>0.34</v>
      </c>
      <c r="BP218" s="96">
        <v>8.4499999999999993</v>
      </c>
    </row>
    <row r="219" spans="7:68" ht="15">
      <c r="G219" s="239"/>
      <c r="BH219" s="187">
        <v>42419</v>
      </c>
      <c r="BI219" s="180">
        <v>-0.125</v>
      </c>
      <c r="BJ219" s="191">
        <v>42419</v>
      </c>
      <c r="BK219" s="192">
        <v>0.17599999999999999</v>
      </c>
      <c r="BN219" s="94">
        <v>42396</v>
      </c>
      <c r="BO219" s="95">
        <v>0.33200000000000002</v>
      </c>
      <c r="BP219" s="96">
        <v>8.4499999999999993</v>
      </c>
    </row>
    <row r="220" spans="7:68" ht="15">
      <c r="G220" s="239"/>
      <c r="BH220" s="187">
        <v>42422</v>
      </c>
      <c r="BI220" s="180">
        <v>-0.126</v>
      </c>
      <c r="BJ220" s="191">
        <v>42422</v>
      </c>
      <c r="BK220" s="192">
        <v>0.2</v>
      </c>
      <c r="BN220" s="94">
        <v>42397</v>
      </c>
      <c r="BO220" s="95">
        <v>0.32300000000000001</v>
      </c>
      <c r="BP220" s="96">
        <v>8.4499999999999993</v>
      </c>
    </row>
    <row r="221" spans="7:68" ht="15">
      <c r="G221" s="239"/>
      <c r="BH221" s="187">
        <v>42423</v>
      </c>
      <c r="BI221" s="180">
        <v>-0.125</v>
      </c>
      <c r="BJ221" s="191">
        <v>42423</v>
      </c>
      <c r="BK221" s="192">
        <v>0.21099999999999999</v>
      </c>
      <c r="BN221" s="94">
        <v>42398</v>
      </c>
      <c r="BO221" s="95">
        <v>0.311</v>
      </c>
      <c r="BP221" s="96">
        <v>8.44</v>
      </c>
    </row>
    <row r="222" spans="7:68" ht="15">
      <c r="G222" s="239"/>
      <c r="BH222" s="187">
        <v>42424</v>
      </c>
      <c r="BI222" s="180">
        <v>-0.128</v>
      </c>
      <c r="BJ222" s="191">
        <v>42424</v>
      </c>
      <c r="BK222" s="192">
        <v>0.20300000000000001</v>
      </c>
      <c r="BN222" s="94">
        <v>42401</v>
      </c>
      <c r="BO222" s="95">
        <v>0.30399999999999999</v>
      </c>
      <c r="BP222" s="96">
        <v>8.43</v>
      </c>
    </row>
    <row r="223" spans="7:68" ht="15">
      <c r="G223" s="239"/>
      <c r="BH223" s="187">
        <v>42425</v>
      </c>
      <c r="BI223" s="180">
        <v>-0.128</v>
      </c>
      <c r="BJ223" s="191">
        <v>42425</v>
      </c>
      <c r="BK223" s="192">
        <v>0.19500000000000001</v>
      </c>
      <c r="BN223" s="94">
        <v>42402</v>
      </c>
      <c r="BO223" s="95">
        <v>0.29499999999999998</v>
      </c>
      <c r="BP223" s="96">
        <v>8.43</v>
      </c>
    </row>
    <row r="224" spans="7:68" ht="15">
      <c r="G224" s="239"/>
      <c r="BH224" s="187">
        <v>42426</v>
      </c>
      <c r="BI224" s="180">
        <v>-0.129</v>
      </c>
      <c r="BJ224" s="191">
        <v>42426</v>
      </c>
      <c r="BK224" s="192">
        <v>0.19</v>
      </c>
      <c r="BN224" s="94">
        <v>42403</v>
      </c>
      <c r="BO224" s="95">
        <v>0.28499999999999998</v>
      </c>
      <c r="BP224" s="96">
        <v>8.43</v>
      </c>
    </row>
    <row r="225" spans="7:68" ht="15">
      <c r="G225" s="239"/>
      <c r="BH225" s="187">
        <v>42429</v>
      </c>
      <c r="BI225" s="180">
        <v>-0.13400000000000001</v>
      </c>
      <c r="BJ225" s="191">
        <v>42429</v>
      </c>
      <c r="BK225" s="192">
        <v>0.183</v>
      </c>
      <c r="BN225" s="94">
        <v>42404</v>
      </c>
      <c r="BO225" s="95">
        <v>0.27600000000000002</v>
      </c>
      <c r="BP225" s="96">
        <v>8.43</v>
      </c>
    </row>
    <row r="226" spans="7:68" ht="15">
      <c r="G226" s="239"/>
      <c r="BH226" s="187">
        <v>42430</v>
      </c>
      <c r="BI226" s="180">
        <v>-0.13500000000000001</v>
      </c>
      <c r="BJ226" s="191">
        <v>42430</v>
      </c>
      <c r="BK226" s="192">
        <v>0.17799999999999999</v>
      </c>
      <c r="BN226" s="94">
        <v>42405</v>
      </c>
      <c r="BO226" s="95">
        <v>0.26600000000000001</v>
      </c>
      <c r="BP226" s="96">
        <v>8.42</v>
      </c>
    </row>
    <row r="227" spans="7:68" ht="15">
      <c r="G227" s="239"/>
      <c r="BH227" s="187">
        <v>42431</v>
      </c>
      <c r="BI227" s="180">
        <v>-0.13400000000000001</v>
      </c>
      <c r="BJ227" s="191">
        <v>42431</v>
      </c>
      <c r="BK227" s="192">
        <v>0.17499999999999999</v>
      </c>
      <c r="BN227" s="94">
        <v>42408</v>
      </c>
      <c r="BO227" s="95">
        <v>0.255</v>
      </c>
      <c r="BP227" s="96">
        <v>8.42</v>
      </c>
    </row>
    <row r="228" spans="7:68" ht="15">
      <c r="G228" s="239"/>
      <c r="BH228" s="187">
        <v>42432</v>
      </c>
      <c r="BI228" s="180">
        <v>-0.13500000000000001</v>
      </c>
      <c r="BJ228" s="191">
        <v>42432</v>
      </c>
      <c r="BK228" s="192">
        <v>0.17199999999999999</v>
      </c>
      <c r="BN228" s="94">
        <v>42409</v>
      </c>
      <c r="BO228" s="95">
        <v>0.24199999999999999</v>
      </c>
      <c r="BP228" s="96">
        <v>8.41</v>
      </c>
    </row>
    <row r="229" spans="7:68" ht="15">
      <c r="G229" s="239"/>
      <c r="BH229" s="187">
        <v>42433</v>
      </c>
      <c r="BI229" s="180">
        <v>-0.13600000000000001</v>
      </c>
      <c r="BJ229" s="191">
        <v>42433</v>
      </c>
      <c r="BK229" s="192">
        <v>0.17</v>
      </c>
      <c r="BN229" s="94">
        <v>42410</v>
      </c>
      <c r="BO229" s="95">
        <v>0.23100000000000001</v>
      </c>
      <c r="BP229" s="96">
        <v>8.41</v>
      </c>
    </row>
    <row r="230" spans="7:68" ht="15">
      <c r="G230" s="239"/>
      <c r="BH230" s="187">
        <v>42436</v>
      </c>
      <c r="BI230" s="180">
        <v>-0.13600000000000001</v>
      </c>
      <c r="BJ230" s="191">
        <v>42436</v>
      </c>
      <c r="BK230" s="192">
        <v>0.16900000000000001</v>
      </c>
      <c r="BN230" s="94">
        <v>42411</v>
      </c>
      <c r="BO230" s="95">
        <v>0.223</v>
      </c>
      <c r="BP230" s="96">
        <v>8.4600000000000009</v>
      </c>
    </row>
    <row r="231" spans="7:68" ht="15">
      <c r="G231" s="239"/>
      <c r="BH231" s="187">
        <v>42437</v>
      </c>
      <c r="BI231" s="180">
        <v>-0.13800000000000001</v>
      </c>
      <c r="BJ231" s="191">
        <v>42437</v>
      </c>
      <c r="BK231" s="192">
        <v>0.16700000000000001</v>
      </c>
      <c r="BN231" s="94">
        <v>42412</v>
      </c>
      <c r="BO231" s="95">
        <v>0.214</v>
      </c>
      <c r="BP231" s="96">
        <v>8.4600000000000009</v>
      </c>
    </row>
    <row r="232" spans="7:68" ht="15">
      <c r="G232" s="239"/>
      <c r="BH232" s="187">
        <v>42438</v>
      </c>
      <c r="BI232" s="180">
        <v>-0.13900000000000001</v>
      </c>
      <c r="BJ232" s="191">
        <v>42438</v>
      </c>
      <c r="BK232" s="192">
        <v>0.16600000000000001</v>
      </c>
      <c r="BN232" s="94">
        <v>42415</v>
      </c>
      <c r="BO232" s="95">
        <v>0.20499999999999999</v>
      </c>
      <c r="BP232" s="96">
        <v>8.4499999999999993</v>
      </c>
    </row>
    <row r="233" spans="7:68" ht="15">
      <c r="G233" s="239"/>
      <c r="BH233" s="187">
        <v>42439</v>
      </c>
      <c r="BI233" s="180">
        <v>-0.14099999999999999</v>
      </c>
      <c r="BJ233" s="191">
        <v>42439</v>
      </c>
      <c r="BK233" s="192">
        <v>0.16700000000000001</v>
      </c>
      <c r="BN233" s="94">
        <v>42416</v>
      </c>
      <c r="BO233" s="95">
        <v>0.19700000000000001</v>
      </c>
      <c r="BP233" s="96">
        <v>8.4499999999999993</v>
      </c>
    </row>
    <row r="234" spans="7:68" ht="15">
      <c r="G234" s="239"/>
      <c r="BH234" s="187">
        <v>42440</v>
      </c>
      <c r="BI234" s="180">
        <v>-0.13100000000000001</v>
      </c>
      <c r="BJ234" s="191">
        <v>42440</v>
      </c>
      <c r="BK234" s="192">
        <v>0.16700000000000001</v>
      </c>
      <c r="BN234" s="94">
        <v>42417</v>
      </c>
      <c r="BO234" s="95">
        <v>0.191</v>
      </c>
      <c r="BP234" s="96">
        <v>8.44</v>
      </c>
    </row>
    <row r="235" spans="7:68" ht="15">
      <c r="G235" s="239"/>
      <c r="BH235" s="187">
        <v>42443</v>
      </c>
      <c r="BI235" s="180">
        <v>-0.13100000000000001</v>
      </c>
      <c r="BJ235" s="191">
        <v>42443</v>
      </c>
      <c r="BK235" s="192">
        <v>0.16500000000000001</v>
      </c>
      <c r="BN235" s="94">
        <v>42418</v>
      </c>
      <c r="BO235" s="95">
        <v>0.184</v>
      </c>
      <c r="BP235" s="96">
        <v>8.44</v>
      </c>
    </row>
    <row r="236" spans="7:68" ht="15">
      <c r="G236" s="239"/>
      <c r="BH236" s="187">
        <v>42444</v>
      </c>
      <c r="BI236" s="180">
        <v>-0.13</v>
      </c>
      <c r="BJ236" s="191">
        <v>42444</v>
      </c>
      <c r="BK236" s="192">
        <v>0.16400000000000001</v>
      </c>
      <c r="BN236" s="94">
        <v>42419</v>
      </c>
      <c r="BO236" s="95">
        <v>0.17599999999999999</v>
      </c>
      <c r="BP236" s="96">
        <v>8.44</v>
      </c>
    </row>
    <row r="237" spans="7:68" ht="15">
      <c r="G237" s="239"/>
      <c r="BH237" s="187">
        <v>42445</v>
      </c>
      <c r="BI237" s="180">
        <v>-0.129</v>
      </c>
      <c r="BJ237" s="191">
        <v>42445</v>
      </c>
      <c r="BK237" s="192">
        <v>0.16300000000000001</v>
      </c>
      <c r="BN237" s="94">
        <v>42422</v>
      </c>
      <c r="BO237" s="95">
        <v>0.2</v>
      </c>
      <c r="BP237" s="96">
        <v>8.85</v>
      </c>
    </row>
    <row r="238" spans="7:68" ht="15">
      <c r="G238" s="239"/>
      <c r="BH238" s="187">
        <v>42446</v>
      </c>
      <c r="BI238" s="180">
        <v>-0.13100000000000001</v>
      </c>
      <c r="BJ238" s="191">
        <v>42446</v>
      </c>
      <c r="BK238" s="192">
        <v>0.161</v>
      </c>
      <c r="BN238" s="94">
        <v>42423</v>
      </c>
      <c r="BO238" s="95">
        <v>0.21099999999999999</v>
      </c>
      <c r="BP238" s="96">
        <v>9.07</v>
      </c>
    </row>
    <row r="239" spans="7:68" ht="15">
      <c r="G239" s="239"/>
      <c r="BH239" s="187">
        <v>42447</v>
      </c>
      <c r="BI239" s="180">
        <v>-0.13100000000000001</v>
      </c>
      <c r="BJ239" s="191">
        <v>42447</v>
      </c>
      <c r="BK239" s="192">
        <v>0.159</v>
      </c>
      <c r="BN239" s="94">
        <v>42424</v>
      </c>
      <c r="BO239" s="95">
        <v>0.20300000000000001</v>
      </c>
      <c r="BP239" s="96">
        <v>9.07</v>
      </c>
    </row>
    <row r="240" spans="7:68" ht="15">
      <c r="G240" s="239"/>
      <c r="BH240" s="187">
        <v>42450</v>
      </c>
      <c r="BI240" s="180">
        <v>-0.13100000000000001</v>
      </c>
      <c r="BJ240" s="191">
        <v>42450</v>
      </c>
      <c r="BK240" s="192">
        <v>0.158</v>
      </c>
      <c r="BN240" s="94">
        <v>42425</v>
      </c>
      <c r="BO240" s="95">
        <v>0.19500000000000001</v>
      </c>
      <c r="BP240" s="96">
        <v>9.07</v>
      </c>
    </row>
    <row r="241" spans="7:68" ht="15">
      <c r="G241" s="239"/>
      <c r="BH241" s="187">
        <v>42451</v>
      </c>
      <c r="BI241" s="180">
        <v>-0.13200000000000001</v>
      </c>
      <c r="BJ241" s="191">
        <v>42451</v>
      </c>
      <c r="BK241" s="192">
        <v>0.156</v>
      </c>
      <c r="BN241" s="94">
        <v>42426</v>
      </c>
      <c r="BO241" s="95">
        <v>0.19</v>
      </c>
      <c r="BP241" s="96">
        <v>9.06</v>
      </c>
    </row>
    <row r="242" spans="7:68" ht="15">
      <c r="G242" s="239"/>
      <c r="BH242" s="187">
        <v>42452</v>
      </c>
      <c r="BI242" s="180">
        <v>-0.13300000000000001</v>
      </c>
      <c r="BJ242" s="191">
        <v>42452</v>
      </c>
      <c r="BK242" s="192">
        <v>0.157</v>
      </c>
      <c r="BN242" s="94">
        <v>42429</v>
      </c>
      <c r="BO242" s="95">
        <v>0.183</v>
      </c>
      <c r="BP242" s="96">
        <v>9.0500000000000007</v>
      </c>
    </row>
    <row r="243" spans="7:68" ht="15">
      <c r="G243" s="239"/>
      <c r="BH243" s="187">
        <v>42453</v>
      </c>
      <c r="BI243" s="180">
        <v>-0.13400000000000001</v>
      </c>
      <c r="BJ243" s="191">
        <v>42453</v>
      </c>
      <c r="BK243" s="192">
        <v>0.157</v>
      </c>
      <c r="BN243" s="94">
        <v>42430</v>
      </c>
      <c r="BO243" s="95">
        <v>0.17799999999999999</v>
      </c>
      <c r="BP243" s="96">
        <v>9.0500000000000007</v>
      </c>
    </row>
    <row r="244" spans="7:68" ht="15">
      <c r="G244" s="239"/>
      <c r="BH244" s="187">
        <v>42454</v>
      </c>
      <c r="BI244" s="180">
        <v>-0.13400000000000001</v>
      </c>
      <c r="BJ244" s="191">
        <v>42454</v>
      </c>
      <c r="BK244" s="192">
        <v>0.158</v>
      </c>
      <c r="BN244" s="94">
        <v>42431</v>
      </c>
      <c r="BO244" s="95">
        <v>0.17499999999999999</v>
      </c>
      <c r="BP244" s="96">
        <v>9.0500000000000007</v>
      </c>
    </row>
    <row r="245" spans="7:68" ht="15">
      <c r="G245" s="239"/>
      <c r="BH245" s="187">
        <v>42457</v>
      </c>
      <c r="BI245" s="180">
        <v>-0.13400000000000001</v>
      </c>
      <c r="BJ245" s="191"/>
      <c r="BK245" s="193">
        <f>+BK244</f>
        <v>0.158</v>
      </c>
      <c r="BN245" s="94">
        <v>42432</v>
      </c>
      <c r="BO245" s="95">
        <v>0.17199999999999999</v>
      </c>
      <c r="BP245" s="96">
        <v>9.0500000000000007</v>
      </c>
    </row>
    <row r="246" spans="7:68" ht="15">
      <c r="G246" s="239"/>
      <c r="BH246" s="187">
        <v>42458</v>
      </c>
      <c r="BI246" s="180">
        <v>-0.13400000000000001</v>
      </c>
      <c r="BJ246" s="191">
        <v>42458</v>
      </c>
      <c r="BK246" s="192">
        <v>0.158</v>
      </c>
      <c r="BN246" s="94">
        <v>42433</v>
      </c>
      <c r="BO246" s="95">
        <v>0.17</v>
      </c>
      <c r="BP246" s="96">
        <v>9.0399999999999991</v>
      </c>
    </row>
    <row r="247" spans="7:68" ht="15">
      <c r="G247" s="239"/>
      <c r="BH247" s="187">
        <v>42459</v>
      </c>
      <c r="BI247" s="180">
        <v>-0.13200000000000001</v>
      </c>
      <c r="BJ247" s="191">
        <v>42459</v>
      </c>
      <c r="BK247" s="192">
        <v>0.157</v>
      </c>
      <c r="BN247" s="94">
        <v>42436</v>
      </c>
      <c r="BO247" s="95">
        <v>0.16900000000000001</v>
      </c>
      <c r="BP247" s="96">
        <v>9.0399999999999991</v>
      </c>
    </row>
    <row r="248" spans="7:68" ht="15">
      <c r="G248" s="239"/>
      <c r="BH248" s="187">
        <v>42460</v>
      </c>
      <c r="BI248" s="180">
        <v>-0.13200000000000001</v>
      </c>
      <c r="BJ248" s="191">
        <v>42460</v>
      </c>
      <c r="BK248" s="192">
        <v>0.154</v>
      </c>
      <c r="BN248" s="94">
        <v>42437</v>
      </c>
      <c r="BO248" s="95">
        <v>0.16700000000000001</v>
      </c>
      <c r="BP248" s="96">
        <v>9.0299999999999994</v>
      </c>
    </row>
    <row r="249" spans="7:68" ht="15">
      <c r="G249" s="239"/>
      <c r="BH249" s="187">
        <v>42461</v>
      </c>
      <c r="BI249" s="180">
        <v>-0.13100000000000001</v>
      </c>
      <c r="BJ249" s="191">
        <v>42461</v>
      </c>
      <c r="BK249" s="192">
        <v>0.151</v>
      </c>
      <c r="BN249" s="94">
        <v>42438</v>
      </c>
      <c r="BO249" s="95">
        <v>0.16600000000000001</v>
      </c>
      <c r="BP249" s="96">
        <v>9.0299999999999994</v>
      </c>
    </row>
    <row r="250" spans="7:68" ht="15">
      <c r="G250" s="239"/>
      <c r="BH250" s="187">
        <v>42464</v>
      </c>
      <c r="BI250" s="180">
        <v>-0.13200000000000001</v>
      </c>
      <c r="BJ250" s="191">
        <v>42464</v>
      </c>
      <c r="BK250" s="192">
        <v>0.14599999999999999</v>
      </c>
      <c r="BN250" s="94">
        <v>42439</v>
      </c>
      <c r="BO250" s="95">
        <v>0.16700000000000001</v>
      </c>
      <c r="BP250" s="96">
        <v>9.02</v>
      </c>
    </row>
    <row r="251" spans="7:68" ht="15">
      <c r="G251" s="239"/>
      <c r="BH251" s="187">
        <v>42465</v>
      </c>
      <c r="BI251" s="180">
        <v>-0.13200000000000001</v>
      </c>
      <c r="BJ251" s="191">
        <v>42465</v>
      </c>
      <c r="BK251" s="192">
        <v>0.14000000000000001</v>
      </c>
      <c r="BN251" s="94">
        <v>42440</v>
      </c>
      <c r="BO251" s="95">
        <v>0.16700000000000001</v>
      </c>
      <c r="BP251" s="96">
        <v>9.02</v>
      </c>
    </row>
    <row r="252" spans="7:68" ht="15">
      <c r="G252" s="239"/>
      <c r="BH252" s="187">
        <v>42466</v>
      </c>
      <c r="BI252" s="180">
        <v>-0.13200000000000001</v>
      </c>
      <c r="BJ252" s="191">
        <v>42466</v>
      </c>
      <c r="BK252" s="192">
        <v>0.13700000000000001</v>
      </c>
      <c r="BN252" s="94">
        <v>42443</v>
      </c>
      <c r="BO252" s="95">
        <v>0.16500000000000001</v>
      </c>
      <c r="BP252" s="96">
        <v>9.01</v>
      </c>
    </row>
    <row r="253" spans="7:68" ht="15">
      <c r="G253" s="239"/>
      <c r="BH253" s="187">
        <v>42467</v>
      </c>
      <c r="BI253" s="180">
        <v>-0.13400000000000001</v>
      </c>
      <c r="BJ253" s="191">
        <v>42467</v>
      </c>
      <c r="BK253" s="192">
        <v>0.13500000000000001</v>
      </c>
      <c r="BN253" s="94">
        <v>42444</v>
      </c>
      <c r="BO253" s="95">
        <v>0.16400000000000001</v>
      </c>
      <c r="BP253" s="96">
        <v>9</v>
      </c>
    </row>
    <row r="254" spans="7:68" ht="15">
      <c r="G254" s="239"/>
      <c r="BH254" s="187">
        <v>42468</v>
      </c>
      <c r="BI254" s="180">
        <v>-0.13400000000000001</v>
      </c>
      <c r="BJ254" s="191">
        <v>42468</v>
      </c>
      <c r="BK254" s="192">
        <v>0.129</v>
      </c>
      <c r="BN254" s="94">
        <v>42445</v>
      </c>
      <c r="BO254" s="95">
        <v>0.16300000000000001</v>
      </c>
      <c r="BP254" s="96">
        <v>9</v>
      </c>
    </row>
    <row r="255" spans="7:68" ht="15">
      <c r="G255" s="239"/>
      <c r="BH255" s="187">
        <v>42471</v>
      </c>
      <c r="BI255" s="180">
        <v>-0.13300000000000001</v>
      </c>
      <c r="BJ255" s="191">
        <v>42471</v>
      </c>
      <c r="BK255" s="192">
        <v>0.122</v>
      </c>
      <c r="BN255" s="94">
        <v>42446</v>
      </c>
      <c r="BO255" s="95">
        <v>0.161</v>
      </c>
      <c r="BP255" s="96">
        <v>9</v>
      </c>
    </row>
    <row r="256" spans="7:68" ht="15">
      <c r="G256" s="239"/>
      <c r="BH256" s="187">
        <v>42472</v>
      </c>
      <c r="BI256" s="180">
        <v>-0.13600000000000001</v>
      </c>
      <c r="BJ256" s="191">
        <v>42472</v>
      </c>
      <c r="BK256" s="192">
        <v>0.11700000000000001</v>
      </c>
      <c r="BN256" s="94">
        <v>42447</v>
      </c>
      <c r="BO256" s="95">
        <v>0.159</v>
      </c>
      <c r="BP256" s="96">
        <v>9</v>
      </c>
    </row>
    <row r="257" spans="7:68" ht="15">
      <c r="G257" s="239"/>
      <c r="BH257" s="187">
        <v>42473</v>
      </c>
      <c r="BI257" s="180">
        <v>-0.13800000000000001</v>
      </c>
      <c r="BJ257" s="191">
        <v>42473</v>
      </c>
      <c r="BK257" s="192">
        <v>0.111</v>
      </c>
      <c r="BN257" s="94">
        <v>42450</v>
      </c>
      <c r="BO257" s="95">
        <v>0.158</v>
      </c>
      <c r="BP257" s="96">
        <v>8.99</v>
      </c>
    </row>
    <row r="258" spans="7:68" ht="15">
      <c r="G258" s="239"/>
      <c r="BH258" s="187">
        <v>42474</v>
      </c>
      <c r="BI258" s="180">
        <v>-0.13800000000000001</v>
      </c>
      <c r="BJ258" s="191">
        <v>42474</v>
      </c>
      <c r="BK258" s="192">
        <v>0.105</v>
      </c>
      <c r="BN258" s="94">
        <v>42451</v>
      </c>
      <c r="BO258" s="95">
        <v>0.156</v>
      </c>
      <c r="BP258" s="96">
        <v>8.99</v>
      </c>
    </row>
    <row r="259" spans="7:68" ht="15">
      <c r="G259" s="239"/>
      <c r="BH259" s="187">
        <v>42475</v>
      </c>
      <c r="BI259" s="180">
        <v>-0.14000000000000001</v>
      </c>
      <c r="BJ259" s="191">
        <v>42475</v>
      </c>
      <c r="BK259" s="192">
        <v>0.10100000000000001</v>
      </c>
      <c r="BN259" s="94">
        <v>42452</v>
      </c>
      <c r="BO259" s="95">
        <v>0.157</v>
      </c>
      <c r="BP259" s="96">
        <v>8.98</v>
      </c>
    </row>
    <row r="260" spans="7:68" ht="15">
      <c r="G260" s="239"/>
      <c r="BH260" s="187">
        <v>42478</v>
      </c>
      <c r="BI260" s="180">
        <v>-0.13900000000000001</v>
      </c>
      <c r="BJ260" s="191">
        <v>42478</v>
      </c>
      <c r="BK260" s="192">
        <v>9.7000000000000003E-2</v>
      </c>
      <c r="BN260" s="94">
        <v>42453</v>
      </c>
      <c r="BO260" s="95">
        <v>0.157</v>
      </c>
      <c r="BP260" s="96">
        <v>8.98</v>
      </c>
    </row>
    <row r="261" spans="7:68" ht="15">
      <c r="G261" s="239"/>
      <c r="BH261" s="187">
        <v>42479</v>
      </c>
      <c r="BI261" s="180">
        <v>-0.13900000000000001</v>
      </c>
      <c r="BJ261" s="191">
        <v>42479</v>
      </c>
      <c r="BK261" s="192">
        <v>9.6000000000000002E-2</v>
      </c>
      <c r="BN261" s="94">
        <v>42454</v>
      </c>
      <c r="BO261" s="95">
        <v>0.158</v>
      </c>
      <c r="BP261" s="96">
        <v>8.98</v>
      </c>
    </row>
    <row r="262" spans="7:68" ht="15">
      <c r="G262" s="239"/>
      <c r="BH262" s="187">
        <v>42480</v>
      </c>
      <c r="BI262" s="180">
        <v>-0.14099999999999999</v>
      </c>
      <c r="BJ262" s="191">
        <v>42480</v>
      </c>
      <c r="BK262" s="192">
        <v>9.2999999999999999E-2</v>
      </c>
      <c r="BN262" s="94">
        <v>42458</v>
      </c>
      <c r="BO262" s="95">
        <v>0.158</v>
      </c>
      <c r="BP262" s="96">
        <v>8.9700000000000006</v>
      </c>
    </row>
    <row r="263" spans="7:68" ht="15">
      <c r="G263" s="239"/>
      <c r="BH263" s="187">
        <v>42481</v>
      </c>
      <c r="BI263" s="180">
        <v>-0.14299999999999999</v>
      </c>
      <c r="BJ263" s="191">
        <v>42481</v>
      </c>
      <c r="BK263" s="192">
        <v>9.0999999999999998E-2</v>
      </c>
      <c r="BN263" s="94">
        <v>42459</v>
      </c>
      <c r="BO263" s="95">
        <v>0.157</v>
      </c>
      <c r="BP263" s="96">
        <v>8.9600000000000009</v>
      </c>
    </row>
    <row r="264" spans="7:68" ht="15">
      <c r="G264" s="239"/>
      <c r="BH264" s="187">
        <v>42482</v>
      </c>
      <c r="BI264" s="180">
        <v>-0.14299999999999999</v>
      </c>
      <c r="BJ264" s="191">
        <v>42482</v>
      </c>
      <c r="BK264" s="192">
        <v>9.1999999999999998E-2</v>
      </c>
      <c r="BN264" s="94">
        <v>42460</v>
      </c>
      <c r="BO264" s="95">
        <v>0.154</v>
      </c>
      <c r="BP264" s="96">
        <v>8.9600000000000009</v>
      </c>
    </row>
    <row r="265" spans="7:68" ht="15">
      <c r="G265" s="239"/>
      <c r="BH265" s="187">
        <v>42485</v>
      </c>
      <c r="BI265" s="180">
        <v>-0.14399999999999999</v>
      </c>
      <c r="BJ265" s="191">
        <v>42485</v>
      </c>
      <c r="BK265" s="192">
        <v>9.4E-2</v>
      </c>
      <c r="BN265" s="94">
        <v>42461</v>
      </c>
      <c r="BO265" s="95">
        <v>0.151</v>
      </c>
      <c r="BP265" s="96">
        <v>8.9600000000000009</v>
      </c>
    </row>
    <row r="266" spans="7:68" ht="15">
      <c r="G266" s="239"/>
      <c r="BH266" s="187">
        <v>42486</v>
      </c>
      <c r="BI266" s="180">
        <v>-0.14299999999999999</v>
      </c>
      <c r="BJ266" s="191">
        <v>42486</v>
      </c>
      <c r="BK266" s="192">
        <v>9.7000000000000003E-2</v>
      </c>
      <c r="BN266" s="94">
        <v>42464</v>
      </c>
      <c r="BO266" s="95">
        <v>0.14599999999999999</v>
      </c>
      <c r="BP266" s="96">
        <v>8.9499999999999993</v>
      </c>
    </row>
    <row r="267" spans="7:68" ht="15">
      <c r="G267" s="239"/>
      <c r="BH267" s="187">
        <v>42487</v>
      </c>
      <c r="BI267" s="180">
        <v>-0.14199999999999999</v>
      </c>
      <c r="BJ267" s="191">
        <v>42487</v>
      </c>
      <c r="BK267" s="192">
        <v>0.10100000000000001</v>
      </c>
      <c r="BN267" s="94">
        <v>42465</v>
      </c>
      <c r="BO267" s="95">
        <v>0.14000000000000001</v>
      </c>
      <c r="BP267" s="96">
        <v>8.9499999999999993</v>
      </c>
    </row>
    <row r="268" spans="7:68" ht="15">
      <c r="G268" s="239"/>
      <c r="BH268" s="187">
        <v>42488</v>
      </c>
      <c r="BI268" s="180">
        <v>-0.14199999999999999</v>
      </c>
      <c r="BJ268" s="191">
        <v>42488</v>
      </c>
      <c r="BK268" s="192">
        <v>0.10299999999999999</v>
      </c>
      <c r="BN268" s="94">
        <v>42466</v>
      </c>
      <c r="BO268" s="95">
        <v>0.13700000000000001</v>
      </c>
      <c r="BP268" s="96">
        <v>8.94</v>
      </c>
    </row>
    <row r="269" spans="7:68" ht="15">
      <c r="G269" s="239"/>
      <c r="BH269" s="187">
        <v>42489</v>
      </c>
      <c r="BI269" s="180">
        <v>-0.14099999999999999</v>
      </c>
      <c r="BJ269" s="191">
        <v>42489</v>
      </c>
      <c r="BK269" s="192">
        <v>0.107</v>
      </c>
      <c r="BN269" s="94">
        <v>42467</v>
      </c>
      <c r="BO269" s="95">
        <v>0.13500000000000001</v>
      </c>
      <c r="BP269" s="96">
        <v>9.01</v>
      </c>
    </row>
    <row r="270" spans="7:68" ht="15">
      <c r="G270" s="239"/>
      <c r="BH270" s="187">
        <v>42492</v>
      </c>
      <c r="BI270" s="180">
        <v>-0.14099999999999999</v>
      </c>
      <c r="BJ270" s="191">
        <v>42492</v>
      </c>
      <c r="BK270" s="192">
        <v>0.111</v>
      </c>
      <c r="BL270" s="111">
        <f>+(BI270+BK270)/2+0.37</f>
        <v>0.35499999999999998</v>
      </c>
      <c r="BN270" s="94">
        <v>42468</v>
      </c>
      <c r="BO270" s="95">
        <v>0.129</v>
      </c>
      <c r="BP270" s="96">
        <v>9</v>
      </c>
    </row>
    <row r="271" spans="7:68" ht="15">
      <c r="G271" s="239"/>
      <c r="BH271" s="187">
        <v>42493</v>
      </c>
      <c r="BI271" s="180">
        <v>-0.14199999999999999</v>
      </c>
      <c r="BJ271" s="191">
        <v>42493</v>
      </c>
      <c r="BK271" s="192">
        <v>0.11600000000000001</v>
      </c>
      <c r="BN271" s="94">
        <v>42471</v>
      </c>
      <c r="BO271" s="95">
        <v>0.122</v>
      </c>
      <c r="BP271" s="96">
        <v>9</v>
      </c>
    </row>
    <row r="272" spans="7:68" ht="15">
      <c r="G272" s="239"/>
      <c r="BH272" s="187">
        <v>42494</v>
      </c>
      <c r="BI272" s="180">
        <v>-0.14199999999999999</v>
      </c>
      <c r="BJ272" s="191">
        <v>42494</v>
      </c>
      <c r="BK272" s="192">
        <v>0.11899999999999999</v>
      </c>
      <c r="BN272" s="94">
        <v>42472</v>
      </c>
      <c r="BO272" s="95">
        <v>0.11700000000000001</v>
      </c>
      <c r="BP272" s="96">
        <v>8.99</v>
      </c>
    </row>
    <row r="273" spans="7:68" ht="15">
      <c r="G273" s="239"/>
      <c r="BH273" s="187">
        <v>42495</v>
      </c>
      <c r="BI273" s="180">
        <v>-0.14399999999999999</v>
      </c>
      <c r="BJ273" s="191"/>
      <c r="BK273" s="193">
        <f>+BK272</f>
        <v>0.11899999999999999</v>
      </c>
      <c r="BN273" s="94">
        <v>42473</v>
      </c>
      <c r="BO273" s="95">
        <v>0.111</v>
      </c>
      <c r="BP273" s="96">
        <v>8.99</v>
      </c>
    </row>
    <row r="274" spans="7:68" ht="15">
      <c r="G274" s="239"/>
      <c r="BH274" s="187">
        <v>42496</v>
      </c>
      <c r="BI274" s="180">
        <v>-0.14399999999999999</v>
      </c>
      <c r="BJ274" s="191">
        <v>42496</v>
      </c>
      <c r="BK274" s="192">
        <v>0.121</v>
      </c>
      <c r="BN274" s="94">
        <v>42474</v>
      </c>
      <c r="BO274" s="95">
        <v>0.105</v>
      </c>
      <c r="BP274" s="96">
        <v>8.99</v>
      </c>
    </row>
    <row r="275" spans="7:68" ht="15">
      <c r="G275" s="239"/>
      <c r="BH275" s="187">
        <v>42499</v>
      </c>
      <c r="BI275" s="180">
        <v>-0.14299999999999999</v>
      </c>
      <c r="BJ275" s="191">
        <v>42499</v>
      </c>
      <c r="BK275" s="192">
        <v>0.123</v>
      </c>
      <c r="BN275" s="94">
        <v>42475</v>
      </c>
      <c r="BO275" s="95">
        <v>0.10100000000000001</v>
      </c>
      <c r="BP275" s="96">
        <v>8.99</v>
      </c>
    </row>
    <row r="276" spans="7:68" ht="15">
      <c r="G276" s="239"/>
      <c r="BH276" s="187">
        <v>42500</v>
      </c>
      <c r="BI276" s="180">
        <v>-0.14399999999999999</v>
      </c>
      <c r="BJ276" s="191">
        <v>42500</v>
      </c>
      <c r="BK276" s="192">
        <v>0.124</v>
      </c>
      <c r="BN276" s="94">
        <v>42478</v>
      </c>
      <c r="BO276" s="95">
        <v>9.7000000000000003E-2</v>
      </c>
      <c r="BP276" s="96">
        <v>8.98</v>
      </c>
    </row>
    <row r="277" spans="7:68" ht="15">
      <c r="G277" s="239"/>
      <c r="BH277" s="187">
        <v>42501</v>
      </c>
      <c r="BI277" s="180">
        <v>-0.14399999999999999</v>
      </c>
      <c r="BJ277" s="191">
        <v>42501</v>
      </c>
      <c r="BK277" s="192">
        <v>0.123</v>
      </c>
      <c r="BN277" s="94">
        <v>42479</v>
      </c>
      <c r="BO277" s="95">
        <v>9.6000000000000002E-2</v>
      </c>
      <c r="BP277" s="96">
        <v>8.9700000000000006</v>
      </c>
    </row>
    <row r="278" spans="7:68" ht="15">
      <c r="G278" s="239"/>
      <c r="BH278" s="187">
        <v>42502</v>
      </c>
      <c r="BI278" s="180">
        <v>-0.14399999999999999</v>
      </c>
      <c r="BJ278" s="191">
        <v>42502</v>
      </c>
      <c r="BK278" s="192">
        <v>0.127</v>
      </c>
      <c r="BN278" s="94">
        <v>42480</v>
      </c>
      <c r="BO278" s="95">
        <v>9.2999999999999999E-2</v>
      </c>
      <c r="BP278" s="96">
        <v>8.9700000000000006</v>
      </c>
    </row>
    <row r="279" spans="7:68" ht="15">
      <c r="G279" s="239"/>
      <c r="BH279" s="187">
        <v>42503</v>
      </c>
      <c r="BI279" s="180">
        <v>-0.14399999999999999</v>
      </c>
      <c r="BJ279" s="191">
        <v>42503</v>
      </c>
      <c r="BK279" s="192">
        <v>0.126</v>
      </c>
      <c r="BN279" s="94">
        <v>42481</v>
      </c>
      <c r="BO279" s="95">
        <v>9.0999999999999998E-2</v>
      </c>
      <c r="BP279" s="96">
        <v>8.9700000000000006</v>
      </c>
    </row>
    <row r="280" spans="7:68" ht="15">
      <c r="G280" s="239"/>
      <c r="BH280" s="187">
        <v>42506</v>
      </c>
      <c r="BI280" s="180">
        <v>-0.14299999999999999</v>
      </c>
      <c r="BJ280" s="191"/>
      <c r="BK280" s="193">
        <f>+BK279</f>
        <v>0.126</v>
      </c>
      <c r="BN280" s="94">
        <v>42482</v>
      </c>
      <c r="BO280" s="95">
        <v>9.1999999999999998E-2</v>
      </c>
      <c r="BP280" s="96">
        <v>8.9700000000000006</v>
      </c>
    </row>
    <row r="281" spans="7:68" ht="15">
      <c r="G281" s="239"/>
      <c r="BH281" s="187">
        <v>42507</v>
      </c>
      <c r="BI281" s="180">
        <v>-0.14299999999999999</v>
      </c>
      <c r="BJ281" s="191">
        <v>42507</v>
      </c>
      <c r="BK281" s="192">
        <v>0.126</v>
      </c>
      <c r="BN281" s="94">
        <v>42485</v>
      </c>
      <c r="BO281" s="95">
        <v>9.4E-2</v>
      </c>
      <c r="BP281" s="96">
        <v>8.9600000000000009</v>
      </c>
    </row>
    <row r="282" spans="7:68" ht="15">
      <c r="G282" s="239"/>
      <c r="BH282" s="187">
        <v>42508</v>
      </c>
      <c r="BI282" s="180">
        <v>-0.14399999999999999</v>
      </c>
      <c r="BJ282" s="191">
        <v>42508</v>
      </c>
      <c r="BK282" s="192">
        <v>0.127</v>
      </c>
      <c r="BN282" s="94">
        <v>42486</v>
      </c>
      <c r="BO282" s="95">
        <v>9.7000000000000003E-2</v>
      </c>
      <c r="BP282" s="96">
        <v>8.9600000000000009</v>
      </c>
    </row>
    <row r="283" spans="7:68" ht="15">
      <c r="G283" s="239"/>
      <c r="BH283" s="187">
        <v>42509</v>
      </c>
      <c r="BI283" s="180">
        <v>-0.14299999999999999</v>
      </c>
      <c r="BJ283" s="191">
        <v>42509</v>
      </c>
      <c r="BK283" s="192">
        <v>0.127</v>
      </c>
      <c r="BN283" s="94">
        <v>42487</v>
      </c>
      <c r="BO283" s="95">
        <v>0.10100000000000001</v>
      </c>
      <c r="BP283" s="96">
        <v>8.9499999999999993</v>
      </c>
    </row>
    <row r="284" spans="7:68" ht="15">
      <c r="G284" s="239"/>
      <c r="BH284" s="187">
        <v>42510</v>
      </c>
      <c r="BI284" s="180">
        <v>-0.14299999999999999</v>
      </c>
      <c r="BJ284" s="191">
        <v>42510</v>
      </c>
      <c r="BK284" s="192">
        <v>0.128</v>
      </c>
      <c r="BN284" s="94">
        <v>42488</v>
      </c>
      <c r="BO284" s="95">
        <v>0.10299999999999999</v>
      </c>
      <c r="BP284" s="96">
        <v>8.9499999999999993</v>
      </c>
    </row>
    <row r="285" spans="7:68" ht="15">
      <c r="G285" s="239"/>
      <c r="BH285" s="187">
        <v>42513</v>
      </c>
      <c r="BI285" s="180">
        <v>-0.14399999999999999</v>
      </c>
      <c r="BJ285" s="191">
        <v>42513</v>
      </c>
      <c r="BK285" s="192">
        <v>0.127</v>
      </c>
      <c r="BN285" s="94">
        <v>42489</v>
      </c>
      <c r="BO285" s="95">
        <v>0.107</v>
      </c>
      <c r="BP285" s="96">
        <v>8.9499999999999993</v>
      </c>
    </row>
    <row r="286" spans="7:68" ht="15">
      <c r="G286" s="239"/>
      <c r="BH286" s="187">
        <v>42514</v>
      </c>
      <c r="BI286" s="180">
        <v>-0.14399999999999999</v>
      </c>
      <c r="BJ286" s="191">
        <v>42514</v>
      </c>
      <c r="BK286" s="192">
        <v>0.125</v>
      </c>
      <c r="BN286" s="94">
        <v>42492</v>
      </c>
      <c r="BO286" s="95">
        <v>0.111</v>
      </c>
      <c r="BP286" s="96">
        <v>8.94</v>
      </c>
    </row>
    <row r="287" spans="7:68" ht="15">
      <c r="G287" s="239"/>
      <c r="BH287" s="187">
        <v>42515</v>
      </c>
      <c r="BI287" s="180">
        <v>-0.14399999999999999</v>
      </c>
      <c r="BJ287" s="191">
        <v>42515</v>
      </c>
      <c r="BK287" s="192">
        <v>0.123</v>
      </c>
      <c r="BN287" s="94">
        <v>42493</v>
      </c>
      <c r="BO287" s="95">
        <v>0.11600000000000001</v>
      </c>
      <c r="BP287" s="96">
        <v>8.94</v>
      </c>
    </row>
    <row r="288" spans="7:68" ht="15">
      <c r="G288" s="239"/>
      <c r="BH288" s="187">
        <v>42516</v>
      </c>
      <c r="BI288" s="180">
        <v>-0.14599999999999999</v>
      </c>
      <c r="BJ288" s="191">
        <v>42517</v>
      </c>
      <c r="BK288" s="192">
        <v>0.11799999999999999</v>
      </c>
      <c r="BN288" s="94">
        <v>42494</v>
      </c>
      <c r="BO288" s="95">
        <v>0.11899999999999999</v>
      </c>
      <c r="BP288" s="96">
        <v>8.93</v>
      </c>
    </row>
    <row r="289" spans="7:68" ht="15">
      <c r="G289" s="239"/>
      <c r="BH289" s="187">
        <v>42517</v>
      </c>
      <c r="BI289" s="180">
        <v>-0.14899999999999999</v>
      </c>
      <c r="BJ289" s="191">
        <v>42520</v>
      </c>
      <c r="BK289" s="192">
        <v>0.113</v>
      </c>
      <c r="BN289" s="94">
        <v>42496</v>
      </c>
      <c r="BO289" s="95">
        <v>0.121</v>
      </c>
      <c r="BP289" s="96">
        <v>8.93</v>
      </c>
    </row>
    <row r="290" spans="7:68" ht="15">
      <c r="G290" s="239"/>
      <c r="BH290" s="187">
        <v>42520</v>
      </c>
      <c r="BI290" s="180">
        <v>-0.151</v>
      </c>
      <c r="BJ290" s="191">
        <v>42521</v>
      </c>
      <c r="BK290" s="192">
        <v>0.11</v>
      </c>
      <c r="BN290" s="94">
        <v>42499</v>
      </c>
      <c r="BO290" s="95">
        <v>0.123</v>
      </c>
      <c r="BP290" s="96">
        <v>8.92</v>
      </c>
    </row>
    <row r="291" spans="7:68" ht="15">
      <c r="G291" s="239"/>
      <c r="BH291" s="187">
        <v>42521</v>
      </c>
      <c r="BI291" s="180">
        <v>-0.153</v>
      </c>
      <c r="BJ291" s="191">
        <v>42522</v>
      </c>
      <c r="BK291" s="192">
        <v>0.10299999999999999</v>
      </c>
      <c r="BN291" s="94">
        <v>42500</v>
      </c>
      <c r="BO291" s="95">
        <v>0.124</v>
      </c>
      <c r="BP291" s="96">
        <v>8.92</v>
      </c>
    </row>
    <row r="292" spans="7:68" ht="15">
      <c r="G292" s="239"/>
      <c r="BH292" s="187">
        <v>42522</v>
      </c>
      <c r="BI292" s="180">
        <v>-0.153</v>
      </c>
      <c r="BJ292" s="191"/>
      <c r="BK292" s="193">
        <f>+BK291</f>
        <v>0.10299999999999999</v>
      </c>
      <c r="BN292" s="94">
        <v>42501</v>
      </c>
      <c r="BO292" s="95">
        <v>0.123</v>
      </c>
      <c r="BP292" s="96">
        <v>8.91</v>
      </c>
    </row>
    <row r="293" spans="7:68" ht="15">
      <c r="G293" s="239"/>
      <c r="BH293" s="187">
        <v>42523</v>
      </c>
      <c r="BI293" s="180">
        <v>-0.153</v>
      </c>
      <c r="BJ293" s="191">
        <v>42523</v>
      </c>
      <c r="BK293" s="192">
        <v>9.7000000000000003E-2</v>
      </c>
      <c r="BN293" s="94">
        <v>42502</v>
      </c>
      <c r="BO293" s="95">
        <v>0.127</v>
      </c>
      <c r="BP293" s="96">
        <v>8.94</v>
      </c>
    </row>
    <row r="294" spans="7:68" ht="15">
      <c r="G294" s="239"/>
      <c r="BH294" s="187">
        <v>42524</v>
      </c>
      <c r="BI294" s="180">
        <v>-0.154</v>
      </c>
      <c r="BJ294" s="191">
        <v>42524</v>
      </c>
      <c r="BK294" s="192">
        <v>9.1999999999999998E-2</v>
      </c>
      <c r="BN294" s="94">
        <v>42503</v>
      </c>
      <c r="BO294" s="95">
        <v>0.126</v>
      </c>
      <c r="BP294" s="96">
        <v>8.94</v>
      </c>
    </row>
    <row r="295" spans="7:68" ht="15">
      <c r="G295" s="239"/>
      <c r="BH295" s="187">
        <v>42527</v>
      </c>
      <c r="BI295" s="180">
        <v>-0.157</v>
      </c>
      <c r="BJ295" s="191">
        <v>42527</v>
      </c>
      <c r="BK295" s="192">
        <v>8.5999999999999993E-2</v>
      </c>
      <c r="BN295" s="94">
        <v>42507</v>
      </c>
      <c r="BO295" s="95">
        <v>0.126</v>
      </c>
      <c r="BP295" s="96">
        <v>8.93</v>
      </c>
    </row>
    <row r="296" spans="7:68" ht="15">
      <c r="G296" s="239"/>
      <c r="BH296" s="187">
        <v>42528</v>
      </c>
      <c r="BI296" s="180">
        <v>-0.159</v>
      </c>
      <c r="BJ296" s="191">
        <v>42528</v>
      </c>
      <c r="BK296" s="192">
        <v>8.2000000000000003E-2</v>
      </c>
      <c r="BN296" s="94">
        <v>42508</v>
      </c>
      <c r="BO296" s="95">
        <v>0.127</v>
      </c>
      <c r="BP296" s="96">
        <v>8.93</v>
      </c>
    </row>
    <row r="297" spans="7:68" ht="15">
      <c r="G297" s="239"/>
      <c r="BH297" s="187">
        <v>42529</v>
      </c>
      <c r="BI297" s="180">
        <v>-0.16</v>
      </c>
      <c r="BJ297" s="191">
        <v>42529</v>
      </c>
      <c r="BK297" s="192">
        <v>7.8E-2</v>
      </c>
      <c r="BN297" s="94">
        <v>42509</v>
      </c>
      <c r="BO297" s="95">
        <v>0.127</v>
      </c>
      <c r="BP297" s="96">
        <v>8.93</v>
      </c>
    </row>
    <row r="298" spans="7:68" ht="15">
      <c r="G298" s="239"/>
      <c r="BH298" s="187">
        <v>42530</v>
      </c>
      <c r="BI298" s="180">
        <v>-0.159</v>
      </c>
      <c r="BJ298" s="191">
        <v>42530</v>
      </c>
      <c r="BK298" s="192">
        <v>7.4999999999999997E-2</v>
      </c>
      <c r="BN298" s="94">
        <v>42510</v>
      </c>
      <c r="BO298" s="95">
        <v>0.128</v>
      </c>
      <c r="BP298" s="96">
        <v>8.92</v>
      </c>
    </row>
    <row r="299" spans="7:68" ht="15">
      <c r="G299" s="239"/>
      <c r="BH299" s="187">
        <v>42531</v>
      </c>
      <c r="BI299" s="180">
        <v>-0.159</v>
      </c>
      <c r="BJ299" s="191">
        <v>42531</v>
      </c>
      <c r="BK299" s="192">
        <v>7.0000000000000007E-2</v>
      </c>
      <c r="BN299" s="94">
        <v>42513</v>
      </c>
      <c r="BO299" s="95">
        <v>0.127</v>
      </c>
      <c r="BP299" s="96">
        <v>8.91</v>
      </c>
    </row>
    <row r="300" spans="7:68" ht="15">
      <c r="G300" s="239"/>
      <c r="BH300" s="187">
        <v>42534</v>
      </c>
      <c r="BI300" s="180">
        <v>-0.158</v>
      </c>
      <c r="BJ300" s="191">
        <v>42534</v>
      </c>
      <c r="BK300" s="192">
        <v>6.5000000000000002E-2</v>
      </c>
      <c r="BN300" s="94">
        <v>42514</v>
      </c>
      <c r="BO300" s="95">
        <v>0.125</v>
      </c>
      <c r="BP300" s="96">
        <v>8.91</v>
      </c>
    </row>
    <row r="301" spans="7:68" ht="15">
      <c r="G301" s="239"/>
      <c r="BH301" s="187">
        <v>42535</v>
      </c>
      <c r="BI301" s="180">
        <v>-0.159</v>
      </c>
      <c r="BJ301" s="191">
        <v>42535</v>
      </c>
      <c r="BK301" s="192">
        <v>0.06</v>
      </c>
      <c r="BN301" s="94">
        <v>42515</v>
      </c>
      <c r="BO301" s="95">
        <v>0.123</v>
      </c>
      <c r="BP301" s="96">
        <v>8.91</v>
      </c>
    </row>
    <row r="302" spans="7:68" ht="15">
      <c r="G302" s="239"/>
      <c r="BH302" s="187">
        <v>42536</v>
      </c>
      <c r="BI302" s="180">
        <v>-0.159</v>
      </c>
      <c r="BJ302" s="191">
        <v>42536</v>
      </c>
      <c r="BK302" s="192">
        <v>5.5E-2</v>
      </c>
      <c r="BN302" s="94">
        <v>42517</v>
      </c>
      <c r="BO302" s="95">
        <v>0.11799999999999999</v>
      </c>
      <c r="BP302" s="96">
        <v>8.9</v>
      </c>
    </row>
    <row r="303" spans="7:68" ht="15">
      <c r="G303" s="239"/>
      <c r="BH303" s="187">
        <v>42537</v>
      </c>
      <c r="BI303" s="180">
        <v>-0.16</v>
      </c>
      <c r="BJ303" s="191">
        <v>42537</v>
      </c>
      <c r="BK303" s="192">
        <v>0.05</v>
      </c>
      <c r="BN303" s="94">
        <v>42520</v>
      </c>
      <c r="BO303" s="95">
        <v>0.113</v>
      </c>
      <c r="BP303" s="96">
        <v>8.89</v>
      </c>
    </row>
    <row r="304" spans="7:68" ht="15">
      <c r="G304" s="239"/>
      <c r="BH304" s="187">
        <v>42538</v>
      </c>
      <c r="BI304" s="180">
        <v>-0.159</v>
      </c>
      <c r="BJ304" s="191">
        <v>42538</v>
      </c>
      <c r="BK304" s="192">
        <v>4.3999999999999997E-2</v>
      </c>
      <c r="BN304" s="94">
        <v>42521</v>
      </c>
      <c r="BO304" s="95">
        <v>0.11</v>
      </c>
      <c r="BP304" s="96">
        <v>8.89</v>
      </c>
    </row>
    <row r="305" spans="7:68" ht="15">
      <c r="G305" s="239"/>
      <c r="BH305" s="187">
        <v>42541</v>
      </c>
      <c r="BI305" s="180">
        <v>-0.159</v>
      </c>
      <c r="BJ305" s="191">
        <v>42541</v>
      </c>
      <c r="BK305" s="192">
        <v>3.9E-2</v>
      </c>
      <c r="BN305" s="94">
        <v>42522</v>
      </c>
      <c r="BO305" s="95">
        <v>0.10299999999999999</v>
      </c>
      <c r="BP305" s="96">
        <v>8.89</v>
      </c>
    </row>
    <row r="306" spans="7:68" ht="15">
      <c r="G306" s="239"/>
      <c r="BH306" s="187">
        <v>42542</v>
      </c>
      <c r="BI306" s="180">
        <v>-0.159</v>
      </c>
      <c r="BJ306" s="191">
        <v>42542</v>
      </c>
      <c r="BK306" s="192">
        <v>3.5000000000000003E-2</v>
      </c>
      <c r="BN306" s="94">
        <v>42523</v>
      </c>
      <c r="BO306" s="95">
        <v>9.7000000000000003E-2</v>
      </c>
      <c r="BP306" s="96">
        <v>8.89</v>
      </c>
    </row>
    <row r="307" spans="7:68" ht="15">
      <c r="G307" s="239"/>
      <c r="BH307" s="187">
        <v>42543</v>
      </c>
      <c r="BI307" s="180">
        <v>-0.161</v>
      </c>
      <c r="BJ307" s="191">
        <v>42543</v>
      </c>
      <c r="BK307" s="192">
        <v>0.03</v>
      </c>
      <c r="BN307" s="94">
        <v>42524</v>
      </c>
      <c r="BO307" s="95">
        <v>9.1999999999999998E-2</v>
      </c>
      <c r="BP307" s="96">
        <v>8.8800000000000008</v>
      </c>
    </row>
    <row r="308" spans="7:68" ht="15">
      <c r="G308" s="239"/>
      <c r="BH308" s="187">
        <v>42544</v>
      </c>
      <c r="BI308" s="180">
        <v>-0.161</v>
      </c>
      <c r="BJ308" s="191">
        <v>42544</v>
      </c>
      <c r="BK308" s="192">
        <v>2.7E-2</v>
      </c>
      <c r="BN308" s="94">
        <v>42527</v>
      </c>
      <c r="BO308" s="95">
        <v>8.5999999999999993E-2</v>
      </c>
      <c r="BP308" s="96">
        <v>8.8800000000000008</v>
      </c>
    </row>
    <row r="309" spans="7:68" ht="15">
      <c r="G309" s="239"/>
      <c r="BH309" s="187">
        <v>42545</v>
      </c>
      <c r="BI309" s="180">
        <v>-0.17499999999999999</v>
      </c>
      <c r="BJ309" s="191">
        <v>42545</v>
      </c>
      <c r="BK309" s="192">
        <v>2.1000000000000001E-2</v>
      </c>
      <c r="BN309" s="94">
        <v>42528</v>
      </c>
      <c r="BO309" s="95">
        <v>8.2000000000000003E-2</v>
      </c>
      <c r="BP309" s="96">
        <v>8.8699999999999992</v>
      </c>
    </row>
    <row r="310" spans="7:68" ht="15">
      <c r="G310" s="239"/>
      <c r="BH310" s="187">
        <v>42548</v>
      </c>
      <c r="BI310" s="180">
        <v>-0.17599999999999999</v>
      </c>
      <c r="BJ310" s="191">
        <v>42548</v>
      </c>
      <c r="BK310" s="192">
        <v>1.2E-2</v>
      </c>
      <c r="BN310" s="94">
        <v>42529</v>
      </c>
      <c r="BO310" s="95">
        <v>7.8E-2</v>
      </c>
      <c r="BP310" s="96">
        <v>8.8699999999999992</v>
      </c>
    </row>
    <row r="311" spans="7:68" ht="15">
      <c r="G311" s="239"/>
      <c r="BH311" s="187">
        <v>42549</v>
      </c>
      <c r="BI311" s="180">
        <v>-0.17599999999999999</v>
      </c>
      <c r="BJ311" s="191">
        <v>42549</v>
      </c>
      <c r="BK311" s="192">
        <v>3.0000000000000001E-3</v>
      </c>
      <c r="BN311" s="94">
        <v>42530</v>
      </c>
      <c r="BO311" s="95">
        <v>7.4999999999999997E-2</v>
      </c>
      <c r="BP311" s="96">
        <v>8.8699999999999992</v>
      </c>
    </row>
    <row r="312" spans="7:68" ht="15">
      <c r="G312" s="239"/>
      <c r="BH312" s="187">
        <v>42550</v>
      </c>
      <c r="BI312" s="180">
        <v>-0.17799999999999999</v>
      </c>
      <c r="BJ312" s="191">
        <v>42550</v>
      </c>
      <c r="BK312" s="192" t="s">
        <v>57</v>
      </c>
      <c r="BN312" s="94">
        <v>42531</v>
      </c>
      <c r="BO312" s="95">
        <v>7.0000000000000007E-2</v>
      </c>
      <c r="BP312" s="96">
        <v>8.8699999999999992</v>
      </c>
    </row>
    <row r="313" spans="7:68" ht="15">
      <c r="G313" s="239"/>
      <c r="BH313" s="187">
        <v>42551</v>
      </c>
      <c r="BI313" s="180">
        <v>-0.17899999999999999</v>
      </c>
      <c r="BJ313" s="191">
        <v>42551</v>
      </c>
      <c r="BK313" s="192" t="s">
        <v>58</v>
      </c>
      <c r="BN313" s="94">
        <v>42534</v>
      </c>
      <c r="BO313" s="95">
        <v>6.5000000000000002E-2</v>
      </c>
      <c r="BP313" s="96">
        <v>8.86</v>
      </c>
    </row>
    <row r="314" spans="7:68" ht="15">
      <c r="G314" s="239"/>
      <c r="BH314" s="187">
        <v>42552</v>
      </c>
      <c r="BI314" s="180">
        <v>-0.182</v>
      </c>
      <c r="BJ314" s="191">
        <v>42552</v>
      </c>
      <c r="BK314" s="192" t="s">
        <v>59</v>
      </c>
      <c r="BN314" s="94">
        <v>42535</v>
      </c>
      <c r="BO314" s="95">
        <v>0.06</v>
      </c>
      <c r="BP314" s="96">
        <v>8.86</v>
      </c>
    </row>
    <row r="315" spans="7:68" ht="15">
      <c r="G315" s="239"/>
      <c r="BH315" s="187">
        <v>42555</v>
      </c>
      <c r="BI315" s="180">
        <v>-0.185</v>
      </c>
      <c r="BJ315" s="191">
        <v>42555</v>
      </c>
      <c r="BK315" s="192" t="s">
        <v>60</v>
      </c>
      <c r="BN315" s="94">
        <v>42536</v>
      </c>
      <c r="BO315" s="95">
        <v>5.5E-2</v>
      </c>
      <c r="BP315" s="96">
        <v>8.85</v>
      </c>
    </row>
    <row r="316" spans="7:68" ht="15">
      <c r="G316" s="239"/>
      <c r="BH316" s="187">
        <v>42556</v>
      </c>
      <c r="BI316" s="180">
        <v>-0.188</v>
      </c>
      <c r="BJ316" s="191">
        <v>42556</v>
      </c>
      <c r="BK316" s="192" t="s">
        <v>61</v>
      </c>
      <c r="BN316" s="94">
        <v>42537</v>
      </c>
      <c r="BO316" s="95">
        <v>0.05</v>
      </c>
      <c r="BP316" s="96">
        <v>8.85</v>
      </c>
    </row>
    <row r="317" spans="7:68" ht="15">
      <c r="G317" s="239"/>
      <c r="BH317" s="187">
        <v>42557</v>
      </c>
      <c r="BI317" s="180">
        <v>-0.189</v>
      </c>
      <c r="BJ317" s="191">
        <v>42557</v>
      </c>
      <c r="BK317" s="192" t="s">
        <v>62</v>
      </c>
      <c r="BN317" s="94">
        <v>42538</v>
      </c>
      <c r="BO317" s="95">
        <v>4.3999999999999997E-2</v>
      </c>
      <c r="BP317" s="96">
        <v>8.85</v>
      </c>
    </row>
    <row r="318" spans="7:68" ht="15">
      <c r="G318" s="239"/>
      <c r="BH318" s="187">
        <v>42558</v>
      </c>
      <c r="BI318" s="180">
        <v>-0.189</v>
      </c>
      <c r="BJ318" s="191">
        <v>42558</v>
      </c>
      <c r="BK318" s="192" t="s">
        <v>63</v>
      </c>
      <c r="BN318" s="94">
        <v>42541</v>
      </c>
      <c r="BO318" s="95">
        <v>3.9E-2</v>
      </c>
      <c r="BP318" s="96">
        <v>8.84</v>
      </c>
    </row>
    <row r="319" spans="7:68" ht="15">
      <c r="G319" s="239"/>
      <c r="BH319" s="187">
        <v>42559</v>
      </c>
      <c r="BI319" s="180">
        <v>-0.19</v>
      </c>
      <c r="BJ319" s="191">
        <v>42559</v>
      </c>
      <c r="BK319" s="192" t="s">
        <v>64</v>
      </c>
      <c r="BN319" s="94">
        <v>42542</v>
      </c>
      <c r="BO319" s="95">
        <v>3.5000000000000003E-2</v>
      </c>
      <c r="BP319" s="96">
        <v>8.84</v>
      </c>
    </row>
    <row r="320" spans="7:68" ht="15">
      <c r="G320" s="239"/>
      <c r="BH320" s="187">
        <v>42562</v>
      </c>
      <c r="BI320" s="180">
        <v>-0.19</v>
      </c>
      <c r="BJ320" s="191">
        <v>42562</v>
      </c>
      <c r="BK320" s="192" t="s">
        <v>65</v>
      </c>
      <c r="BN320" s="94">
        <v>42543</v>
      </c>
      <c r="BO320" s="95">
        <v>0.03</v>
      </c>
      <c r="BP320" s="96">
        <v>8.83</v>
      </c>
    </row>
    <row r="321" spans="7:68" ht="15">
      <c r="G321" s="239"/>
      <c r="BH321" s="187">
        <v>42563</v>
      </c>
      <c r="BI321" s="180">
        <v>-0.191</v>
      </c>
      <c r="BJ321" s="191">
        <v>42563</v>
      </c>
      <c r="BK321" s="192" t="s">
        <v>66</v>
      </c>
      <c r="BN321" s="94">
        <v>42544</v>
      </c>
      <c r="BO321" s="95">
        <v>2.7E-2</v>
      </c>
      <c r="BP321" s="96">
        <v>8.83</v>
      </c>
    </row>
    <row r="322" spans="7:68" ht="15">
      <c r="G322" s="239"/>
      <c r="BH322" s="187">
        <v>42564</v>
      </c>
      <c r="BI322" s="180">
        <v>-0.191</v>
      </c>
      <c r="BJ322" s="191">
        <v>42564</v>
      </c>
      <c r="BK322" s="192" t="s">
        <v>67</v>
      </c>
      <c r="BN322" s="94">
        <v>42545</v>
      </c>
      <c r="BO322" s="95">
        <v>2.1000000000000001E-2</v>
      </c>
      <c r="BP322" s="96">
        <v>8.83</v>
      </c>
    </row>
    <row r="323" spans="7:68" ht="15">
      <c r="G323" s="239"/>
      <c r="BH323" s="187">
        <v>42565</v>
      </c>
      <c r="BI323" s="180">
        <v>-0.19</v>
      </c>
      <c r="BJ323" s="191">
        <v>42565</v>
      </c>
      <c r="BK323" s="192" t="s">
        <v>68</v>
      </c>
      <c r="BN323" s="94">
        <v>42548</v>
      </c>
      <c r="BO323" s="95">
        <v>1.2E-2</v>
      </c>
      <c r="BP323" s="96">
        <v>8.82</v>
      </c>
    </row>
    <row r="324" spans="7:68" ht="15">
      <c r="G324" s="239"/>
      <c r="BH324" s="187">
        <v>42566</v>
      </c>
      <c r="BI324" s="180">
        <v>-0.187</v>
      </c>
      <c r="BJ324" s="191">
        <v>42566</v>
      </c>
      <c r="BK324" s="192" t="s">
        <v>69</v>
      </c>
      <c r="BN324" s="94">
        <v>42549</v>
      </c>
      <c r="BO324" s="95">
        <v>3.0000000000000001E-3</v>
      </c>
      <c r="BP324" s="96">
        <v>8.82</v>
      </c>
    </row>
    <row r="325" spans="7:68" ht="15">
      <c r="G325" s="239"/>
      <c r="BH325" s="187">
        <v>42569</v>
      </c>
      <c r="BI325" s="180">
        <v>-0.191</v>
      </c>
      <c r="BJ325" s="191">
        <v>42569</v>
      </c>
      <c r="BK325" s="192" t="s">
        <v>70</v>
      </c>
      <c r="BN325" s="94">
        <v>42550</v>
      </c>
      <c r="BO325" s="95" t="s">
        <v>57</v>
      </c>
      <c r="BP325" s="96">
        <v>8.81</v>
      </c>
    </row>
    <row r="326" spans="7:68" ht="15">
      <c r="G326" s="239"/>
      <c r="BH326" s="187">
        <v>42570</v>
      </c>
      <c r="BI326" s="180">
        <v>-0.189</v>
      </c>
      <c r="BJ326" s="191">
        <v>42570</v>
      </c>
      <c r="BK326" s="192" t="s">
        <v>71</v>
      </c>
      <c r="BN326" s="94">
        <v>42551</v>
      </c>
      <c r="BO326" s="95" t="s">
        <v>58</v>
      </c>
      <c r="BP326" s="96">
        <v>8.81</v>
      </c>
    </row>
    <row r="327" spans="7:68" ht="15">
      <c r="G327" s="239"/>
      <c r="BH327" s="187">
        <v>42571</v>
      </c>
      <c r="BI327" s="180">
        <v>-0.189</v>
      </c>
      <c r="BJ327" s="191">
        <v>42571</v>
      </c>
      <c r="BK327" s="192" t="s">
        <v>72</v>
      </c>
      <c r="BN327" s="94">
        <v>42552</v>
      </c>
      <c r="BO327" s="95" t="s">
        <v>59</v>
      </c>
      <c r="BP327" s="96">
        <v>8.81</v>
      </c>
    </row>
    <row r="328" spans="7:68" ht="15">
      <c r="G328" s="239"/>
      <c r="BH328" s="187">
        <v>42572</v>
      </c>
      <c r="BI328" s="180">
        <v>-0.188</v>
      </c>
      <c r="BJ328" s="191">
        <v>42572</v>
      </c>
      <c r="BK328" s="192" t="s">
        <v>73</v>
      </c>
      <c r="BN328" s="94">
        <v>42555</v>
      </c>
      <c r="BO328" s="95" t="s">
        <v>60</v>
      </c>
      <c r="BP328" s="96">
        <v>8.8000000000000007</v>
      </c>
    </row>
    <row r="329" spans="7:68" ht="15">
      <c r="G329" s="239"/>
      <c r="BH329" s="187">
        <v>42573</v>
      </c>
      <c r="BI329" s="180">
        <v>-0.189</v>
      </c>
      <c r="BJ329" s="191">
        <v>42573</v>
      </c>
      <c r="BK329" s="192" t="s">
        <v>74</v>
      </c>
      <c r="BN329" s="94">
        <v>42556</v>
      </c>
      <c r="BO329" s="95" t="s">
        <v>61</v>
      </c>
      <c r="BP329" s="96">
        <v>8.8000000000000007</v>
      </c>
    </row>
    <row r="330" spans="7:68" ht="15">
      <c r="G330" s="239"/>
      <c r="BH330" s="187">
        <v>42576</v>
      </c>
      <c r="BI330" s="180">
        <v>-0.188</v>
      </c>
      <c r="BJ330" s="191">
        <v>42576</v>
      </c>
      <c r="BK330" s="192" t="s">
        <v>75</v>
      </c>
      <c r="BN330" s="94">
        <v>42557</v>
      </c>
      <c r="BO330" s="95" t="s">
        <v>62</v>
      </c>
      <c r="BP330" s="96">
        <v>8.8000000000000007</v>
      </c>
    </row>
    <row r="331" spans="7:68" ht="15">
      <c r="G331" s="239"/>
      <c r="BH331" s="187">
        <v>42577</v>
      </c>
      <c r="BI331" s="180">
        <v>-0.187</v>
      </c>
      <c r="BJ331" s="191">
        <v>42577</v>
      </c>
      <c r="BK331" s="192" t="s">
        <v>76</v>
      </c>
      <c r="BN331" s="94">
        <v>42558</v>
      </c>
      <c r="BO331" s="95" t="s">
        <v>63</v>
      </c>
      <c r="BP331" s="96">
        <v>8.81</v>
      </c>
    </row>
    <row r="332" spans="7:68" ht="15">
      <c r="G332" s="239"/>
      <c r="BH332" s="187">
        <v>42578</v>
      </c>
      <c r="BI332" s="180">
        <v>-0.187</v>
      </c>
      <c r="BJ332" s="191">
        <v>42578</v>
      </c>
      <c r="BK332" s="192" t="s">
        <v>77</v>
      </c>
      <c r="BN332" s="94">
        <v>42559</v>
      </c>
      <c r="BO332" s="95" t="s">
        <v>64</v>
      </c>
      <c r="BP332" s="96">
        <v>8.8000000000000007</v>
      </c>
    </row>
    <row r="333" spans="7:68" ht="15">
      <c r="G333" s="239"/>
      <c r="BH333" s="187">
        <v>42579</v>
      </c>
      <c r="BI333" s="180">
        <v>-0.186</v>
      </c>
      <c r="BJ333" s="191">
        <v>42579</v>
      </c>
      <c r="BK333" s="192" t="s">
        <v>78</v>
      </c>
      <c r="BN333" s="94">
        <v>42562</v>
      </c>
      <c r="BO333" s="95" t="s">
        <v>65</v>
      </c>
      <c r="BP333" s="96">
        <v>8.7899999999999991</v>
      </c>
    </row>
    <row r="334" spans="7:68" ht="15">
      <c r="G334" s="239"/>
      <c r="BH334" s="187">
        <v>42580</v>
      </c>
      <c r="BI334" s="180">
        <v>-0.186</v>
      </c>
      <c r="BJ334" s="191">
        <v>42580</v>
      </c>
      <c r="BK334" s="192" t="s">
        <v>79</v>
      </c>
      <c r="BN334" s="94">
        <v>42563</v>
      </c>
      <c r="BO334" s="95" t="s">
        <v>66</v>
      </c>
      <c r="BP334" s="96">
        <v>8.7899999999999991</v>
      </c>
    </row>
    <row r="335" spans="7:68" ht="15">
      <c r="G335" s="239"/>
      <c r="BH335" s="187">
        <v>42583</v>
      </c>
      <c r="BI335" s="180">
        <v>-0.186</v>
      </c>
      <c r="BJ335" s="191">
        <v>42583</v>
      </c>
      <c r="BK335" s="192" t="s">
        <v>80</v>
      </c>
      <c r="BN335" s="94">
        <v>42564</v>
      </c>
      <c r="BO335" s="95" t="s">
        <v>67</v>
      </c>
      <c r="BP335" s="96">
        <v>8.7899999999999991</v>
      </c>
    </row>
    <row r="336" spans="7:68" ht="15">
      <c r="G336" s="239"/>
      <c r="BH336" s="187">
        <v>42584</v>
      </c>
      <c r="BI336" s="180">
        <v>-0.184</v>
      </c>
      <c r="BJ336" s="191">
        <v>42584</v>
      </c>
      <c r="BK336" s="192" t="s">
        <v>80</v>
      </c>
      <c r="BN336" s="94">
        <v>42565</v>
      </c>
      <c r="BO336" s="95" t="s">
        <v>68</v>
      </c>
      <c r="BP336" s="96">
        <v>8.7899999999999991</v>
      </c>
    </row>
    <row r="337" spans="7:68" ht="15">
      <c r="G337" s="239"/>
      <c r="BH337" s="187">
        <v>42585</v>
      </c>
      <c r="BI337" s="180">
        <v>-0.183</v>
      </c>
      <c r="BJ337" s="191">
        <v>42585</v>
      </c>
      <c r="BK337" s="192" t="s">
        <v>81</v>
      </c>
      <c r="BN337" s="94">
        <v>42566</v>
      </c>
      <c r="BO337" s="95" t="s">
        <v>69</v>
      </c>
      <c r="BP337" s="96">
        <v>8.7799999999999994</v>
      </c>
    </row>
    <row r="338" spans="7:68" ht="15">
      <c r="G338" s="239"/>
      <c r="BH338" s="187">
        <v>42586</v>
      </c>
      <c r="BI338" s="180">
        <v>-0.183</v>
      </c>
      <c r="BJ338" s="191">
        <v>42586</v>
      </c>
      <c r="BK338" s="192" t="s">
        <v>80</v>
      </c>
      <c r="BN338" s="94">
        <v>42569</v>
      </c>
      <c r="BO338" s="95" t="s">
        <v>70</v>
      </c>
      <c r="BP338" s="96">
        <v>8.7799999999999994</v>
      </c>
    </row>
    <row r="339" spans="7:68" ht="15">
      <c r="G339" s="239"/>
      <c r="BH339" s="187">
        <v>42587</v>
      </c>
      <c r="BI339" s="180">
        <v>-0.185</v>
      </c>
      <c r="BJ339" s="191">
        <v>42587</v>
      </c>
      <c r="BK339" s="192" t="s">
        <v>80</v>
      </c>
      <c r="BN339" s="94">
        <v>42570</v>
      </c>
      <c r="BO339" s="95" t="s">
        <v>71</v>
      </c>
      <c r="BP339" s="96">
        <v>8.77</v>
      </c>
    </row>
    <row r="340" spans="7:68" ht="15">
      <c r="G340" s="239"/>
      <c r="BH340" s="187">
        <v>42590</v>
      </c>
      <c r="BI340" s="180">
        <v>-0.185</v>
      </c>
      <c r="BJ340" s="191">
        <v>42590</v>
      </c>
      <c r="BK340" s="192" t="s">
        <v>81</v>
      </c>
      <c r="BN340" s="94">
        <v>42571</v>
      </c>
      <c r="BO340" s="95" t="s">
        <v>72</v>
      </c>
      <c r="BP340" s="96">
        <v>8.77</v>
      </c>
    </row>
    <row r="341" spans="7:68" ht="15">
      <c r="G341" s="239"/>
      <c r="BH341" s="187">
        <v>42591</v>
      </c>
      <c r="BI341" s="180">
        <v>-0.187</v>
      </c>
      <c r="BJ341" s="191">
        <v>42591</v>
      </c>
      <c r="BK341" s="192" t="s">
        <v>80</v>
      </c>
      <c r="BN341" s="94">
        <v>42572</v>
      </c>
      <c r="BO341" s="95" t="s">
        <v>73</v>
      </c>
      <c r="BP341" s="96">
        <v>8.77</v>
      </c>
    </row>
    <row r="342" spans="7:68" ht="15">
      <c r="G342" s="239"/>
      <c r="BH342" s="187">
        <v>42592</v>
      </c>
      <c r="BI342" s="180">
        <v>-0.188</v>
      </c>
      <c r="BJ342" s="191">
        <v>42592</v>
      </c>
      <c r="BK342" s="192" t="s">
        <v>82</v>
      </c>
      <c r="BN342" s="94">
        <v>42573</v>
      </c>
      <c r="BO342" s="95" t="s">
        <v>74</v>
      </c>
      <c r="BP342" s="96">
        <v>8.76</v>
      </c>
    </row>
    <row r="343" spans="7:68" ht="15">
      <c r="G343" s="239"/>
      <c r="BH343" s="187">
        <v>42593</v>
      </c>
      <c r="BI343" s="180">
        <v>-0.189</v>
      </c>
      <c r="BJ343" s="191">
        <v>42593</v>
      </c>
      <c r="BK343" s="192" t="s">
        <v>83</v>
      </c>
      <c r="BN343" s="94">
        <v>42576</v>
      </c>
      <c r="BO343" s="95" t="s">
        <v>75</v>
      </c>
      <c r="BP343" s="96">
        <v>8.76</v>
      </c>
    </row>
    <row r="344" spans="7:68" ht="15">
      <c r="G344" s="239"/>
      <c r="BH344" s="187">
        <v>42594</v>
      </c>
      <c r="BI344" s="180">
        <v>-0.188</v>
      </c>
      <c r="BJ344" s="191">
        <v>42594</v>
      </c>
      <c r="BK344" s="192" t="s">
        <v>84</v>
      </c>
      <c r="BN344" s="94">
        <v>42577</v>
      </c>
      <c r="BO344" s="95" t="s">
        <v>76</v>
      </c>
      <c r="BP344" s="96">
        <v>8.75</v>
      </c>
    </row>
    <row r="345" spans="7:68" ht="15">
      <c r="G345" s="239"/>
      <c r="BH345" s="187">
        <v>42597</v>
      </c>
      <c r="BI345" s="180">
        <v>-0.189</v>
      </c>
      <c r="BJ345" s="191"/>
      <c r="BK345" s="193" t="str">
        <f>+BK344</f>
        <v>−0,175</v>
      </c>
      <c r="BN345" s="94">
        <v>42578</v>
      </c>
      <c r="BO345" s="95" t="s">
        <v>77</v>
      </c>
      <c r="BP345" s="96">
        <v>8.75</v>
      </c>
    </row>
    <row r="346" spans="7:68" ht="15">
      <c r="G346" s="239"/>
      <c r="BH346" s="187">
        <v>42598</v>
      </c>
      <c r="BI346" s="180">
        <v>-0.189</v>
      </c>
      <c r="BJ346" s="191">
        <v>42598</v>
      </c>
      <c r="BK346" s="192" t="s">
        <v>85</v>
      </c>
      <c r="BN346" s="94">
        <v>42579</v>
      </c>
      <c r="BO346" s="95" t="s">
        <v>78</v>
      </c>
      <c r="BP346" s="96">
        <v>8.75</v>
      </c>
    </row>
    <row r="347" spans="7:68" ht="15">
      <c r="G347" s="239"/>
      <c r="BH347" s="187">
        <v>42599</v>
      </c>
      <c r="BI347" s="180">
        <v>-0.19</v>
      </c>
      <c r="BJ347" s="191">
        <v>42599</v>
      </c>
      <c r="BK347" s="192" t="s">
        <v>86</v>
      </c>
      <c r="BN347" s="94">
        <v>42580</v>
      </c>
      <c r="BO347" s="95" t="s">
        <v>79</v>
      </c>
      <c r="BP347" s="96">
        <v>8.75</v>
      </c>
    </row>
    <row r="348" spans="7:68" ht="15">
      <c r="G348" s="239"/>
      <c r="BH348" s="187">
        <v>42600</v>
      </c>
      <c r="BI348" s="180">
        <v>-0.191</v>
      </c>
      <c r="BJ348" s="191">
        <v>42600</v>
      </c>
      <c r="BK348" s="192" t="s">
        <v>87</v>
      </c>
      <c r="BN348" s="94">
        <v>42583</v>
      </c>
      <c r="BO348" s="95" t="s">
        <v>80</v>
      </c>
      <c r="BP348" s="96">
        <v>8.74</v>
      </c>
    </row>
    <row r="349" spans="7:68" ht="15">
      <c r="G349" s="239"/>
      <c r="BH349" s="187">
        <v>42601</v>
      </c>
      <c r="BI349" s="180">
        <v>-0.189</v>
      </c>
      <c r="BJ349" s="191">
        <v>42601</v>
      </c>
      <c r="BK349" s="192" t="s">
        <v>88</v>
      </c>
      <c r="BN349" s="94">
        <v>42584</v>
      </c>
      <c r="BO349" s="95" t="s">
        <v>80</v>
      </c>
      <c r="BP349" s="96">
        <v>8.73</v>
      </c>
    </row>
    <row r="350" spans="7:68" ht="15">
      <c r="G350" s="239"/>
      <c r="BH350" s="187">
        <v>42604</v>
      </c>
      <c r="BI350" s="180">
        <v>-0.19</v>
      </c>
      <c r="BJ350" s="191">
        <v>42604</v>
      </c>
      <c r="BK350" s="192" t="s">
        <v>89</v>
      </c>
      <c r="BN350" s="94">
        <v>42585</v>
      </c>
      <c r="BO350" s="95" t="s">
        <v>81</v>
      </c>
      <c r="BP350" s="96">
        <v>8.73</v>
      </c>
    </row>
    <row r="351" spans="7:68" ht="15">
      <c r="G351" s="239"/>
      <c r="BH351" s="187">
        <v>42605</v>
      </c>
      <c r="BI351" s="180">
        <v>-0.192</v>
      </c>
      <c r="BJ351" s="191">
        <v>42605</v>
      </c>
      <c r="BK351" s="192" t="s">
        <v>90</v>
      </c>
      <c r="BN351" s="94">
        <v>42586</v>
      </c>
      <c r="BO351" s="95" t="s">
        <v>80</v>
      </c>
      <c r="BP351" s="96">
        <v>8.73</v>
      </c>
    </row>
    <row r="352" spans="7:68" ht="15">
      <c r="G352" s="239"/>
      <c r="BH352" s="187">
        <v>42606</v>
      </c>
      <c r="BI352" s="180">
        <v>-0.191</v>
      </c>
      <c r="BJ352" s="191">
        <v>42606</v>
      </c>
      <c r="BK352" s="192" t="s">
        <v>91</v>
      </c>
      <c r="BN352" s="94">
        <v>42587</v>
      </c>
      <c r="BO352" s="95" t="s">
        <v>80</v>
      </c>
      <c r="BP352" s="96">
        <v>8.73</v>
      </c>
    </row>
    <row r="353" spans="7:68" ht="15">
      <c r="G353" s="239"/>
      <c r="BH353" s="187">
        <v>42607</v>
      </c>
      <c r="BI353" s="180">
        <v>-0.192</v>
      </c>
      <c r="BJ353" s="191">
        <v>42607</v>
      </c>
      <c r="BK353" s="192" t="s">
        <v>92</v>
      </c>
      <c r="BN353" s="94">
        <v>42590</v>
      </c>
      <c r="BO353" s="95" t="s">
        <v>81</v>
      </c>
      <c r="BP353" s="96">
        <v>8.7200000000000006</v>
      </c>
    </row>
    <row r="354" spans="7:68" ht="15">
      <c r="G354" s="239"/>
      <c r="BH354" s="187">
        <v>42608</v>
      </c>
      <c r="BI354" s="180">
        <v>-0.191</v>
      </c>
      <c r="BJ354" s="191">
        <v>42608</v>
      </c>
      <c r="BK354" s="192" t="s">
        <v>91</v>
      </c>
      <c r="BN354" s="94">
        <v>42591</v>
      </c>
      <c r="BO354" s="95" t="s">
        <v>80</v>
      </c>
      <c r="BP354" s="96">
        <v>8.7200000000000006</v>
      </c>
    </row>
    <row r="355" spans="7:68" ht="15">
      <c r="G355" s="239"/>
      <c r="BH355" s="187">
        <v>42611</v>
      </c>
      <c r="BI355" s="180">
        <v>-0.193</v>
      </c>
      <c r="BJ355" s="191">
        <v>42611</v>
      </c>
      <c r="BK355" s="192" t="s">
        <v>93</v>
      </c>
      <c r="BN355" s="94">
        <v>42592</v>
      </c>
      <c r="BO355" s="95" t="s">
        <v>82</v>
      </c>
      <c r="BP355" s="96">
        <v>8.7100000000000009</v>
      </c>
    </row>
    <row r="356" spans="7:68" ht="15">
      <c r="G356" s="239"/>
      <c r="BH356" s="187">
        <v>42612</v>
      </c>
      <c r="BI356" s="180">
        <v>-0.192</v>
      </c>
      <c r="BJ356" s="191">
        <v>42612</v>
      </c>
      <c r="BK356" s="192" t="s">
        <v>90</v>
      </c>
      <c r="BN356" s="94">
        <v>42593</v>
      </c>
      <c r="BO356" s="95" t="s">
        <v>83</v>
      </c>
      <c r="BP356" s="96">
        <v>8.7100000000000009</v>
      </c>
    </row>
    <row r="357" spans="7:68" ht="15">
      <c r="G357" s="239"/>
      <c r="BH357" s="187">
        <v>42613</v>
      </c>
      <c r="BI357" s="180">
        <v>-0.192</v>
      </c>
      <c r="BJ357" s="191">
        <v>42613</v>
      </c>
      <c r="BK357" s="192" t="s">
        <v>93</v>
      </c>
      <c r="BN357" s="94">
        <v>42594</v>
      </c>
      <c r="BO357" s="95" t="s">
        <v>84</v>
      </c>
      <c r="BP357" s="96">
        <v>8.7100000000000009</v>
      </c>
    </row>
    <row r="358" spans="7:68" ht="15">
      <c r="G358" s="239"/>
      <c r="BH358" s="187">
        <v>42614</v>
      </c>
      <c r="BI358" s="180">
        <v>-0.193</v>
      </c>
      <c r="BJ358" s="191">
        <v>42614</v>
      </c>
      <c r="BK358" s="192" t="s">
        <v>90</v>
      </c>
      <c r="BN358" s="94">
        <v>42598</v>
      </c>
      <c r="BO358" s="95" t="s">
        <v>85</v>
      </c>
      <c r="BP358" s="96">
        <v>8.6999999999999993</v>
      </c>
    </row>
    <row r="359" spans="7:68" ht="15">
      <c r="G359" s="239"/>
      <c r="BH359" s="187">
        <v>42615</v>
      </c>
      <c r="BI359" s="180">
        <v>-0.193</v>
      </c>
      <c r="BJ359" s="191">
        <v>42615</v>
      </c>
      <c r="BK359" s="192" t="s">
        <v>94</v>
      </c>
      <c r="BN359" s="94">
        <v>42599</v>
      </c>
      <c r="BO359" s="95" t="s">
        <v>86</v>
      </c>
      <c r="BP359" s="96">
        <v>8.6999999999999993</v>
      </c>
    </row>
    <row r="360" spans="7:68" ht="15">
      <c r="G360" s="239"/>
      <c r="BH360" s="187">
        <v>42618</v>
      </c>
      <c r="BI360" s="180">
        <v>-0.19500000000000001</v>
      </c>
      <c r="BJ360" s="191">
        <v>42618</v>
      </c>
      <c r="BK360" s="192" t="s">
        <v>95</v>
      </c>
      <c r="BN360" s="94">
        <v>42600</v>
      </c>
      <c r="BO360" s="95" t="s">
        <v>87</v>
      </c>
      <c r="BP360" s="96">
        <v>8.6999999999999993</v>
      </c>
    </row>
    <row r="361" spans="7:68" ht="15">
      <c r="G361" s="239"/>
      <c r="BH361" s="187">
        <v>42619</v>
      </c>
      <c r="BI361" s="180">
        <v>-0.19700000000000001</v>
      </c>
      <c r="BJ361" s="191">
        <v>42619</v>
      </c>
      <c r="BK361" s="192" t="s">
        <v>95</v>
      </c>
      <c r="BN361" s="94">
        <v>42601</v>
      </c>
      <c r="BO361" s="95" t="s">
        <v>88</v>
      </c>
      <c r="BP361" s="96">
        <v>8.69</v>
      </c>
    </row>
    <row r="362" spans="7:68" ht="15">
      <c r="G362" s="239"/>
      <c r="BH362" s="187">
        <v>42620</v>
      </c>
      <c r="BI362" s="180">
        <v>-0.19800000000000001</v>
      </c>
      <c r="BJ362" s="191">
        <v>42620</v>
      </c>
      <c r="BK362" s="192" t="s">
        <v>94</v>
      </c>
      <c r="BN362" s="94">
        <v>42604</v>
      </c>
      <c r="BO362" s="95" t="s">
        <v>89</v>
      </c>
      <c r="BP362" s="96">
        <v>8.68</v>
      </c>
    </row>
    <row r="363" spans="7:68" ht="15">
      <c r="G363" s="239"/>
      <c r="BH363" s="187">
        <v>42621</v>
      </c>
      <c r="BI363" s="180">
        <v>-0.20100000000000001</v>
      </c>
      <c r="BJ363" s="191">
        <v>42621</v>
      </c>
      <c r="BK363" s="192" t="s">
        <v>89</v>
      </c>
      <c r="BN363" s="94">
        <v>42605</v>
      </c>
      <c r="BO363" s="95" t="s">
        <v>90</v>
      </c>
      <c r="BP363" s="96">
        <v>8.68</v>
      </c>
    </row>
    <row r="364" spans="7:68" ht="15">
      <c r="G364" s="239"/>
      <c r="BH364" s="187">
        <v>42622</v>
      </c>
      <c r="BI364" s="180">
        <v>-0.19800000000000001</v>
      </c>
      <c r="BJ364" s="191">
        <v>42622</v>
      </c>
      <c r="BK364" s="192" t="s">
        <v>88</v>
      </c>
      <c r="BN364" s="94">
        <v>42606</v>
      </c>
      <c r="BO364" s="95" t="s">
        <v>91</v>
      </c>
      <c r="BP364" s="96">
        <v>8.68</v>
      </c>
    </row>
    <row r="365" spans="7:68" ht="15">
      <c r="G365" s="239"/>
      <c r="BH365" s="187">
        <v>42625</v>
      </c>
      <c r="BI365" s="180">
        <v>-0.19800000000000001</v>
      </c>
      <c r="BJ365" s="191">
        <v>42625</v>
      </c>
      <c r="BK365" s="192" t="s">
        <v>96</v>
      </c>
      <c r="BN365" s="94">
        <v>42607</v>
      </c>
      <c r="BO365" s="95" t="s">
        <v>92</v>
      </c>
      <c r="BP365" s="96">
        <v>8.68</v>
      </c>
    </row>
    <row r="366" spans="7:68" ht="15">
      <c r="G366" s="239"/>
      <c r="BH366" s="187">
        <v>42626</v>
      </c>
      <c r="BI366" s="180">
        <v>-0.19900000000000001</v>
      </c>
      <c r="BJ366" s="191">
        <v>42626</v>
      </c>
      <c r="BK366" s="192" t="s">
        <v>85</v>
      </c>
      <c r="BN366" s="94">
        <v>42608</v>
      </c>
      <c r="BO366" s="95" t="s">
        <v>91</v>
      </c>
      <c r="BP366" s="96">
        <v>8.67</v>
      </c>
    </row>
    <row r="367" spans="7:68" ht="15">
      <c r="G367" s="239"/>
      <c r="BH367" s="187">
        <v>42627</v>
      </c>
      <c r="BI367" s="180">
        <v>-0.19900000000000001</v>
      </c>
      <c r="BJ367" s="191">
        <v>42627</v>
      </c>
      <c r="BK367" s="192" t="s">
        <v>84</v>
      </c>
      <c r="BN367" s="94">
        <v>42611</v>
      </c>
      <c r="BO367" s="95" t="s">
        <v>93</v>
      </c>
      <c r="BP367" s="96">
        <v>8.67</v>
      </c>
    </row>
    <row r="368" spans="7:68" ht="15">
      <c r="G368" s="239"/>
      <c r="BH368" s="187">
        <v>42628</v>
      </c>
      <c r="BI368" s="180">
        <v>-0.19900000000000001</v>
      </c>
      <c r="BJ368" s="191">
        <v>42628</v>
      </c>
      <c r="BK368" s="192" t="s">
        <v>97</v>
      </c>
      <c r="BN368" s="94">
        <v>42612</v>
      </c>
      <c r="BO368" s="95" t="s">
        <v>90</v>
      </c>
      <c r="BP368" s="96">
        <v>8.66</v>
      </c>
    </row>
    <row r="369" spans="7:68" ht="15">
      <c r="G369" s="239"/>
      <c r="BH369" s="187">
        <v>42629</v>
      </c>
      <c r="BI369" s="180">
        <v>-0.20100000000000001</v>
      </c>
      <c r="BJ369" s="191">
        <v>42629</v>
      </c>
      <c r="BK369" s="192" t="s">
        <v>98</v>
      </c>
      <c r="BN369" s="94">
        <v>42613</v>
      </c>
      <c r="BO369" s="95" t="s">
        <v>93</v>
      </c>
      <c r="BP369" s="96">
        <v>8.66</v>
      </c>
    </row>
    <row r="370" spans="7:68" ht="15">
      <c r="G370" s="239"/>
      <c r="BH370" s="187">
        <v>42632</v>
      </c>
      <c r="BI370" s="180">
        <v>-0.20200000000000001</v>
      </c>
      <c r="BJ370" s="191">
        <v>42632</v>
      </c>
      <c r="BK370" s="192" t="s">
        <v>99</v>
      </c>
      <c r="BN370" s="94">
        <v>42614</v>
      </c>
      <c r="BO370" s="95" t="s">
        <v>90</v>
      </c>
      <c r="BP370" s="96">
        <v>8.66</v>
      </c>
    </row>
    <row r="371" spans="7:68" ht="15">
      <c r="G371" s="239"/>
      <c r="BH371" s="187">
        <v>42633</v>
      </c>
      <c r="BI371" s="180">
        <v>-0.2</v>
      </c>
      <c r="BJ371" s="191">
        <v>42633</v>
      </c>
      <c r="BK371" s="192" t="s">
        <v>100</v>
      </c>
      <c r="BN371" s="94">
        <v>42615</v>
      </c>
      <c r="BO371" s="95" t="s">
        <v>94</v>
      </c>
      <c r="BP371" s="96">
        <v>8.65</v>
      </c>
    </row>
    <row r="372" spans="7:68" ht="15">
      <c r="G372" s="239"/>
      <c r="BH372" s="187">
        <v>42634</v>
      </c>
      <c r="BI372" s="180">
        <v>-0.20100000000000001</v>
      </c>
      <c r="BJ372" s="191">
        <v>42634</v>
      </c>
      <c r="BK372" s="192" t="s">
        <v>101</v>
      </c>
      <c r="BN372" s="94">
        <v>42618</v>
      </c>
      <c r="BO372" s="95" t="s">
        <v>95</v>
      </c>
      <c r="BP372" s="96">
        <v>8.65</v>
      </c>
    </row>
    <row r="373" spans="7:68" ht="15">
      <c r="G373" s="239"/>
      <c r="BH373" s="187">
        <v>42635</v>
      </c>
      <c r="BI373" s="180">
        <v>-0.20100000000000001</v>
      </c>
      <c r="BJ373" s="191">
        <v>42635</v>
      </c>
      <c r="BK373" s="192" t="s">
        <v>73</v>
      </c>
      <c r="BN373" s="94">
        <v>42619</v>
      </c>
      <c r="BO373" s="95" t="s">
        <v>95</v>
      </c>
      <c r="BP373" s="96">
        <v>8.64</v>
      </c>
    </row>
    <row r="374" spans="7:68" ht="15">
      <c r="G374" s="239"/>
      <c r="BH374" s="187">
        <v>42636</v>
      </c>
      <c r="BI374" s="180">
        <v>-0.2</v>
      </c>
      <c r="BJ374" s="191">
        <v>42636</v>
      </c>
      <c r="BK374" s="192" t="s">
        <v>73</v>
      </c>
      <c r="BN374" s="94">
        <v>42620</v>
      </c>
      <c r="BO374" s="95" t="s">
        <v>94</v>
      </c>
      <c r="BP374" s="96">
        <v>8.64</v>
      </c>
    </row>
    <row r="375" spans="7:68" ht="15">
      <c r="G375" s="239"/>
      <c r="BH375" s="187">
        <v>42639</v>
      </c>
      <c r="BI375" s="180">
        <v>-0.19900000000000001</v>
      </c>
      <c r="BJ375" s="191">
        <v>42639</v>
      </c>
      <c r="BK375" s="192" t="s">
        <v>99</v>
      </c>
      <c r="BN375" s="94">
        <v>42621</v>
      </c>
      <c r="BO375" s="95" t="s">
        <v>89</v>
      </c>
      <c r="BP375" s="96">
        <v>8.64</v>
      </c>
    </row>
    <row r="376" spans="7:68" ht="15">
      <c r="G376" s="239"/>
      <c r="BH376" s="187">
        <v>42640</v>
      </c>
      <c r="BI376" s="180">
        <v>-0.20100000000000001</v>
      </c>
      <c r="BJ376" s="191">
        <v>42640</v>
      </c>
      <c r="BK376" s="192" t="s">
        <v>75</v>
      </c>
      <c r="BN376" s="94">
        <v>42622</v>
      </c>
      <c r="BO376" s="95" t="s">
        <v>88</v>
      </c>
      <c r="BP376" s="96">
        <v>8.64</v>
      </c>
    </row>
    <row r="377" spans="7:68" ht="15">
      <c r="G377" s="239"/>
      <c r="BH377" s="187">
        <v>42641</v>
      </c>
      <c r="BI377" s="180">
        <v>-0.20200000000000001</v>
      </c>
      <c r="BJ377" s="191">
        <v>42641</v>
      </c>
      <c r="BK377" s="192" t="s">
        <v>98</v>
      </c>
      <c r="BN377" s="94">
        <v>42625</v>
      </c>
      <c r="BO377" s="95" t="s">
        <v>96</v>
      </c>
      <c r="BP377" s="96">
        <v>8.6300000000000008</v>
      </c>
    </row>
    <row r="378" spans="7:68" ht="15">
      <c r="G378" s="239"/>
      <c r="BH378" s="187">
        <v>42642</v>
      </c>
      <c r="BI378" s="180">
        <v>-0.20100000000000001</v>
      </c>
      <c r="BJ378" s="191">
        <v>42642</v>
      </c>
      <c r="BK378" s="192" t="s">
        <v>77</v>
      </c>
      <c r="BN378" s="94">
        <v>42626</v>
      </c>
      <c r="BO378" s="95" t="s">
        <v>85</v>
      </c>
      <c r="BP378" s="96">
        <v>8.6300000000000008</v>
      </c>
    </row>
    <row r="379" spans="7:68" ht="15">
      <c r="G379" s="239"/>
      <c r="BH379" s="187">
        <v>42643</v>
      </c>
      <c r="BI379" s="180">
        <v>-0.20300000000000001</v>
      </c>
      <c r="BJ379" s="191">
        <v>42643</v>
      </c>
      <c r="BK379" s="192" t="s">
        <v>102</v>
      </c>
      <c r="BN379" s="94">
        <v>42627</v>
      </c>
      <c r="BO379" s="95" t="s">
        <v>84</v>
      </c>
      <c r="BP379" s="96">
        <v>8.6199999999999992</v>
      </c>
    </row>
    <row r="380" spans="7:68" ht="15">
      <c r="G380" s="239"/>
      <c r="BH380" s="187">
        <v>42646</v>
      </c>
      <c r="BI380" s="180">
        <v>-0.20300000000000001</v>
      </c>
      <c r="BJ380" s="191">
        <v>42646</v>
      </c>
      <c r="BK380" s="192" t="s">
        <v>103</v>
      </c>
      <c r="BN380" s="94">
        <v>42628</v>
      </c>
      <c r="BO380" s="95" t="s">
        <v>97</v>
      </c>
      <c r="BP380" s="96">
        <v>8.9600000000000009</v>
      </c>
    </row>
    <row r="381" spans="7:68" ht="15">
      <c r="G381" s="239"/>
      <c r="BH381" s="187">
        <v>42647</v>
      </c>
      <c r="BI381" s="180">
        <v>-0.20200000000000001</v>
      </c>
      <c r="BJ381" s="191">
        <v>42647</v>
      </c>
      <c r="BK381" s="192" t="s">
        <v>104</v>
      </c>
      <c r="BN381" s="94">
        <v>42629</v>
      </c>
      <c r="BO381" s="95" t="s">
        <v>98</v>
      </c>
      <c r="BP381" s="96">
        <v>8.9600000000000009</v>
      </c>
    </row>
    <row r="382" spans="7:68" ht="15">
      <c r="G382" s="239"/>
      <c r="BH382" s="187">
        <v>42648</v>
      </c>
      <c r="BI382" s="180">
        <v>-0.20300000000000001</v>
      </c>
      <c r="BJ382" s="191">
        <v>42648</v>
      </c>
      <c r="BK382" s="192" t="s">
        <v>105</v>
      </c>
      <c r="BN382" s="94">
        <v>42632</v>
      </c>
      <c r="BO382" s="95" t="s">
        <v>99</v>
      </c>
      <c r="BP382" s="96">
        <v>8.9499999999999993</v>
      </c>
    </row>
    <row r="383" spans="7:68" ht="15">
      <c r="G383" s="239"/>
      <c r="BH383" s="187">
        <v>42649</v>
      </c>
      <c r="BI383" s="180">
        <v>-0.20200000000000001</v>
      </c>
      <c r="BJ383" s="191">
        <v>42649</v>
      </c>
      <c r="BK383" s="192" t="s">
        <v>106</v>
      </c>
      <c r="BN383" s="94">
        <v>42633</v>
      </c>
      <c r="BO383" s="95" t="s">
        <v>100</v>
      </c>
      <c r="BP383" s="96">
        <v>8.9499999999999993</v>
      </c>
    </row>
    <row r="384" spans="7:68" ht="15">
      <c r="G384" s="239"/>
      <c r="BH384" s="187">
        <v>42650</v>
      </c>
      <c r="BI384" s="180">
        <v>-0.20300000000000001</v>
      </c>
      <c r="BJ384" s="191">
        <v>42650</v>
      </c>
      <c r="BK384" s="192" t="s">
        <v>76</v>
      </c>
      <c r="BN384" s="94">
        <v>42634</v>
      </c>
      <c r="BO384" s="95" t="s">
        <v>101</v>
      </c>
      <c r="BP384" s="96">
        <v>8.9499999999999993</v>
      </c>
    </row>
    <row r="385" spans="7:68" ht="15">
      <c r="G385" s="239"/>
      <c r="BH385" s="187">
        <v>42653</v>
      </c>
      <c r="BI385" s="180">
        <v>-0.20300000000000001</v>
      </c>
      <c r="BJ385" s="191">
        <v>42653</v>
      </c>
      <c r="BK385" s="192" t="s">
        <v>97</v>
      </c>
      <c r="BN385" s="94">
        <v>42635</v>
      </c>
      <c r="BO385" s="95" t="s">
        <v>73</v>
      </c>
      <c r="BP385" s="96">
        <v>8.94</v>
      </c>
    </row>
    <row r="386" spans="7:68" ht="15">
      <c r="G386" s="239"/>
      <c r="BH386" s="187">
        <v>42654</v>
      </c>
      <c r="BI386" s="180">
        <v>-0.20300000000000001</v>
      </c>
      <c r="BJ386" s="191">
        <v>42654</v>
      </c>
      <c r="BK386" s="192" t="s">
        <v>97</v>
      </c>
      <c r="BN386" s="94">
        <v>42636</v>
      </c>
      <c r="BO386" s="95" t="s">
        <v>73</v>
      </c>
      <c r="BP386" s="96">
        <v>8.94</v>
      </c>
    </row>
    <row r="387" spans="7:68" ht="15">
      <c r="G387" s="239"/>
      <c r="BH387" s="187">
        <v>42655</v>
      </c>
      <c r="BI387" s="180">
        <v>-0.20399999999999999</v>
      </c>
      <c r="BJ387" s="191">
        <v>42655</v>
      </c>
      <c r="BK387" s="192" t="s">
        <v>98</v>
      </c>
      <c r="BN387" s="94">
        <v>42639</v>
      </c>
      <c r="BO387" s="95" t="s">
        <v>99</v>
      </c>
      <c r="BP387" s="96">
        <v>8.93</v>
      </c>
    </row>
    <row r="388" spans="7:68" ht="15">
      <c r="G388" s="239"/>
      <c r="BH388" s="187">
        <v>42656</v>
      </c>
      <c r="BI388" s="180">
        <v>-0.20399999999999999</v>
      </c>
      <c r="BJ388" s="191">
        <v>42656</v>
      </c>
      <c r="BK388" s="192" t="s">
        <v>99</v>
      </c>
      <c r="BN388" s="94">
        <v>42640</v>
      </c>
      <c r="BO388" s="95" t="s">
        <v>75</v>
      </c>
      <c r="BP388" s="96">
        <v>8.93</v>
      </c>
    </row>
    <row r="389" spans="7:68" ht="15">
      <c r="G389" s="239"/>
      <c r="BH389" s="187">
        <v>42657</v>
      </c>
      <c r="BI389" s="180">
        <v>-0.20399999999999999</v>
      </c>
      <c r="BJ389" s="191">
        <v>42657</v>
      </c>
      <c r="BK389" s="192" t="s">
        <v>100</v>
      </c>
      <c r="BN389" s="94">
        <v>42641</v>
      </c>
      <c r="BO389" s="95" t="s">
        <v>98</v>
      </c>
      <c r="BP389" s="96">
        <v>8.93</v>
      </c>
    </row>
    <row r="390" spans="7:68" ht="15">
      <c r="G390" s="239"/>
      <c r="BH390" s="187">
        <v>42660</v>
      </c>
      <c r="BI390" s="180">
        <v>-0.20399999999999999</v>
      </c>
      <c r="BJ390" s="191">
        <v>42660</v>
      </c>
      <c r="BK390" s="192" t="s">
        <v>101</v>
      </c>
      <c r="BN390" s="94">
        <v>42642</v>
      </c>
      <c r="BO390" s="95" t="s">
        <v>77</v>
      </c>
      <c r="BP390" s="96">
        <v>8.92</v>
      </c>
    </row>
    <row r="391" spans="7:68" ht="15">
      <c r="G391" s="239"/>
      <c r="BH391" s="187">
        <v>42661</v>
      </c>
      <c r="BI391" s="180">
        <v>-0.20899999999999999</v>
      </c>
      <c r="BJ391" s="191">
        <v>42661</v>
      </c>
      <c r="BK391" s="192" t="s">
        <v>107</v>
      </c>
      <c r="BN391" s="94">
        <v>42643</v>
      </c>
      <c r="BO391" s="95" t="s">
        <v>102</v>
      </c>
      <c r="BP391" s="96">
        <v>8.92</v>
      </c>
    </row>
    <row r="392" spans="7:68" ht="15">
      <c r="G392" s="239"/>
      <c r="BH392" s="187">
        <v>42662</v>
      </c>
      <c r="BI392" s="180">
        <v>-0.21</v>
      </c>
      <c r="BJ392" s="191">
        <v>42662</v>
      </c>
      <c r="BK392" s="192" t="s">
        <v>108</v>
      </c>
      <c r="BN392" s="94">
        <v>42646</v>
      </c>
      <c r="BO392" s="95" t="s">
        <v>103</v>
      </c>
      <c r="BP392" s="96">
        <v>8.91</v>
      </c>
    </row>
    <row r="393" spans="7:68" ht="15">
      <c r="G393" s="239"/>
      <c r="BH393" s="187">
        <v>42663</v>
      </c>
      <c r="BI393" s="180">
        <v>-0.21099999999999999</v>
      </c>
      <c r="BJ393" s="191">
        <v>42663</v>
      </c>
      <c r="BK393" s="192" t="s">
        <v>109</v>
      </c>
      <c r="BN393" s="94">
        <v>42647</v>
      </c>
      <c r="BO393" s="95" t="s">
        <v>104</v>
      </c>
      <c r="BP393" s="96">
        <v>8.91</v>
      </c>
    </row>
    <row r="394" spans="7:68" ht="15">
      <c r="G394" s="239"/>
      <c r="BH394" s="187">
        <v>42664</v>
      </c>
      <c r="BI394" s="180">
        <v>-0.21099999999999999</v>
      </c>
      <c r="BJ394" s="191">
        <v>42664</v>
      </c>
      <c r="BK394" s="192" t="s">
        <v>110</v>
      </c>
      <c r="BN394" s="94">
        <v>42648</v>
      </c>
      <c r="BO394" s="95" t="s">
        <v>105</v>
      </c>
      <c r="BP394" s="96">
        <v>8.91</v>
      </c>
    </row>
    <row r="395" spans="7:68" ht="15">
      <c r="G395" s="239"/>
      <c r="BH395" s="187">
        <v>42667</v>
      </c>
      <c r="BI395" s="180">
        <v>-0.21199999999999999</v>
      </c>
      <c r="BJ395" s="191">
        <v>42667</v>
      </c>
      <c r="BK395" s="192" t="s">
        <v>111</v>
      </c>
      <c r="BN395" s="94">
        <v>42649</v>
      </c>
      <c r="BO395" s="95" t="s">
        <v>106</v>
      </c>
      <c r="BP395" s="96">
        <v>8.9</v>
      </c>
    </row>
    <row r="396" spans="7:68" ht="15">
      <c r="G396" s="239"/>
      <c r="BH396" s="187">
        <v>42668</v>
      </c>
      <c r="BI396" s="180">
        <v>-0.21199999999999999</v>
      </c>
      <c r="BJ396" s="191">
        <v>42668</v>
      </c>
      <c r="BK396" s="192" t="s">
        <v>112</v>
      </c>
      <c r="BN396" s="94">
        <v>42650</v>
      </c>
      <c r="BO396" s="95" t="s">
        <v>76</v>
      </c>
      <c r="BP396" s="96">
        <v>8.9</v>
      </c>
    </row>
    <row r="397" spans="7:68" ht="15">
      <c r="G397" s="239"/>
      <c r="BH397" s="187">
        <v>42669</v>
      </c>
      <c r="BI397" s="180">
        <v>-0.21199999999999999</v>
      </c>
      <c r="BJ397" s="191"/>
      <c r="BK397" s="193" t="str">
        <f>+BK396</f>
        <v>−0,128</v>
      </c>
      <c r="BN397" s="94">
        <v>42653</v>
      </c>
      <c r="BO397" s="95" t="s">
        <v>97</v>
      </c>
      <c r="BP397" s="96">
        <v>8.89</v>
      </c>
    </row>
    <row r="398" spans="7:68" ht="15">
      <c r="G398" s="239"/>
      <c r="BH398" s="187">
        <v>42670</v>
      </c>
      <c r="BI398" s="180">
        <v>-0.21299999999999999</v>
      </c>
      <c r="BJ398" s="191">
        <v>42670</v>
      </c>
      <c r="BK398" s="192" t="s">
        <v>113</v>
      </c>
      <c r="BN398" s="94">
        <v>42654</v>
      </c>
      <c r="BO398" s="95" t="s">
        <v>97</v>
      </c>
      <c r="BP398" s="96">
        <v>8.89</v>
      </c>
    </row>
    <row r="399" spans="7:68" ht="15">
      <c r="G399" s="239"/>
      <c r="BH399" s="187">
        <v>42671</v>
      </c>
      <c r="BI399" s="180">
        <v>-0.21199999999999999</v>
      </c>
      <c r="BJ399" s="191">
        <v>42671</v>
      </c>
      <c r="BK399" s="192" t="s">
        <v>114</v>
      </c>
      <c r="BN399" s="94">
        <v>42655</v>
      </c>
      <c r="BO399" s="95" t="s">
        <v>98</v>
      </c>
      <c r="BP399" s="96">
        <v>8.89</v>
      </c>
    </row>
    <row r="400" spans="7:68" ht="15">
      <c r="G400" s="239"/>
      <c r="BH400" s="187">
        <v>42674</v>
      </c>
      <c r="BI400" s="180">
        <v>-0.21199999999999999</v>
      </c>
      <c r="BJ400" s="191">
        <v>42674</v>
      </c>
      <c r="BK400" s="192" t="s">
        <v>115</v>
      </c>
      <c r="BN400" s="94">
        <v>42656</v>
      </c>
      <c r="BO400" s="95" t="s">
        <v>99</v>
      </c>
      <c r="BP400" s="96">
        <v>8.9600000000000009</v>
      </c>
    </row>
    <row r="401" spans="7:68" ht="15">
      <c r="G401" s="239"/>
      <c r="BH401" s="187">
        <v>42675</v>
      </c>
      <c r="BI401" s="180">
        <v>-0.21099999999999999</v>
      </c>
      <c r="BJ401" s="191"/>
      <c r="BK401" s="193">
        <v>-0.1</v>
      </c>
      <c r="BL401" s="111">
        <f>+(BI401+BK401)/2+0.37</f>
        <v>0.2145</v>
      </c>
      <c r="BN401" s="94">
        <v>42657</v>
      </c>
      <c r="BO401" s="95" t="s">
        <v>100</v>
      </c>
      <c r="BP401" s="96">
        <v>8.9600000000000009</v>
      </c>
    </row>
    <row r="402" spans="7:68" ht="15">
      <c r="G402" s="239"/>
      <c r="BH402" s="187">
        <v>42676</v>
      </c>
      <c r="BI402" s="180">
        <v>-0.21299999999999999</v>
      </c>
      <c r="BJ402" s="191">
        <v>42676</v>
      </c>
      <c r="BK402" s="192" t="s">
        <v>116</v>
      </c>
      <c r="BN402" s="94">
        <v>42660</v>
      </c>
      <c r="BO402" s="95" t="s">
        <v>101</v>
      </c>
      <c r="BP402" s="96">
        <v>8.9499999999999993</v>
      </c>
    </row>
    <row r="403" spans="7:68" ht="15">
      <c r="G403" s="239"/>
      <c r="BH403" s="187">
        <v>42677</v>
      </c>
      <c r="BI403" s="180">
        <v>-0.21299999999999999</v>
      </c>
      <c r="BJ403" s="191">
        <v>42677</v>
      </c>
      <c r="BK403" s="192" t="s">
        <v>117</v>
      </c>
      <c r="BN403" s="94">
        <v>42661</v>
      </c>
      <c r="BO403" s="95" t="s">
        <v>107</v>
      </c>
      <c r="BP403" s="96">
        <v>8.9499999999999993</v>
      </c>
    </row>
    <row r="404" spans="7:68" ht="15">
      <c r="G404" s="239"/>
      <c r="BH404" s="187">
        <v>42678</v>
      </c>
      <c r="BI404" s="180">
        <v>-0.21299999999999999</v>
      </c>
      <c r="BJ404" s="191">
        <v>42678</v>
      </c>
      <c r="BK404" s="192" t="s">
        <v>118</v>
      </c>
      <c r="BN404" s="94">
        <v>42662</v>
      </c>
      <c r="BO404" s="95" t="s">
        <v>108</v>
      </c>
      <c r="BP404" s="96">
        <v>8.9499999999999993</v>
      </c>
    </row>
    <row r="405" spans="7:68" ht="15">
      <c r="G405" s="239"/>
      <c r="BH405" s="187">
        <v>42681</v>
      </c>
      <c r="BI405" s="180">
        <v>-0.21099999999999999</v>
      </c>
      <c r="BJ405" s="191">
        <v>42681</v>
      </c>
      <c r="BK405" s="192" t="s">
        <v>119</v>
      </c>
      <c r="BN405" s="94">
        <v>42663</v>
      </c>
      <c r="BO405" s="95" t="s">
        <v>109</v>
      </c>
      <c r="BP405" s="96">
        <v>8.94</v>
      </c>
    </row>
    <row r="406" spans="7:68" ht="15">
      <c r="G406" s="239"/>
      <c r="BH406" s="187">
        <v>42682</v>
      </c>
      <c r="BI406" s="180">
        <v>-0.21099999999999999</v>
      </c>
      <c r="BJ406" s="191">
        <v>42682</v>
      </c>
      <c r="BK406" s="192" t="s">
        <v>120</v>
      </c>
      <c r="BN406" s="94">
        <v>42664</v>
      </c>
      <c r="BO406" s="95" t="s">
        <v>110</v>
      </c>
      <c r="BP406" s="96">
        <v>8.94</v>
      </c>
    </row>
    <row r="407" spans="7:68" ht="15">
      <c r="G407" s="239"/>
      <c r="BH407" s="187">
        <v>42683</v>
      </c>
      <c r="BI407" s="180">
        <v>-0.21099999999999999</v>
      </c>
      <c r="BJ407" s="191">
        <v>42683</v>
      </c>
      <c r="BK407" s="192" t="s">
        <v>121</v>
      </c>
      <c r="BN407" s="94">
        <v>42667</v>
      </c>
      <c r="BO407" s="95" t="s">
        <v>111</v>
      </c>
      <c r="BP407" s="96">
        <v>8.93</v>
      </c>
    </row>
    <row r="408" spans="7:68" ht="15">
      <c r="G408" s="239"/>
      <c r="BH408" s="187">
        <v>42684</v>
      </c>
      <c r="BI408" s="180">
        <v>-0.21099999999999999</v>
      </c>
      <c r="BJ408" s="191">
        <v>42684</v>
      </c>
      <c r="BK408" s="192" t="s">
        <v>122</v>
      </c>
      <c r="BN408" s="94">
        <v>42668</v>
      </c>
      <c r="BO408" s="95" t="s">
        <v>112</v>
      </c>
      <c r="BP408" s="96">
        <v>8.93</v>
      </c>
    </row>
    <row r="409" spans="7:68" ht="15">
      <c r="G409" s="239"/>
      <c r="BH409" s="187">
        <v>42685</v>
      </c>
      <c r="BI409" s="180">
        <v>-0.21</v>
      </c>
      <c r="BJ409" s="191">
        <v>42685</v>
      </c>
      <c r="BK409" s="192" t="s">
        <v>123</v>
      </c>
      <c r="BN409" s="94">
        <v>42670</v>
      </c>
      <c r="BO409" s="95" t="s">
        <v>113</v>
      </c>
      <c r="BP409" s="96">
        <v>8.92</v>
      </c>
    </row>
    <row r="410" spans="7:68" ht="15">
      <c r="G410" s="239"/>
      <c r="BH410" s="187">
        <v>42688</v>
      </c>
      <c r="BI410" s="180">
        <v>-0.21099999999999999</v>
      </c>
      <c r="BJ410" s="191">
        <v>42688</v>
      </c>
      <c r="BK410" s="192" t="s">
        <v>124</v>
      </c>
      <c r="BN410" s="94">
        <v>42671</v>
      </c>
      <c r="BO410" s="95" t="s">
        <v>114</v>
      </c>
      <c r="BP410" s="96">
        <v>8.92</v>
      </c>
    </row>
    <row r="411" spans="7:68" ht="15">
      <c r="G411" s="239"/>
      <c r="BH411" s="187">
        <v>42689</v>
      </c>
      <c r="BI411" s="180">
        <v>-0.21099999999999999</v>
      </c>
      <c r="BJ411" s="191">
        <v>42689</v>
      </c>
      <c r="BK411" s="192" t="s">
        <v>125</v>
      </c>
      <c r="BN411" s="94">
        <v>42674</v>
      </c>
      <c r="BO411" s="95" t="s">
        <v>115</v>
      </c>
      <c r="BP411" s="96">
        <v>8.91</v>
      </c>
    </row>
    <row r="412" spans="7:68" ht="15">
      <c r="G412" s="239"/>
      <c r="BH412" s="187">
        <v>42690</v>
      </c>
      <c r="BI412" s="180">
        <v>-0.214</v>
      </c>
      <c r="BJ412" s="191">
        <v>42690</v>
      </c>
      <c r="BK412" s="192">
        <v>0</v>
      </c>
      <c r="BN412" s="94">
        <v>42676</v>
      </c>
      <c r="BO412" s="95" t="s">
        <v>116</v>
      </c>
      <c r="BP412" s="96">
        <v>9.5299999999999994</v>
      </c>
    </row>
    <row r="413" spans="7:68" ht="15">
      <c r="G413" s="239"/>
      <c r="BH413" s="187">
        <v>42691</v>
      </c>
      <c r="BI413" s="180">
        <v>-0.215</v>
      </c>
      <c r="BJ413" s="191">
        <v>42691</v>
      </c>
      <c r="BK413" s="192">
        <v>8.9999999999999993E-3</v>
      </c>
      <c r="BN413" s="94">
        <v>42677</v>
      </c>
      <c r="BO413" s="95" t="s">
        <v>117</v>
      </c>
      <c r="BP413" s="96">
        <v>9.5299999999999994</v>
      </c>
    </row>
    <row r="414" spans="7:68" ht="15">
      <c r="G414" s="239"/>
      <c r="BH414" s="187">
        <v>42692</v>
      </c>
      <c r="BI414" s="180">
        <v>-0.217</v>
      </c>
      <c r="BJ414" s="191">
        <v>42692</v>
      </c>
      <c r="BK414" s="192">
        <v>0.02</v>
      </c>
      <c r="BN414" s="94">
        <v>42678</v>
      </c>
      <c r="BO414" s="95" t="s">
        <v>118</v>
      </c>
      <c r="BP414" s="96">
        <v>9.5299999999999994</v>
      </c>
    </row>
    <row r="415" spans="7:68" ht="15">
      <c r="G415" s="239"/>
      <c r="BH415" s="187">
        <v>42695</v>
      </c>
      <c r="BI415" s="180">
        <v>-0.219</v>
      </c>
      <c r="BJ415" s="191">
        <v>42695</v>
      </c>
      <c r="BK415" s="192">
        <v>0.03</v>
      </c>
      <c r="BN415" s="94">
        <v>42681</v>
      </c>
      <c r="BO415" s="95" t="s">
        <v>119</v>
      </c>
      <c r="BP415" s="96">
        <v>9.52</v>
      </c>
    </row>
    <row r="416" spans="7:68" ht="15">
      <c r="G416" s="239"/>
      <c r="BH416" s="187">
        <v>42696</v>
      </c>
      <c r="BI416" s="180">
        <v>-0.22</v>
      </c>
      <c r="BJ416" s="191">
        <v>42696</v>
      </c>
      <c r="BK416" s="192">
        <v>3.7999999999999999E-2</v>
      </c>
      <c r="BN416" s="94">
        <v>42682</v>
      </c>
      <c r="BO416" s="95" t="s">
        <v>120</v>
      </c>
      <c r="BP416" s="96">
        <v>9.52</v>
      </c>
    </row>
    <row r="417" spans="7:68" ht="15">
      <c r="G417" s="239"/>
      <c r="BH417" s="187">
        <v>42697</v>
      </c>
      <c r="BI417" s="180">
        <v>-0.22</v>
      </c>
      <c r="BJ417" s="191">
        <v>42697</v>
      </c>
      <c r="BK417" s="192">
        <v>4.8000000000000001E-2</v>
      </c>
      <c r="BN417" s="94">
        <v>42683</v>
      </c>
      <c r="BO417" s="95" t="s">
        <v>121</v>
      </c>
      <c r="BP417" s="96">
        <v>9.51</v>
      </c>
    </row>
    <row r="418" spans="7:68" ht="15">
      <c r="G418" s="239"/>
      <c r="BH418" s="187">
        <v>42698</v>
      </c>
      <c r="BI418" s="180">
        <v>-0.219</v>
      </c>
      <c r="BJ418" s="191">
        <v>42698</v>
      </c>
      <c r="BK418" s="192">
        <v>5.6000000000000001E-2</v>
      </c>
      <c r="BN418" s="94">
        <v>42684</v>
      </c>
      <c r="BO418" s="95" t="s">
        <v>122</v>
      </c>
      <c r="BP418" s="96">
        <v>9.51</v>
      </c>
    </row>
    <row r="419" spans="7:68" ht="15">
      <c r="G419" s="239"/>
      <c r="BH419" s="187">
        <v>42699</v>
      </c>
      <c r="BI419" s="180">
        <v>-0.219</v>
      </c>
      <c r="BJ419" s="191">
        <v>42699</v>
      </c>
      <c r="BK419" s="192">
        <v>6.0999999999999999E-2</v>
      </c>
      <c r="BN419" s="94">
        <v>42685</v>
      </c>
      <c r="BO419" s="95" t="s">
        <v>123</v>
      </c>
      <c r="BP419" s="96">
        <v>9.51</v>
      </c>
    </row>
    <row r="420" spans="7:68" ht="15">
      <c r="G420" s="239"/>
      <c r="BH420" s="187">
        <v>42702</v>
      </c>
      <c r="BI420" s="180">
        <v>-0.219</v>
      </c>
      <c r="BJ420" s="191">
        <v>42702</v>
      </c>
      <c r="BK420" s="192">
        <v>6.3E-2</v>
      </c>
      <c r="BN420" s="94">
        <v>42688</v>
      </c>
      <c r="BO420" s="95" t="s">
        <v>124</v>
      </c>
      <c r="BP420" s="96">
        <v>9.5</v>
      </c>
    </row>
    <row r="421" spans="7:68" ht="15">
      <c r="G421" s="239"/>
      <c r="BH421" s="187">
        <v>42703</v>
      </c>
      <c r="BI421" s="180">
        <v>-0.219</v>
      </c>
      <c r="BJ421" s="191">
        <v>42703</v>
      </c>
      <c r="BK421" s="192">
        <v>6.6000000000000003E-2</v>
      </c>
      <c r="BN421" s="94">
        <v>42689</v>
      </c>
      <c r="BO421" s="95" t="s">
        <v>125</v>
      </c>
      <c r="BP421" s="96">
        <v>9.5</v>
      </c>
    </row>
    <row r="422" spans="7:68" ht="15">
      <c r="G422" s="239"/>
      <c r="BH422" s="187">
        <v>42704</v>
      </c>
      <c r="BI422" s="180">
        <v>-0.219</v>
      </c>
      <c r="BJ422" s="191">
        <v>42704</v>
      </c>
      <c r="BK422" s="192">
        <v>7.0000000000000007E-2</v>
      </c>
      <c r="BN422" s="94">
        <v>42690</v>
      </c>
      <c r="BO422" s="95">
        <v>0</v>
      </c>
      <c r="BP422" s="96">
        <v>9.49</v>
      </c>
    </row>
    <row r="423" spans="7:68" ht="15">
      <c r="G423" s="239"/>
      <c r="BH423" s="187">
        <v>42705</v>
      </c>
      <c r="BI423" s="180">
        <v>-0.219</v>
      </c>
      <c r="BJ423" s="191">
        <v>42705</v>
      </c>
      <c r="BK423" s="192">
        <v>7.4999999999999997E-2</v>
      </c>
      <c r="BN423" s="94">
        <v>42691</v>
      </c>
      <c r="BO423" s="95">
        <v>8.9999999999999993E-3</v>
      </c>
      <c r="BP423" s="96">
        <v>9.49</v>
      </c>
    </row>
    <row r="424" spans="7:68" ht="15">
      <c r="G424" s="239"/>
      <c r="BH424" s="187">
        <v>42706</v>
      </c>
      <c r="BI424" s="180">
        <v>-0.218</v>
      </c>
      <c r="BJ424" s="191">
        <v>42706</v>
      </c>
      <c r="BK424" s="192">
        <v>0.08</v>
      </c>
      <c r="BN424" s="94">
        <v>42692</v>
      </c>
      <c r="BO424" s="95">
        <v>0.02</v>
      </c>
      <c r="BP424" s="96">
        <v>9.49</v>
      </c>
    </row>
    <row r="425" spans="7:68" ht="15">
      <c r="G425" s="239"/>
      <c r="BH425" s="187">
        <v>42709</v>
      </c>
      <c r="BI425" s="180">
        <v>-0.218</v>
      </c>
      <c r="BJ425" s="191">
        <v>42709</v>
      </c>
      <c r="BK425" s="192">
        <v>8.5999999999999993E-2</v>
      </c>
      <c r="BN425" s="94">
        <v>42695</v>
      </c>
      <c r="BO425" s="95">
        <v>0.03</v>
      </c>
      <c r="BP425" s="96">
        <v>9.48</v>
      </c>
    </row>
    <row r="426" spans="7:68" ht="15">
      <c r="G426" s="239"/>
      <c r="BH426" s="187">
        <v>42710</v>
      </c>
      <c r="BI426" s="180">
        <v>-0.219</v>
      </c>
      <c r="BJ426" s="191">
        <v>42710</v>
      </c>
      <c r="BK426" s="192">
        <v>9.1999999999999998E-2</v>
      </c>
      <c r="BN426" s="94">
        <v>42696</v>
      </c>
      <c r="BO426" s="95">
        <v>3.7999999999999999E-2</v>
      </c>
      <c r="BP426" s="96">
        <v>9.48</v>
      </c>
    </row>
    <row r="427" spans="7:68" ht="15">
      <c r="G427" s="239"/>
      <c r="BH427" s="187">
        <v>42711</v>
      </c>
      <c r="BI427" s="180">
        <v>-0.217</v>
      </c>
      <c r="BJ427" s="191">
        <v>42711</v>
      </c>
      <c r="BK427" s="192">
        <v>9.8000000000000004E-2</v>
      </c>
      <c r="BN427" s="94">
        <v>42697</v>
      </c>
      <c r="BO427" s="95">
        <v>4.8000000000000001E-2</v>
      </c>
      <c r="BP427" s="96">
        <v>9.48</v>
      </c>
    </row>
    <row r="428" spans="7:68" ht="15">
      <c r="G428" s="239"/>
      <c r="BH428" s="187">
        <v>42712</v>
      </c>
      <c r="BI428" s="180">
        <v>-0.217</v>
      </c>
      <c r="BJ428" s="191"/>
      <c r="BK428" s="193">
        <f>+BK427</f>
        <v>9.8000000000000004E-2</v>
      </c>
      <c r="BN428" s="94">
        <v>42698</v>
      </c>
      <c r="BO428" s="95">
        <v>5.6000000000000001E-2</v>
      </c>
      <c r="BP428" s="96">
        <v>9.4700000000000006</v>
      </c>
    </row>
    <row r="429" spans="7:68" ht="15">
      <c r="G429" s="239"/>
      <c r="BH429" s="187">
        <v>42713</v>
      </c>
      <c r="BI429" s="180">
        <v>-0.217</v>
      </c>
      <c r="BJ429" s="191">
        <v>42713</v>
      </c>
      <c r="BK429" s="192">
        <v>0.1</v>
      </c>
      <c r="BN429" s="94">
        <v>42699</v>
      </c>
      <c r="BO429" s="95">
        <v>6.0999999999999999E-2</v>
      </c>
      <c r="BP429" s="96">
        <v>9.4700000000000006</v>
      </c>
    </row>
    <row r="430" spans="7:68" ht="15">
      <c r="G430" s="239"/>
      <c r="BH430" s="187">
        <v>42716</v>
      </c>
      <c r="BI430" s="180">
        <v>-0.217</v>
      </c>
      <c r="BJ430" s="191">
        <v>42716</v>
      </c>
      <c r="BK430" s="192">
        <v>0.10199999999999999</v>
      </c>
      <c r="BN430" s="94">
        <v>42702</v>
      </c>
      <c r="BO430" s="95">
        <v>6.3E-2</v>
      </c>
      <c r="BP430" s="96">
        <v>9.4600000000000009</v>
      </c>
    </row>
    <row r="431" spans="7:68" ht="15">
      <c r="G431" s="239"/>
      <c r="BH431" s="187">
        <v>42717</v>
      </c>
      <c r="BI431" s="180">
        <v>-0.218</v>
      </c>
      <c r="BJ431" s="191">
        <v>42717</v>
      </c>
      <c r="BK431" s="192">
        <v>9.9000000000000005E-2</v>
      </c>
      <c r="BN431" s="94">
        <v>42703</v>
      </c>
      <c r="BO431" s="95">
        <v>6.6000000000000003E-2</v>
      </c>
      <c r="BP431" s="96">
        <v>9.4600000000000009</v>
      </c>
    </row>
    <row r="432" spans="7:68" ht="15">
      <c r="G432" s="239"/>
      <c r="BH432" s="187">
        <v>42718</v>
      </c>
      <c r="BI432" s="180">
        <v>-0.217</v>
      </c>
      <c r="BJ432" s="191">
        <v>42718</v>
      </c>
      <c r="BK432" s="192">
        <v>9.8000000000000004E-2</v>
      </c>
      <c r="BN432" s="94">
        <v>42704</v>
      </c>
      <c r="BO432" s="95">
        <v>7.0000000000000007E-2</v>
      </c>
      <c r="BP432" s="96">
        <v>9.4600000000000009</v>
      </c>
    </row>
    <row r="433" spans="7:68" ht="15">
      <c r="G433" s="239"/>
      <c r="BH433" s="187">
        <v>42719</v>
      </c>
      <c r="BI433" s="180">
        <v>-0.217</v>
      </c>
      <c r="BJ433" s="191">
        <v>42719</v>
      </c>
      <c r="BK433" s="192">
        <v>9.9000000000000005E-2</v>
      </c>
      <c r="BN433" s="94">
        <v>42705</v>
      </c>
      <c r="BO433" s="95">
        <v>7.4999999999999997E-2</v>
      </c>
      <c r="BP433" s="96">
        <v>9.4499999999999993</v>
      </c>
    </row>
    <row r="434" spans="7:68" ht="15">
      <c r="G434" s="239"/>
      <c r="BH434" s="187">
        <v>42720</v>
      </c>
      <c r="BI434" s="180">
        <v>-0.216</v>
      </c>
      <c r="BJ434" s="191">
        <v>42720</v>
      </c>
      <c r="BK434" s="192">
        <v>9.8000000000000004E-2</v>
      </c>
      <c r="BN434" s="94">
        <v>42706</v>
      </c>
      <c r="BO434" s="95">
        <v>0.08</v>
      </c>
      <c r="BP434" s="96">
        <v>9.4499999999999993</v>
      </c>
    </row>
    <row r="435" spans="7:68" ht="15">
      <c r="G435" s="239"/>
      <c r="BH435" s="187">
        <v>42723</v>
      </c>
      <c r="BI435" s="180">
        <v>-0.216</v>
      </c>
      <c r="BJ435" s="191">
        <v>42723</v>
      </c>
      <c r="BK435" s="192">
        <v>9.5000000000000001E-2</v>
      </c>
      <c r="BN435" s="94">
        <v>42709</v>
      </c>
      <c r="BO435" s="95">
        <v>8.5999999999999993E-2</v>
      </c>
      <c r="BP435" s="96">
        <v>9.44</v>
      </c>
    </row>
    <row r="436" spans="7:68" ht="15">
      <c r="G436" s="239"/>
      <c r="BH436" s="187">
        <v>42724</v>
      </c>
      <c r="BI436" s="180">
        <v>-0.218</v>
      </c>
      <c r="BJ436" s="191">
        <v>42724</v>
      </c>
      <c r="BK436" s="192">
        <v>9.2999999999999999E-2</v>
      </c>
      <c r="BN436" s="94">
        <v>42710</v>
      </c>
      <c r="BO436" s="95">
        <v>9.1999999999999998E-2</v>
      </c>
      <c r="BP436" s="96">
        <v>9.44</v>
      </c>
    </row>
    <row r="437" spans="7:68" ht="15">
      <c r="G437" s="239"/>
      <c r="BH437" s="187">
        <v>42725</v>
      </c>
      <c r="BI437" s="180">
        <v>-0.216</v>
      </c>
      <c r="BJ437" s="191">
        <v>42725</v>
      </c>
      <c r="BK437" s="192">
        <v>9.1999999999999998E-2</v>
      </c>
      <c r="BN437" s="94">
        <v>42711</v>
      </c>
      <c r="BO437" s="95">
        <v>9.8000000000000004E-2</v>
      </c>
      <c r="BP437" s="96">
        <v>9.44</v>
      </c>
    </row>
    <row r="438" spans="7:68" ht="15">
      <c r="G438" s="239"/>
      <c r="BH438" s="187">
        <v>42726</v>
      </c>
      <c r="BI438" s="180">
        <v>-0.216</v>
      </c>
      <c r="BJ438" s="191">
        <v>42726</v>
      </c>
      <c r="BK438" s="192">
        <v>9.0999999999999998E-2</v>
      </c>
      <c r="BN438" s="94">
        <v>42713</v>
      </c>
      <c r="BO438" s="95">
        <v>0.1</v>
      </c>
      <c r="BP438" s="96">
        <v>9.43</v>
      </c>
    </row>
    <row r="439" spans="7:68" ht="15">
      <c r="G439" s="239"/>
      <c r="BH439" s="187">
        <v>42727</v>
      </c>
      <c r="BI439" s="180">
        <v>-0.217</v>
      </c>
      <c r="BJ439" s="191">
        <v>42727</v>
      </c>
      <c r="BK439" s="192">
        <v>8.7999999999999995E-2</v>
      </c>
      <c r="BN439" s="94">
        <v>42716</v>
      </c>
      <c r="BO439" s="95">
        <v>0.10199999999999999</v>
      </c>
      <c r="BP439" s="96">
        <v>9.42</v>
      </c>
    </row>
    <row r="440" spans="7:68" ht="15">
      <c r="G440" s="239"/>
      <c r="BH440" s="187">
        <v>42730</v>
      </c>
      <c r="BI440" s="180">
        <v>-0.217</v>
      </c>
      <c r="BJ440" s="191"/>
      <c r="BK440" s="193">
        <f>+BK439</f>
        <v>8.7999999999999995E-2</v>
      </c>
      <c r="BN440" s="94">
        <v>42717</v>
      </c>
      <c r="BO440" s="95">
        <v>9.9000000000000005E-2</v>
      </c>
      <c r="BP440" s="96">
        <v>9.42</v>
      </c>
    </row>
    <row r="441" spans="7:68" ht="15">
      <c r="G441" s="239"/>
      <c r="BH441" s="187">
        <v>42731</v>
      </c>
      <c r="BI441" s="180">
        <v>-0.22</v>
      </c>
      <c r="BJ441" s="191">
        <v>42731</v>
      </c>
      <c r="BK441" s="192">
        <v>8.5000000000000006E-2</v>
      </c>
      <c r="BN441" s="94">
        <v>42718</v>
      </c>
      <c r="BO441" s="95">
        <v>9.8000000000000004E-2</v>
      </c>
      <c r="BP441" s="96">
        <v>9.42</v>
      </c>
    </row>
    <row r="442" spans="7:68" ht="15">
      <c r="G442" s="239"/>
      <c r="BH442" s="187">
        <v>42732</v>
      </c>
      <c r="BI442" s="180">
        <v>-0.221</v>
      </c>
      <c r="BJ442" s="191">
        <v>42732</v>
      </c>
      <c r="BK442" s="192">
        <v>8.1000000000000003E-2</v>
      </c>
      <c r="BN442" s="94">
        <v>42719</v>
      </c>
      <c r="BO442" s="95">
        <v>9.9000000000000005E-2</v>
      </c>
      <c r="BP442" s="96">
        <v>9.41</v>
      </c>
    </row>
    <row r="443" spans="7:68" ht="15">
      <c r="G443" s="239"/>
      <c r="BH443" s="187">
        <v>42733</v>
      </c>
      <c r="BI443" s="180">
        <v>-0.221</v>
      </c>
      <c r="BJ443" s="191">
        <v>42733</v>
      </c>
      <c r="BK443" s="192">
        <v>7.8E-2</v>
      </c>
      <c r="BN443" s="94">
        <v>42720</v>
      </c>
      <c r="BO443" s="95">
        <v>9.8000000000000004E-2</v>
      </c>
      <c r="BP443" s="96">
        <v>9.41</v>
      </c>
    </row>
    <row r="444" spans="7:68" ht="15">
      <c r="G444" s="239"/>
      <c r="BH444" s="187">
        <v>42734</v>
      </c>
      <c r="BI444" s="180">
        <v>-0.221</v>
      </c>
      <c r="BJ444" s="191">
        <v>42734</v>
      </c>
      <c r="BK444" s="192">
        <v>7.5999999999999998E-2</v>
      </c>
      <c r="BN444" s="94">
        <v>42723</v>
      </c>
      <c r="BO444" s="95">
        <v>9.5000000000000001E-2</v>
      </c>
      <c r="BP444" s="96">
        <v>9.4</v>
      </c>
    </row>
    <row r="445" spans="7:68" ht="15">
      <c r="G445" s="239"/>
      <c r="BH445" s="187">
        <v>42737</v>
      </c>
      <c r="BI445" s="180">
        <v>-0.22</v>
      </c>
      <c r="BJ445" s="191">
        <v>42737</v>
      </c>
      <c r="BK445" s="192">
        <v>7.0000000000000007E-2</v>
      </c>
      <c r="BN445" s="94">
        <v>42724</v>
      </c>
      <c r="BO445" s="95">
        <v>9.2999999999999999E-2</v>
      </c>
      <c r="BP445" s="96">
        <v>9.4</v>
      </c>
    </row>
    <row r="446" spans="7:68" ht="15">
      <c r="G446" s="239"/>
      <c r="BH446" s="187">
        <v>42738</v>
      </c>
      <c r="BI446" s="180">
        <v>-0.221</v>
      </c>
      <c r="BJ446" s="191">
        <v>42738</v>
      </c>
      <c r="BK446" s="192">
        <v>6.7000000000000004E-2</v>
      </c>
      <c r="BN446" s="94">
        <v>42725</v>
      </c>
      <c r="BO446" s="95">
        <v>9.1999999999999998E-2</v>
      </c>
      <c r="BP446" s="96">
        <v>9.4</v>
      </c>
    </row>
    <row r="447" spans="7:68" ht="15">
      <c r="G447" s="239"/>
      <c r="BH447" s="187">
        <v>42739</v>
      </c>
      <c r="BI447" s="180">
        <v>-0.224</v>
      </c>
      <c r="BJ447" s="191">
        <v>42739</v>
      </c>
      <c r="BK447" s="192">
        <v>6.4000000000000001E-2</v>
      </c>
      <c r="BN447" s="94">
        <v>42726</v>
      </c>
      <c r="BO447" s="95">
        <v>9.0999999999999998E-2</v>
      </c>
      <c r="BP447" s="96">
        <v>9.4</v>
      </c>
    </row>
    <row r="448" spans="7:68" ht="15">
      <c r="G448" s="239"/>
      <c r="BH448" s="187">
        <v>42740</v>
      </c>
      <c r="BI448" s="180">
        <v>-0.22600000000000001</v>
      </c>
      <c r="BJ448" s="191">
        <v>42740</v>
      </c>
      <c r="BK448" s="192">
        <v>6.2E-2</v>
      </c>
      <c r="BN448" s="94">
        <v>42727</v>
      </c>
      <c r="BO448" s="95">
        <v>8.7999999999999995E-2</v>
      </c>
      <c r="BP448" s="96">
        <v>9.39</v>
      </c>
    </row>
    <row r="449" spans="7:68" ht="15">
      <c r="G449" s="239"/>
      <c r="BH449" s="187">
        <v>42741</v>
      </c>
      <c r="BI449" s="180">
        <v>-0.22900000000000001</v>
      </c>
      <c r="BJ449" s="191"/>
      <c r="BK449" s="193">
        <f>+BK448</f>
        <v>6.2E-2</v>
      </c>
      <c r="BN449" s="94">
        <v>42731</v>
      </c>
      <c r="BO449" s="95">
        <v>8.5000000000000006E-2</v>
      </c>
      <c r="BP449" s="96">
        <v>9.3800000000000008</v>
      </c>
    </row>
    <row r="450" spans="7:68" ht="15">
      <c r="G450" s="239"/>
      <c r="BH450" s="187">
        <v>42744</v>
      </c>
      <c r="BI450" s="180">
        <v>-0.23</v>
      </c>
      <c r="BJ450" s="191">
        <v>42744</v>
      </c>
      <c r="BK450" s="192">
        <v>0.06</v>
      </c>
      <c r="BN450" s="94">
        <v>42732</v>
      </c>
      <c r="BO450" s="95">
        <v>8.1000000000000003E-2</v>
      </c>
      <c r="BP450" s="96">
        <v>9.3800000000000008</v>
      </c>
    </row>
    <row r="451" spans="7:68" ht="15">
      <c r="G451" s="239"/>
      <c r="BH451" s="187">
        <v>42745</v>
      </c>
      <c r="BI451" s="180">
        <v>-0.23200000000000001</v>
      </c>
      <c r="BJ451" s="191">
        <v>42745</v>
      </c>
      <c r="BK451" s="192">
        <v>5.8999999999999997E-2</v>
      </c>
      <c r="BN451" s="94">
        <v>42733</v>
      </c>
      <c r="BO451" s="95">
        <v>7.8E-2</v>
      </c>
      <c r="BP451" s="96">
        <v>9.3800000000000008</v>
      </c>
    </row>
    <row r="452" spans="7:68" ht="15">
      <c r="G452" s="239"/>
      <c r="BH452" s="187">
        <v>42746</v>
      </c>
      <c r="BI452" s="180">
        <v>-0.23300000000000001</v>
      </c>
      <c r="BJ452" s="191">
        <v>42746</v>
      </c>
      <c r="BK452" s="192">
        <v>5.5E-2</v>
      </c>
      <c r="BN452" s="94">
        <v>42734</v>
      </c>
      <c r="BO452" s="95">
        <v>7.5999999999999998E-2</v>
      </c>
      <c r="BP452" s="96">
        <v>9.3699999999999992</v>
      </c>
    </row>
    <row r="453" spans="7:68" ht="15">
      <c r="G453" s="239"/>
      <c r="BH453" s="187">
        <v>42747</v>
      </c>
      <c r="BI453" s="180">
        <v>-0.23400000000000001</v>
      </c>
      <c r="BJ453" s="191">
        <v>42747</v>
      </c>
      <c r="BK453" s="192">
        <v>5.7000000000000002E-2</v>
      </c>
      <c r="BN453" s="94">
        <v>42737</v>
      </c>
      <c r="BO453" s="95">
        <v>7.0000000000000007E-2</v>
      </c>
      <c r="BP453" s="96">
        <v>9.3699999999999992</v>
      </c>
    </row>
    <row r="454" spans="7:68" ht="15">
      <c r="G454" s="239"/>
      <c r="BH454" s="187">
        <v>42748</v>
      </c>
      <c r="BI454" s="180">
        <v>-0.23599999999999999</v>
      </c>
      <c r="BJ454" s="191">
        <v>42748</v>
      </c>
      <c r="BK454" s="192">
        <v>5.6000000000000001E-2</v>
      </c>
      <c r="BN454" s="94">
        <v>42738</v>
      </c>
      <c r="BO454" s="95">
        <v>6.7000000000000004E-2</v>
      </c>
      <c r="BP454" s="96">
        <v>9.36</v>
      </c>
    </row>
    <row r="455" spans="7:68" ht="15">
      <c r="G455" s="239"/>
      <c r="BH455" s="187">
        <v>42751</v>
      </c>
      <c r="BI455" s="180">
        <v>-0.23799999999999999</v>
      </c>
      <c r="BJ455" s="191">
        <v>42751</v>
      </c>
      <c r="BK455" s="192">
        <v>0.10100000000000001</v>
      </c>
      <c r="BN455" s="94">
        <v>42739</v>
      </c>
      <c r="BO455" s="95">
        <v>6.4000000000000001E-2</v>
      </c>
      <c r="BP455" s="96">
        <v>9.36</v>
      </c>
    </row>
    <row r="456" spans="7:68" ht="15">
      <c r="G456" s="239"/>
      <c r="BH456" s="187">
        <v>42752</v>
      </c>
      <c r="BI456" s="180">
        <v>-0.23899999999999999</v>
      </c>
      <c r="BJ456" s="191">
        <v>42752</v>
      </c>
      <c r="BK456" s="192">
        <v>0.1</v>
      </c>
      <c r="BN456" s="94">
        <v>42740</v>
      </c>
      <c r="BO456" s="95">
        <v>6.2E-2</v>
      </c>
      <c r="BP456" s="96">
        <v>9.36</v>
      </c>
    </row>
    <row r="457" spans="7:68" ht="15">
      <c r="G457" s="239"/>
      <c r="BH457" s="187">
        <v>42753</v>
      </c>
      <c r="BI457" s="180">
        <v>-0.24</v>
      </c>
      <c r="BJ457" s="191">
        <v>42753</v>
      </c>
      <c r="BK457" s="192">
        <v>0.1</v>
      </c>
      <c r="BN457" s="94">
        <v>42744</v>
      </c>
      <c r="BO457" s="95">
        <v>0.06</v>
      </c>
      <c r="BP457" s="96">
        <v>9.35</v>
      </c>
    </row>
    <row r="458" spans="7:68" ht="15">
      <c r="G458" s="239"/>
      <c r="BH458" s="187">
        <v>42754</v>
      </c>
      <c r="BI458" s="180">
        <v>-0.24</v>
      </c>
      <c r="BJ458" s="191">
        <v>42754</v>
      </c>
      <c r="BK458" s="192">
        <v>0.10299999999999999</v>
      </c>
      <c r="BN458" s="94">
        <v>42745</v>
      </c>
      <c r="BO458" s="95">
        <v>5.8999999999999997E-2</v>
      </c>
      <c r="BP458" s="96">
        <v>9.34</v>
      </c>
    </row>
    <row r="459" spans="7:68" ht="15">
      <c r="G459" s="239"/>
      <c r="BH459" s="187">
        <v>42755</v>
      </c>
      <c r="BI459" s="180">
        <v>-0.24099999999999999</v>
      </c>
      <c r="BJ459" s="191">
        <v>42755</v>
      </c>
      <c r="BK459" s="192">
        <v>0.108</v>
      </c>
      <c r="BN459" s="94">
        <v>42746</v>
      </c>
      <c r="BO459" s="95">
        <v>5.5E-2</v>
      </c>
      <c r="BP459" s="96">
        <v>9.34</v>
      </c>
    </row>
    <row r="460" spans="7:68" ht="15">
      <c r="G460" s="239"/>
      <c r="BH460" s="187">
        <v>42758</v>
      </c>
      <c r="BI460" s="180">
        <v>-0.24099999999999999</v>
      </c>
      <c r="BJ460" s="191">
        <v>42758</v>
      </c>
      <c r="BK460" s="192">
        <v>0.113</v>
      </c>
      <c r="BN460" s="94">
        <v>42747</v>
      </c>
      <c r="BO460" s="95">
        <v>5.7000000000000002E-2</v>
      </c>
      <c r="BP460" s="96">
        <v>9.39</v>
      </c>
    </row>
    <row r="461" spans="7:68" ht="15">
      <c r="G461" s="239"/>
      <c r="BH461" s="187">
        <v>42759</v>
      </c>
      <c r="BI461" s="180">
        <v>-0.24199999999999999</v>
      </c>
      <c r="BJ461" s="191">
        <v>42759</v>
      </c>
      <c r="BK461" s="192">
        <v>0.11799999999999999</v>
      </c>
      <c r="BN461" s="94">
        <v>42748</v>
      </c>
      <c r="BO461" s="95">
        <v>5.6000000000000001E-2</v>
      </c>
      <c r="BP461" s="96">
        <v>9.3800000000000008</v>
      </c>
    </row>
    <row r="462" spans="7:68" ht="15">
      <c r="G462" s="239"/>
      <c r="BH462" s="187">
        <v>42760</v>
      </c>
      <c r="BI462" s="180">
        <v>-0.24199999999999999</v>
      </c>
      <c r="BJ462" s="191">
        <v>42760</v>
      </c>
      <c r="BK462" s="192">
        <v>0.127</v>
      </c>
      <c r="BN462" s="94">
        <v>42751</v>
      </c>
      <c r="BO462" s="95">
        <v>0.10100000000000001</v>
      </c>
      <c r="BP462" s="96">
        <v>9.9600000000000009</v>
      </c>
    </row>
    <row r="463" spans="7:68" ht="15">
      <c r="G463" s="239"/>
      <c r="BH463" s="187">
        <v>42761</v>
      </c>
      <c r="BI463" s="180">
        <v>-0.24399999999999999</v>
      </c>
      <c r="BJ463" s="191">
        <v>42761</v>
      </c>
      <c r="BK463" s="192">
        <v>0.13800000000000001</v>
      </c>
      <c r="BN463" s="94">
        <v>42752</v>
      </c>
      <c r="BO463" s="95">
        <v>0.1</v>
      </c>
      <c r="BP463" s="96">
        <v>9.9600000000000009</v>
      </c>
    </row>
    <row r="464" spans="7:68" ht="15">
      <c r="G464" s="239"/>
      <c r="BH464" s="187">
        <v>42762</v>
      </c>
      <c r="BI464" s="180">
        <v>-0.24299999999999999</v>
      </c>
      <c r="BJ464" s="191">
        <v>42762</v>
      </c>
      <c r="BK464" s="192">
        <v>0.14899999999999999</v>
      </c>
      <c r="BN464" s="94">
        <v>42753</v>
      </c>
      <c r="BO464" s="95">
        <v>0.1</v>
      </c>
      <c r="BP464" s="96">
        <v>9.9499999999999993</v>
      </c>
    </row>
    <row r="465" spans="7:68" ht="15">
      <c r="G465" s="239"/>
      <c r="BH465" s="187">
        <v>42765</v>
      </c>
      <c r="BI465" s="180">
        <v>-0.24399999999999999</v>
      </c>
      <c r="BJ465" s="191">
        <v>42765</v>
      </c>
      <c r="BK465" s="192">
        <v>0.161</v>
      </c>
      <c r="BN465" s="94">
        <v>42754</v>
      </c>
      <c r="BO465" s="95">
        <v>0.10299999999999999</v>
      </c>
      <c r="BP465" s="96">
        <v>9.9499999999999993</v>
      </c>
    </row>
    <row r="466" spans="7:68" ht="15">
      <c r="G466" s="239"/>
      <c r="BH466" s="187">
        <v>42766</v>
      </c>
      <c r="BI466" s="180">
        <v>-0.24299999999999999</v>
      </c>
      <c r="BJ466" s="191">
        <v>42766</v>
      </c>
      <c r="BK466" s="192">
        <v>0.17199999999999999</v>
      </c>
      <c r="BN466" s="94">
        <v>42755</v>
      </c>
      <c r="BO466" s="95">
        <v>0.108</v>
      </c>
      <c r="BP466" s="96">
        <v>9.9499999999999993</v>
      </c>
    </row>
    <row r="467" spans="7:68" ht="15">
      <c r="G467" s="239"/>
      <c r="BH467" s="187">
        <v>42767</v>
      </c>
      <c r="BI467" s="180">
        <v>-0.24399999999999999</v>
      </c>
      <c r="BJ467" s="191">
        <v>42767</v>
      </c>
      <c r="BK467" s="192">
        <v>0.18099999999999999</v>
      </c>
      <c r="BN467" s="94">
        <v>42758</v>
      </c>
      <c r="BO467" s="95">
        <v>0.113</v>
      </c>
      <c r="BP467" s="96">
        <v>9.94</v>
      </c>
    </row>
    <row r="468" spans="7:68" ht="15">
      <c r="G468" s="239"/>
      <c r="BH468" s="187">
        <v>42768</v>
      </c>
      <c r="BI468" s="180">
        <v>-0.24399999999999999</v>
      </c>
      <c r="BJ468" s="191">
        <v>42768</v>
      </c>
      <c r="BK468" s="192">
        <v>0.188</v>
      </c>
      <c r="BN468" s="94">
        <v>42759</v>
      </c>
      <c r="BO468" s="95">
        <v>0.11799999999999999</v>
      </c>
      <c r="BP468" s="96">
        <v>9.94</v>
      </c>
    </row>
    <row r="469" spans="7:68" ht="15">
      <c r="G469" s="239"/>
      <c r="BH469" s="187">
        <v>42769</v>
      </c>
      <c r="BI469" s="180">
        <v>-0.24399999999999999</v>
      </c>
      <c r="BJ469" s="191">
        <v>42769</v>
      </c>
      <c r="BK469" s="192">
        <v>0.192</v>
      </c>
      <c r="BN469" s="94">
        <v>42760</v>
      </c>
      <c r="BO469" s="95">
        <v>0.127</v>
      </c>
      <c r="BP469" s="96">
        <v>9.94</v>
      </c>
    </row>
    <row r="470" spans="7:68" ht="15">
      <c r="G470" s="239"/>
      <c r="BH470" s="187">
        <v>42772</v>
      </c>
      <c r="BI470" s="180">
        <v>-0.24399999999999999</v>
      </c>
      <c r="BJ470" s="191">
        <v>42772</v>
      </c>
      <c r="BK470" s="192">
        <v>0.19500000000000001</v>
      </c>
      <c r="BN470" s="94">
        <v>42761</v>
      </c>
      <c r="BO470" s="95">
        <v>0.13800000000000001</v>
      </c>
      <c r="BP470" s="96">
        <v>9.93</v>
      </c>
    </row>
    <row r="471" spans="7:68" ht="15">
      <c r="G471" s="239"/>
      <c r="BH471" s="187">
        <v>42773</v>
      </c>
      <c r="BI471" s="180">
        <v>-0.24399999999999999</v>
      </c>
      <c r="BJ471" s="191">
        <v>42773</v>
      </c>
      <c r="BK471" s="192">
        <v>0.19700000000000001</v>
      </c>
      <c r="BN471" s="94">
        <v>42762</v>
      </c>
      <c r="BO471" s="95">
        <v>0.14899999999999999</v>
      </c>
      <c r="BP471" s="96">
        <v>9.93</v>
      </c>
    </row>
    <row r="472" spans="7:68" ht="15">
      <c r="G472" s="239"/>
      <c r="BH472" s="187">
        <v>42774</v>
      </c>
      <c r="BI472" s="180">
        <v>-0.24199999999999999</v>
      </c>
      <c r="BJ472" s="191">
        <v>42774</v>
      </c>
      <c r="BK472" s="192">
        <v>0.19800000000000001</v>
      </c>
      <c r="BN472" s="94">
        <v>42765</v>
      </c>
      <c r="BO472" s="95">
        <v>0.161</v>
      </c>
      <c r="BP472" s="96">
        <v>9.92</v>
      </c>
    </row>
    <row r="473" spans="7:68" ht="15">
      <c r="G473" s="239"/>
      <c r="BH473" s="187">
        <v>42775</v>
      </c>
      <c r="BI473" s="180">
        <v>-0.24099999999999999</v>
      </c>
      <c r="BJ473" s="191">
        <v>42775</v>
      </c>
      <c r="BK473" s="192">
        <v>0.2</v>
      </c>
      <c r="BN473" s="94">
        <v>42766</v>
      </c>
      <c r="BO473" s="95">
        <v>0.17199999999999999</v>
      </c>
      <c r="BP473" s="96">
        <v>9.92</v>
      </c>
    </row>
    <row r="474" spans="7:68" ht="15">
      <c r="G474" s="239"/>
      <c r="BH474" s="187">
        <v>42776</v>
      </c>
      <c r="BI474" s="180">
        <v>-0.24</v>
      </c>
      <c r="BJ474" s="191">
        <v>42776</v>
      </c>
      <c r="BK474" s="192">
        <v>0.20200000000000001</v>
      </c>
      <c r="BN474" s="94">
        <v>42767</v>
      </c>
      <c r="BO474" s="95">
        <v>0.18099999999999999</v>
      </c>
      <c r="BP474" s="96">
        <v>9.92</v>
      </c>
    </row>
    <row r="475" spans="7:68" ht="15">
      <c r="G475" s="239"/>
      <c r="BH475" s="187">
        <v>42779</v>
      </c>
      <c r="BI475" s="180">
        <v>-0.24</v>
      </c>
      <c r="BJ475" s="191">
        <v>42779</v>
      </c>
      <c r="BK475" s="192">
        <v>0.20399999999999999</v>
      </c>
      <c r="BN475" s="94">
        <v>42768</v>
      </c>
      <c r="BO475" s="95">
        <v>0.188</v>
      </c>
      <c r="BP475" s="96">
        <v>9.91</v>
      </c>
    </row>
    <row r="476" spans="7:68" ht="15">
      <c r="G476" s="239"/>
      <c r="BH476" s="187">
        <v>42780</v>
      </c>
      <c r="BI476" s="180">
        <v>-0.24099999999999999</v>
      </c>
      <c r="BJ476" s="191">
        <v>42780</v>
      </c>
      <c r="BK476" s="192">
        <v>0.20799999999999999</v>
      </c>
      <c r="BN476" s="94">
        <v>42769</v>
      </c>
      <c r="BO476" s="95">
        <v>0.192</v>
      </c>
      <c r="BP476" s="96">
        <v>9.91</v>
      </c>
    </row>
    <row r="477" spans="7:68" ht="15">
      <c r="G477" s="239"/>
      <c r="BH477" s="187">
        <v>42781</v>
      </c>
      <c r="BI477" s="180">
        <v>-0.24099999999999999</v>
      </c>
      <c r="BJ477" s="191">
        <v>42781</v>
      </c>
      <c r="BK477" s="192">
        <v>0.21099999999999999</v>
      </c>
      <c r="BN477" s="94">
        <v>42772</v>
      </c>
      <c r="BO477" s="95">
        <v>0.19500000000000001</v>
      </c>
      <c r="BP477" s="96">
        <v>9.9</v>
      </c>
    </row>
    <row r="478" spans="7:68" ht="15">
      <c r="G478" s="239"/>
      <c r="BH478" s="187">
        <v>42782</v>
      </c>
      <c r="BI478" s="180">
        <v>-0.23899999999999999</v>
      </c>
      <c r="BJ478" s="191">
        <v>42782</v>
      </c>
      <c r="BK478" s="192">
        <v>0.21199999999999999</v>
      </c>
      <c r="BN478" s="94">
        <v>42773</v>
      </c>
      <c r="BO478" s="95">
        <v>0.19700000000000001</v>
      </c>
      <c r="BP478" s="96">
        <v>9.9</v>
      </c>
    </row>
    <row r="479" spans="7:68" ht="15">
      <c r="G479" s="239"/>
      <c r="BH479" s="187">
        <v>42783</v>
      </c>
      <c r="BI479" s="180">
        <v>-0.23899999999999999</v>
      </c>
      <c r="BJ479" s="191">
        <v>42783</v>
      </c>
      <c r="BK479" s="192">
        <v>0.21</v>
      </c>
      <c r="BN479" s="94">
        <v>42774</v>
      </c>
      <c r="BO479" s="95">
        <v>0.19800000000000001</v>
      </c>
      <c r="BP479" s="96">
        <v>9.9</v>
      </c>
    </row>
    <row r="480" spans="7:68" ht="15">
      <c r="G480" s="239"/>
      <c r="BH480" s="187">
        <v>42786</v>
      </c>
      <c r="BI480" s="180">
        <v>-0.23799999999999999</v>
      </c>
      <c r="BJ480" s="191">
        <v>42786</v>
      </c>
      <c r="BK480" s="192">
        <v>0.20899999999999999</v>
      </c>
      <c r="BN480" s="94">
        <v>42775</v>
      </c>
      <c r="BO480" s="95">
        <v>0.2</v>
      </c>
      <c r="BP480" s="96">
        <v>9.8800000000000008</v>
      </c>
    </row>
    <row r="481" spans="7:68" ht="15">
      <c r="G481" s="239"/>
      <c r="BH481" s="187">
        <v>42787</v>
      </c>
      <c r="BI481" s="180">
        <v>-0.23799999999999999</v>
      </c>
      <c r="BJ481" s="191">
        <v>42787</v>
      </c>
      <c r="BK481" s="192">
        <v>0.20899999999999999</v>
      </c>
      <c r="BN481" s="94">
        <v>42776</v>
      </c>
      <c r="BO481" s="95">
        <v>0.20200000000000001</v>
      </c>
      <c r="BP481" s="96">
        <v>9.8800000000000008</v>
      </c>
    </row>
    <row r="482" spans="7:68" ht="15">
      <c r="G482" s="239"/>
      <c r="BH482" s="187">
        <v>42788</v>
      </c>
      <c r="BI482" s="180">
        <v>-0.23899999999999999</v>
      </c>
      <c r="BJ482" s="191">
        <v>42788</v>
      </c>
      <c r="BK482" s="192">
        <v>0.20399999999999999</v>
      </c>
      <c r="BN482" s="94">
        <v>42779</v>
      </c>
      <c r="BO482" s="95">
        <v>0.20399999999999999</v>
      </c>
      <c r="BP482" s="96">
        <v>9.8699999999999992</v>
      </c>
    </row>
    <row r="483" spans="7:68" ht="15">
      <c r="G483" s="239"/>
      <c r="BH483" s="187">
        <v>42789</v>
      </c>
      <c r="BI483" s="180">
        <v>-0.23799999999999999</v>
      </c>
      <c r="BJ483" s="191">
        <v>42789</v>
      </c>
      <c r="BK483" s="192">
        <v>0.19600000000000001</v>
      </c>
      <c r="BN483" s="94">
        <v>42780</v>
      </c>
      <c r="BO483" s="95">
        <v>0.20799999999999999</v>
      </c>
      <c r="BP483" s="96">
        <v>9.8699999999999992</v>
      </c>
    </row>
    <row r="484" spans="7:68" ht="15">
      <c r="G484" s="239"/>
      <c r="BH484" s="187">
        <v>42790</v>
      </c>
      <c r="BI484" s="180">
        <v>-0.23799999999999999</v>
      </c>
      <c r="BJ484" s="191">
        <v>42790</v>
      </c>
      <c r="BK484" s="192">
        <v>0.186</v>
      </c>
      <c r="BN484" s="94">
        <v>42781</v>
      </c>
      <c r="BO484" s="95">
        <v>0.21099999999999999</v>
      </c>
      <c r="BP484" s="96">
        <v>9.86</v>
      </c>
    </row>
    <row r="485" spans="7:68" ht="15">
      <c r="G485" s="239"/>
      <c r="BH485" s="187">
        <v>42793</v>
      </c>
      <c r="BI485" s="180">
        <v>-0.23799999999999999</v>
      </c>
      <c r="BJ485" s="191">
        <v>42793</v>
      </c>
      <c r="BK485" s="192">
        <v>0.17399999999999999</v>
      </c>
      <c r="BN485" s="94">
        <v>42782</v>
      </c>
      <c r="BO485" s="95">
        <v>0.21199999999999999</v>
      </c>
      <c r="BP485" s="96">
        <v>9.86</v>
      </c>
    </row>
    <row r="486" spans="7:68" ht="15">
      <c r="G486" s="239"/>
      <c r="BH486" s="187">
        <v>42794</v>
      </c>
      <c r="BI486" s="180">
        <v>-0.23899999999999999</v>
      </c>
      <c r="BJ486" s="191">
        <v>42794</v>
      </c>
      <c r="BK486" s="192">
        <v>0.16400000000000001</v>
      </c>
      <c r="BN486" s="94">
        <v>42783</v>
      </c>
      <c r="BO486" s="95">
        <v>0.21</v>
      </c>
      <c r="BP486" s="96">
        <v>9.86</v>
      </c>
    </row>
    <row r="487" spans="7:68" ht="15">
      <c r="G487" s="239"/>
      <c r="BH487" s="187">
        <v>42795</v>
      </c>
      <c r="BI487" s="180">
        <v>-0.23699999999999999</v>
      </c>
      <c r="BJ487" s="191">
        <v>42795</v>
      </c>
      <c r="BK487" s="192">
        <v>0.155</v>
      </c>
      <c r="BN487" s="94">
        <v>42786</v>
      </c>
      <c r="BO487" s="95">
        <v>0.20899999999999999</v>
      </c>
      <c r="BP487" s="96">
        <v>9.85</v>
      </c>
    </row>
    <row r="488" spans="7:68" ht="15">
      <c r="G488" s="239"/>
      <c r="BH488" s="187">
        <v>42796</v>
      </c>
      <c r="BI488" s="180">
        <v>-0.23799999999999999</v>
      </c>
      <c r="BJ488" s="191">
        <v>42796</v>
      </c>
      <c r="BK488" s="192">
        <v>0.15</v>
      </c>
      <c r="BN488" s="94">
        <v>42787</v>
      </c>
      <c r="BO488" s="95">
        <v>0.20899999999999999</v>
      </c>
      <c r="BP488" s="96">
        <v>9.85</v>
      </c>
    </row>
    <row r="489" spans="7:68" ht="15">
      <c r="G489" s="239"/>
      <c r="BH489" s="187">
        <v>42797</v>
      </c>
      <c r="BI489" s="180">
        <v>-0.23699999999999999</v>
      </c>
      <c r="BJ489" s="191">
        <v>42797</v>
      </c>
      <c r="BK489" s="192">
        <v>0.14499999999999999</v>
      </c>
      <c r="BN489" s="94">
        <v>42788</v>
      </c>
      <c r="BO489" s="95">
        <v>0.20399999999999999</v>
      </c>
      <c r="BP489" s="96">
        <v>9.85</v>
      </c>
    </row>
    <row r="490" spans="7:68" ht="15">
      <c r="G490" s="239"/>
      <c r="BH490" s="187">
        <v>42800</v>
      </c>
      <c r="BI490" s="180">
        <v>-0.24099999999999999</v>
      </c>
      <c r="BJ490" s="191">
        <v>42800</v>
      </c>
      <c r="BK490" s="192">
        <v>0.14199999999999999</v>
      </c>
      <c r="BN490" s="94">
        <v>42789</v>
      </c>
      <c r="BO490" s="95">
        <v>0.19600000000000001</v>
      </c>
      <c r="BP490" s="96">
        <v>9.84</v>
      </c>
    </row>
    <row r="491" spans="7:68" ht="15">
      <c r="G491" s="239"/>
      <c r="BH491" s="187">
        <v>42801</v>
      </c>
      <c r="BI491" s="180">
        <v>-0.24</v>
      </c>
      <c r="BJ491" s="191">
        <v>42801</v>
      </c>
      <c r="BK491" s="192">
        <v>0.13900000000000001</v>
      </c>
      <c r="BN491" s="94">
        <v>42790</v>
      </c>
      <c r="BO491" s="95">
        <v>0.186</v>
      </c>
      <c r="BP491" s="96">
        <v>9.84</v>
      </c>
    </row>
    <row r="492" spans="7:68" ht="15">
      <c r="G492" s="239"/>
      <c r="BH492" s="187">
        <v>42802</v>
      </c>
      <c r="BI492" s="180">
        <v>-0.24099999999999999</v>
      </c>
      <c r="BJ492" s="191">
        <v>42802</v>
      </c>
      <c r="BK492" s="192">
        <v>0.13800000000000001</v>
      </c>
      <c r="BN492" s="94">
        <v>42793</v>
      </c>
      <c r="BO492" s="95">
        <v>0.17399999999999999</v>
      </c>
      <c r="BP492" s="96">
        <v>9.83</v>
      </c>
    </row>
    <row r="493" spans="7:68" ht="15">
      <c r="G493" s="239"/>
      <c r="BH493" s="187">
        <v>42803</v>
      </c>
      <c r="BI493" s="180">
        <v>-0.24099999999999999</v>
      </c>
      <c r="BJ493" s="191">
        <v>42803</v>
      </c>
      <c r="BK493" s="192">
        <v>0.14499999999999999</v>
      </c>
      <c r="BN493" s="94">
        <v>42794</v>
      </c>
      <c r="BO493" s="95">
        <v>0.16400000000000001</v>
      </c>
      <c r="BP493" s="96">
        <v>9.83</v>
      </c>
    </row>
    <row r="494" spans="7:68" ht="15">
      <c r="G494" s="239"/>
      <c r="BH494" s="187">
        <v>42804</v>
      </c>
      <c r="BI494" s="180">
        <v>-0.24099999999999999</v>
      </c>
      <c r="BJ494" s="191">
        <v>42804</v>
      </c>
      <c r="BK494" s="192">
        <v>0.14699999999999999</v>
      </c>
      <c r="BN494" s="94">
        <v>42795</v>
      </c>
      <c r="BO494" s="95">
        <v>0.155</v>
      </c>
      <c r="BP494" s="96">
        <v>9.83</v>
      </c>
    </row>
    <row r="495" spans="7:68" ht="15">
      <c r="G495" s="239"/>
      <c r="BH495" s="187">
        <v>42807</v>
      </c>
      <c r="BI495" s="180">
        <v>-0.24099999999999999</v>
      </c>
      <c r="BJ495" s="191">
        <v>42807</v>
      </c>
      <c r="BK495" s="192">
        <v>0.14799999999999999</v>
      </c>
      <c r="BN495" s="94">
        <v>42796</v>
      </c>
      <c r="BO495" s="95">
        <v>0.15</v>
      </c>
      <c r="BP495" s="96">
        <v>9.82</v>
      </c>
    </row>
    <row r="496" spans="7:68" ht="15">
      <c r="G496" s="239"/>
      <c r="BH496" s="187">
        <v>42808</v>
      </c>
      <c r="BI496" s="180">
        <v>-0.24099999999999999</v>
      </c>
      <c r="BJ496" s="191">
        <v>42808</v>
      </c>
      <c r="BK496" s="192">
        <v>0.15</v>
      </c>
      <c r="BN496" s="94">
        <v>42797</v>
      </c>
      <c r="BO496" s="95">
        <v>0.14499999999999999</v>
      </c>
      <c r="BP496" s="96">
        <v>9.82</v>
      </c>
    </row>
    <row r="497" spans="7:68" ht="15">
      <c r="G497" s="239"/>
      <c r="BH497" s="187">
        <v>42809</v>
      </c>
      <c r="BI497" s="180">
        <v>-0.24099999999999999</v>
      </c>
      <c r="BJ497" s="191">
        <v>42809</v>
      </c>
      <c r="BK497" s="192">
        <v>0.14899999999999999</v>
      </c>
      <c r="BN497" s="94">
        <v>42800</v>
      </c>
      <c r="BO497" s="95">
        <v>0.14199999999999999</v>
      </c>
      <c r="BP497" s="96">
        <v>9.81</v>
      </c>
    </row>
    <row r="498" spans="7:68" ht="15">
      <c r="G498" s="239"/>
      <c r="BH498" s="187">
        <v>42810</v>
      </c>
      <c r="BI498" s="180">
        <v>-0.24099999999999999</v>
      </c>
      <c r="BJ498" s="191">
        <v>42810</v>
      </c>
      <c r="BK498" s="192">
        <v>0.15</v>
      </c>
      <c r="BN498" s="94">
        <v>42801</v>
      </c>
      <c r="BO498" s="95">
        <v>0.13900000000000001</v>
      </c>
      <c r="BP498" s="96">
        <v>9.81</v>
      </c>
    </row>
    <row r="499" spans="7:68" ht="15">
      <c r="G499" s="239"/>
      <c r="BH499" s="187">
        <v>42811</v>
      </c>
      <c r="BI499" s="180">
        <v>-0.24099999999999999</v>
      </c>
      <c r="BJ499" s="191">
        <v>42811</v>
      </c>
      <c r="BK499" s="192">
        <v>0.152</v>
      </c>
      <c r="BN499" s="94">
        <v>42802</v>
      </c>
      <c r="BO499" s="95">
        <v>0.13800000000000001</v>
      </c>
      <c r="BP499" s="96">
        <v>9.81</v>
      </c>
    </row>
    <row r="500" spans="7:68" ht="15">
      <c r="G500" s="239"/>
      <c r="BH500" s="187">
        <v>42814</v>
      </c>
      <c r="BI500" s="180">
        <v>-0.24099999999999999</v>
      </c>
      <c r="BJ500" s="191">
        <v>42814</v>
      </c>
      <c r="BK500" s="192">
        <v>0.155</v>
      </c>
      <c r="BN500" s="94">
        <v>42803</v>
      </c>
      <c r="BO500" s="95">
        <v>0.14499999999999999</v>
      </c>
      <c r="BP500" s="96">
        <v>9.83</v>
      </c>
    </row>
    <row r="501" spans="7:68" ht="15">
      <c r="G501" s="239"/>
      <c r="BH501" s="187">
        <v>42815</v>
      </c>
      <c r="BI501" s="180">
        <v>-0.24099999999999999</v>
      </c>
      <c r="BJ501" s="191">
        <v>42815</v>
      </c>
      <c r="BK501" s="192">
        <v>0.158</v>
      </c>
      <c r="BN501" s="94">
        <v>42804</v>
      </c>
      <c r="BO501" s="95">
        <v>0.14699999999999999</v>
      </c>
      <c r="BP501" s="96">
        <v>9.83</v>
      </c>
    </row>
    <row r="502" spans="7:68" ht="15">
      <c r="G502" s="239"/>
      <c r="BH502" s="187">
        <v>42816</v>
      </c>
      <c r="BI502" s="180">
        <v>-0.24199999999999999</v>
      </c>
      <c r="BJ502" s="191">
        <v>42816</v>
      </c>
      <c r="BK502" s="192">
        <v>0.161</v>
      </c>
      <c r="BN502" s="94">
        <v>42807</v>
      </c>
      <c r="BO502" s="95">
        <v>0.14799999999999999</v>
      </c>
      <c r="BP502" s="96">
        <v>9.82</v>
      </c>
    </row>
    <row r="503" spans="7:68" ht="15">
      <c r="G503" s="239"/>
      <c r="BH503" s="187">
        <v>42817</v>
      </c>
      <c r="BI503" s="180">
        <v>-0.24199999999999999</v>
      </c>
      <c r="BJ503" s="191">
        <v>42817</v>
      </c>
      <c r="BK503" s="192">
        <v>0.16500000000000001</v>
      </c>
      <c r="BN503" s="94">
        <v>42808</v>
      </c>
      <c r="BO503" s="95">
        <v>0.15</v>
      </c>
      <c r="BP503" s="96">
        <v>9.82</v>
      </c>
    </row>
    <row r="504" spans="7:68" ht="15">
      <c r="G504" s="239"/>
      <c r="BH504" s="187">
        <v>42818</v>
      </c>
      <c r="BI504" s="180">
        <v>-0.24199999999999999</v>
      </c>
      <c r="BJ504" s="191">
        <v>42818</v>
      </c>
      <c r="BK504" s="192">
        <v>0.17299999999999999</v>
      </c>
      <c r="BN504" s="94">
        <v>42809</v>
      </c>
      <c r="BO504" s="95">
        <v>0.14899999999999999</v>
      </c>
      <c r="BP504" s="96">
        <v>9.82</v>
      </c>
    </row>
    <row r="505" spans="7:68" ht="15">
      <c r="G505" s="239"/>
      <c r="BH505" s="187">
        <v>42821</v>
      </c>
      <c r="BI505" s="180">
        <v>-0.24199999999999999</v>
      </c>
      <c r="BJ505" s="191">
        <v>42821</v>
      </c>
      <c r="BK505" s="192">
        <v>0.18</v>
      </c>
      <c r="BN505" s="94">
        <v>42810</v>
      </c>
      <c r="BO505" s="95">
        <v>0.15</v>
      </c>
      <c r="BP505" s="96">
        <v>9.81</v>
      </c>
    </row>
    <row r="506" spans="7:68" ht="15">
      <c r="G506" s="239"/>
      <c r="BH506" s="187">
        <v>42822</v>
      </c>
      <c r="BI506" s="180">
        <v>-0.24199999999999999</v>
      </c>
      <c r="BJ506" s="191">
        <v>42822</v>
      </c>
      <c r="BK506" s="192">
        <v>0.186</v>
      </c>
      <c r="BN506" s="94">
        <v>42811</v>
      </c>
      <c r="BO506" s="95">
        <v>0.152</v>
      </c>
      <c r="BP506" s="96">
        <v>9.81</v>
      </c>
    </row>
    <row r="507" spans="7:68" ht="15">
      <c r="G507" s="239"/>
      <c r="BH507" s="187">
        <v>42823</v>
      </c>
      <c r="BI507" s="180">
        <v>-0.24199999999999999</v>
      </c>
      <c r="BJ507" s="191">
        <v>42823</v>
      </c>
      <c r="BK507" s="192">
        <v>0.19</v>
      </c>
      <c r="BN507" s="94">
        <v>42814</v>
      </c>
      <c r="BO507" s="95">
        <v>0.155</v>
      </c>
      <c r="BP507" s="96">
        <v>9.8000000000000007</v>
      </c>
    </row>
    <row r="508" spans="7:68" ht="15">
      <c r="G508" s="239"/>
      <c r="BH508" s="187">
        <v>42824</v>
      </c>
      <c r="BI508" s="180">
        <v>-0.24099999999999999</v>
      </c>
      <c r="BJ508" s="191">
        <v>42824</v>
      </c>
      <c r="BK508" s="192">
        <v>0.19</v>
      </c>
      <c r="BN508" s="94">
        <v>42815</v>
      </c>
      <c r="BO508" s="95">
        <v>0.158</v>
      </c>
      <c r="BP508" s="96">
        <v>9.8000000000000007</v>
      </c>
    </row>
    <row r="509" spans="7:68" ht="15">
      <c r="G509" s="239"/>
      <c r="BH509" s="187">
        <v>42825</v>
      </c>
      <c r="BI509" s="180">
        <v>-0.24099999999999999</v>
      </c>
      <c r="BJ509" s="191">
        <v>42825</v>
      </c>
      <c r="BK509" s="192">
        <v>0.19</v>
      </c>
      <c r="BN509" s="94">
        <v>42816</v>
      </c>
      <c r="BO509" s="95">
        <v>0.161</v>
      </c>
      <c r="BP509" s="96">
        <v>9.8000000000000007</v>
      </c>
    </row>
    <row r="510" spans="7:68" ht="15">
      <c r="G510" s="239"/>
      <c r="BH510" s="187">
        <v>42828</v>
      </c>
      <c r="BI510" s="180">
        <v>-0.24299999999999999</v>
      </c>
      <c r="BJ510" s="191">
        <v>42828</v>
      </c>
      <c r="BK510" s="192">
        <v>0.189</v>
      </c>
      <c r="BN510" s="94">
        <v>42817</v>
      </c>
      <c r="BO510" s="95">
        <v>0.16500000000000001</v>
      </c>
      <c r="BP510" s="96">
        <v>9.7899999999999991</v>
      </c>
    </row>
    <row r="511" spans="7:68" ht="15">
      <c r="G511" s="239"/>
      <c r="BH511" s="187">
        <v>42829</v>
      </c>
      <c r="BI511" s="180">
        <v>-0.24199999999999999</v>
      </c>
      <c r="BJ511" s="191">
        <v>42829</v>
      </c>
      <c r="BK511" s="192">
        <v>0.186</v>
      </c>
      <c r="BN511" s="94">
        <v>42818</v>
      </c>
      <c r="BO511" s="95">
        <v>0.17299999999999999</v>
      </c>
      <c r="BP511" s="96">
        <v>9.7899999999999991</v>
      </c>
    </row>
    <row r="512" spans="7:68" ht="15">
      <c r="G512" s="239"/>
      <c r="BH512" s="187">
        <v>42830</v>
      </c>
      <c r="BI512" s="180">
        <v>-0.24099999999999999</v>
      </c>
      <c r="BJ512" s="191">
        <v>42830</v>
      </c>
      <c r="BK512" s="192">
        <v>0.182</v>
      </c>
      <c r="BN512" s="94">
        <v>42821</v>
      </c>
      <c r="BO512" s="95">
        <v>0.18</v>
      </c>
      <c r="BP512" s="96">
        <v>9.7799999999999994</v>
      </c>
    </row>
    <row r="513" spans="7:68" ht="15">
      <c r="G513" s="239"/>
      <c r="BH513" s="187">
        <v>42831</v>
      </c>
      <c r="BI513" s="180">
        <v>-0.24199999999999999</v>
      </c>
      <c r="BJ513" s="191">
        <v>42831</v>
      </c>
      <c r="BK513" s="192">
        <v>0.17799999999999999</v>
      </c>
      <c r="BN513" s="94">
        <v>42822</v>
      </c>
      <c r="BO513" s="95">
        <v>0.186</v>
      </c>
      <c r="BP513" s="96">
        <v>9.7799999999999994</v>
      </c>
    </row>
    <row r="514" spans="7:68" ht="15">
      <c r="BH514" s="187">
        <v>42832</v>
      </c>
      <c r="BI514" s="180">
        <v>-0.24099999999999999</v>
      </c>
      <c r="BJ514" s="191">
        <v>42832</v>
      </c>
      <c r="BK514" s="192">
        <v>0.17</v>
      </c>
      <c r="BN514" s="94">
        <v>42823</v>
      </c>
      <c r="BO514" s="95">
        <v>0.19</v>
      </c>
      <c r="BP514" s="96">
        <v>9.7799999999999994</v>
      </c>
    </row>
    <row r="515" spans="7:68" ht="15">
      <c r="BH515" s="187">
        <v>42835</v>
      </c>
      <c r="BI515" s="180">
        <v>-0.24099999999999999</v>
      </c>
      <c r="BJ515" s="191">
        <v>42835</v>
      </c>
      <c r="BK515" s="192">
        <v>0.16200000000000001</v>
      </c>
      <c r="BN515" s="94">
        <v>42824</v>
      </c>
      <c r="BO515" s="95">
        <v>0.19</v>
      </c>
      <c r="BP515" s="96">
        <v>9.77</v>
      </c>
    </row>
    <row r="516" spans="7:68" ht="15">
      <c r="BH516" s="187">
        <v>42836</v>
      </c>
      <c r="BI516" s="180">
        <v>-0.24199999999999999</v>
      </c>
      <c r="BJ516" s="191">
        <v>42836</v>
      </c>
      <c r="BK516" s="192">
        <v>0.154</v>
      </c>
      <c r="BN516" s="94">
        <v>42825</v>
      </c>
      <c r="BO516" s="95">
        <v>0.19</v>
      </c>
      <c r="BP516" s="96">
        <v>9.77</v>
      </c>
    </row>
    <row r="517" spans="7:68" ht="15">
      <c r="BH517" s="187">
        <v>42837</v>
      </c>
      <c r="BI517" s="180">
        <v>-0.24199999999999999</v>
      </c>
      <c r="BJ517" s="191">
        <v>42837</v>
      </c>
      <c r="BK517" s="192">
        <v>0.14699999999999999</v>
      </c>
      <c r="BN517" s="94">
        <v>42828</v>
      </c>
      <c r="BO517" s="95">
        <v>0.189</v>
      </c>
      <c r="BP517" s="96">
        <v>9.76</v>
      </c>
    </row>
    <row r="518" spans="7:68" ht="15">
      <c r="BH518" s="187">
        <v>42838</v>
      </c>
      <c r="BI518" s="180">
        <v>-0.246</v>
      </c>
      <c r="BJ518" s="191">
        <v>42838</v>
      </c>
      <c r="BK518" s="192">
        <v>0.13800000000000001</v>
      </c>
      <c r="BN518" s="94">
        <v>42829</v>
      </c>
      <c r="BO518" s="95">
        <v>0.186</v>
      </c>
      <c r="BP518" s="96">
        <v>9.76</v>
      </c>
    </row>
    <row r="519" spans="7:68" ht="15">
      <c r="BH519" s="187">
        <v>42839</v>
      </c>
      <c r="BI519" s="180">
        <v>-0.246</v>
      </c>
      <c r="BJ519" s="191"/>
      <c r="BK519" s="193">
        <f>+BK518</f>
        <v>0.13800000000000001</v>
      </c>
      <c r="BN519" s="94">
        <v>42830</v>
      </c>
      <c r="BO519" s="95">
        <v>0.182</v>
      </c>
      <c r="BP519" s="96">
        <v>9.76</v>
      </c>
    </row>
    <row r="520" spans="7:68" ht="15">
      <c r="BH520" s="187">
        <v>42842</v>
      </c>
      <c r="BI520" s="180">
        <v>-0.246</v>
      </c>
      <c r="BJ520" s="191"/>
      <c r="BK520" s="193">
        <f>+BK519</f>
        <v>0.13800000000000001</v>
      </c>
      <c r="BN520" s="94">
        <v>42831</v>
      </c>
      <c r="BO520" s="95">
        <v>0.17799999999999999</v>
      </c>
      <c r="BP520" s="96">
        <v>9.74</v>
      </c>
    </row>
    <row r="521" spans="7:68" ht="15">
      <c r="BH521" s="187">
        <v>42843</v>
      </c>
      <c r="BI521" s="180">
        <v>-0.25</v>
      </c>
      <c r="BJ521" s="191">
        <v>42843</v>
      </c>
      <c r="BK521" s="192">
        <v>0.123</v>
      </c>
      <c r="BN521" s="94">
        <v>42832</v>
      </c>
      <c r="BO521" s="95">
        <v>0.17</v>
      </c>
      <c r="BP521" s="96">
        <v>9.74</v>
      </c>
    </row>
    <row r="522" spans="7:68" ht="15">
      <c r="BH522" s="187">
        <v>42844</v>
      </c>
      <c r="BI522" s="180">
        <v>-0.251</v>
      </c>
      <c r="BJ522" s="191">
        <v>42844</v>
      </c>
      <c r="BK522" s="192">
        <v>0.113</v>
      </c>
      <c r="BN522" s="94">
        <v>42835</v>
      </c>
      <c r="BO522" s="95">
        <v>0.16200000000000001</v>
      </c>
      <c r="BP522" s="96">
        <v>9.73</v>
      </c>
    </row>
    <row r="523" spans="7:68" ht="15">
      <c r="BH523" s="187">
        <v>42845</v>
      </c>
      <c r="BI523" s="180">
        <v>-0.249</v>
      </c>
      <c r="BJ523" s="191">
        <v>42845</v>
      </c>
      <c r="BK523" s="192">
        <v>0.11799999999999999</v>
      </c>
      <c r="BN523" s="94">
        <v>42836</v>
      </c>
      <c r="BO523" s="95">
        <v>0.154</v>
      </c>
      <c r="BP523" s="96">
        <v>9.73</v>
      </c>
    </row>
    <row r="524" spans="7:68" ht="15">
      <c r="BH524" s="187">
        <v>42846</v>
      </c>
      <c r="BI524" s="180">
        <v>-0.249</v>
      </c>
      <c r="BJ524" s="191">
        <v>42846</v>
      </c>
      <c r="BK524" s="192">
        <v>0.113</v>
      </c>
      <c r="BN524" s="94">
        <v>42837</v>
      </c>
      <c r="BO524" s="95">
        <v>0.14699999999999999</v>
      </c>
      <c r="BP524" s="96">
        <v>9.73</v>
      </c>
    </row>
    <row r="525" spans="7:68" ht="15">
      <c r="BH525" s="187">
        <v>42849</v>
      </c>
      <c r="BI525" s="180">
        <v>-0.247</v>
      </c>
      <c r="BJ525" s="191">
        <v>42849</v>
      </c>
      <c r="BK525" s="192">
        <v>0.111</v>
      </c>
      <c r="BN525" s="94">
        <v>42838</v>
      </c>
      <c r="BO525" s="95">
        <v>0.13800000000000001</v>
      </c>
      <c r="BP525" s="96">
        <v>9.7200000000000006</v>
      </c>
    </row>
    <row r="526" spans="7:68" ht="15">
      <c r="BH526" s="187">
        <v>42850</v>
      </c>
      <c r="BI526" s="180">
        <v>-0.248</v>
      </c>
      <c r="BJ526" s="191">
        <v>42850</v>
      </c>
      <c r="BK526" s="192">
        <v>0.112</v>
      </c>
      <c r="BN526" s="94">
        <v>42843</v>
      </c>
      <c r="BO526" s="95">
        <v>0.123</v>
      </c>
      <c r="BP526" s="96">
        <v>9.7100000000000009</v>
      </c>
    </row>
    <row r="527" spans="7:68" ht="15">
      <c r="BH527" s="187">
        <v>42851</v>
      </c>
      <c r="BI527" s="180">
        <v>-0.248</v>
      </c>
      <c r="BJ527" s="191">
        <v>42851</v>
      </c>
      <c r="BK527" s="192">
        <v>0.112</v>
      </c>
      <c r="BN527" s="94">
        <v>42844</v>
      </c>
      <c r="BO527" s="95">
        <v>0.113</v>
      </c>
      <c r="BP527" s="96">
        <v>9.7100000000000009</v>
      </c>
    </row>
    <row r="528" spans="7:68" ht="15">
      <c r="BH528" s="187">
        <v>42852</v>
      </c>
      <c r="BI528" s="180">
        <v>-0.248</v>
      </c>
      <c r="BJ528" s="191">
        <v>42852</v>
      </c>
      <c r="BK528" s="192">
        <v>0.112</v>
      </c>
      <c r="BN528" s="94">
        <v>42845</v>
      </c>
      <c r="BO528" s="95">
        <v>0.11799999999999999</v>
      </c>
      <c r="BP528" s="96">
        <v>9.7100000000000009</v>
      </c>
    </row>
    <row r="529" spans="60:68" ht="15">
      <c r="BH529" s="187">
        <v>42853</v>
      </c>
      <c r="BI529" s="180">
        <v>-0.249</v>
      </c>
      <c r="BJ529" s="191">
        <v>42853</v>
      </c>
      <c r="BK529" s="192">
        <v>0.112</v>
      </c>
      <c r="BN529" s="94">
        <v>42846</v>
      </c>
      <c r="BO529" s="95">
        <v>0.113</v>
      </c>
      <c r="BP529" s="96">
        <v>9.7100000000000009</v>
      </c>
    </row>
    <row r="530" spans="60:68" ht="15">
      <c r="BH530" s="187">
        <v>42856</v>
      </c>
      <c r="BI530" s="180">
        <v>-0.249</v>
      </c>
      <c r="BJ530" s="191"/>
      <c r="BK530" s="193">
        <f>+BK529</f>
        <v>0.112</v>
      </c>
      <c r="BL530" s="111">
        <f>+(BI530+BK530)/2+0.37</f>
        <v>0.30149999999999999</v>
      </c>
      <c r="BN530" s="94">
        <v>42849</v>
      </c>
      <c r="BO530" s="95">
        <v>0.111</v>
      </c>
      <c r="BP530" s="96">
        <v>9.6999999999999993</v>
      </c>
    </row>
    <row r="531" spans="60:68" ht="15">
      <c r="BH531" s="187">
        <v>42857</v>
      </c>
      <c r="BI531" s="180">
        <v>-0.249</v>
      </c>
      <c r="BJ531" s="191">
        <v>42857</v>
      </c>
      <c r="BK531" s="192">
        <v>0.112</v>
      </c>
      <c r="BN531" s="94">
        <v>42850</v>
      </c>
      <c r="BO531" s="95">
        <v>0.112</v>
      </c>
      <c r="BP531" s="96">
        <v>9.6999999999999993</v>
      </c>
    </row>
    <row r="532" spans="60:68" ht="15">
      <c r="BH532" s="187">
        <v>42858</v>
      </c>
      <c r="BI532" s="180">
        <v>-0.251</v>
      </c>
      <c r="BJ532" s="191">
        <v>42858</v>
      </c>
      <c r="BK532" s="192">
        <v>0.114</v>
      </c>
      <c r="BN532" s="94">
        <v>42851</v>
      </c>
      <c r="BO532" s="95">
        <v>0.112</v>
      </c>
      <c r="BP532" s="96">
        <v>9.6999999999999993</v>
      </c>
    </row>
    <row r="533" spans="60:68" ht="15">
      <c r="BH533" s="187">
        <v>42859</v>
      </c>
      <c r="BI533" s="180">
        <v>-0.25</v>
      </c>
      <c r="BJ533" s="191">
        <v>42859</v>
      </c>
      <c r="BK533" s="192">
        <v>0.12</v>
      </c>
      <c r="BN533" s="94">
        <v>42852</v>
      </c>
      <c r="BO533" s="95">
        <v>0.112</v>
      </c>
      <c r="BP533" s="96">
        <v>9.69</v>
      </c>
    </row>
    <row r="534" spans="60:68" ht="15">
      <c r="BH534" s="187">
        <v>42860</v>
      </c>
      <c r="BI534" s="180">
        <v>-0.248</v>
      </c>
      <c r="BJ534" s="191">
        <v>42860</v>
      </c>
      <c r="BK534" s="192">
        <v>0.126</v>
      </c>
      <c r="BN534" s="94">
        <v>42853</v>
      </c>
      <c r="BO534" s="95">
        <v>0.112</v>
      </c>
      <c r="BP534" s="96">
        <v>9.69</v>
      </c>
    </row>
    <row r="535" spans="60:68" ht="15">
      <c r="BH535" s="187">
        <v>42863</v>
      </c>
      <c r="BI535" s="180">
        <v>-0.249</v>
      </c>
      <c r="BJ535" s="191">
        <v>42863</v>
      </c>
      <c r="BK535" s="192">
        <v>0.13300000000000001</v>
      </c>
      <c r="BN535" s="94">
        <v>42857</v>
      </c>
      <c r="BO535" s="95">
        <v>0.112</v>
      </c>
      <c r="BP535" s="96">
        <v>9.68</v>
      </c>
    </row>
    <row r="536" spans="60:68" ht="15">
      <c r="BH536" s="187">
        <v>42864</v>
      </c>
      <c r="BI536" s="180">
        <v>-0.249</v>
      </c>
      <c r="BJ536" s="191">
        <v>42864</v>
      </c>
      <c r="BK536" s="192">
        <v>0.14099999999999999</v>
      </c>
      <c r="BN536" s="94">
        <v>42858</v>
      </c>
      <c r="BO536" s="95">
        <v>0.114</v>
      </c>
      <c r="BP536" s="96">
        <v>9.68</v>
      </c>
    </row>
    <row r="537" spans="60:68" ht="15">
      <c r="BH537" s="187">
        <v>42865</v>
      </c>
      <c r="BI537" s="180">
        <v>-0.249</v>
      </c>
      <c r="BJ537" s="191">
        <v>42865</v>
      </c>
      <c r="BK537" s="192">
        <v>0.14899999999999999</v>
      </c>
      <c r="BN537" s="94">
        <v>42859</v>
      </c>
      <c r="BO537" s="95">
        <v>0.12</v>
      </c>
      <c r="BP537" s="96">
        <v>9.67</v>
      </c>
    </row>
    <row r="538" spans="60:68" ht="15">
      <c r="BH538" s="187">
        <v>42866</v>
      </c>
      <c r="BI538" s="180">
        <v>-0.25</v>
      </c>
      <c r="BJ538" s="191">
        <v>42866</v>
      </c>
      <c r="BK538" s="192">
        <v>0.16300000000000001</v>
      </c>
      <c r="BN538" s="94">
        <v>42860</v>
      </c>
      <c r="BO538" s="95">
        <v>0.126</v>
      </c>
      <c r="BP538" s="96">
        <v>9.67</v>
      </c>
    </row>
    <row r="539" spans="60:68" ht="15">
      <c r="BH539" s="187">
        <v>42867</v>
      </c>
      <c r="BI539" s="180">
        <v>-0.251</v>
      </c>
      <c r="BJ539" s="191">
        <v>42867</v>
      </c>
      <c r="BK539" s="192">
        <v>0.17100000000000001</v>
      </c>
      <c r="BN539" s="94">
        <v>42863</v>
      </c>
      <c r="BO539" s="95">
        <v>0.13300000000000001</v>
      </c>
      <c r="BP539" s="96">
        <v>9.66</v>
      </c>
    </row>
    <row r="540" spans="60:68" ht="15">
      <c r="BH540" s="187">
        <v>42870</v>
      </c>
      <c r="BI540" s="180">
        <v>-0.251</v>
      </c>
      <c r="BJ540" s="191">
        <v>42870</v>
      </c>
      <c r="BK540" s="192">
        <v>0.17899999999999999</v>
      </c>
      <c r="BN540" s="94">
        <v>42864</v>
      </c>
      <c r="BO540" s="95">
        <v>0.14099999999999999</v>
      </c>
      <c r="BP540" s="96">
        <v>9.66</v>
      </c>
    </row>
    <row r="541" spans="60:68" ht="15">
      <c r="BH541" s="187">
        <v>42871</v>
      </c>
      <c r="BI541" s="180">
        <v>-0.25</v>
      </c>
      <c r="BJ541" s="191">
        <v>42871</v>
      </c>
      <c r="BK541" s="192">
        <v>0.182</v>
      </c>
      <c r="BN541" s="94">
        <v>42865</v>
      </c>
      <c r="BO541" s="95">
        <v>0.14899999999999999</v>
      </c>
      <c r="BP541" s="96">
        <v>9.66</v>
      </c>
    </row>
    <row r="542" spans="60:68" ht="15">
      <c r="BH542" s="187">
        <v>42872</v>
      </c>
      <c r="BI542" s="180">
        <v>-0.251</v>
      </c>
      <c r="BJ542" s="191">
        <v>42872</v>
      </c>
      <c r="BK542" s="192">
        <v>0.19</v>
      </c>
      <c r="BN542" s="94">
        <v>42866</v>
      </c>
      <c r="BO542" s="95">
        <v>0.16300000000000001</v>
      </c>
      <c r="BP542" s="96">
        <v>9.7100000000000009</v>
      </c>
    </row>
    <row r="543" spans="60:68" ht="15">
      <c r="BH543" s="187">
        <v>42873</v>
      </c>
      <c r="BI543" s="180">
        <v>-0.251</v>
      </c>
      <c r="BJ543" s="191">
        <v>42873</v>
      </c>
      <c r="BK543" s="192">
        <v>0.19600000000000001</v>
      </c>
      <c r="BN543" s="94">
        <v>42867</v>
      </c>
      <c r="BO543" s="95">
        <v>0.17100000000000001</v>
      </c>
      <c r="BP543" s="96">
        <v>9.7100000000000009</v>
      </c>
    </row>
    <row r="544" spans="60:68" ht="15">
      <c r="BH544" s="187">
        <v>42874</v>
      </c>
      <c r="BI544" s="180">
        <v>-0.251</v>
      </c>
      <c r="BJ544" s="191">
        <v>42874</v>
      </c>
      <c r="BK544" s="192">
        <v>0.2</v>
      </c>
      <c r="BN544" s="94">
        <v>42870</v>
      </c>
      <c r="BO544" s="95">
        <v>0.17899999999999999</v>
      </c>
      <c r="BP544" s="96">
        <v>9.6999999999999993</v>
      </c>
    </row>
    <row r="545" spans="60:68" ht="15">
      <c r="BH545" s="187">
        <v>42877</v>
      </c>
      <c r="BI545" s="180">
        <v>-0.251</v>
      </c>
      <c r="BJ545" s="191">
        <v>42877</v>
      </c>
      <c r="BK545" s="192">
        <v>0.20499999999999999</v>
      </c>
      <c r="BN545" s="94">
        <v>42871</v>
      </c>
      <c r="BO545" s="95">
        <v>0.182</v>
      </c>
      <c r="BP545" s="96">
        <v>9.6999999999999993</v>
      </c>
    </row>
    <row r="546" spans="60:68" ht="15">
      <c r="BH546" s="187">
        <v>42878</v>
      </c>
      <c r="BI546" s="180">
        <v>-0.251</v>
      </c>
      <c r="BJ546" s="191">
        <v>42878</v>
      </c>
      <c r="BK546" s="192">
        <v>0.20699999999999999</v>
      </c>
      <c r="BN546" s="94">
        <v>42872</v>
      </c>
      <c r="BO546" s="95">
        <v>0.19</v>
      </c>
      <c r="BP546" s="96">
        <v>9.6999999999999993</v>
      </c>
    </row>
    <row r="547" spans="60:68" ht="15">
      <c r="BH547" s="187">
        <v>42879</v>
      </c>
      <c r="BI547" s="180">
        <v>-0.25</v>
      </c>
      <c r="BJ547" s="191">
        <v>42879</v>
      </c>
      <c r="BK547" s="192">
        <v>0.20699999999999999</v>
      </c>
      <c r="BN547" s="94">
        <v>42873</v>
      </c>
      <c r="BO547" s="95">
        <v>0.19600000000000001</v>
      </c>
      <c r="BP547" s="96">
        <v>9.69</v>
      </c>
    </row>
    <row r="548" spans="60:68" ht="15">
      <c r="BH548" s="187">
        <v>42880</v>
      </c>
      <c r="BI548" s="180">
        <v>-0.251</v>
      </c>
      <c r="BJ548" s="191"/>
      <c r="BK548" s="193">
        <f>+BK547</f>
        <v>0.20699999999999999</v>
      </c>
      <c r="BN548" s="94">
        <v>42874</v>
      </c>
      <c r="BO548" s="95">
        <v>0.2</v>
      </c>
      <c r="BP548" s="96">
        <v>9.69</v>
      </c>
    </row>
    <row r="549" spans="60:68" ht="15">
      <c r="BH549" s="187">
        <v>42881</v>
      </c>
      <c r="BI549" s="180">
        <v>-0.254</v>
      </c>
      <c r="BJ549" s="191">
        <v>42881</v>
      </c>
      <c r="BK549" s="192">
        <v>0.20599999999999999</v>
      </c>
      <c r="BN549" s="94">
        <v>42877</v>
      </c>
      <c r="BO549" s="95">
        <v>0.20499999999999999</v>
      </c>
      <c r="BP549" s="96">
        <v>9.68</v>
      </c>
    </row>
    <row r="550" spans="60:68" ht="15">
      <c r="BH550" s="187">
        <v>42884</v>
      </c>
      <c r="BI550" s="180">
        <v>-0.254</v>
      </c>
      <c r="BJ550" s="191">
        <v>42884</v>
      </c>
      <c r="BK550" s="192">
        <v>0.20499999999999999</v>
      </c>
      <c r="BN550" s="94">
        <v>42878</v>
      </c>
      <c r="BO550" s="95">
        <v>0.20699999999999999</v>
      </c>
      <c r="BP550" s="96">
        <v>9.68</v>
      </c>
    </row>
    <row r="551" spans="60:68" ht="15">
      <c r="BH551" s="187">
        <v>42885</v>
      </c>
      <c r="BI551" s="180">
        <v>-0.254</v>
      </c>
      <c r="BJ551" s="191">
        <v>42885</v>
      </c>
      <c r="BK551" s="192">
        <v>0.20300000000000001</v>
      </c>
      <c r="BN551" s="94">
        <v>42879</v>
      </c>
      <c r="BO551" s="95">
        <v>0.20699999999999999</v>
      </c>
      <c r="BP551" s="96">
        <v>9.68</v>
      </c>
    </row>
    <row r="552" spans="60:68" ht="15">
      <c r="BH552" s="187">
        <v>42886</v>
      </c>
      <c r="BI552" s="180">
        <v>-0.254</v>
      </c>
      <c r="BJ552" s="191">
        <v>42886</v>
      </c>
      <c r="BK552" s="192">
        <v>0.20200000000000001</v>
      </c>
      <c r="BN552" s="94">
        <v>42881</v>
      </c>
      <c r="BO552" s="95">
        <v>0.20599999999999999</v>
      </c>
      <c r="BP552" s="96">
        <v>9.67</v>
      </c>
    </row>
    <row r="553" spans="60:68" ht="15">
      <c r="BH553" s="187">
        <v>42887</v>
      </c>
      <c r="BI553" s="180">
        <v>-0.254</v>
      </c>
      <c r="BJ553" s="191">
        <v>42887</v>
      </c>
      <c r="BK553" s="192">
        <v>0.20200000000000001</v>
      </c>
      <c r="BN553" s="94">
        <v>42884</v>
      </c>
      <c r="BO553" s="95">
        <v>0.20499999999999999</v>
      </c>
      <c r="BP553" s="96">
        <v>9.66</v>
      </c>
    </row>
    <row r="554" spans="60:68" ht="15">
      <c r="BH554" s="187">
        <v>42888</v>
      </c>
      <c r="BI554" s="180">
        <v>-0.255</v>
      </c>
      <c r="BJ554" s="191">
        <v>42888</v>
      </c>
      <c r="BK554" s="192">
        <v>0.19800000000000001</v>
      </c>
      <c r="BN554" s="94">
        <v>42885</v>
      </c>
      <c r="BO554" s="95">
        <v>0.20300000000000001</v>
      </c>
      <c r="BP554" s="96">
        <v>9.66</v>
      </c>
    </row>
    <row r="555" spans="60:68" ht="15">
      <c r="BH555" s="187">
        <v>42891</v>
      </c>
      <c r="BI555" s="180">
        <v>-0.25600000000000001</v>
      </c>
      <c r="BJ555" s="191"/>
      <c r="BK555" s="193">
        <f>+BK554</f>
        <v>0.19800000000000001</v>
      </c>
      <c r="BN555" s="94">
        <v>42886</v>
      </c>
      <c r="BO555" s="95">
        <v>0.20200000000000001</v>
      </c>
      <c r="BP555" s="96">
        <v>9.66</v>
      </c>
    </row>
    <row r="556" spans="60:68" ht="15">
      <c r="BH556" s="187">
        <v>42892</v>
      </c>
      <c r="BI556" s="180">
        <v>-0.25700000000000001</v>
      </c>
      <c r="BJ556" s="191">
        <v>42892</v>
      </c>
      <c r="BK556" s="192">
        <v>0.193</v>
      </c>
      <c r="BN556" s="94">
        <v>42887</v>
      </c>
      <c r="BO556" s="95">
        <v>0.20200000000000001</v>
      </c>
      <c r="BP556" s="96">
        <v>9.65</v>
      </c>
    </row>
    <row r="557" spans="60:68" ht="15">
      <c r="BH557" s="187">
        <v>42893</v>
      </c>
      <c r="BI557" s="180">
        <v>-0.25900000000000001</v>
      </c>
      <c r="BJ557" s="191">
        <v>42893</v>
      </c>
      <c r="BK557" s="192">
        <v>0.188</v>
      </c>
      <c r="BN557" s="94">
        <v>42888</v>
      </c>
      <c r="BO557" s="95">
        <v>0.19800000000000001</v>
      </c>
      <c r="BP557" s="96">
        <v>9.65</v>
      </c>
    </row>
    <row r="558" spans="60:68" ht="15">
      <c r="BH558" s="187">
        <v>42894</v>
      </c>
      <c r="BI558" s="180">
        <v>-0.26</v>
      </c>
      <c r="BJ558" s="191">
        <v>42894</v>
      </c>
      <c r="BK558" s="192">
        <v>0.184</v>
      </c>
      <c r="BN558" s="94">
        <v>42892</v>
      </c>
      <c r="BO558" s="95">
        <v>0.193</v>
      </c>
      <c r="BP558" s="96">
        <v>9.64</v>
      </c>
    </row>
    <row r="559" spans="60:68" ht="15">
      <c r="BH559" s="187">
        <v>42895</v>
      </c>
      <c r="BI559" s="180">
        <v>-0.26400000000000001</v>
      </c>
      <c r="BJ559" s="191">
        <v>42895</v>
      </c>
      <c r="BK559" s="192">
        <v>0.17799999999999999</v>
      </c>
      <c r="BN559" s="94">
        <v>42893</v>
      </c>
      <c r="BO559" s="95">
        <v>0.188</v>
      </c>
      <c r="BP559" s="96">
        <v>9.64</v>
      </c>
    </row>
    <row r="560" spans="60:68" ht="15">
      <c r="BH560" s="187">
        <v>42898</v>
      </c>
      <c r="BI560" s="180">
        <v>-0.26600000000000001</v>
      </c>
      <c r="BJ560" s="191">
        <v>42898</v>
      </c>
      <c r="BK560" s="192">
        <v>0.17199999999999999</v>
      </c>
      <c r="BN560" s="94">
        <v>42894</v>
      </c>
      <c r="BO560" s="95">
        <v>0.184</v>
      </c>
      <c r="BP560" s="96">
        <v>9.6199999999999992</v>
      </c>
    </row>
    <row r="561" spans="60:68" ht="15">
      <c r="BH561" s="187">
        <v>42899</v>
      </c>
      <c r="BI561" s="180">
        <v>-0.27</v>
      </c>
      <c r="BJ561" s="191">
        <v>42899</v>
      </c>
      <c r="BK561" s="192">
        <v>0.16700000000000001</v>
      </c>
      <c r="BN561" s="94">
        <v>42895</v>
      </c>
      <c r="BO561" s="95">
        <v>0.17799999999999999</v>
      </c>
      <c r="BP561" s="96">
        <v>9.6199999999999992</v>
      </c>
    </row>
    <row r="562" spans="60:68" ht="15">
      <c r="BH562" s="187">
        <v>42900</v>
      </c>
      <c r="BI562" s="180">
        <v>-0.27100000000000002</v>
      </c>
      <c r="BJ562" s="191">
        <v>42900</v>
      </c>
      <c r="BK562" s="192">
        <v>0.161</v>
      </c>
      <c r="BN562" s="94">
        <v>42898</v>
      </c>
      <c r="BO562" s="95">
        <v>0.17199999999999999</v>
      </c>
      <c r="BP562" s="96">
        <v>9.61</v>
      </c>
    </row>
    <row r="563" spans="60:68" ht="15">
      <c r="BH563" s="187">
        <v>42901</v>
      </c>
      <c r="BI563" s="180">
        <v>-0.27100000000000002</v>
      </c>
      <c r="BJ563" s="191"/>
      <c r="BK563" s="193">
        <f>+BK562</f>
        <v>0.161</v>
      </c>
      <c r="BN563" s="94">
        <v>42899</v>
      </c>
      <c r="BO563" s="95">
        <v>0.16700000000000001</v>
      </c>
      <c r="BP563" s="96">
        <v>9.61</v>
      </c>
    </row>
    <row r="564" spans="60:68" ht="15">
      <c r="BH564" s="187">
        <v>42902</v>
      </c>
      <c r="BI564" s="180">
        <v>-0.27100000000000002</v>
      </c>
      <c r="BJ564" s="191">
        <v>42902</v>
      </c>
      <c r="BK564" s="192">
        <v>0.157</v>
      </c>
      <c r="BN564" s="94">
        <v>42900</v>
      </c>
      <c r="BO564" s="95">
        <v>0.161</v>
      </c>
      <c r="BP564" s="96">
        <v>9.61</v>
      </c>
    </row>
    <row r="565" spans="60:68" ht="15">
      <c r="BH565" s="187">
        <v>42905</v>
      </c>
      <c r="BI565" s="180">
        <v>-0.27100000000000002</v>
      </c>
      <c r="BJ565" s="191">
        <v>42905</v>
      </c>
      <c r="BK565" s="192">
        <v>0.152</v>
      </c>
      <c r="BN565" s="94">
        <v>42902</v>
      </c>
      <c r="BO565" s="95">
        <v>0.157</v>
      </c>
      <c r="BP565" s="96">
        <v>9.6</v>
      </c>
    </row>
    <row r="566" spans="60:68" ht="15">
      <c r="BH566" s="187">
        <v>42906</v>
      </c>
      <c r="BI566" s="180">
        <v>-0.27100000000000002</v>
      </c>
      <c r="BJ566" s="191">
        <v>42906</v>
      </c>
      <c r="BK566" s="192">
        <v>0.15</v>
      </c>
      <c r="BN566" s="94">
        <v>42905</v>
      </c>
      <c r="BO566" s="95">
        <v>0.152</v>
      </c>
      <c r="BP566" s="96">
        <v>9.58</v>
      </c>
    </row>
    <row r="567" spans="60:68" ht="15">
      <c r="BH567" s="187">
        <v>42907</v>
      </c>
      <c r="BI567" s="180">
        <v>-0.27100000000000002</v>
      </c>
      <c r="BJ567" s="191">
        <v>42907</v>
      </c>
      <c r="BK567" s="192">
        <v>0.14499999999999999</v>
      </c>
      <c r="BN567" s="94">
        <v>42906</v>
      </c>
      <c r="BO567" s="95">
        <v>0.15</v>
      </c>
      <c r="BP567" s="96">
        <v>9.58</v>
      </c>
    </row>
    <row r="568" spans="60:68" ht="15">
      <c r="BH568" s="187">
        <v>42908</v>
      </c>
      <c r="BI568" s="180">
        <v>-0.27200000000000002</v>
      </c>
      <c r="BJ568" s="191">
        <v>42908</v>
      </c>
      <c r="BK568" s="192">
        <v>0.14099999999999999</v>
      </c>
      <c r="BN568" s="94">
        <v>42907</v>
      </c>
      <c r="BO568" s="95">
        <v>0.14499999999999999</v>
      </c>
      <c r="BP568" s="96">
        <v>9.58</v>
      </c>
    </row>
    <row r="569" spans="60:68" ht="15">
      <c r="BH569" s="187">
        <v>42909</v>
      </c>
      <c r="BI569" s="180">
        <v>-0.27300000000000002</v>
      </c>
      <c r="BJ569" s="191">
        <v>42909</v>
      </c>
      <c r="BK569" s="192">
        <v>0.13600000000000001</v>
      </c>
      <c r="BN569" s="94">
        <v>42908</v>
      </c>
      <c r="BO569" s="95">
        <v>0.14099999999999999</v>
      </c>
      <c r="BP569" s="96">
        <v>9.58</v>
      </c>
    </row>
    <row r="570" spans="60:68" ht="15">
      <c r="BH570" s="187">
        <v>42912</v>
      </c>
      <c r="BI570" s="180">
        <v>-0.27300000000000002</v>
      </c>
      <c r="BJ570" s="191">
        <v>42912</v>
      </c>
      <c r="BK570" s="192">
        <v>0.13100000000000001</v>
      </c>
      <c r="BN570" s="94">
        <v>42909</v>
      </c>
      <c r="BO570" s="95">
        <v>0.13600000000000001</v>
      </c>
      <c r="BP570" s="96">
        <v>9.57</v>
      </c>
    </row>
    <row r="571" spans="60:68" ht="15">
      <c r="BH571" s="187">
        <v>42913</v>
      </c>
      <c r="BI571" s="180">
        <v>-0.27300000000000002</v>
      </c>
      <c r="BJ571" s="191">
        <v>42913</v>
      </c>
      <c r="BK571" s="192">
        <v>0.13200000000000001</v>
      </c>
      <c r="BN571" s="94">
        <v>42912</v>
      </c>
      <c r="BO571" s="95">
        <v>0.13100000000000001</v>
      </c>
      <c r="BP571" s="96">
        <v>9.56</v>
      </c>
    </row>
    <row r="572" spans="60:68" ht="15">
      <c r="BH572" s="187">
        <v>42914</v>
      </c>
      <c r="BI572" s="180">
        <v>-0.27100000000000002</v>
      </c>
      <c r="BJ572" s="191">
        <v>42914</v>
      </c>
      <c r="BK572" s="192">
        <v>0.13500000000000001</v>
      </c>
      <c r="BN572" s="94">
        <v>42913</v>
      </c>
      <c r="BO572" s="95">
        <v>0.13200000000000001</v>
      </c>
      <c r="BP572" s="96">
        <v>9.56</v>
      </c>
    </row>
    <row r="573" spans="60:68" ht="15">
      <c r="BH573" s="187">
        <v>42915</v>
      </c>
      <c r="BI573" s="180">
        <v>-0.27</v>
      </c>
      <c r="BJ573" s="191">
        <v>42915</v>
      </c>
      <c r="BK573" s="192">
        <v>0.14099999999999999</v>
      </c>
      <c r="BN573" s="94">
        <v>42914</v>
      </c>
      <c r="BO573" s="95">
        <v>0.13500000000000001</v>
      </c>
      <c r="BP573" s="96">
        <v>9.56</v>
      </c>
    </row>
    <row r="574" spans="60:68" ht="15">
      <c r="BH574" s="187">
        <v>42916</v>
      </c>
      <c r="BI574" s="180">
        <v>-0.27100000000000002</v>
      </c>
      <c r="BJ574" s="191">
        <v>42916</v>
      </c>
      <c r="BK574" s="192">
        <v>0.14899999999999999</v>
      </c>
      <c r="BN574" s="94">
        <v>42915</v>
      </c>
      <c r="BO574" s="95">
        <v>0.14099999999999999</v>
      </c>
      <c r="BP574" s="96">
        <v>9.56</v>
      </c>
    </row>
    <row r="575" spans="60:68" ht="15">
      <c r="BH575" s="187">
        <v>42919</v>
      </c>
      <c r="BI575" s="180">
        <v>-0.27100000000000002</v>
      </c>
      <c r="BJ575" s="191">
        <v>42919</v>
      </c>
      <c r="BK575" s="192">
        <v>0.155</v>
      </c>
      <c r="BN575" s="94">
        <v>42916</v>
      </c>
      <c r="BO575" s="95">
        <v>0.14899999999999999</v>
      </c>
      <c r="BP575" s="96">
        <v>9.5500000000000007</v>
      </c>
    </row>
    <row r="576" spans="60:68" ht="15">
      <c r="BH576" s="187">
        <v>42920</v>
      </c>
      <c r="BI576" s="180">
        <v>-0.27200000000000002</v>
      </c>
      <c r="BJ576" s="191">
        <v>42920</v>
      </c>
      <c r="BK576" s="192">
        <v>0.16200000000000001</v>
      </c>
      <c r="BN576" s="94">
        <v>42919</v>
      </c>
      <c r="BO576" s="95">
        <v>0.155</v>
      </c>
      <c r="BP576" s="96">
        <v>9.5500000000000007</v>
      </c>
    </row>
    <row r="577" spans="60:68" ht="15">
      <c r="BH577" s="187">
        <v>42921</v>
      </c>
      <c r="BI577" s="180">
        <v>-0.27400000000000002</v>
      </c>
      <c r="BJ577" s="191">
        <v>42921</v>
      </c>
      <c r="BK577" s="192">
        <v>0.17</v>
      </c>
      <c r="BN577" s="94">
        <v>42920</v>
      </c>
      <c r="BO577" s="95">
        <v>0.16200000000000001</v>
      </c>
      <c r="BP577" s="96">
        <v>9.5399999999999991</v>
      </c>
    </row>
    <row r="578" spans="60:68" ht="15">
      <c r="BH578" s="187">
        <v>42922</v>
      </c>
      <c r="BI578" s="180">
        <v>-0.27300000000000002</v>
      </c>
      <c r="BJ578" s="191">
        <v>42922</v>
      </c>
      <c r="BK578" s="192">
        <v>0.185</v>
      </c>
      <c r="BN578" s="94">
        <v>42921</v>
      </c>
      <c r="BO578" s="95">
        <v>0.17</v>
      </c>
      <c r="BP578" s="96">
        <v>9.5399999999999991</v>
      </c>
    </row>
    <row r="579" spans="60:68" ht="15">
      <c r="BH579" s="187">
        <v>42923</v>
      </c>
      <c r="BI579" s="180">
        <v>-0.27200000000000002</v>
      </c>
      <c r="BJ579" s="191">
        <v>42923</v>
      </c>
      <c r="BK579" s="192">
        <v>0.19600000000000001</v>
      </c>
      <c r="BN579" s="94">
        <v>42922</v>
      </c>
      <c r="BO579" s="95">
        <v>0.185</v>
      </c>
      <c r="BP579" s="96">
        <v>9.6</v>
      </c>
    </row>
    <row r="580" spans="60:68" ht="15">
      <c r="BH580" s="187">
        <v>42926</v>
      </c>
      <c r="BI580" s="180">
        <v>-0.27300000000000002</v>
      </c>
      <c r="BJ580" s="191">
        <v>42926</v>
      </c>
      <c r="BK580" s="192">
        <v>0.20699999999999999</v>
      </c>
      <c r="BN580" s="94">
        <v>42923</v>
      </c>
      <c r="BO580" s="95">
        <v>0.19600000000000001</v>
      </c>
      <c r="BP580" s="96">
        <v>9.6</v>
      </c>
    </row>
    <row r="581" spans="60:68" ht="15">
      <c r="BH581" s="187">
        <v>42927</v>
      </c>
      <c r="BI581" s="180">
        <v>-0.27300000000000002</v>
      </c>
      <c r="BJ581" s="191">
        <v>42927</v>
      </c>
      <c r="BK581" s="192">
        <v>0.218</v>
      </c>
      <c r="BN581" s="94">
        <v>42926</v>
      </c>
      <c r="BO581" s="95">
        <v>0.20699999999999999</v>
      </c>
      <c r="BP581" s="96">
        <v>9.59</v>
      </c>
    </row>
    <row r="582" spans="60:68" ht="15">
      <c r="BH582" s="187">
        <v>42928</v>
      </c>
      <c r="BI582" s="180">
        <v>-0.27300000000000002</v>
      </c>
      <c r="BJ582" s="191">
        <v>42928</v>
      </c>
      <c r="BK582" s="192">
        <v>0.22700000000000001</v>
      </c>
      <c r="BN582" s="94">
        <v>42927</v>
      </c>
      <c r="BO582" s="95">
        <v>0.218</v>
      </c>
      <c r="BP582" s="96">
        <v>9.59</v>
      </c>
    </row>
    <row r="583" spans="60:68" ht="15">
      <c r="BH583" s="187">
        <v>42929</v>
      </c>
      <c r="BI583" s="180">
        <v>-0.27300000000000002</v>
      </c>
      <c r="BJ583" s="191">
        <v>42929</v>
      </c>
      <c r="BK583" s="192">
        <v>0.23599999999999999</v>
      </c>
      <c r="BN583" s="94">
        <v>42928</v>
      </c>
      <c r="BO583" s="95">
        <v>0.22700000000000001</v>
      </c>
      <c r="BP583" s="96">
        <v>9.58</v>
      </c>
    </row>
    <row r="584" spans="60:68" ht="15">
      <c r="BH584" s="187">
        <v>42930</v>
      </c>
      <c r="BI584" s="180">
        <v>-0.27300000000000002</v>
      </c>
      <c r="BJ584" s="191">
        <v>42930</v>
      </c>
      <c r="BK584" s="192">
        <v>0.24299999999999999</v>
      </c>
      <c r="BN584" s="94">
        <v>42929</v>
      </c>
      <c r="BO584" s="95">
        <v>0.23599999999999999</v>
      </c>
      <c r="BP584" s="96">
        <v>9.58</v>
      </c>
    </row>
    <row r="585" spans="60:68" ht="15">
      <c r="BH585" s="187">
        <v>42933</v>
      </c>
      <c r="BI585" s="180">
        <v>-0.27400000000000002</v>
      </c>
      <c r="BJ585" s="191">
        <v>42933</v>
      </c>
      <c r="BK585" s="192">
        <v>0.25</v>
      </c>
      <c r="BN585" s="94">
        <v>42930</v>
      </c>
      <c r="BO585" s="95">
        <v>0.24299999999999999</v>
      </c>
      <c r="BP585" s="96">
        <v>9.58</v>
      </c>
    </row>
    <row r="586" spans="60:68" ht="15">
      <c r="BH586" s="187">
        <v>42934</v>
      </c>
      <c r="BI586" s="180">
        <v>-0.27400000000000002</v>
      </c>
      <c r="BJ586" s="191">
        <v>42934</v>
      </c>
      <c r="BK586" s="192">
        <v>0.25700000000000001</v>
      </c>
      <c r="BN586" s="94">
        <v>42933</v>
      </c>
      <c r="BO586" s="95">
        <v>0.25</v>
      </c>
      <c r="BP586" s="96">
        <v>9.57</v>
      </c>
    </row>
    <row r="587" spans="60:68" ht="15">
      <c r="BH587" s="187">
        <v>42935</v>
      </c>
      <c r="BI587" s="180">
        <v>-0.27400000000000002</v>
      </c>
      <c r="BJ587" s="191">
        <v>42935</v>
      </c>
      <c r="BK587" s="192">
        <v>0.26500000000000001</v>
      </c>
      <c r="BN587" s="94">
        <v>42934</v>
      </c>
      <c r="BO587" s="95">
        <v>0.25700000000000001</v>
      </c>
      <c r="BP587" s="96">
        <v>9.57</v>
      </c>
    </row>
    <row r="588" spans="60:68" ht="15">
      <c r="BH588" s="187">
        <v>42936</v>
      </c>
      <c r="BI588" s="180">
        <v>-0.27400000000000002</v>
      </c>
      <c r="BJ588" s="191">
        <v>42936</v>
      </c>
      <c r="BK588" s="192">
        <v>0.27100000000000002</v>
      </c>
      <c r="BN588" s="94">
        <v>42935</v>
      </c>
      <c r="BO588" s="95">
        <v>0.26500000000000001</v>
      </c>
      <c r="BP588" s="96">
        <v>9.56</v>
      </c>
    </row>
    <row r="589" spans="60:68" ht="15">
      <c r="BH589" s="187">
        <v>42937</v>
      </c>
      <c r="BI589" s="180">
        <v>-0.27200000000000002</v>
      </c>
      <c r="BJ589" s="191">
        <v>42937</v>
      </c>
      <c r="BK589" s="192">
        <v>0.27500000000000002</v>
      </c>
      <c r="BN589" s="94">
        <v>42936</v>
      </c>
      <c r="BO589" s="95">
        <v>0.27100000000000002</v>
      </c>
      <c r="BP589" s="96">
        <v>9.56</v>
      </c>
    </row>
    <row r="590" spans="60:68" ht="15">
      <c r="BH590" s="187">
        <v>42940</v>
      </c>
      <c r="BI590" s="180">
        <v>-0.27100000000000002</v>
      </c>
      <c r="BJ590" s="191">
        <v>42940</v>
      </c>
      <c r="BK590" s="192">
        <v>0.28000000000000003</v>
      </c>
      <c r="BN590" s="94">
        <v>42937</v>
      </c>
      <c r="BO590" s="95">
        <v>0.27500000000000002</v>
      </c>
      <c r="BP590" s="96">
        <v>9.56</v>
      </c>
    </row>
    <row r="591" spans="60:68" ht="15">
      <c r="BH591" s="187">
        <v>42941</v>
      </c>
      <c r="BI591" s="180">
        <v>-0.27200000000000002</v>
      </c>
      <c r="BJ591" s="191">
        <v>42941</v>
      </c>
      <c r="BK591" s="192">
        <v>0.28299999999999997</v>
      </c>
      <c r="BN591" s="94">
        <v>42940</v>
      </c>
      <c r="BO591" s="95">
        <v>0.28000000000000003</v>
      </c>
      <c r="BP591" s="96">
        <v>9.5500000000000007</v>
      </c>
    </row>
    <row r="592" spans="60:68" ht="15">
      <c r="BH592" s="187">
        <v>42942</v>
      </c>
      <c r="BI592" s="180">
        <v>-0.27200000000000002</v>
      </c>
      <c r="BJ592" s="191">
        <v>42942</v>
      </c>
      <c r="BK592" s="192">
        <v>0.28399999999999997</v>
      </c>
      <c r="BN592" s="94">
        <v>42941</v>
      </c>
      <c r="BO592" s="95">
        <v>0.28299999999999997</v>
      </c>
      <c r="BP592" s="96">
        <v>9.5500000000000007</v>
      </c>
    </row>
    <row r="593" spans="60:68" ht="15">
      <c r="BH593" s="187">
        <v>42943</v>
      </c>
      <c r="BI593" s="180">
        <v>-0.27200000000000002</v>
      </c>
      <c r="BJ593" s="191">
        <v>42943</v>
      </c>
      <c r="BK593" s="192">
        <v>0.28199999999999997</v>
      </c>
      <c r="BN593" s="94">
        <v>42942</v>
      </c>
      <c r="BO593" s="95">
        <v>0.28399999999999997</v>
      </c>
      <c r="BP593" s="96">
        <v>9.5500000000000007</v>
      </c>
    </row>
    <row r="594" spans="60:68" ht="15">
      <c r="BH594" s="187">
        <v>42944</v>
      </c>
      <c r="BI594" s="180">
        <v>-0.27200000000000002</v>
      </c>
      <c r="BJ594" s="191">
        <v>42944</v>
      </c>
      <c r="BK594" s="192">
        <v>0.28100000000000003</v>
      </c>
      <c r="BN594" s="94">
        <v>42943</v>
      </c>
      <c r="BO594" s="95">
        <v>0.28199999999999997</v>
      </c>
      <c r="BP594" s="96">
        <v>9.5399999999999991</v>
      </c>
    </row>
    <row r="595" spans="60:68" ht="15">
      <c r="BH595" s="187">
        <v>42947</v>
      </c>
      <c r="BI595" s="180">
        <v>-0.27100000000000002</v>
      </c>
      <c r="BJ595" s="191">
        <v>42947</v>
      </c>
      <c r="BK595" s="192">
        <v>0.27900000000000003</v>
      </c>
      <c r="BN595" s="94">
        <v>42944</v>
      </c>
      <c r="BO595" s="95">
        <v>0.28100000000000003</v>
      </c>
      <c r="BP595" s="96">
        <v>9.5399999999999991</v>
      </c>
    </row>
    <row r="596" spans="60:68" ht="15">
      <c r="BH596" s="187">
        <v>42948</v>
      </c>
      <c r="BI596" s="180">
        <v>-0.27200000000000002</v>
      </c>
      <c r="BJ596" s="191">
        <v>42948</v>
      </c>
      <c r="BK596" s="192">
        <v>0.27700000000000002</v>
      </c>
      <c r="BN596" s="94">
        <v>42947</v>
      </c>
      <c r="BO596" s="95">
        <v>0.27900000000000003</v>
      </c>
      <c r="BP596" s="96">
        <v>9.5299999999999994</v>
      </c>
    </row>
    <row r="597" spans="60:68" ht="15">
      <c r="BH597" s="187">
        <v>42949</v>
      </c>
      <c r="BI597" s="180">
        <v>-0.27300000000000002</v>
      </c>
      <c r="BJ597" s="191">
        <v>42949</v>
      </c>
      <c r="BK597" s="192">
        <v>0.27300000000000002</v>
      </c>
      <c r="BN597" s="94">
        <v>42948</v>
      </c>
      <c r="BO597" s="95">
        <v>0.27700000000000002</v>
      </c>
      <c r="BP597" s="96">
        <v>9.5299999999999994</v>
      </c>
    </row>
    <row r="598" spans="60:68" ht="15">
      <c r="BH598" s="187">
        <v>42950</v>
      </c>
      <c r="BI598" s="180">
        <v>-0.27200000000000002</v>
      </c>
      <c r="BJ598" s="191">
        <v>42950</v>
      </c>
      <c r="BK598" s="192">
        <v>0.26700000000000002</v>
      </c>
      <c r="BN598" s="94">
        <v>42949</v>
      </c>
      <c r="BO598" s="95">
        <v>0.27300000000000002</v>
      </c>
      <c r="BP598" s="96">
        <v>9.5299999999999994</v>
      </c>
    </row>
    <row r="599" spans="60:68" ht="15">
      <c r="BH599" s="187">
        <v>42951</v>
      </c>
      <c r="BI599" s="180">
        <v>-0.27100000000000002</v>
      </c>
      <c r="BJ599" s="191">
        <v>42951</v>
      </c>
      <c r="BK599" s="192">
        <v>0.26</v>
      </c>
      <c r="BN599" s="94">
        <v>42950</v>
      </c>
      <c r="BO599" s="95">
        <v>0.26700000000000002</v>
      </c>
      <c r="BP599" s="96">
        <v>9.52</v>
      </c>
    </row>
    <row r="600" spans="60:68" ht="15">
      <c r="BH600" s="187">
        <v>42954</v>
      </c>
      <c r="BI600" s="180">
        <v>-0.27</v>
      </c>
      <c r="BJ600" s="191">
        <v>42954</v>
      </c>
      <c r="BK600" s="192">
        <v>0.253</v>
      </c>
      <c r="BN600" s="94">
        <v>42951</v>
      </c>
      <c r="BO600" s="95">
        <v>0.26</v>
      </c>
      <c r="BP600" s="96">
        <v>9.52</v>
      </c>
    </row>
    <row r="601" spans="60:68" ht="15">
      <c r="BH601" s="187">
        <v>42955</v>
      </c>
      <c r="BI601" s="180">
        <v>-0.26900000000000002</v>
      </c>
      <c r="BJ601" s="191">
        <v>42955</v>
      </c>
      <c r="BK601" s="192">
        <v>0.246</v>
      </c>
      <c r="BN601" s="94">
        <v>42954</v>
      </c>
      <c r="BO601" s="95">
        <v>0.253</v>
      </c>
      <c r="BP601" s="96">
        <v>9.51</v>
      </c>
    </row>
    <row r="602" spans="60:68" ht="15">
      <c r="BH602" s="187">
        <v>42956</v>
      </c>
      <c r="BI602" s="180">
        <v>-0.27100000000000002</v>
      </c>
      <c r="BJ602" s="191">
        <v>42956</v>
      </c>
      <c r="BK602" s="192">
        <v>0.24</v>
      </c>
      <c r="BN602" s="94">
        <v>42955</v>
      </c>
      <c r="BO602" s="95">
        <v>0.246</v>
      </c>
      <c r="BP602" s="96">
        <v>9.51</v>
      </c>
    </row>
    <row r="603" spans="60:68" ht="15">
      <c r="BH603" s="187">
        <v>42957</v>
      </c>
      <c r="BI603" s="180">
        <v>-0.27100000000000002</v>
      </c>
      <c r="BJ603" s="191">
        <v>42957</v>
      </c>
      <c r="BK603" s="192">
        <v>0.23499999999999999</v>
      </c>
      <c r="BN603" s="94">
        <v>42956</v>
      </c>
      <c r="BO603" s="95">
        <v>0.24</v>
      </c>
      <c r="BP603" s="96">
        <v>9.51</v>
      </c>
    </row>
    <row r="604" spans="60:68" ht="15">
      <c r="BH604" s="187">
        <v>42958</v>
      </c>
      <c r="BI604" s="180">
        <v>-0.27100000000000002</v>
      </c>
      <c r="BJ604" s="191">
        <v>42958</v>
      </c>
      <c r="BK604" s="192">
        <v>0.22700000000000001</v>
      </c>
      <c r="BN604" s="94">
        <v>42957</v>
      </c>
      <c r="BO604" s="95">
        <v>0.23499999999999999</v>
      </c>
      <c r="BP604" s="96">
        <v>9.5299999999999994</v>
      </c>
    </row>
    <row r="605" spans="60:68" ht="15">
      <c r="BH605" s="187">
        <v>42961</v>
      </c>
      <c r="BI605" s="180">
        <v>-0.27100000000000002</v>
      </c>
      <c r="BJ605" s="191">
        <v>42961</v>
      </c>
      <c r="BK605" s="192">
        <v>0.221</v>
      </c>
      <c r="BN605" s="94">
        <v>42958</v>
      </c>
      <c r="BO605" s="95">
        <v>0.22700000000000001</v>
      </c>
      <c r="BP605" s="96">
        <v>9.5299999999999994</v>
      </c>
    </row>
    <row r="606" spans="60:68" ht="15">
      <c r="BH606" s="187">
        <v>42962</v>
      </c>
      <c r="BI606" s="180">
        <v>-0.27100000000000002</v>
      </c>
      <c r="BJ606" s="191"/>
      <c r="BK606" s="193">
        <f>+BK605</f>
        <v>0.221</v>
      </c>
      <c r="BN606" s="94">
        <v>42961</v>
      </c>
      <c r="BO606" s="95">
        <v>0.221</v>
      </c>
      <c r="BP606" s="96">
        <v>9.52</v>
      </c>
    </row>
    <row r="607" spans="60:68" ht="15">
      <c r="BH607" s="187">
        <v>42963</v>
      </c>
      <c r="BI607" s="180">
        <v>-0.27100000000000002</v>
      </c>
      <c r="BJ607" s="191">
        <v>42963</v>
      </c>
      <c r="BK607" s="192">
        <v>0.22</v>
      </c>
      <c r="BN607" s="94">
        <v>42963</v>
      </c>
      <c r="BO607" s="95">
        <v>0.22</v>
      </c>
      <c r="BP607" s="96">
        <v>9.65</v>
      </c>
    </row>
    <row r="608" spans="60:68" ht="15">
      <c r="BH608" s="187">
        <v>42964</v>
      </c>
      <c r="BI608" s="180">
        <v>-0.27100000000000002</v>
      </c>
      <c r="BJ608" s="191">
        <v>42964</v>
      </c>
      <c r="BK608" s="192">
        <v>0.216</v>
      </c>
      <c r="BN608" s="94">
        <v>42964</v>
      </c>
      <c r="BO608" s="95">
        <v>0.216</v>
      </c>
      <c r="BP608" s="96">
        <v>9.65</v>
      </c>
    </row>
    <row r="609" spans="60:68" ht="15">
      <c r="BH609" s="187">
        <v>42965</v>
      </c>
      <c r="BI609" s="180">
        <v>-0.27100000000000002</v>
      </c>
      <c r="BJ609" s="191">
        <v>42965</v>
      </c>
      <c r="BK609" s="192">
        <v>0.21099999999999999</v>
      </c>
      <c r="BN609" s="94">
        <v>42965</v>
      </c>
      <c r="BO609" s="95">
        <v>0.21099999999999999</v>
      </c>
      <c r="BP609" s="96">
        <v>9.65</v>
      </c>
    </row>
    <row r="610" spans="60:68" ht="15">
      <c r="BH610" s="187">
        <v>42968</v>
      </c>
      <c r="BI610" s="180">
        <v>-0.27100000000000002</v>
      </c>
      <c r="BJ610" s="191">
        <v>42968</v>
      </c>
      <c r="BK610" s="192">
        <v>0.20799999999999999</v>
      </c>
      <c r="BN610" s="94">
        <v>42968</v>
      </c>
      <c r="BO610" s="95">
        <v>0.20799999999999999</v>
      </c>
      <c r="BP610" s="96">
        <v>9.64</v>
      </c>
    </row>
    <row r="611" spans="60:68" ht="15">
      <c r="BH611" s="187">
        <v>42969</v>
      </c>
      <c r="BI611" s="180">
        <v>-0.27300000000000002</v>
      </c>
      <c r="BJ611" s="191">
        <v>42969</v>
      </c>
      <c r="BK611" s="192">
        <v>0.20499999999999999</v>
      </c>
      <c r="BN611" s="94">
        <v>42969</v>
      </c>
      <c r="BO611" s="95">
        <v>0.20499999999999999</v>
      </c>
      <c r="BP611" s="96">
        <v>9.64</v>
      </c>
    </row>
    <row r="612" spans="60:68" ht="15">
      <c r="BH612" s="187">
        <v>42970</v>
      </c>
      <c r="BI612" s="180">
        <v>-0.27300000000000002</v>
      </c>
      <c r="BJ612" s="191">
        <v>42970</v>
      </c>
      <c r="BK612" s="192">
        <v>0.20100000000000001</v>
      </c>
      <c r="BN612" s="94">
        <v>42970</v>
      </c>
      <c r="BO612" s="95">
        <v>0.20100000000000001</v>
      </c>
      <c r="BP612" s="96">
        <v>9.6300000000000008</v>
      </c>
    </row>
    <row r="613" spans="60:68" ht="15">
      <c r="BH613" s="187">
        <v>42971</v>
      </c>
      <c r="BI613" s="180">
        <v>-0.27200000000000002</v>
      </c>
      <c r="BJ613" s="191">
        <v>42971</v>
      </c>
      <c r="BK613" s="192">
        <v>0.19600000000000001</v>
      </c>
      <c r="BN613" s="94">
        <v>42971</v>
      </c>
      <c r="BO613" s="95">
        <v>0.19600000000000001</v>
      </c>
      <c r="BP613" s="96">
        <v>9.6300000000000008</v>
      </c>
    </row>
    <row r="614" spans="60:68" ht="15">
      <c r="BH614" s="187">
        <v>42972</v>
      </c>
      <c r="BI614" s="180">
        <v>-0.27200000000000002</v>
      </c>
      <c r="BJ614" s="191">
        <v>42972</v>
      </c>
      <c r="BK614" s="192">
        <v>0.192</v>
      </c>
      <c r="BN614" s="94">
        <v>42972</v>
      </c>
      <c r="BO614" s="95">
        <v>0.192</v>
      </c>
      <c r="BP614" s="96">
        <v>9.6300000000000008</v>
      </c>
    </row>
    <row r="615" spans="60:68" ht="15">
      <c r="BH615" s="187">
        <v>42975</v>
      </c>
      <c r="BI615" s="180">
        <v>-0.27300000000000002</v>
      </c>
      <c r="BJ615" s="191">
        <v>42975</v>
      </c>
      <c r="BK615" s="192">
        <v>0.187</v>
      </c>
      <c r="BN615" s="94">
        <v>42975</v>
      </c>
      <c r="BO615" s="95">
        <v>0.187</v>
      </c>
      <c r="BP615" s="96">
        <v>9.6199999999999992</v>
      </c>
    </row>
    <row r="616" spans="60:68" ht="15">
      <c r="BH616" s="187">
        <v>42976</v>
      </c>
      <c r="BI616" s="180">
        <v>-0.27300000000000002</v>
      </c>
      <c r="BJ616" s="191">
        <v>42976</v>
      </c>
      <c r="BK616" s="192">
        <v>0.18099999999999999</v>
      </c>
      <c r="BN616" s="94">
        <v>42976</v>
      </c>
      <c r="BO616" s="95">
        <v>0.18099999999999999</v>
      </c>
      <c r="BP616" s="96">
        <v>9.6199999999999992</v>
      </c>
    </row>
    <row r="617" spans="60:68" ht="15">
      <c r="BH617" s="187">
        <v>42977</v>
      </c>
      <c r="BI617" s="180">
        <v>-0.27300000000000002</v>
      </c>
      <c r="BJ617" s="191">
        <v>42977</v>
      </c>
      <c r="BK617" s="192">
        <v>0.17599999999999999</v>
      </c>
      <c r="BN617" s="94">
        <v>42977</v>
      </c>
      <c r="BO617" s="95">
        <v>0.17599999999999999</v>
      </c>
      <c r="BP617" s="96">
        <v>9.61</v>
      </c>
    </row>
    <row r="618" spans="60:68" ht="15">
      <c r="BH618" s="187">
        <v>42978</v>
      </c>
      <c r="BI618" s="180">
        <v>-0.27300000000000002</v>
      </c>
      <c r="BJ618" s="191">
        <v>42978</v>
      </c>
      <c r="BK618" s="192">
        <v>0.17299999999999999</v>
      </c>
      <c r="BN618" s="94">
        <v>42978</v>
      </c>
      <c r="BO618" s="95">
        <v>0.17299999999999999</v>
      </c>
      <c r="BP618" s="96">
        <v>9.61</v>
      </c>
    </row>
    <row r="619" spans="60:68" ht="15">
      <c r="BH619" s="187">
        <v>42979</v>
      </c>
      <c r="BI619" s="180">
        <v>-0.27300000000000002</v>
      </c>
      <c r="BJ619" s="191">
        <v>42979</v>
      </c>
      <c r="BK619" s="192">
        <v>0.17</v>
      </c>
      <c r="BN619" s="94">
        <v>42979</v>
      </c>
      <c r="BO619" s="95">
        <v>0.17</v>
      </c>
      <c r="BP619" s="96">
        <v>9.61</v>
      </c>
    </row>
    <row r="620" spans="60:68" ht="15">
      <c r="BH620" s="187">
        <v>42982</v>
      </c>
      <c r="BI620" s="180">
        <v>-0.27400000000000002</v>
      </c>
      <c r="BJ620" s="191">
        <v>42982</v>
      </c>
      <c r="BK620" s="192">
        <v>0.16700000000000001</v>
      </c>
      <c r="BN620" s="94">
        <v>42982</v>
      </c>
      <c r="BO620" s="95">
        <v>0.16700000000000001</v>
      </c>
      <c r="BP620" s="96">
        <v>9.6</v>
      </c>
    </row>
    <row r="621" spans="60:68" ht="15">
      <c r="BH621" s="187">
        <v>42983</v>
      </c>
      <c r="BI621" s="180">
        <v>-0.27400000000000002</v>
      </c>
      <c r="BJ621" s="191">
        <v>42983</v>
      </c>
      <c r="BK621" s="192">
        <v>0.16400000000000001</v>
      </c>
      <c r="BN621" s="94">
        <v>42983</v>
      </c>
      <c r="BO621" s="95">
        <v>0.16400000000000001</v>
      </c>
      <c r="BP621" s="96">
        <v>9.6</v>
      </c>
    </row>
    <row r="622" spans="60:68" ht="15">
      <c r="BH622" s="187">
        <v>42984</v>
      </c>
      <c r="BI622" s="180">
        <v>-0.27400000000000002</v>
      </c>
      <c r="BJ622" s="191">
        <v>42984</v>
      </c>
      <c r="BK622" s="192">
        <v>0.159</v>
      </c>
      <c r="BN622" s="94">
        <v>42984</v>
      </c>
      <c r="BO622" s="95">
        <v>0.159</v>
      </c>
      <c r="BP622" s="96">
        <v>9.59</v>
      </c>
    </row>
    <row r="623" spans="60:68" ht="15">
      <c r="BH623" s="187">
        <v>42985</v>
      </c>
      <c r="BI623" s="180">
        <v>-0.27300000000000002</v>
      </c>
      <c r="BJ623" s="191">
        <v>42985</v>
      </c>
      <c r="BK623" s="192">
        <v>0.16200000000000001</v>
      </c>
      <c r="BN623" s="94">
        <v>42985</v>
      </c>
      <c r="BO623" s="95">
        <v>0.16200000000000001</v>
      </c>
      <c r="BP623" s="96">
        <v>9.6300000000000008</v>
      </c>
    </row>
    <row r="624" spans="60:68" ht="15">
      <c r="BH624" s="187">
        <v>42986</v>
      </c>
      <c r="BI624" s="180">
        <v>-0.27500000000000002</v>
      </c>
      <c r="BJ624" s="191">
        <v>42986</v>
      </c>
      <c r="BK624" s="192">
        <v>0.159</v>
      </c>
      <c r="BN624" s="94">
        <v>42986</v>
      </c>
      <c r="BO624" s="95">
        <v>0.159</v>
      </c>
      <c r="BP624" s="96">
        <v>9.6199999999999992</v>
      </c>
    </row>
    <row r="625" spans="60:68" ht="15">
      <c r="BH625" s="187">
        <v>42989</v>
      </c>
      <c r="BI625" s="180">
        <v>-0.27400000000000002</v>
      </c>
      <c r="BJ625" s="191">
        <v>42989</v>
      </c>
      <c r="BK625" s="192">
        <v>0.157</v>
      </c>
      <c r="BN625" s="94">
        <v>42989</v>
      </c>
      <c r="BO625" s="95">
        <v>0.157</v>
      </c>
      <c r="BP625" s="96">
        <v>9.61</v>
      </c>
    </row>
    <row r="626" spans="60:68" ht="15">
      <c r="BH626" s="187">
        <v>42990</v>
      </c>
      <c r="BI626" s="180">
        <v>-0.27200000000000002</v>
      </c>
      <c r="BJ626" s="191">
        <v>42990</v>
      </c>
      <c r="BK626" s="192">
        <v>0.157</v>
      </c>
      <c r="BN626" s="94">
        <v>42990</v>
      </c>
      <c r="BO626" s="95">
        <v>0.157</v>
      </c>
      <c r="BP626" s="96">
        <v>9.61</v>
      </c>
    </row>
    <row r="627" spans="60:68" ht="15">
      <c r="BH627" s="187">
        <v>42991</v>
      </c>
      <c r="BI627" s="180">
        <v>-0.27200000000000002</v>
      </c>
      <c r="BJ627" s="191">
        <v>42991</v>
      </c>
      <c r="BK627" s="192">
        <v>0.156</v>
      </c>
      <c r="BN627" s="94">
        <v>42991</v>
      </c>
      <c r="BO627" s="95">
        <v>0.156</v>
      </c>
      <c r="BP627" s="96">
        <v>9.61</v>
      </c>
    </row>
    <row r="628" spans="60:68" ht="15">
      <c r="BH628" s="187">
        <v>42992</v>
      </c>
      <c r="BI628" s="180">
        <v>-0.27200000000000002</v>
      </c>
      <c r="BJ628" s="191">
        <v>42992</v>
      </c>
      <c r="BK628" s="192">
        <v>0.155</v>
      </c>
      <c r="BN628" s="94">
        <v>42992</v>
      </c>
      <c r="BO628" s="95">
        <v>0.155</v>
      </c>
      <c r="BP628" s="96">
        <v>9.61</v>
      </c>
    </row>
    <row r="629" spans="60:68" ht="15">
      <c r="BH629" s="187">
        <v>42993</v>
      </c>
      <c r="BI629" s="180">
        <v>-0.27100000000000002</v>
      </c>
      <c r="BJ629" s="191">
        <v>42993</v>
      </c>
      <c r="BK629" s="192">
        <v>0.156</v>
      </c>
      <c r="BN629" s="94">
        <v>42993</v>
      </c>
      <c r="BO629" s="95">
        <v>0.156</v>
      </c>
      <c r="BP629" s="96">
        <v>9.6</v>
      </c>
    </row>
    <row r="630" spans="60:68" ht="15">
      <c r="BH630" s="187">
        <v>42996</v>
      </c>
      <c r="BI630" s="180">
        <v>-0.27100000000000002</v>
      </c>
      <c r="BJ630" s="191">
        <v>42996</v>
      </c>
      <c r="BK630" s="192">
        <v>0.157</v>
      </c>
      <c r="BN630" s="94">
        <v>42996</v>
      </c>
      <c r="BO630" s="95">
        <v>0.157</v>
      </c>
      <c r="BP630" s="96">
        <v>9.6</v>
      </c>
    </row>
    <row r="631" spans="60:68" ht="15">
      <c r="BH631" s="187">
        <v>42997</v>
      </c>
      <c r="BI631" s="180">
        <v>-0.27200000000000002</v>
      </c>
      <c r="BJ631" s="191">
        <v>42997</v>
      </c>
      <c r="BK631" s="192">
        <v>0.159</v>
      </c>
      <c r="BN631" s="94">
        <v>42997</v>
      </c>
      <c r="BO631" s="95">
        <v>0.159</v>
      </c>
      <c r="BP631" s="96">
        <v>9.59</v>
      </c>
    </row>
    <row r="632" spans="60:68" ht="15">
      <c r="BH632" s="187">
        <v>42998</v>
      </c>
      <c r="BI632" s="180">
        <v>-0.27100000000000002</v>
      </c>
      <c r="BJ632" s="191">
        <v>42998</v>
      </c>
      <c r="BK632" s="192">
        <v>0.187</v>
      </c>
      <c r="BN632" s="94">
        <v>42998</v>
      </c>
      <c r="BO632" s="95">
        <v>0.187</v>
      </c>
      <c r="BP632" s="96">
        <v>11.08</v>
      </c>
    </row>
    <row r="633" spans="60:68" ht="15">
      <c r="BH633" s="187">
        <v>42999</v>
      </c>
      <c r="BI633" s="180">
        <v>-0.27200000000000002</v>
      </c>
      <c r="BJ633" s="191">
        <v>42999</v>
      </c>
      <c r="BK633" s="192">
        <v>0.19</v>
      </c>
      <c r="BN633" s="94">
        <v>42999</v>
      </c>
      <c r="BO633" s="95">
        <v>0.19</v>
      </c>
      <c r="BP633" s="96">
        <v>11.08</v>
      </c>
    </row>
    <row r="634" spans="60:68" ht="15">
      <c r="BH634" s="187">
        <v>43000</v>
      </c>
      <c r="BI634" s="180">
        <v>-0.27100000000000002</v>
      </c>
      <c r="BJ634" s="191">
        <v>43000</v>
      </c>
      <c r="BK634" s="192">
        <v>0.192</v>
      </c>
      <c r="BN634" s="94">
        <v>43000</v>
      </c>
      <c r="BO634" s="95">
        <v>0.192</v>
      </c>
      <c r="BP634" s="96">
        <v>11.07</v>
      </c>
    </row>
    <row r="635" spans="60:68" ht="15">
      <c r="BH635" s="187">
        <v>43003</v>
      </c>
      <c r="BI635" s="180">
        <v>-0.27200000000000002</v>
      </c>
      <c r="BJ635" s="191">
        <v>43003</v>
      </c>
      <c r="BK635" s="192">
        <v>0.192</v>
      </c>
      <c r="BN635" s="94">
        <v>43003</v>
      </c>
      <c r="BO635" s="95">
        <v>0.192</v>
      </c>
      <c r="BP635" s="96">
        <v>11.07</v>
      </c>
    </row>
    <row r="636" spans="60:68" ht="15">
      <c r="BH636" s="187">
        <v>43004</v>
      </c>
      <c r="BI636" s="180">
        <v>-0.27300000000000002</v>
      </c>
      <c r="BJ636" s="191">
        <v>43004</v>
      </c>
      <c r="BK636" s="192">
        <v>0.193</v>
      </c>
      <c r="BN636" s="94">
        <v>43004</v>
      </c>
      <c r="BO636" s="95">
        <v>0.193</v>
      </c>
      <c r="BP636" s="96">
        <v>11.06</v>
      </c>
    </row>
    <row r="637" spans="60:68" ht="15">
      <c r="BH637" s="187">
        <v>43005</v>
      </c>
      <c r="BI637" s="180">
        <v>-0.27300000000000002</v>
      </c>
      <c r="BJ637" s="191">
        <v>43005</v>
      </c>
      <c r="BK637" s="192">
        <v>0.19600000000000001</v>
      </c>
      <c r="BN637" s="94">
        <v>43005</v>
      </c>
      <c r="BO637" s="95">
        <v>0.19600000000000001</v>
      </c>
      <c r="BP637" s="96">
        <v>11.06</v>
      </c>
    </row>
    <row r="638" spans="60:68" ht="15">
      <c r="BH638" s="187">
        <v>43006</v>
      </c>
      <c r="BI638" s="180">
        <v>-0.27300000000000002</v>
      </c>
      <c r="BJ638" s="191">
        <v>43006</v>
      </c>
      <c r="BK638" s="192">
        <v>0.2</v>
      </c>
      <c r="BN638" s="94">
        <v>43006</v>
      </c>
      <c r="BO638" s="95">
        <v>0.2</v>
      </c>
      <c r="BP638" s="96">
        <v>11.06</v>
      </c>
    </row>
    <row r="639" spans="60:68" ht="15">
      <c r="BH639" s="187">
        <v>43007</v>
      </c>
      <c r="BI639" s="180">
        <v>-0.27300000000000002</v>
      </c>
      <c r="BJ639" s="191">
        <v>43007</v>
      </c>
      <c r="BK639" s="192">
        <v>0.20200000000000001</v>
      </c>
      <c r="BN639" s="94">
        <v>43007</v>
      </c>
      <c r="BO639" s="95">
        <v>0.20200000000000001</v>
      </c>
      <c r="BP639" s="96">
        <v>11.05</v>
      </c>
    </row>
    <row r="640" spans="60:68" ht="15">
      <c r="BH640" s="187">
        <v>43010</v>
      </c>
      <c r="BI640" s="180">
        <v>-0.27200000000000002</v>
      </c>
      <c r="BJ640" s="191">
        <v>43010</v>
      </c>
      <c r="BK640" s="192">
        <v>0.20300000000000001</v>
      </c>
      <c r="BN640" s="94">
        <v>43010</v>
      </c>
      <c r="BO640" s="95">
        <v>0.20300000000000001</v>
      </c>
      <c r="BP640" s="96">
        <v>11.05</v>
      </c>
    </row>
    <row r="641" spans="60:68" ht="15">
      <c r="BH641" s="187">
        <v>43011</v>
      </c>
      <c r="BI641" s="180">
        <v>-0.27300000000000002</v>
      </c>
      <c r="BJ641" s="191">
        <v>43011</v>
      </c>
      <c r="BK641" s="192">
        <v>0.20599999999999999</v>
      </c>
      <c r="BN641" s="94">
        <v>43011</v>
      </c>
      <c r="BO641" s="95">
        <v>0.20599999999999999</v>
      </c>
      <c r="BP641" s="96">
        <v>11.04</v>
      </c>
    </row>
    <row r="642" spans="60:68" ht="15">
      <c r="BH642" s="187">
        <v>43012</v>
      </c>
      <c r="BI642" s="180">
        <v>-0.27300000000000002</v>
      </c>
      <c r="BJ642" s="191">
        <v>43012</v>
      </c>
      <c r="BK642" s="192">
        <v>0.20899999999999999</v>
      </c>
      <c r="BN642" s="94">
        <v>43012</v>
      </c>
      <c r="BO642" s="95">
        <v>0.20899999999999999</v>
      </c>
      <c r="BP642" s="96">
        <v>11.04</v>
      </c>
    </row>
    <row r="643" spans="60:68" ht="15">
      <c r="BH643" s="187">
        <v>43013</v>
      </c>
      <c r="BI643" s="180">
        <v>-0.27200000000000002</v>
      </c>
      <c r="BJ643" s="191">
        <v>43013</v>
      </c>
      <c r="BK643" s="192">
        <v>0.21199999999999999</v>
      </c>
      <c r="BN643" s="94">
        <v>43013</v>
      </c>
      <c r="BO643" s="95">
        <v>0.21199999999999999</v>
      </c>
      <c r="BP643" s="96">
        <v>11.04</v>
      </c>
    </row>
    <row r="644" spans="60:68" ht="15">
      <c r="BH644" s="187">
        <v>43014</v>
      </c>
      <c r="BI644" s="180">
        <v>-0.27300000000000002</v>
      </c>
      <c r="BJ644" s="191">
        <v>43014</v>
      </c>
      <c r="BK644" s="192">
        <v>0.217</v>
      </c>
      <c r="BN644" s="94">
        <v>43014</v>
      </c>
      <c r="BO644" s="95">
        <v>0.217</v>
      </c>
      <c r="BP644" s="96">
        <v>11.04</v>
      </c>
    </row>
    <row r="645" spans="60:68" ht="15">
      <c r="BH645" s="187">
        <v>43017</v>
      </c>
      <c r="BI645" s="180">
        <v>-0.27400000000000002</v>
      </c>
      <c r="BJ645" s="191">
        <v>43017</v>
      </c>
      <c r="BK645" s="192">
        <v>0.221</v>
      </c>
      <c r="BN645" s="94">
        <v>43017</v>
      </c>
      <c r="BO645" s="95">
        <v>0.221</v>
      </c>
      <c r="BP645" s="96">
        <v>11.03</v>
      </c>
    </row>
    <row r="646" spans="60:68" ht="15">
      <c r="BH646" s="187">
        <v>43018</v>
      </c>
      <c r="BI646" s="180">
        <v>-0.27400000000000002</v>
      </c>
      <c r="BJ646" s="191">
        <v>43018</v>
      </c>
      <c r="BK646" s="192">
        <v>0.222</v>
      </c>
      <c r="BN646" s="94">
        <v>43018</v>
      </c>
      <c r="BO646" s="95">
        <v>0.222</v>
      </c>
      <c r="BP646" s="96">
        <v>11.02</v>
      </c>
    </row>
    <row r="647" spans="60:68" ht="15">
      <c r="BH647" s="187">
        <v>43019</v>
      </c>
      <c r="BI647" s="180">
        <v>-0.27400000000000002</v>
      </c>
      <c r="BJ647" s="191">
        <v>43019</v>
      </c>
      <c r="BK647" s="192">
        <v>0.223</v>
      </c>
      <c r="BN647" s="94">
        <v>43019</v>
      </c>
      <c r="BO647" s="95">
        <v>0.223</v>
      </c>
      <c r="BP647" s="96">
        <v>11.02</v>
      </c>
    </row>
    <row r="648" spans="60:68" ht="15">
      <c r="BH648" s="187">
        <v>43020</v>
      </c>
      <c r="BI648" s="180">
        <v>-0.27400000000000002</v>
      </c>
      <c r="BJ648" s="191">
        <v>43020</v>
      </c>
      <c r="BK648" s="192">
        <v>0.22500000000000001</v>
      </c>
      <c r="BN648" s="94">
        <v>43020</v>
      </c>
      <c r="BO648" s="95">
        <v>0.22500000000000001</v>
      </c>
      <c r="BP648" s="96">
        <v>11.02</v>
      </c>
    </row>
    <row r="649" spans="60:68" ht="15">
      <c r="BH649" s="187">
        <v>43021</v>
      </c>
      <c r="BI649" s="180">
        <v>-0.27400000000000002</v>
      </c>
      <c r="BJ649" s="191">
        <v>43021</v>
      </c>
      <c r="BK649" s="192">
        <v>0.223</v>
      </c>
      <c r="BN649" s="94">
        <v>43021</v>
      </c>
      <c r="BO649" s="95">
        <v>0.223</v>
      </c>
      <c r="BP649" s="96">
        <v>11.02</v>
      </c>
    </row>
    <row r="650" spans="60:68" ht="15">
      <c r="BH650" s="187">
        <v>43024</v>
      </c>
      <c r="BI650" s="180">
        <v>-0.27400000000000002</v>
      </c>
      <c r="BJ650" s="191">
        <v>43024</v>
      </c>
      <c r="BK650" s="192">
        <v>0.22</v>
      </c>
      <c r="BN650" s="94">
        <v>43024</v>
      </c>
      <c r="BO650" s="95">
        <v>0.22</v>
      </c>
      <c r="BP650" s="96">
        <v>11.01</v>
      </c>
    </row>
    <row r="651" spans="60:68" ht="15">
      <c r="BH651" s="187">
        <v>43025</v>
      </c>
      <c r="BI651" s="180">
        <v>-0.27400000000000002</v>
      </c>
      <c r="BJ651" s="191">
        <v>43025</v>
      </c>
      <c r="BK651" s="192">
        <v>0.216</v>
      </c>
      <c r="BN651" s="94">
        <v>43025</v>
      </c>
      <c r="BO651" s="95">
        <v>0.216</v>
      </c>
      <c r="BP651" s="96">
        <v>11.01</v>
      </c>
    </row>
    <row r="652" spans="60:68" ht="15">
      <c r="BH652" s="187">
        <v>43026</v>
      </c>
      <c r="BI652" s="180">
        <v>-0.27400000000000002</v>
      </c>
      <c r="BJ652" s="191">
        <v>43026</v>
      </c>
      <c r="BK652" s="192">
        <v>0.214</v>
      </c>
      <c r="BN652" s="94">
        <v>43026</v>
      </c>
      <c r="BO652" s="95">
        <v>0.214</v>
      </c>
      <c r="BP652" s="96">
        <v>11</v>
      </c>
    </row>
    <row r="653" spans="60:68" ht="15">
      <c r="BH653" s="187">
        <v>43027</v>
      </c>
      <c r="BI653" s="180">
        <v>-0.27400000000000002</v>
      </c>
      <c r="BJ653" s="191">
        <v>43027</v>
      </c>
      <c r="BK653" s="192">
        <v>0.24099999999999999</v>
      </c>
      <c r="BN653" s="94">
        <v>43027</v>
      </c>
      <c r="BO653" s="95">
        <v>0.24099999999999999</v>
      </c>
      <c r="BP653" s="96">
        <v>11.37</v>
      </c>
    </row>
    <row r="654" spans="60:68" ht="15">
      <c r="BH654" s="187">
        <v>43028</v>
      </c>
      <c r="BI654" s="180">
        <v>-0.27400000000000002</v>
      </c>
      <c r="BJ654" s="191">
        <v>43028</v>
      </c>
      <c r="BK654" s="192">
        <v>0.24</v>
      </c>
      <c r="BN654" s="94">
        <v>43028</v>
      </c>
      <c r="BO654" s="95">
        <v>0.24</v>
      </c>
      <c r="BP654" s="96">
        <v>11.36</v>
      </c>
    </row>
    <row r="655" spans="60:68" ht="15">
      <c r="BH655" s="187">
        <v>43031</v>
      </c>
      <c r="BI655" s="180">
        <v>-0.27400000000000002</v>
      </c>
      <c r="BJ655" s="191">
        <v>43031</v>
      </c>
      <c r="BK655" s="192">
        <v>0.24</v>
      </c>
      <c r="BN655" s="94">
        <v>43031</v>
      </c>
      <c r="BO655" s="95">
        <v>0.24</v>
      </c>
      <c r="BP655" s="96">
        <v>11.36</v>
      </c>
    </row>
    <row r="656" spans="60:68" ht="15">
      <c r="BH656" s="187">
        <v>43032</v>
      </c>
      <c r="BI656" s="180">
        <v>-0.27400000000000002</v>
      </c>
      <c r="BJ656" s="191">
        <v>43032</v>
      </c>
      <c r="BK656" s="192">
        <v>0.24099999999999999</v>
      </c>
      <c r="BN656" s="94">
        <v>43032</v>
      </c>
      <c r="BO656" s="95">
        <v>0.24099999999999999</v>
      </c>
      <c r="BP656" s="96">
        <v>11.35</v>
      </c>
    </row>
    <row r="657" spans="60:68" ht="15">
      <c r="BH657" s="187">
        <v>43033</v>
      </c>
      <c r="BI657" s="180">
        <v>-0.27400000000000002</v>
      </c>
      <c r="BJ657" s="191">
        <v>43033</v>
      </c>
      <c r="BK657" s="192">
        <v>0.24199999999999999</v>
      </c>
      <c r="BN657" s="94">
        <v>43033</v>
      </c>
      <c r="BO657" s="95">
        <v>0.24199999999999999</v>
      </c>
      <c r="BP657" s="96">
        <v>11.35</v>
      </c>
    </row>
    <row r="658" spans="60:68" ht="15">
      <c r="BH658" s="187">
        <v>43034</v>
      </c>
      <c r="BI658" s="180">
        <v>-0.27400000000000002</v>
      </c>
      <c r="BJ658" s="191"/>
      <c r="BK658" s="193">
        <f>+BK657</f>
        <v>0.24199999999999999</v>
      </c>
      <c r="BN658" s="94">
        <v>43035</v>
      </c>
      <c r="BO658" s="95">
        <v>0.23799999999999999</v>
      </c>
      <c r="BP658" s="96">
        <v>11.34</v>
      </c>
    </row>
    <row r="659" spans="60:68" ht="15">
      <c r="BH659" s="187">
        <v>43035</v>
      </c>
      <c r="BI659" s="180">
        <v>-0.27500000000000002</v>
      </c>
      <c r="BJ659" s="191">
        <v>43035</v>
      </c>
      <c r="BK659" s="192">
        <v>0.23799999999999999</v>
      </c>
      <c r="BN659" s="94">
        <v>43038</v>
      </c>
      <c r="BO659" s="95">
        <v>0.23499999999999999</v>
      </c>
      <c r="BP659" s="96">
        <v>11.34</v>
      </c>
    </row>
    <row r="660" spans="60:68" ht="15">
      <c r="BH660" s="187">
        <v>43038</v>
      </c>
      <c r="BI660" s="180">
        <v>-0.27600000000000002</v>
      </c>
      <c r="BJ660" s="191">
        <v>43038</v>
      </c>
      <c r="BK660" s="192">
        <v>0.23499999999999999</v>
      </c>
      <c r="BN660" s="94">
        <v>43039</v>
      </c>
      <c r="BO660" s="95">
        <v>0.23200000000000001</v>
      </c>
      <c r="BP660" s="96">
        <v>11.33</v>
      </c>
    </row>
    <row r="661" spans="60:68" ht="15">
      <c r="BH661" s="187">
        <v>43039</v>
      </c>
      <c r="BI661" s="180">
        <v>-0.27600000000000002</v>
      </c>
      <c r="BJ661" s="191">
        <v>43039</v>
      </c>
      <c r="BK661" s="192">
        <v>0.23200000000000001</v>
      </c>
      <c r="BN661" s="94">
        <v>43041</v>
      </c>
      <c r="BO661" s="95">
        <v>0.22800000000000001</v>
      </c>
      <c r="BP661" s="96">
        <v>11.33</v>
      </c>
    </row>
    <row r="662" spans="60:68" ht="15">
      <c r="BH662" s="187">
        <v>43040</v>
      </c>
      <c r="BI662" s="180">
        <v>-0.27600000000000002</v>
      </c>
      <c r="BJ662" s="191"/>
      <c r="BK662" s="193">
        <f>+BK661</f>
        <v>0.23200000000000001</v>
      </c>
      <c r="BL662" s="111">
        <f>+(BI662+BK662)/2+0.37</f>
        <v>0.34799999999999998</v>
      </c>
      <c r="BN662" s="94">
        <v>43042</v>
      </c>
      <c r="BO662" s="95">
        <v>0.22600000000000001</v>
      </c>
      <c r="BP662" s="96">
        <v>11.33</v>
      </c>
    </row>
    <row r="663" spans="60:68" ht="15">
      <c r="BH663" s="187">
        <v>43041</v>
      </c>
      <c r="BI663" s="180">
        <v>-0.27600000000000002</v>
      </c>
      <c r="BJ663" s="191">
        <v>43041</v>
      </c>
      <c r="BK663" s="192">
        <v>0.22800000000000001</v>
      </c>
      <c r="BN663" s="94">
        <v>43045</v>
      </c>
      <c r="BO663" s="95">
        <v>0.22</v>
      </c>
      <c r="BP663" s="96">
        <v>11.32</v>
      </c>
    </row>
    <row r="664" spans="60:68" ht="15">
      <c r="BH664" s="187">
        <v>43042</v>
      </c>
      <c r="BI664" s="180">
        <v>-0.27600000000000002</v>
      </c>
      <c r="BJ664" s="191">
        <v>43042</v>
      </c>
      <c r="BK664" s="192">
        <v>0.22600000000000001</v>
      </c>
      <c r="BN664" s="94">
        <v>43046</v>
      </c>
      <c r="BO664" s="95">
        <v>0.214</v>
      </c>
      <c r="BP664" s="96">
        <v>11.31</v>
      </c>
    </row>
    <row r="665" spans="60:68" ht="15">
      <c r="BH665" s="187">
        <v>43045</v>
      </c>
      <c r="BI665" s="180">
        <v>-0.27600000000000002</v>
      </c>
      <c r="BJ665" s="191">
        <v>43045</v>
      </c>
      <c r="BK665" s="192">
        <v>0.22</v>
      </c>
      <c r="BN665" s="94">
        <v>43047</v>
      </c>
      <c r="BO665" s="95">
        <v>0.20699999999999999</v>
      </c>
      <c r="BP665" s="96">
        <v>11.31</v>
      </c>
    </row>
    <row r="666" spans="60:68" ht="15">
      <c r="BH666" s="187">
        <v>43046</v>
      </c>
      <c r="BI666" s="180">
        <v>-0.27500000000000002</v>
      </c>
      <c r="BJ666" s="191">
        <v>43046</v>
      </c>
      <c r="BK666" s="192">
        <v>0.214</v>
      </c>
      <c r="BN666" s="94">
        <v>43048</v>
      </c>
      <c r="BO666" s="95">
        <v>0.20300000000000001</v>
      </c>
      <c r="BP666" s="96">
        <v>11.31</v>
      </c>
    </row>
    <row r="667" spans="60:68" ht="15">
      <c r="BH667" s="187">
        <v>43047</v>
      </c>
      <c r="BI667" s="180">
        <v>-0.27600000000000002</v>
      </c>
      <c r="BJ667" s="191">
        <v>43047</v>
      </c>
      <c r="BK667" s="192">
        <v>0.20699999999999999</v>
      </c>
      <c r="BN667" s="94">
        <v>43049</v>
      </c>
      <c r="BO667" s="95">
        <v>0.19900000000000001</v>
      </c>
      <c r="BP667" s="96">
        <v>11.31</v>
      </c>
    </row>
    <row r="668" spans="60:68" ht="15">
      <c r="BH668" s="187">
        <v>43048</v>
      </c>
      <c r="BI668" s="180">
        <v>-0.27600000000000002</v>
      </c>
      <c r="BJ668" s="191">
        <v>43048</v>
      </c>
      <c r="BK668" s="192">
        <v>0.20300000000000001</v>
      </c>
      <c r="BN668" s="94">
        <v>43052</v>
      </c>
      <c r="BO668" s="95">
        <v>0.19600000000000001</v>
      </c>
      <c r="BP668" s="96">
        <v>11.3</v>
      </c>
    </row>
    <row r="669" spans="60:68" ht="15">
      <c r="BH669" s="187">
        <v>43049</v>
      </c>
      <c r="BI669" s="180">
        <v>-0.27500000000000002</v>
      </c>
      <c r="BJ669" s="191">
        <v>43049</v>
      </c>
      <c r="BK669" s="192">
        <v>0.19900000000000001</v>
      </c>
      <c r="BN669" s="94">
        <v>43053</v>
      </c>
      <c r="BO669" s="95">
        <v>0.19400000000000001</v>
      </c>
      <c r="BP669" s="96">
        <v>11.3</v>
      </c>
    </row>
    <row r="670" spans="60:68" ht="15">
      <c r="BH670" s="187">
        <v>43052</v>
      </c>
      <c r="BI670" s="180">
        <v>-0.27500000000000002</v>
      </c>
      <c r="BJ670" s="191">
        <v>43052</v>
      </c>
      <c r="BK670" s="192">
        <v>0.19600000000000001</v>
      </c>
      <c r="BN670" s="94">
        <v>43054</v>
      </c>
      <c r="BO670" s="95">
        <v>0.192</v>
      </c>
      <c r="BP670" s="96">
        <v>11.3</v>
      </c>
    </row>
    <row r="671" spans="60:68" ht="15">
      <c r="BH671" s="187">
        <v>43053</v>
      </c>
      <c r="BI671" s="180">
        <v>-0.27500000000000002</v>
      </c>
      <c r="BJ671" s="191">
        <v>43053</v>
      </c>
      <c r="BK671" s="192">
        <v>0.19400000000000001</v>
      </c>
      <c r="BN671" s="94">
        <v>43055</v>
      </c>
      <c r="BO671" s="95">
        <v>0.192</v>
      </c>
      <c r="BP671" s="96">
        <v>11.29</v>
      </c>
    </row>
    <row r="672" spans="60:68" ht="15">
      <c r="BH672" s="187">
        <v>43054</v>
      </c>
      <c r="BI672" s="180">
        <v>-0.27500000000000002</v>
      </c>
      <c r="BJ672" s="191">
        <v>43054</v>
      </c>
      <c r="BK672" s="192">
        <v>0.192</v>
      </c>
      <c r="BN672" s="94">
        <v>43056</v>
      </c>
      <c r="BO672" s="95">
        <v>0.19</v>
      </c>
      <c r="BP672" s="96">
        <v>11.29</v>
      </c>
    </row>
    <row r="673" spans="60:68" ht="15">
      <c r="BH673" s="187">
        <v>43055</v>
      </c>
      <c r="BI673" s="180">
        <v>-0.27500000000000002</v>
      </c>
      <c r="BJ673" s="191">
        <v>43055</v>
      </c>
      <c r="BK673" s="192">
        <v>0.192</v>
      </c>
      <c r="BN673" s="94">
        <v>43059</v>
      </c>
      <c r="BO673" s="95">
        <v>0.187</v>
      </c>
      <c r="BP673" s="96">
        <v>11.28</v>
      </c>
    </row>
    <row r="674" spans="60:68" ht="15">
      <c r="BH674" s="187">
        <v>43056</v>
      </c>
      <c r="BI674" s="180">
        <v>-0.27400000000000002</v>
      </c>
      <c r="BJ674" s="191">
        <v>43056</v>
      </c>
      <c r="BK674" s="192">
        <v>0.19</v>
      </c>
      <c r="BN674" s="94">
        <v>43060</v>
      </c>
      <c r="BO674" s="95">
        <v>0.182</v>
      </c>
      <c r="BP674" s="96">
        <v>11.28</v>
      </c>
    </row>
    <row r="675" spans="60:68" ht="15">
      <c r="BH675" s="187">
        <v>43059</v>
      </c>
      <c r="BI675" s="180">
        <v>-0.27400000000000002</v>
      </c>
      <c r="BJ675" s="191">
        <v>43059</v>
      </c>
      <c r="BK675" s="192">
        <v>0.187</v>
      </c>
      <c r="BN675" s="94">
        <v>43061</v>
      </c>
      <c r="BO675" s="95">
        <v>0.17899999999999999</v>
      </c>
      <c r="BP675" s="96">
        <v>11.28</v>
      </c>
    </row>
    <row r="676" spans="60:68" ht="15">
      <c r="BH676" s="187">
        <v>43060</v>
      </c>
      <c r="BI676" s="180">
        <v>-0.27300000000000002</v>
      </c>
      <c r="BJ676" s="191">
        <v>43060</v>
      </c>
      <c r="BK676" s="192">
        <v>0.182</v>
      </c>
      <c r="BN676" s="94">
        <v>43062</v>
      </c>
      <c r="BO676" s="95">
        <v>0.17399999999999999</v>
      </c>
      <c r="BP676" s="96">
        <v>11.27</v>
      </c>
    </row>
    <row r="677" spans="60:68" ht="15">
      <c r="BH677" s="187">
        <v>43061</v>
      </c>
      <c r="BI677" s="180">
        <v>-0.27200000000000002</v>
      </c>
      <c r="BJ677" s="191">
        <v>43061</v>
      </c>
      <c r="BK677" s="192">
        <v>0.17899999999999999</v>
      </c>
      <c r="BN677" s="94">
        <v>43063</v>
      </c>
      <c r="BO677" s="95">
        <v>0.16700000000000001</v>
      </c>
      <c r="BP677" s="96">
        <v>11.26</v>
      </c>
    </row>
    <row r="678" spans="60:68" ht="15">
      <c r="BH678" s="187">
        <v>43062</v>
      </c>
      <c r="BI678" s="180">
        <v>-0.27100000000000002</v>
      </c>
      <c r="BJ678" s="191">
        <v>43062</v>
      </c>
      <c r="BK678" s="192">
        <v>0.17399999999999999</v>
      </c>
      <c r="BN678" s="94">
        <v>43066</v>
      </c>
      <c r="BO678" s="95">
        <v>0.16400000000000001</v>
      </c>
      <c r="BP678" s="96">
        <v>11.25</v>
      </c>
    </row>
    <row r="679" spans="60:68" ht="15">
      <c r="BH679" s="187">
        <v>43063</v>
      </c>
      <c r="BI679" s="180">
        <v>-0.27200000000000002</v>
      </c>
      <c r="BJ679" s="191">
        <v>43063</v>
      </c>
      <c r="BK679" s="192">
        <v>0.16700000000000001</v>
      </c>
      <c r="BN679" s="94">
        <v>43067</v>
      </c>
      <c r="BO679" s="95">
        <v>0.16200000000000001</v>
      </c>
      <c r="BP679" s="96">
        <v>11.25</v>
      </c>
    </row>
    <row r="680" spans="60:68" ht="15">
      <c r="BH680" s="187">
        <v>43066</v>
      </c>
      <c r="BI680" s="180">
        <v>-0.27200000000000002</v>
      </c>
      <c r="BJ680" s="191">
        <v>43066</v>
      </c>
      <c r="BK680" s="192">
        <v>0.16400000000000001</v>
      </c>
      <c r="BN680" s="94">
        <v>43068</v>
      </c>
      <c r="BO680" s="95">
        <v>0.16200000000000001</v>
      </c>
      <c r="BP680" s="96">
        <v>11.24</v>
      </c>
    </row>
    <row r="681" spans="60:68" ht="15">
      <c r="BH681" s="187">
        <v>43067</v>
      </c>
      <c r="BI681" s="180">
        <v>-0.27400000000000002</v>
      </c>
      <c r="BJ681" s="191">
        <v>43067</v>
      </c>
      <c r="BK681" s="192">
        <v>0.16200000000000001</v>
      </c>
      <c r="BN681" s="94">
        <v>43069</v>
      </c>
      <c r="BO681" s="95">
        <v>0.161</v>
      </c>
      <c r="BP681" s="96">
        <v>11.24</v>
      </c>
    </row>
    <row r="682" spans="60:68" ht="15">
      <c r="BH682" s="187">
        <v>43068</v>
      </c>
      <c r="BI682" s="180">
        <v>-0.27400000000000002</v>
      </c>
      <c r="BJ682" s="191">
        <v>43068</v>
      </c>
      <c r="BK682" s="192">
        <v>0.16200000000000001</v>
      </c>
      <c r="BN682" s="94">
        <v>43070</v>
      </c>
      <c r="BO682" s="95">
        <v>0.159</v>
      </c>
      <c r="BP682" s="96">
        <v>11.24</v>
      </c>
    </row>
    <row r="683" spans="60:68" ht="15">
      <c r="BH683" s="187">
        <v>43069</v>
      </c>
      <c r="BI683" s="180">
        <v>-0.27200000000000002</v>
      </c>
      <c r="BJ683" s="191">
        <v>43069</v>
      </c>
      <c r="BK683" s="192">
        <v>0.161</v>
      </c>
      <c r="BN683" s="94">
        <v>43073</v>
      </c>
      <c r="BO683" s="95">
        <v>0.158</v>
      </c>
      <c r="BP683" s="96">
        <v>11.23</v>
      </c>
    </row>
    <row r="684" spans="60:68" ht="15">
      <c r="BH684" s="187">
        <v>43070</v>
      </c>
      <c r="BI684" s="180">
        <v>-0.27100000000000002</v>
      </c>
      <c r="BJ684" s="191">
        <v>43070</v>
      </c>
      <c r="BK684" s="192">
        <v>0.159</v>
      </c>
      <c r="BN684" s="94">
        <v>43074</v>
      </c>
      <c r="BO684" s="95">
        <v>0.157</v>
      </c>
      <c r="BP684" s="96">
        <v>11.23</v>
      </c>
    </row>
    <row r="685" spans="60:68" ht="15">
      <c r="BH685" s="187">
        <v>43073</v>
      </c>
      <c r="BI685" s="180">
        <v>-0.27200000000000002</v>
      </c>
      <c r="BJ685" s="191">
        <v>43073</v>
      </c>
      <c r="BK685" s="192">
        <v>0.158</v>
      </c>
      <c r="BN685" s="94">
        <v>43075</v>
      </c>
      <c r="BO685" s="95">
        <v>0.155</v>
      </c>
      <c r="BP685" s="96">
        <v>11.22</v>
      </c>
    </row>
    <row r="686" spans="60:68" ht="15">
      <c r="BH686" s="187">
        <v>43074</v>
      </c>
      <c r="BI686" s="180">
        <v>-0.27100000000000002</v>
      </c>
      <c r="BJ686" s="191">
        <v>43074</v>
      </c>
      <c r="BK686" s="192">
        <v>0.157</v>
      </c>
      <c r="BN686" s="94">
        <v>43076</v>
      </c>
      <c r="BO686" s="95">
        <v>0.152</v>
      </c>
      <c r="BP686" s="96">
        <v>11.22</v>
      </c>
    </row>
    <row r="687" spans="60:68" ht="15">
      <c r="BH687" s="187">
        <v>43075</v>
      </c>
      <c r="BI687" s="180">
        <v>-0.27100000000000002</v>
      </c>
      <c r="BJ687" s="191">
        <v>43075</v>
      </c>
      <c r="BK687" s="192">
        <v>0.155</v>
      </c>
      <c r="BN687" s="94">
        <v>43080</v>
      </c>
      <c r="BO687" s="95">
        <v>0.14799999999999999</v>
      </c>
      <c r="BP687" s="96">
        <v>11.21</v>
      </c>
    </row>
    <row r="688" spans="60:68" ht="15">
      <c r="BH688" s="187">
        <v>43076</v>
      </c>
      <c r="BI688" s="180">
        <v>-0.27100000000000002</v>
      </c>
      <c r="BJ688" s="191">
        <v>43076</v>
      </c>
      <c r="BK688" s="192">
        <v>0.152</v>
      </c>
      <c r="BN688" s="94">
        <v>43081</v>
      </c>
      <c r="BO688" s="95">
        <v>0.14499999999999999</v>
      </c>
      <c r="BP688" s="96">
        <v>11.21</v>
      </c>
    </row>
    <row r="689" spans="60:68" ht="15">
      <c r="BH689" s="187">
        <v>43077</v>
      </c>
      <c r="BI689" s="180">
        <v>-0.27100000000000002</v>
      </c>
      <c r="BJ689" s="191"/>
      <c r="BK689" s="193">
        <f>+BK688</f>
        <v>0.152</v>
      </c>
      <c r="BN689" s="94">
        <v>43082</v>
      </c>
      <c r="BO689" s="95">
        <v>0.14199999999999999</v>
      </c>
      <c r="BP689" s="96">
        <v>11.21</v>
      </c>
    </row>
    <row r="690" spans="60:68" ht="15">
      <c r="BH690" s="187">
        <v>43080</v>
      </c>
      <c r="BI690" s="180">
        <v>-0.27100000000000002</v>
      </c>
      <c r="BJ690" s="191">
        <v>43080</v>
      </c>
      <c r="BK690" s="192">
        <v>0.14799999999999999</v>
      </c>
      <c r="BN690" s="94">
        <v>43083</v>
      </c>
      <c r="BO690" s="95">
        <v>0.14199999999999999</v>
      </c>
      <c r="BP690" s="96">
        <v>11.2</v>
      </c>
    </row>
    <row r="691" spans="60:68" ht="15">
      <c r="BH691" s="187">
        <v>43081</v>
      </c>
      <c r="BI691" s="180">
        <v>-0.27100000000000002</v>
      </c>
      <c r="BJ691" s="191">
        <v>43081</v>
      </c>
      <c r="BK691" s="192">
        <v>0.14499999999999999</v>
      </c>
      <c r="BN691" s="94">
        <v>43084</v>
      </c>
      <c r="BO691" s="95">
        <v>0.14000000000000001</v>
      </c>
      <c r="BP691" s="96">
        <v>11.2</v>
      </c>
    </row>
    <row r="692" spans="60:68" ht="15">
      <c r="BH692" s="187">
        <v>43082</v>
      </c>
      <c r="BI692" s="180">
        <v>-0.27300000000000002</v>
      </c>
      <c r="BJ692" s="191">
        <v>43082</v>
      </c>
      <c r="BK692" s="192">
        <v>0.14199999999999999</v>
      </c>
      <c r="BN692" s="94">
        <v>43087</v>
      </c>
      <c r="BO692" s="95">
        <v>0.13900000000000001</v>
      </c>
      <c r="BP692" s="96">
        <v>11.19</v>
      </c>
    </row>
    <row r="693" spans="60:68" ht="15">
      <c r="BH693" s="187">
        <v>43083</v>
      </c>
      <c r="BI693" s="180">
        <v>-0.27100000000000002</v>
      </c>
      <c r="BJ693" s="191">
        <v>43083</v>
      </c>
      <c r="BK693" s="192">
        <v>0.14199999999999999</v>
      </c>
      <c r="BN693" s="94">
        <v>43088</v>
      </c>
      <c r="BO693" s="95">
        <v>0.14000000000000001</v>
      </c>
      <c r="BP693" s="96">
        <v>11.19</v>
      </c>
    </row>
    <row r="694" spans="60:68" ht="15">
      <c r="BH694" s="187">
        <v>43084</v>
      </c>
      <c r="BI694" s="180">
        <v>-0.27200000000000002</v>
      </c>
      <c r="BJ694" s="191">
        <v>43084</v>
      </c>
      <c r="BK694" s="192">
        <v>0.14000000000000001</v>
      </c>
      <c r="BN694" s="94">
        <v>43089</v>
      </c>
      <c r="BO694" s="95">
        <v>0.14299999999999999</v>
      </c>
      <c r="BP694" s="96">
        <v>11.19</v>
      </c>
    </row>
    <row r="695" spans="60:68" ht="15">
      <c r="BH695" s="187">
        <v>43087</v>
      </c>
      <c r="BI695" s="180">
        <v>-0.27100000000000002</v>
      </c>
      <c r="BJ695" s="191">
        <v>43087</v>
      </c>
      <c r="BK695" s="192">
        <v>0.13900000000000001</v>
      </c>
      <c r="BN695" s="94">
        <v>43090</v>
      </c>
      <c r="BO695" s="95">
        <v>0.14699999999999999</v>
      </c>
      <c r="BP695" s="96">
        <v>11.18</v>
      </c>
    </row>
    <row r="696" spans="60:68" ht="15">
      <c r="BH696" s="187">
        <v>43088</v>
      </c>
      <c r="BI696" s="180">
        <v>-0.27400000000000002</v>
      </c>
      <c r="BJ696" s="191">
        <v>43088</v>
      </c>
      <c r="BK696" s="192">
        <v>0.14000000000000001</v>
      </c>
      <c r="BN696" s="94">
        <v>43091</v>
      </c>
      <c r="BO696" s="95">
        <v>0.14599999999999999</v>
      </c>
      <c r="BP696" s="96">
        <v>11.18</v>
      </c>
    </row>
    <row r="697" spans="60:68" ht="15">
      <c r="BH697" s="187">
        <v>43089</v>
      </c>
      <c r="BI697" s="180">
        <v>-0.27100000000000002</v>
      </c>
      <c r="BJ697" s="191">
        <v>43089</v>
      </c>
      <c r="BK697" s="192">
        <v>0.14299999999999999</v>
      </c>
      <c r="BN697" s="94">
        <v>43096</v>
      </c>
      <c r="BO697" s="95">
        <v>0.14899999999999999</v>
      </c>
      <c r="BP697" s="96">
        <v>11.17</v>
      </c>
    </row>
    <row r="698" spans="60:68" ht="15">
      <c r="BH698" s="187">
        <v>43090</v>
      </c>
      <c r="BI698" s="180">
        <v>-0.27100000000000002</v>
      </c>
      <c r="BJ698" s="191">
        <v>43090</v>
      </c>
      <c r="BK698" s="192">
        <v>0.14699999999999999</v>
      </c>
      <c r="BN698" s="94">
        <v>43097</v>
      </c>
      <c r="BO698" s="95">
        <v>0.153</v>
      </c>
      <c r="BP698" s="96">
        <v>11.16</v>
      </c>
    </row>
    <row r="699" spans="60:68" ht="15">
      <c r="BH699" s="187">
        <v>43091</v>
      </c>
      <c r="BI699" s="180">
        <v>-0.27100000000000002</v>
      </c>
      <c r="BJ699" s="191">
        <v>43091</v>
      </c>
      <c r="BK699" s="192">
        <v>0.14599999999999999</v>
      </c>
      <c r="BN699" s="94">
        <v>43098</v>
      </c>
      <c r="BO699" s="95">
        <v>0.158</v>
      </c>
      <c r="BP699" s="96">
        <v>11.16</v>
      </c>
    </row>
    <row r="700" spans="60:68" ht="15">
      <c r="BH700" s="187">
        <v>43094</v>
      </c>
      <c r="BI700" s="180">
        <v>-0.27100000000000002</v>
      </c>
      <c r="BJ700" s="191"/>
      <c r="BK700" s="193">
        <f>+BK699</f>
        <v>0.14599999999999999</v>
      </c>
      <c r="BN700" s="94">
        <v>43102</v>
      </c>
      <c r="BO700" s="95">
        <v>0.16200000000000001</v>
      </c>
      <c r="BP700" s="96">
        <v>11.15</v>
      </c>
    </row>
    <row r="701" spans="60:68" ht="15">
      <c r="BH701" s="187">
        <v>43095</v>
      </c>
      <c r="BI701" s="180">
        <v>-0.27100000000000002</v>
      </c>
      <c r="BJ701" s="191"/>
      <c r="BK701" s="193">
        <f>+BK700</f>
        <v>0.14599999999999999</v>
      </c>
      <c r="BN701" s="94">
        <v>43103</v>
      </c>
      <c r="BO701" s="95">
        <v>0.16600000000000001</v>
      </c>
      <c r="BP701" s="96">
        <v>11.15</v>
      </c>
    </row>
    <row r="702" spans="60:68" ht="15">
      <c r="BH702" s="187">
        <v>43096</v>
      </c>
      <c r="BI702" s="180">
        <v>-0.27100000000000002</v>
      </c>
      <c r="BJ702" s="191">
        <v>43096</v>
      </c>
      <c r="BK702" s="192">
        <v>0.14899999999999999</v>
      </c>
      <c r="BN702" s="94">
        <v>43104</v>
      </c>
      <c r="BO702" s="95">
        <v>0.17100000000000001</v>
      </c>
      <c r="BP702" s="96">
        <v>11.15</v>
      </c>
    </row>
    <row r="703" spans="60:68" ht="15">
      <c r="BH703" s="187">
        <v>43097</v>
      </c>
      <c r="BI703" s="180">
        <v>-0.27100000000000002</v>
      </c>
      <c r="BJ703" s="191">
        <v>43097</v>
      </c>
      <c r="BK703" s="192">
        <v>0.153</v>
      </c>
      <c r="BN703" s="94">
        <v>43105</v>
      </c>
      <c r="BO703" s="95">
        <v>0.17699999999999999</v>
      </c>
      <c r="BP703" s="96">
        <v>11.14</v>
      </c>
    </row>
    <row r="704" spans="60:68" ht="15">
      <c r="BH704" s="187">
        <v>43098</v>
      </c>
      <c r="BI704" s="180">
        <v>-0.27100000000000002</v>
      </c>
      <c r="BJ704" s="191">
        <v>43098</v>
      </c>
      <c r="BK704" s="192">
        <v>0.158</v>
      </c>
      <c r="BN704" s="94">
        <v>43108</v>
      </c>
      <c r="BO704" s="95">
        <v>0.183</v>
      </c>
      <c r="BP704" s="96">
        <v>11.13</v>
      </c>
    </row>
    <row r="705" spans="60:68" ht="15">
      <c r="BH705" s="187">
        <v>43101</v>
      </c>
      <c r="BI705" s="180">
        <v>-0.27100000000000002</v>
      </c>
      <c r="BJ705" s="191"/>
      <c r="BK705" s="193">
        <f>+BK704</f>
        <v>0.158</v>
      </c>
      <c r="BN705" s="94">
        <v>43109</v>
      </c>
      <c r="BO705" s="95">
        <v>0.191</v>
      </c>
      <c r="BP705" s="96">
        <v>11.13</v>
      </c>
    </row>
    <row r="706" spans="60:68" ht="15">
      <c r="BH706" s="187">
        <v>43102</v>
      </c>
      <c r="BI706" s="180">
        <v>-0.27100000000000002</v>
      </c>
      <c r="BJ706" s="191">
        <v>43102</v>
      </c>
      <c r="BK706" s="192">
        <v>0.16200000000000001</v>
      </c>
      <c r="BN706" s="94">
        <v>43110</v>
      </c>
      <c r="BO706" s="95">
        <v>0.2</v>
      </c>
      <c r="BP706" s="96">
        <v>11.13</v>
      </c>
    </row>
    <row r="707" spans="60:68" ht="15">
      <c r="BH707" s="187">
        <v>43103</v>
      </c>
      <c r="BI707" s="180">
        <v>-0.27100000000000002</v>
      </c>
      <c r="BJ707" s="191">
        <v>43103</v>
      </c>
      <c r="BK707" s="192">
        <v>0.16600000000000001</v>
      </c>
      <c r="BN707" s="94">
        <v>43111</v>
      </c>
      <c r="BO707" s="95">
        <v>0.215</v>
      </c>
      <c r="BP707" s="96">
        <v>11.17</v>
      </c>
    </row>
    <row r="708" spans="60:68" ht="15">
      <c r="BH708" s="187">
        <v>43104</v>
      </c>
      <c r="BI708" s="180">
        <v>-0.27100000000000002</v>
      </c>
      <c r="BJ708" s="191">
        <v>43104</v>
      </c>
      <c r="BK708" s="192">
        <v>0.17100000000000001</v>
      </c>
      <c r="BN708" s="94">
        <v>43112</v>
      </c>
      <c r="BO708" s="95">
        <v>0.22600000000000001</v>
      </c>
      <c r="BP708" s="96">
        <v>11.16</v>
      </c>
    </row>
    <row r="709" spans="60:68" ht="15">
      <c r="BH709" s="187">
        <v>43105</v>
      </c>
      <c r="BI709" s="180">
        <v>-0.27100000000000002</v>
      </c>
      <c r="BJ709" s="191">
        <v>43105</v>
      </c>
      <c r="BK709" s="192">
        <v>0.17699999999999999</v>
      </c>
      <c r="BN709" s="94">
        <v>43115</v>
      </c>
      <c r="BO709" s="95">
        <v>0.23499999999999999</v>
      </c>
      <c r="BP709" s="96">
        <v>11.15</v>
      </c>
    </row>
    <row r="710" spans="60:68" ht="15">
      <c r="BH710" s="187">
        <v>43108</v>
      </c>
      <c r="BI710" s="180">
        <v>-0.27100000000000002</v>
      </c>
      <c r="BJ710" s="191">
        <v>43108</v>
      </c>
      <c r="BK710" s="192">
        <v>0.183</v>
      </c>
      <c r="BN710" s="94">
        <v>43116</v>
      </c>
      <c r="BO710" s="95">
        <v>0.24299999999999999</v>
      </c>
      <c r="BP710" s="96">
        <v>11.15</v>
      </c>
    </row>
    <row r="711" spans="60:68" ht="15">
      <c r="BH711" s="187">
        <v>43109</v>
      </c>
      <c r="BI711" s="180">
        <v>-0.27100000000000002</v>
      </c>
      <c r="BJ711" s="191">
        <v>43109</v>
      </c>
      <c r="BK711" s="192">
        <v>0.191</v>
      </c>
      <c r="BN711" s="94">
        <v>43117</v>
      </c>
      <c r="BO711" s="95">
        <v>0.251</v>
      </c>
      <c r="BP711" s="96">
        <v>11.15</v>
      </c>
    </row>
    <row r="712" spans="60:68" ht="15">
      <c r="BH712" s="187">
        <v>43110</v>
      </c>
      <c r="BI712" s="180">
        <v>-0.27100000000000002</v>
      </c>
      <c r="BJ712" s="191">
        <v>43110</v>
      </c>
      <c r="BK712" s="192">
        <v>0.2</v>
      </c>
      <c r="BN712" s="94">
        <v>43118</v>
      </c>
      <c r="BO712" s="95">
        <v>0.26100000000000001</v>
      </c>
      <c r="BP712" s="96">
        <v>11.15</v>
      </c>
    </row>
    <row r="713" spans="60:68" ht="15">
      <c r="BH713" s="187">
        <v>43111</v>
      </c>
      <c r="BI713" s="180">
        <v>-0.27100000000000002</v>
      </c>
      <c r="BJ713" s="191">
        <v>43111</v>
      </c>
      <c r="BK713" s="192">
        <v>0.215</v>
      </c>
      <c r="BN713" s="94">
        <v>43119</v>
      </c>
      <c r="BO713" s="95">
        <v>0.26900000000000002</v>
      </c>
      <c r="BP713" s="96">
        <v>11.14</v>
      </c>
    </row>
    <row r="714" spans="60:68" ht="15">
      <c r="BH714" s="187">
        <v>43112</v>
      </c>
      <c r="BI714" s="180">
        <v>-0.27100000000000002</v>
      </c>
      <c r="BJ714" s="191">
        <v>43112</v>
      </c>
      <c r="BK714" s="192">
        <v>0.22600000000000001</v>
      </c>
      <c r="BN714" s="94">
        <v>43122</v>
      </c>
      <c r="BO714" s="95">
        <v>0.27400000000000002</v>
      </c>
      <c r="BP714" s="96">
        <v>11.14</v>
      </c>
    </row>
    <row r="715" spans="60:68" ht="15">
      <c r="BH715" s="187">
        <v>43115</v>
      </c>
      <c r="BI715" s="180">
        <v>-0.27400000000000002</v>
      </c>
      <c r="BJ715" s="191">
        <v>43115</v>
      </c>
      <c r="BK715" s="192">
        <v>0.23499999999999999</v>
      </c>
      <c r="BN715" s="94">
        <v>43123</v>
      </c>
      <c r="BO715" s="95">
        <v>0.27800000000000002</v>
      </c>
      <c r="BP715" s="96">
        <v>11.13</v>
      </c>
    </row>
    <row r="716" spans="60:68" ht="15">
      <c r="BH716" s="187">
        <v>43116</v>
      </c>
      <c r="BI716" s="180">
        <v>-0.27200000000000002</v>
      </c>
      <c r="BJ716" s="191">
        <v>43116</v>
      </c>
      <c r="BK716" s="192">
        <v>0.24299999999999999</v>
      </c>
      <c r="BN716" s="94">
        <v>43124</v>
      </c>
      <c r="BO716" s="95">
        <v>0.28100000000000003</v>
      </c>
      <c r="BP716" s="96">
        <v>11.13</v>
      </c>
    </row>
    <row r="717" spans="60:68" ht="15">
      <c r="BH717" s="187">
        <v>43117</v>
      </c>
      <c r="BI717" s="180">
        <v>-0.27400000000000002</v>
      </c>
      <c r="BJ717" s="191">
        <v>43117</v>
      </c>
      <c r="BK717" s="192">
        <v>0.251</v>
      </c>
      <c r="BN717" s="94">
        <v>43125</v>
      </c>
      <c r="BO717" s="95">
        <v>0.29899999999999999</v>
      </c>
      <c r="BP717" s="96">
        <v>11.11</v>
      </c>
    </row>
    <row r="718" spans="60:68" ht="15">
      <c r="BH718" s="187">
        <v>43118</v>
      </c>
      <c r="BI718" s="180">
        <v>-0.27500000000000002</v>
      </c>
      <c r="BJ718" s="191">
        <v>43118</v>
      </c>
      <c r="BK718" s="192">
        <v>0.26100000000000001</v>
      </c>
      <c r="BN718" s="94">
        <v>43126</v>
      </c>
      <c r="BO718" s="95">
        <v>0.307</v>
      </c>
      <c r="BP718" s="96">
        <v>11.09</v>
      </c>
    </row>
    <row r="719" spans="60:68" ht="15">
      <c r="BH719" s="187">
        <v>43119</v>
      </c>
      <c r="BI719" s="180">
        <v>-0.27600000000000002</v>
      </c>
      <c r="BJ719" s="191">
        <v>43119</v>
      </c>
      <c r="BK719" s="192">
        <v>0.26900000000000002</v>
      </c>
      <c r="BN719" s="94">
        <v>43129</v>
      </c>
      <c r="BO719" s="95">
        <v>0.315</v>
      </c>
      <c r="BP719" s="96">
        <v>11.08</v>
      </c>
    </row>
    <row r="720" spans="60:68" ht="15">
      <c r="BH720" s="187">
        <v>43122</v>
      </c>
      <c r="BI720" s="180">
        <v>-0.27700000000000002</v>
      </c>
      <c r="BJ720" s="191">
        <v>43122</v>
      </c>
      <c r="BK720" s="192">
        <v>0.27400000000000002</v>
      </c>
      <c r="BN720" s="94">
        <v>43130</v>
      </c>
      <c r="BO720" s="95">
        <v>0.32300000000000001</v>
      </c>
      <c r="BP720" s="96">
        <v>11.08</v>
      </c>
    </row>
    <row r="721" spans="60:68" ht="15">
      <c r="BH721" s="187">
        <v>43123</v>
      </c>
      <c r="BI721" s="180">
        <v>-0.27600000000000002</v>
      </c>
      <c r="BJ721" s="191">
        <v>43123</v>
      </c>
      <c r="BK721" s="192">
        <v>0.27800000000000002</v>
      </c>
      <c r="BN721" s="94">
        <v>43131</v>
      </c>
      <c r="BO721" s="95">
        <v>0.33200000000000002</v>
      </c>
      <c r="BP721" s="96">
        <v>11.07</v>
      </c>
    </row>
    <row r="722" spans="60:68" ht="15">
      <c r="BH722" s="187">
        <v>43124</v>
      </c>
      <c r="BI722" s="180">
        <v>-0.27800000000000002</v>
      </c>
      <c r="BJ722" s="191">
        <v>43124</v>
      </c>
      <c r="BK722" s="192">
        <v>0.28100000000000003</v>
      </c>
      <c r="BN722" s="94">
        <v>43132</v>
      </c>
      <c r="BO722" s="95">
        <v>0.34100000000000003</v>
      </c>
      <c r="BP722" s="96">
        <v>11.07</v>
      </c>
    </row>
    <row r="723" spans="60:68" ht="15">
      <c r="BH723" s="187">
        <v>43125</v>
      </c>
      <c r="BI723" s="180">
        <v>-0.27800000000000002</v>
      </c>
      <c r="BJ723" s="191">
        <v>43125</v>
      </c>
      <c r="BK723" s="192">
        <v>0.29899999999999999</v>
      </c>
      <c r="BN723" s="94">
        <v>43133</v>
      </c>
      <c r="BO723" s="95">
        <v>0.35099999999999998</v>
      </c>
      <c r="BP723" s="96">
        <v>11.07</v>
      </c>
    </row>
    <row r="724" spans="60:68" ht="15">
      <c r="BH724" s="187">
        <v>43126</v>
      </c>
      <c r="BI724" s="180">
        <v>-0.27800000000000002</v>
      </c>
      <c r="BJ724" s="191">
        <v>43126</v>
      </c>
      <c r="BK724" s="192">
        <v>0.307</v>
      </c>
      <c r="BN724" s="94">
        <v>43136</v>
      </c>
      <c r="BO724" s="95">
        <v>0.36</v>
      </c>
      <c r="BP724" s="96">
        <v>11.06</v>
      </c>
    </row>
    <row r="725" spans="60:68" ht="15">
      <c r="BH725" s="187">
        <v>43129</v>
      </c>
      <c r="BI725" s="180">
        <v>-0.27800000000000002</v>
      </c>
      <c r="BJ725" s="191">
        <v>43129</v>
      </c>
      <c r="BK725" s="192">
        <v>0.315</v>
      </c>
      <c r="BN725" s="94">
        <v>43137</v>
      </c>
      <c r="BO725" s="95">
        <v>0.36699999999999999</v>
      </c>
      <c r="BP725" s="96">
        <v>11.06</v>
      </c>
    </row>
    <row r="726" spans="60:68" ht="15">
      <c r="BH726" s="187">
        <v>43130</v>
      </c>
      <c r="BI726" s="180">
        <v>-0.27800000000000002</v>
      </c>
      <c r="BJ726" s="191">
        <v>43130</v>
      </c>
      <c r="BK726" s="192">
        <v>0.32300000000000001</v>
      </c>
      <c r="BN726" s="94">
        <v>43138</v>
      </c>
      <c r="BO726" s="95">
        <v>0.374</v>
      </c>
      <c r="BP726" s="96">
        <v>11.05</v>
      </c>
    </row>
    <row r="727" spans="60:68" ht="15">
      <c r="BH727" s="187">
        <v>43131</v>
      </c>
      <c r="BI727" s="180">
        <v>-0.27900000000000003</v>
      </c>
      <c r="BJ727" s="191">
        <v>43131</v>
      </c>
      <c r="BK727" s="192">
        <v>0.33200000000000002</v>
      </c>
      <c r="BN727" s="94">
        <v>43139</v>
      </c>
      <c r="BO727" s="95">
        <v>0.38100000000000001</v>
      </c>
      <c r="BP727" s="96">
        <v>11.03</v>
      </c>
    </row>
    <row r="728" spans="60:68" ht="15">
      <c r="BH728" s="187">
        <v>43132</v>
      </c>
      <c r="BI728" s="180">
        <v>-0.27800000000000002</v>
      </c>
      <c r="BJ728" s="191">
        <v>43132</v>
      </c>
      <c r="BK728" s="192">
        <v>0.34100000000000003</v>
      </c>
      <c r="BN728" s="94">
        <v>43140</v>
      </c>
      <c r="BO728" s="95">
        <v>0.38600000000000001</v>
      </c>
      <c r="BP728" s="96">
        <v>11.02</v>
      </c>
    </row>
    <row r="729" spans="60:68" ht="15">
      <c r="BH729" s="187">
        <v>43133</v>
      </c>
      <c r="BI729" s="180">
        <v>-0.27800000000000002</v>
      </c>
      <c r="BJ729" s="191">
        <v>43133</v>
      </c>
      <c r="BK729" s="192">
        <v>0.35099999999999998</v>
      </c>
      <c r="BN729" s="94">
        <v>43143</v>
      </c>
      <c r="BO729" s="95">
        <v>0.39100000000000001</v>
      </c>
      <c r="BP729" s="96">
        <v>11.02</v>
      </c>
    </row>
    <row r="730" spans="60:68" ht="15">
      <c r="BH730" s="187">
        <v>43136</v>
      </c>
      <c r="BI730" s="180">
        <v>-0.27800000000000002</v>
      </c>
      <c r="BJ730" s="191">
        <v>43136</v>
      </c>
      <c r="BK730" s="192">
        <v>0.36</v>
      </c>
      <c r="BN730" s="94">
        <v>43144</v>
      </c>
      <c r="BO730" s="95">
        <v>0.39600000000000002</v>
      </c>
      <c r="BP730" s="96">
        <v>11.01</v>
      </c>
    </row>
    <row r="731" spans="60:68" ht="15">
      <c r="BH731" s="187">
        <v>43137</v>
      </c>
      <c r="BI731" s="180">
        <v>-0.27900000000000003</v>
      </c>
      <c r="BJ731" s="191">
        <v>43137</v>
      </c>
      <c r="BK731" s="192">
        <v>0.36699999999999999</v>
      </c>
      <c r="BN731" s="94">
        <v>43145</v>
      </c>
      <c r="BO731" s="95">
        <v>0.40200000000000002</v>
      </c>
      <c r="BP731" s="96">
        <v>11.01</v>
      </c>
    </row>
    <row r="732" spans="60:68" ht="15">
      <c r="BH732" s="187">
        <v>43138</v>
      </c>
      <c r="BI732" s="180">
        <v>-0.27800000000000002</v>
      </c>
      <c r="BJ732" s="191">
        <v>43138</v>
      </c>
      <c r="BK732" s="192">
        <v>0.374</v>
      </c>
      <c r="BN732" s="94">
        <v>43146</v>
      </c>
      <c r="BO732" s="95">
        <v>0.40899999999999997</v>
      </c>
      <c r="BP732" s="96">
        <v>11.01</v>
      </c>
    </row>
    <row r="733" spans="60:68" ht="15">
      <c r="BH733" s="187">
        <v>43139</v>
      </c>
      <c r="BI733" s="180">
        <v>-0.27800000000000002</v>
      </c>
      <c r="BJ733" s="191">
        <v>43139</v>
      </c>
      <c r="BK733" s="192">
        <v>0.38100000000000001</v>
      </c>
      <c r="BN733" s="94">
        <v>43147</v>
      </c>
      <c r="BO733" s="95">
        <v>0.41299999999999998</v>
      </c>
      <c r="BP733" s="96">
        <v>11</v>
      </c>
    </row>
    <row r="734" spans="60:68" ht="15">
      <c r="BH734" s="187">
        <v>43140</v>
      </c>
      <c r="BI734" s="180">
        <v>-0.27800000000000002</v>
      </c>
      <c r="BJ734" s="191">
        <v>43140</v>
      </c>
      <c r="BK734" s="192">
        <v>0.38600000000000001</v>
      </c>
      <c r="BN734" s="94">
        <v>43150</v>
      </c>
      <c r="BO734" s="95">
        <v>0.41899999999999998</v>
      </c>
      <c r="BP734" s="96">
        <v>11</v>
      </c>
    </row>
    <row r="735" spans="60:68" ht="15">
      <c r="BH735" s="187">
        <v>43143</v>
      </c>
      <c r="BI735" s="180">
        <v>-0.27800000000000002</v>
      </c>
      <c r="BJ735" s="191">
        <v>43143</v>
      </c>
      <c r="BK735" s="192">
        <v>0.39100000000000001</v>
      </c>
      <c r="BN735" s="94">
        <v>43151</v>
      </c>
      <c r="BO735" s="95">
        <v>0.42499999999999999</v>
      </c>
      <c r="BP735" s="96">
        <v>10.99</v>
      </c>
    </row>
    <row r="736" spans="60:68" ht="15">
      <c r="BH736" s="187">
        <v>43144</v>
      </c>
      <c r="BI736" s="180">
        <v>-0.27600000000000002</v>
      </c>
      <c r="BJ736" s="191">
        <v>43144</v>
      </c>
      <c r="BK736" s="192">
        <v>0.39600000000000002</v>
      </c>
      <c r="BN736" s="94">
        <v>43152</v>
      </c>
      <c r="BO736" s="95">
        <v>0.42899999999999999</v>
      </c>
      <c r="BP736" s="96">
        <v>10.99</v>
      </c>
    </row>
    <row r="737" spans="60:68" ht="15">
      <c r="BH737" s="187">
        <v>43145</v>
      </c>
      <c r="BI737" s="180">
        <v>-0.27600000000000002</v>
      </c>
      <c r="BJ737" s="191">
        <v>43145</v>
      </c>
      <c r="BK737" s="192">
        <v>0.40200000000000002</v>
      </c>
      <c r="BN737" s="94">
        <v>43153</v>
      </c>
      <c r="BO737" s="95">
        <v>0.432</v>
      </c>
      <c r="BP737" s="96">
        <v>10.99</v>
      </c>
    </row>
    <row r="738" spans="60:68" ht="15">
      <c r="BH738" s="187">
        <v>43146</v>
      </c>
      <c r="BI738" s="180">
        <v>-0.27600000000000002</v>
      </c>
      <c r="BJ738" s="191">
        <v>43146</v>
      </c>
      <c r="BK738" s="192">
        <v>0.40899999999999997</v>
      </c>
      <c r="BN738" s="94">
        <v>43154</v>
      </c>
      <c r="BO738" s="95">
        <v>0.433</v>
      </c>
      <c r="BP738" s="96">
        <v>10.98</v>
      </c>
    </row>
    <row r="739" spans="60:68" ht="15">
      <c r="BH739" s="187">
        <v>43147</v>
      </c>
      <c r="BI739" s="180">
        <v>-0.27400000000000002</v>
      </c>
      <c r="BJ739" s="191">
        <v>43147</v>
      </c>
      <c r="BK739" s="192">
        <v>0.41299999999999998</v>
      </c>
      <c r="BN739" s="94">
        <v>43157</v>
      </c>
      <c r="BO739" s="95">
        <v>0.43099999999999999</v>
      </c>
      <c r="BP739" s="96">
        <v>10.98</v>
      </c>
    </row>
    <row r="740" spans="60:68" ht="15">
      <c r="BH740" s="187">
        <v>43150</v>
      </c>
      <c r="BI740" s="180">
        <v>-0.27400000000000002</v>
      </c>
      <c r="BJ740" s="191">
        <v>43150</v>
      </c>
      <c r="BK740" s="192">
        <v>0.41899999999999998</v>
      </c>
      <c r="BN740" s="94">
        <v>43158</v>
      </c>
      <c r="BO740" s="95">
        <v>0.43</v>
      </c>
      <c r="BP740" s="96">
        <v>10.97</v>
      </c>
    </row>
    <row r="741" spans="60:68" ht="15">
      <c r="BH741" s="187">
        <v>43151</v>
      </c>
      <c r="BI741" s="180">
        <v>-0.27300000000000002</v>
      </c>
      <c r="BJ741" s="191">
        <v>43151</v>
      </c>
      <c r="BK741" s="192">
        <v>0.42499999999999999</v>
      </c>
      <c r="BN741" s="94">
        <v>43159</v>
      </c>
      <c r="BO741" s="95">
        <v>0.42799999999999999</v>
      </c>
      <c r="BP741" s="96">
        <v>10.97</v>
      </c>
    </row>
    <row r="742" spans="60:68" ht="15">
      <c r="BH742" s="187">
        <v>43152</v>
      </c>
      <c r="BI742" s="180">
        <v>-0.27100000000000002</v>
      </c>
      <c r="BJ742" s="191">
        <v>43152</v>
      </c>
      <c r="BK742" s="192">
        <v>0.42899999999999999</v>
      </c>
      <c r="BN742" s="94">
        <v>43160</v>
      </c>
      <c r="BO742" s="95">
        <v>0.42499999999999999</v>
      </c>
      <c r="BP742" s="96">
        <v>10.97</v>
      </c>
    </row>
    <row r="743" spans="60:68" ht="15">
      <c r="BH743" s="187">
        <v>43153</v>
      </c>
      <c r="BI743" s="180">
        <v>-0.27</v>
      </c>
      <c r="BJ743" s="191">
        <v>43153</v>
      </c>
      <c r="BK743" s="192">
        <v>0.432</v>
      </c>
      <c r="BN743" s="94">
        <v>43161</v>
      </c>
      <c r="BO743" s="95">
        <v>0.42</v>
      </c>
      <c r="BP743" s="96">
        <v>10.97</v>
      </c>
    </row>
    <row r="744" spans="60:68" ht="15">
      <c r="BH744" s="187">
        <v>43154</v>
      </c>
      <c r="BI744" s="180">
        <v>-0.27100000000000002</v>
      </c>
      <c r="BJ744" s="191">
        <v>43154</v>
      </c>
      <c r="BK744" s="192">
        <v>0.433</v>
      </c>
      <c r="BN744" s="94">
        <v>43164</v>
      </c>
      <c r="BO744" s="95">
        <v>0.41599999999999998</v>
      </c>
      <c r="BP744" s="96">
        <v>10.96</v>
      </c>
    </row>
    <row r="745" spans="60:68" ht="15">
      <c r="BH745" s="187">
        <v>43157</v>
      </c>
      <c r="BI745" s="180">
        <v>-0.27100000000000002</v>
      </c>
      <c r="BJ745" s="191">
        <v>43157</v>
      </c>
      <c r="BK745" s="192">
        <v>0.43099999999999999</v>
      </c>
      <c r="BN745" s="94">
        <v>43165</v>
      </c>
      <c r="BO745" s="95">
        <v>0.41599999999999998</v>
      </c>
      <c r="BP745" s="96">
        <v>10.95</v>
      </c>
    </row>
    <row r="746" spans="60:68" ht="15">
      <c r="BH746" s="187">
        <v>43158</v>
      </c>
      <c r="BI746" s="180">
        <v>-0.27100000000000002</v>
      </c>
      <c r="BJ746" s="191">
        <v>43158</v>
      </c>
      <c r="BK746" s="192">
        <v>0.43</v>
      </c>
      <c r="BN746" s="94">
        <v>43166</v>
      </c>
      <c r="BO746" s="95">
        <v>0.41499999999999998</v>
      </c>
      <c r="BP746" s="96">
        <v>10.95</v>
      </c>
    </row>
    <row r="747" spans="60:68" ht="15">
      <c r="BH747" s="187">
        <v>43159</v>
      </c>
      <c r="BI747" s="180">
        <v>-0.27</v>
      </c>
      <c r="BJ747" s="191">
        <v>43159</v>
      </c>
      <c r="BK747" s="192">
        <v>0.42799999999999999</v>
      </c>
      <c r="BN747" s="94">
        <v>43167</v>
      </c>
      <c r="BO747" s="95">
        <v>0.41199999999999998</v>
      </c>
      <c r="BP747" s="96">
        <v>10.93</v>
      </c>
    </row>
    <row r="748" spans="60:68" ht="15">
      <c r="BH748" s="187">
        <v>43160</v>
      </c>
      <c r="BI748" s="180">
        <v>-0.27100000000000002</v>
      </c>
      <c r="BJ748" s="191">
        <v>43160</v>
      </c>
      <c r="BK748" s="192">
        <v>0.42499999999999999</v>
      </c>
      <c r="BN748" s="94">
        <v>43168</v>
      </c>
      <c r="BO748" s="95">
        <v>0.40899999999999997</v>
      </c>
      <c r="BP748" s="96">
        <v>10.92</v>
      </c>
    </row>
    <row r="749" spans="60:68" ht="15">
      <c r="BH749" s="187">
        <v>43161</v>
      </c>
      <c r="BI749" s="180">
        <v>-0.27100000000000002</v>
      </c>
      <c r="BJ749" s="191">
        <v>43161</v>
      </c>
      <c r="BK749" s="192">
        <v>0.42</v>
      </c>
      <c r="BN749" s="94">
        <v>43171</v>
      </c>
      <c r="BO749" s="95">
        <v>0.40500000000000003</v>
      </c>
      <c r="BP749" s="96">
        <v>10.91</v>
      </c>
    </row>
    <row r="750" spans="60:68" ht="15">
      <c r="BH750" s="187">
        <v>43164</v>
      </c>
      <c r="BI750" s="180">
        <v>-0.27200000000000002</v>
      </c>
      <c r="BJ750" s="191">
        <v>43164</v>
      </c>
      <c r="BK750" s="192">
        <v>0.41599999999999998</v>
      </c>
      <c r="BN750" s="94">
        <v>43172</v>
      </c>
      <c r="BO750" s="95">
        <v>0.40100000000000002</v>
      </c>
      <c r="BP750" s="96">
        <v>10.91</v>
      </c>
    </row>
    <row r="751" spans="60:68" ht="15">
      <c r="BH751" s="187">
        <v>43165</v>
      </c>
      <c r="BI751" s="180">
        <v>-0.27100000000000002</v>
      </c>
      <c r="BJ751" s="191">
        <v>43165</v>
      </c>
      <c r="BK751" s="192">
        <v>0.41599999999999998</v>
      </c>
      <c r="BN751" s="94">
        <v>43173</v>
      </c>
      <c r="BO751" s="95">
        <v>0.39700000000000002</v>
      </c>
      <c r="BP751" s="96">
        <v>10.91</v>
      </c>
    </row>
    <row r="752" spans="60:68" ht="15">
      <c r="BH752" s="187">
        <v>43166</v>
      </c>
      <c r="BI752" s="180">
        <v>-0.27200000000000002</v>
      </c>
      <c r="BJ752" s="191">
        <v>43166</v>
      </c>
      <c r="BK752" s="192">
        <v>0.41499999999999998</v>
      </c>
      <c r="BN752" s="94">
        <v>43174</v>
      </c>
      <c r="BO752" s="95">
        <v>0.44500000000000001</v>
      </c>
      <c r="BP752" s="96">
        <v>11.49</v>
      </c>
    </row>
    <row r="753" spans="60:68" ht="15">
      <c r="BH753" s="187">
        <v>43167</v>
      </c>
      <c r="BI753" s="180">
        <v>-0.27200000000000002</v>
      </c>
      <c r="BJ753" s="191">
        <v>43167</v>
      </c>
      <c r="BK753" s="192">
        <v>0.41199999999999998</v>
      </c>
      <c r="BN753" s="94">
        <v>43175</v>
      </c>
      <c r="BO753" s="95">
        <v>0.439</v>
      </c>
      <c r="BP753" s="96">
        <v>11.48</v>
      </c>
    </row>
    <row r="754" spans="60:68" ht="15">
      <c r="BH754" s="187">
        <v>43168</v>
      </c>
      <c r="BI754" s="180">
        <v>-0.27100000000000002</v>
      </c>
      <c r="BJ754" s="191">
        <v>43168</v>
      </c>
      <c r="BK754" s="192">
        <v>0.40899999999999997</v>
      </c>
      <c r="BN754" s="94">
        <v>43178</v>
      </c>
      <c r="BO754" s="95">
        <v>0.434</v>
      </c>
      <c r="BP754" s="96">
        <v>11.47</v>
      </c>
    </row>
    <row r="755" spans="60:68" ht="15">
      <c r="BH755" s="187">
        <v>43171</v>
      </c>
      <c r="BI755" s="180">
        <v>-0.27100000000000002</v>
      </c>
      <c r="BJ755" s="191">
        <v>43171</v>
      </c>
      <c r="BK755" s="192">
        <v>0.40500000000000003</v>
      </c>
      <c r="BN755" s="94">
        <v>43179</v>
      </c>
      <c r="BO755" s="95">
        <v>0.42799999999999999</v>
      </c>
      <c r="BP755" s="96">
        <v>11.47</v>
      </c>
    </row>
    <row r="756" spans="60:68" ht="15">
      <c r="BH756" s="187">
        <v>43172</v>
      </c>
      <c r="BI756" s="180">
        <v>-0.27100000000000002</v>
      </c>
      <c r="BJ756" s="191">
        <v>43172</v>
      </c>
      <c r="BK756" s="192">
        <v>0.40100000000000002</v>
      </c>
      <c r="BN756" s="94">
        <v>43180</v>
      </c>
      <c r="BO756" s="95">
        <v>0.42299999999999999</v>
      </c>
      <c r="BP756" s="96">
        <v>11.47</v>
      </c>
    </row>
    <row r="757" spans="60:68" ht="15">
      <c r="BH757" s="187">
        <v>43173</v>
      </c>
      <c r="BI757" s="180">
        <v>-0.27100000000000002</v>
      </c>
      <c r="BJ757" s="191">
        <v>43173</v>
      </c>
      <c r="BK757" s="192">
        <v>0.39700000000000002</v>
      </c>
      <c r="BN757" s="94">
        <v>43181</v>
      </c>
      <c r="BO757" s="95">
        <v>0.41599999999999998</v>
      </c>
      <c r="BP757" s="96">
        <v>11.47</v>
      </c>
    </row>
    <row r="758" spans="60:68" ht="15">
      <c r="BH758" s="187">
        <v>43174</v>
      </c>
      <c r="BI758" s="180">
        <v>-0.27100000000000002</v>
      </c>
      <c r="BJ758" s="191">
        <v>43174</v>
      </c>
      <c r="BK758" s="192">
        <v>0.44500000000000001</v>
      </c>
      <c r="BN758" s="94">
        <v>43182</v>
      </c>
      <c r="BO758" s="95">
        <v>0.41</v>
      </c>
      <c r="BP758" s="96">
        <v>11.46</v>
      </c>
    </row>
    <row r="759" spans="60:68" ht="15">
      <c r="BH759" s="187">
        <v>43175</v>
      </c>
      <c r="BI759" s="180">
        <v>-0.27200000000000002</v>
      </c>
      <c r="BJ759" s="191">
        <v>43175</v>
      </c>
      <c r="BK759" s="192">
        <v>0.439</v>
      </c>
      <c r="BN759" s="94">
        <v>43185</v>
      </c>
      <c r="BO759" s="95">
        <v>0.40500000000000003</v>
      </c>
      <c r="BP759" s="96">
        <v>11.45</v>
      </c>
    </row>
    <row r="760" spans="60:68" ht="15">
      <c r="BH760" s="187">
        <v>43178</v>
      </c>
      <c r="BI760" s="180">
        <v>-0.27200000000000002</v>
      </c>
      <c r="BJ760" s="191">
        <v>43178</v>
      </c>
      <c r="BK760" s="192">
        <v>0.434</v>
      </c>
      <c r="BN760" s="94">
        <v>43186</v>
      </c>
      <c r="BO760" s="95">
        <v>0.39900000000000002</v>
      </c>
      <c r="BP760" s="96">
        <v>11.45</v>
      </c>
    </row>
    <row r="761" spans="60:68" ht="15">
      <c r="BH761" s="187">
        <v>43179</v>
      </c>
      <c r="BI761" s="180">
        <v>-0.27300000000000002</v>
      </c>
      <c r="BJ761" s="191">
        <v>43179</v>
      </c>
      <c r="BK761" s="192">
        <v>0.42799999999999999</v>
      </c>
      <c r="BN761" s="94">
        <v>43187</v>
      </c>
      <c r="BO761" s="95">
        <v>0.39300000000000002</v>
      </c>
      <c r="BP761" s="96">
        <v>11.45</v>
      </c>
    </row>
    <row r="762" spans="60:68" ht="15">
      <c r="BH762" s="187">
        <v>43180</v>
      </c>
      <c r="BI762" s="180">
        <v>-0.27200000000000002</v>
      </c>
      <c r="BJ762" s="191">
        <v>43180</v>
      </c>
      <c r="BK762" s="192">
        <v>0.42299999999999999</v>
      </c>
      <c r="BN762" s="94">
        <v>43188</v>
      </c>
      <c r="BO762" s="95">
        <v>0.38800000000000001</v>
      </c>
      <c r="BP762" s="96">
        <v>11.45</v>
      </c>
    </row>
    <row r="763" spans="60:68" ht="15">
      <c r="BH763" s="187">
        <v>43181</v>
      </c>
      <c r="BI763" s="180">
        <v>-0.27100000000000002</v>
      </c>
      <c r="BJ763" s="191">
        <v>43181</v>
      </c>
      <c r="BK763" s="192">
        <v>0.41599999999999998</v>
      </c>
      <c r="BN763" s="94">
        <v>43189</v>
      </c>
      <c r="BO763" s="95">
        <v>0.38600000000000001</v>
      </c>
      <c r="BP763" s="96">
        <v>11.44</v>
      </c>
    </row>
    <row r="764" spans="60:68" ht="15">
      <c r="BH764" s="187">
        <v>43182</v>
      </c>
      <c r="BI764" s="180">
        <v>-0.27</v>
      </c>
      <c r="BJ764" s="191">
        <v>43182</v>
      </c>
      <c r="BK764" s="192">
        <v>0.41</v>
      </c>
      <c r="BN764" s="94">
        <v>43193</v>
      </c>
      <c r="BO764" s="95">
        <v>0.38100000000000001</v>
      </c>
      <c r="BP764" s="96">
        <v>11.43</v>
      </c>
    </row>
    <row r="765" spans="60:68" ht="15">
      <c r="BH765" s="187">
        <v>43185</v>
      </c>
      <c r="BI765" s="180">
        <v>-0.27100000000000002</v>
      </c>
      <c r="BJ765" s="191">
        <v>43185</v>
      </c>
      <c r="BK765" s="192">
        <v>0.40500000000000003</v>
      </c>
      <c r="BN765" s="94">
        <v>43194</v>
      </c>
      <c r="BO765" s="95">
        <v>0.374</v>
      </c>
      <c r="BP765" s="96">
        <v>11.43</v>
      </c>
    </row>
    <row r="766" spans="60:68" ht="15">
      <c r="BH766" s="187">
        <v>43186</v>
      </c>
      <c r="BI766" s="180">
        <v>-0.27100000000000002</v>
      </c>
      <c r="BJ766" s="191">
        <v>43186</v>
      </c>
      <c r="BK766" s="192">
        <v>0.39900000000000002</v>
      </c>
      <c r="BN766" s="94">
        <v>43195</v>
      </c>
      <c r="BO766" s="95">
        <v>0.36899999999999999</v>
      </c>
      <c r="BP766" s="96">
        <v>11.43</v>
      </c>
    </row>
    <row r="767" spans="60:68" ht="15">
      <c r="BH767" s="187">
        <v>43187</v>
      </c>
      <c r="BI767" s="180">
        <v>-0.27100000000000002</v>
      </c>
      <c r="BJ767" s="191">
        <v>43187</v>
      </c>
      <c r="BK767" s="192">
        <v>0.39300000000000002</v>
      </c>
      <c r="BN767" s="94">
        <v>43196</v>
      </c>
      <c r="BO767" s="95">
        <v>0.36299999999999999</v>
      </c>
      <c r="BP767" s="96">
        <v>11.42</v>
      </c>
    </row>
    <row r="768" spans="60:68" ht="15">
      <c r="BH768" s="187">
        <v>43188</v>
      </c>
      <c r="BI768" s="180">
        <v>-0.27100000000000002</v>
      </c>
      <c r="BJ768" s="191">
        <v>43188</v>
      </c>
      <c r="BK768" s="192">
        <v>0.38800000000000001</v>
      </c>
      <c r="BN768" s="94">
        <v>43199</v>
      </c>
      <c r="BO768" s="95">
        <v>0.35799999999999998</v>
      </c>
      <c r="BP768" s="96">
        <v>11.42</v>
      </c>
    </row>
    <row r="769" spans="60:68" ht="15">
      <c r="BH769" s="187">
        <v>43189</v>
      </c>
      <c r="BI769" s="180">
        <v>-0.27100000000000002</v>
      </c>
      <c r="BJ769" s="191">
        <v>43189</v>
      </c>
      <c r="BK769" s="192">
        <v>0.38600000000000001</v>
      </c>
      <c r="BN769" s="94">
        <v>43200</v>
      </c>
      <c r="BO769" s="95">
        <v>0.35399999999999998</v>
      </c>
      <c r="BP769" s="96">
        <v>11.41</v>
      </c>
    </row>
    <row r="770" spans="60:68" ht="15">
      <c r="BH770" s="187">
        <v>43192</v>
      </c>
      <c r="BI770" s="180">
        <v>-0.27100000000000002</v>
      </c>
      <c r="BJ770" s="191"/>
      <c r="BK770" s="193">
        <f>+BK769</f>
        <v>0.38600000000000001</v>
      </c>
      <c r="BN770" s="94">
        <v>43201</v>
      </c>
      <c r="BO770" s="95">
        <v>0.35</v>
      </c>
      <c r="BP770" s="96">
        <v>11.41</v>
      </c>
    </row>
    <row r="771" spans="60:68" ht="15">
      <c r="BH771" s="187">
        <v>43193</v>
      </c>
      <c r="BI771" s="180">
        <v>-0.27</v>
      </c>
      <c r="BJ771" s="191">
        <v>43193</v>
      </c>
      <c r="BK771" s="192">
        <v>0.38100000000000001</v>
      </c>
      <c r="BN771" s="94">
        <v>43202</v>
      </c>
      <c r="BO771" s="95">
        <v>0.35</v>
      </c>
      <c r="BP771" s="96">
        <v>11.42</v>
      </c>
    </row>
    <row r="772" spans="60:68" ht="15">
      <c r="BH772" s="187">
        <v>43194</v>
      </c>
      <c r="BI772" s="180">
        <v>-0.27100000000000002</v>
      </c>
      <c r="BJ772" s="191">
        <v>43194</v>
      </c>
      <c r="BK772" s="192">
        <v>0.374</v>
      </c>
      <c r="BN772" s="94">
        <v>43203</v>
      </c>
      <c r="BO772" s="95">
        <v>0.34699999999999998</v>
      </c>
      <c r="BP772" s="96">
        <v>11.42</v>
      </c>
    </row>
    <row r="773" spans="60:68" ht="15">
      <c r="BH773" s="187">
        <v>43195</v>
      </c>
      <c r="BI773" s="180">
        <v>-0.27100000000000002</v>
      </c>
      <c r="BJ773" s="191">
        <v>43195</v>
      </c>
      <c r="BK773" s="192">
        <v>0.36899999999999999</v>
      </c>
      <c r="BN773" s="94">
        <v>43206</v>
      </c>
      <c r="BO773" s="95">
        <v>0.34599999999999997</v>
      </c>
      <c r="BP773" s="96">
        <v>11.41</v>
      </c>
    </row>
    <row r="774" spans="60:68" ht="15">
      <c r="BH774" s="187">
        <v>43196</v>
      </c>
      <c r="BI774" s="180">
        <v>-0.27</v>
      </c>
      <c r="BJ774" s="191">
        <v>43196</v>
      </c>
      <c r="BK774" s="192">
        <v>0.36299999999999999</v>
      </c>
      <c r="BN774" s="94">
        <v>43207</v>
      </c>
      <c r="BO774" s="95">
        <v>0.34499999999999997</v>
      </c>
      <c r="BP774" s="96">
        <v>11.4</v>
      </c>
    </row>
    <row r="775" spans="60:68" ht="15">
      <c r="BH775" s="187">
        <v>43199</v>
      </c>
      <c r="BI775" s="180">
        <v>-0.27</v>
      </c>
      <c r="BJ775" s="191">
        <v>43199</v>
      </c>
      <c r="BK775" s="192">
        <v>0.35799999999999998</v>
      </c>
      <c r="BN775" s="94">
        <v>43208</v>
      </c>
      <c r="BO775" s="95">
        <v>0.34200000000000003</v>
      </c>
      <c r="BP775" s="96">
        <v>11.4</v>
      </c>
    </row>
    <row r="776" spans="60:68" ht="15">
      <c r="BH776" s="187">
        <v>43200</v>
      </c>
      <c r="BI776" s="180">
        <v>-0.27100000000000002</v>
      </c>
      <c r="BJ776" s="191">
        <v>43200</v>
      </c>
      <c r="BK776" s="192">
        <v>0.35399999999999998</v>
      </c>
      <c r="BN776" s="94">
        <v>43209</v>
      </c>
      <c r="BO776" s="95">
        <v>0.34200000000000003</v>
      </c>
      <c r="BP776" s="96">
        <v>11.4</v>
      </c>
    </row>
    <row r="777" spans="60:68" ht="15">
      <c r="BH777" s="187">
        <v>43201</v>
      </c>
      <c r="BI777" s="180">
        <v>-0.27</v>
      </c>
      <c r="BJ777" s="191">
        <v>43201</v>
      </c>
      <c r="BK777" s="192">
        <v>0.35</v>
      </c>
      <c r="BN777" s="94">
        <v>43210</v>
      </c>
      <c r="BO777" s="95">
        <v>0.34499999999999997</v>
      </c>
      <c r="BP777" s="96">
        <v>11.4</v>
      </c>
    </row>
    <row r="778" spans="60:68" ht="15">
      <c r="BH778" s="187">
        <v>43202</v>
      </c>
      <c r="BI778" s="180">
        <v>-0.27100000000000002</v>
      </c>
      <c r="BJ778" s="191">
        <v>43202</v>
      </c>
      <c r="BK778" s="192">
        <v>0.35</v>
      </c>
      <c r="BN778" s="94">
        <v>43213</v>
      </c>
      <c r="BO778" s="95">
        <v>0.34799999999999998</v>
      </c>
      <c r="BP778" s="96">
        <v>11.39</v>
      </c>
    </row>
    <row r="779" spans="60:68" ht="15">
      <c r="BH779" s="187">
        <v>43203</v>
      </c>
      <c r="BI779" s="180">
        <v>-0.27100000000000002</v>
      </c>
      <c r="BJ779" s="191">
        <v>43203</v>
      </c>
      <c r="BK779" s="192">
        <v>0.34699999999999998</v>
      </c>
      <c r="BN779" s="94">
        <v>43214</v>
      </c>
      <c r="BO779" s="95">
        <v>0.35199999999999998</v>
      </c>
      <c r="BP779" s="96">
        <v>11.39</v>
      </c>
    </row>
    <row r="780" spans="60:68" ht="15">
      <c r="BH780" s="187">
        <v>43206</v>
      </c>
      <c r="BI780" s="180">
        <v>-0.27</v>
      </c>
      <c r="BJ780" s="191">
        <v>43206</v>
      </c>
      <c r="BK780" s="192">
        <v>0.34599999999999997</v>
      </c>
      <c r="BN780" s="94">
        <v>43215</v>
      </c>
      <c r="BO780" s="95">
        <v>0.35599999999999998</v>
      </c>
      <c r="BP780" s="96">
        <v>11.38</v>
      </c>
    </row>
    <row r="781" spans="60:68" ht="15">
      <c r="BH781" s="187">
        <v>43207</v>
      </c>
      <c r="BI781" s="180">
        <v>-0.27</v>
      </c>
      <c r="BJ781" s="191">
        <v>43207</v>
      </c>
      <c r="BK781" s="192">
        <v>0.34499999999999997</v>
      </c>
      <c r="BN781" s="94">
        <v>43216</v>
      </c>
      <c r="BO781" s="95">
        <v>0.36</v>
      </c>
      <c r="BP781" s="96">
        <v>11.38</v>
      </c>
    </row>
    <row r="782" spans="60:68" ht="15">
      <c r="BH782" s="187">
        <v>43208</v>
      </c>
      <c r="BI782" s="180">
        <v>-0.27100000000000002</v>
      </c>
      <c r="BJ782" s="191">
        <v>43208</v>
      </c>
      <c r="BK782" s="192">
        <v>0.34200000000000003</v>
      </c>
      <c r="BN782" s="94">
        <v>43217</v>
      </c>
      <c r="BO782" s="95">
        <v>0.36299999999999999</v>
      </c>
      <c r="BP782" s="96">
        <v>11.38</v>
      </c>
    </row>
    <row r="783" spans="60:68" ht="15">
      <c r="BH783" s="187">
        <v>43209</v>
      </c>
      <c r="BI783" s="180">
        <v>-0.27</v>
      </c>
      <c r="BJ783" s="191">
        <v>43209</v>
      </c>
      <c r="BK783" s="192">
        <v>0.34200000000000003</v>
      </c>
      <c r="BN783" s="94">
        <v>43220</v>
      </c>
      <c r="BO783" s="95">
        <v>0.36299999999999999</v>
      </c>
      <c r="BP783" s="96">
        <v>11.37</v>
      </c>
    </row>
    <row r="784" spans="60:68" ht="15">
      <c r="BH784" s="187">
        <v>43210</v>
      </c>
      <c r="BI784" s="180">
        <v>-0.27100000000000002</v>
      </c>
      <c r="BJ784" s="191">
        <v>43210</v>
      </c>
      <c r="BK784" s="192">
        <v>0.34499999999999997</v>
      </c>
      <c r="BN784" s="94">
        <v>43222</v>
      </c>
      <c r="BO784" s="95">
        <v>0.36499999999999999</v>
      </c>
      <c r="BP784" s="96">
        <v>11.36</v>
      </c>
    </row>
    <row r="785" spans="60:68" ht="15">
      <c r="BH785" s="187">
        <v>43213</v>
      </c>
      <c r="BI785" s="180">
        <v>-0.27</v>
      </c>
      <c r="BJ785" s="191">
        <v>43213</v>
      </c>
      <c r="BK785" s="192">
        <v>0.34799999999999998</v>
      </c>
      <c r="BN785" s="94">
        <v>43223</v>
      </c>
      <c r="BO785" s="95">
        <v>0.36699999999999999</v>
      </c>
      <c r="BP785" s="96">
        <v>11.36</v>
      </c>
    </row>
    <row r="786" spans="60:68" ht="15">
      <c r="BH786" s="187">
        <v>43214</v>
      </c>
      <c r="BI786" s="180">
        <v>-0.27</v>
      </c>
      <c r="BJ786" s="191">
        <v>43214</v>
      </c>
      <c r="BK786" s="192">
        <v>0.35199999999999998</v>
      </c>
      <c r="BN786" s="94">
        <v>43224</v>
      </c>
      <c r="BO786" s="95">
        <v>0.36799999999999999</v>
      </c>
      <c r="BP786" s="96">
        <v>11.36</v>
      </c>
    </row>
    <row r="787" spans="60:68" ht="15">
      <c r="BH787" s="187">
        <v>43215</v>
      </c>
      <c r="BI787" s="180">
        <v>-0.27</v>
      </c>
      <c r="BJ787" s="191">
        <v>43215</v>
      </c>
      <c r="BK787" s="192">
        <v>0.35599999999999998</v>
      </c>
      <c r="BN787" s="94">
        <v>43227</v>
      </c>
      <c r="BO787" s="95">
        <v>0.36799999999999999</v>
      </c>
      <c r="BP787" s="96">
        <v>11.35</v>
      </c>
    </row>
    <row r="788" spans="60:68" ht="15">
      <c r="BH788" s="187">
        <v>43216</v>
      </c>
      <c r="BI788" s="180">
        <v>-0.26900000000000002</v>
      </c>
      <c r="BJ788" s="191">
        <v>43216</v>
      </c>
      <c r="BK788" s="192">
        <v>0.36</v>
      </c>
      <c r="BN788" s="94">
        <v>43228</v>
      </c>
      <c r="BO788" s="95">
        <v>0.36899999999999999</v>
      </c>
      <c r="BP788" s="96">
        <v>11.35</v>
      </c>
    </row>
    <row r="789" spans="60:68" ht="15">
      <c r="BH789" s="187">
        <v>43217</v>
      </c>
      <c r="BI789" s="180">
        <v>-0.26900000000000002</v>
      </c>
      <c r="BJ789" s="191">
        <v>43217</v>
      </c>
      <c r="BK789" s="192">
        <v>0.36299999999999999</v>
      </c>
      <c r="BN789" s="94">
        <v>43229</v>
      </c>
      <c r="BO789" s="95">
        <v>0.372</v>
      </c>
      <c r="BP789" s="96">
        <v>11.34</v>
      </c>
    </row>
    <row r="790" spans="60:68" ht="15">
      <c r="BH790" s="187">
        <v>43220</v>
      </c>
      <c r="BI790" s="180">
        <v>-0.26900000000000002</v>
      </c>
      <c r="BJ790" s="191">
        <v>43220</v>
      </c>
      <c r="BK790" s="192">
        <v>0.36299999999999999</v>
      </c>
      <c r="BN790" s="94">
        <v>43231</v>
      </c>
      <c r="BO790" s="95">
        <v>0.377</v>
      </c>
      <c r="BP790" s="96">
        <v>11.37</v>
      </c>
    </row>
    <row r="791" spans="60:68" ht="15">
      <c r="BH791" s="187">
        <v>43221</v>
      </c>
      <c r="BI791" s="180">
        <v>-0.26900000000000002</v>
      </c>
      <c r="BJ791" s="191"/>
      <c r="BK791" s="193">
        <f>+BK790</f>
        <v>0.36299999999999999</v>
      </c>
      <c r="BL791" s="111">
        <f>+(BI791+BK791)/2+0.37</f>
        <v>0.41699999999999998</v>
      </c>
      <c r="BN791" s="94">
        <v>43234</v>
      </c>
      <c r="BO791" s="95">
        <v>0.38</v>
      </c>
      <c r="BP791" s="96">
        <v>11.36</v>
      </c>
    </row>
    <row r="792" spans="60:68" ht="15">
      <c r="BH792" s="187">
        <v>43222</v>
      </c>
      <c r="BI792" s="180">
        <v>-0.26900000000000002</v>
      </c>
      <c r="BJ792" s="191">
        <v>43222</v>
      </c>
      <c r="BK792" s="192">
        <v>0.36499999999999999</v>
      </c>
      <c r="BN792" s="94">
        <v>43235</v>
      </c>
      <c r="BO792" s="95">
        <v>0.38500000000000001</v>
      </c>
      <c r="BP792" s="96">
        <v>11.36</v>
      </c>
    </row>
    <row r="793" spans="60:68" ht="15">
      <c r="BH793" s="187">
        <v>43223</v>
      </c>
      <c r="BI793" s="180">
        <v>-0.26900000000000002</v>
      </c>
      <c r="BJ793" s="191">
        <v>43223</v>
      </c>
      <c r="BK793" s="192">
        <v>0.36699999999999999</v>
      </c>
      <c r="BN793" s="94">
        <v>43236</v>
      </c>
      <c r="BO793" s="95">
        <v>0.38700000000000001</v>
      </c>
      <c r="BP793" s="96">
        <v>11.35</v>
      </c>
    </row>
    <row r="794" spans="60:68" ht="15">
      <c r="BH794" s="187">
        <v>43224</v>
      </c>
      <c r="BI794" s="180">
        <v>-0.26900000000000002</v>
      </c>
      <c r="BJ794" s="191">
        <v>43224</v>
      </c>
      <c r="BK794" s="192">
        <v>0.36799999999999999</v>
      </c>
      <c r="BN794" s="94">
        <v>43237</v>
      </c>
      <c r="BO794" s="95">
        <v>0.39100000000000001</v>
      </c>
      <c r="BP794" s="96">
        <v>11.35</v>
      </c>
    </row>
    <row r="795" spans="60:68" ht="15">
      <c r="BH795" s="187">
        <v>43227</v>
      </c>
      <c r="BI795" s="180">
        <v>-0.26900000000000002</v>
      </c>
      <c r="BJ795" s="191">
        <v>43227</v>
      </c>
      <c r="BK795" s="192">
        <v>0.36799999999999999</v>
      </c>
      <c r="BN795" s="94">
        <v>43238</v>
      </c>
      <c r="BO795" s="95">
        <v>0.39500000000000002</v>
      </c>
      <c r="BP795" s="96">
        <v>11.35</v>
      </c>
    </row>
    <row r="796" spans="60:68" ht="15">
      <c r="BH796" s="187">
        <v>43228</v>
      </c>
      <c r="BI796" s="180">
        <v>-0.26900000000000002</v>
      </c>
      <c r="BJ796" s="191">
        <v>43228</v>
      </c>
      <c r="BK796" s="192">
        <v>0.36899999999999999</v>
      </c>
      <c r="BN796" s="94">
        <v>43242</v>
      </c>
      <c r="BO796" s="95">
        <v>0.39500000000000002</v>
      </c>
      <c r="BP796" s="96">
        <v>11.34</v>
      </c>
    </row>
    <row r="797" spans="60:68" ht="15">
      <c r="BH797" s="187">
        <v>43229</v>
      </c>
      <c r="BI797" s="180">
        <v>-0.26900000000000002</v>
      </c>
      <c r="BJ797" s="191">
        <v>43229</v>
      </c>
      <c r="BK797" s="192">
        <v>0.372</v>
      </c>
      <c r="BN797" s="94">
        <v>43243</v>
      </c>
      <c r="BO797" s="95">
        <v>0.39200000000000002</v>
      </c>
      <c r="BP797" s="96">
        <v>11.34</v>
      </c>
    </row>
    <row r="798" spans="60:68" ht="15">
      <c r="BH798" s="187">
        <v>43230</v>
      </c>
      <c r="BI798" s="180">
        <v>-0.27100000000000002</v>
      </c>
      <c r="BJ798" s="191"/>
      <c r="BK798" s="193">
        <f>+BK797</f>
        <v>0.372</v>
      </c>
      <c r="BN798" s="94">
        <v>43244</v>
      </c>
      <c r="BO798" s="95">
        <v>0.39</v>
      </c>
      <c r="BP798" s="96">
        <v>11.33</v>
      </c>
    </row>
    <row r="799" spans="60:68" ht="15">
      <c r="BH799" s="187">
        <v>43231</v>
      </c>
      <c r="BI799" s="180">
        <v>-0.27100000000000002</v>
      </c>
      <c r="BJ799" s="191">
        <v>43231</v>
      </c>
      <c r="BK799" s="192">
        <v>0.377</v>
      </c>
      <c r="BN799" s="94">
        <v>43245</v>
      </c>
      <c r="BO799" s="95">
        <v>0.38500000000000001</v>
      </c>
      <c r="BP799" s="96">
        <v>11.33</v>
      </c>
    </row>
    <row r="800" spans="60:68" ht="15">
      <c r="BH800" s="187">
        <v>43234</v>
      </c>
      <c r="BI800" s="180">
        <v>-0.27100000000000002</v>
      </c>
      <c r="BJ800" s="191">
        <v>43234</v>
      </c>
      <c r="BK800" s="192">
        <v>0.38</v>
      </c>
      <c r="BN800" s="94">
        <v>43248</v>
      </c>
      <c r="BO800" s="95">
        <v>0.378</v>
      </c>
      <c r="BP800" s="96">
        <v>11.32</v>
      </c>
    </row>
    <row r="801" spans="60:68" ht="15">
      <c r="BH801" s="187">
        <v>43235</v>
      </c>
      <c r="BI801" s="180">
        <v>-0.27100000000000002</v>
      </c>
      <c r="BJ801" s="191">
        <v>43235</v>
      </c>
      <c r="BK801" s="192">
        <v>0.38500000000000001</v>
      </c>
      <c r="BN801" s="94">
        <v>43249</v>
      </c>
      <c r="BO801" s="95">
        <v>0.37</v>
      </c>
      <c r="BP801" s="96">
        <v>11.32</v>
      </c>
    </row>
    <row r="802" spans="60:68" ht="15">
      <c r="BH802" s="187">
        <v>43236</v>
      </c>
      <c r="BI802" s="180">
        <v>-0.27200000000000002</v>
      </c>
      <c r="BJ802" s="191">
        <v>43236</v>
      </c>
      <c r="BK802" s="192">
        <v>0.38700000000000001</v>
      </c>
      <c r="BN802" s="94">
        <v>43250</v>
      </c>
      <c r="BO802" s="95">
        <v>0.36599999999999999</v>
      </c>
      <c r="BP802" s="96">
        <v>11.32</v>
      </c>
    </row>
    <row r="803" spans="60:68" ht="15">
      <c r="BH803" s="187">
        <v>43237</v>
      </c>
      <c r="BI803" s="180">
        <v>-0.27</v>
      </c>
      <c r="BJ803" s="191">
        <v>43237</v>
      </c>
      <c r="BK803" s="192">
        <v>0.39100000000000001</v>
      </c>
      <c r="BN803" s="94">
        <v>43252</v>
      </c>
      <c r="BO803" s="95">
        <v>0.36199999999999999</v>
      </c>
      <c r="BP803" s="96">
        <v>11.31</v>
      </c>
    </row>
    <row r="804" spans="60:68" ht="15">
      <c r="BH804" s="187">
        <v>43238</v>
      </c>
      <c r="BI804" s="180">
        <v>-0.27100000000000002</v>
      </c>
      <c r="BJ804" s="191">
        <v>43238</v>
      </c>
      <c r="BK804" s="192">
        <v>0.39500000000000002</v>
      </c>
      <c r="BN804" s="94">
        <v>43255</v>
      </c>
      <c r="BO804" s="95">
        <v>0.35799999999999998</v>
      </c>
      <c r="BP804" s="96">
        <v>11.3</v>
      </c>
    </row>
    <row r="805" spans="60:68" ht="15">
      <c r="BH805" s="187">
        <v>43241</v>
      </c>
      <c r="BI805" s="180">
        <v>-0.27</v>
      </c>
      <c r="BJ805" s="191"/>
      <c r="BK805" s="193">
        <f>+BK804</f>
        <v>0.39500000000000002</v>
      </c>
      <c r="BN805" s="94">
        <v>43256</v>
      </c>
      <c r="BO805" s="95">
        <v>0.35399999999999998</v>
      </c>
      <c r="BP805" s="96">
        <v>11.3</v>
      </c>
    </row>
    <row r="806" spans="60:68" ht="15">
      <c r="BH806" s="187">
        <v>43242</v>
      </c>
      <c r="BI806" s="180">
        <v>-0.27100000000000002</v>
      </c>
      <c r="BJ806" s="191">
        <v>43242</v>
      </c>
      <c r="BK806" s="192">
        <v>0.39500000000000002</v>
      </c>
      <c r="BN806" s="94">
        <v>43257</v>
      </c>
      <c r="BO806" s="95">
        <v>0.35299999999999998</v>
      </c>
      <c r="BP806" s="96">
        <v>11.3</v>
      </c>
    </row>
    <row r="807" spans="60:68" ht="15">
      <c r="BH807" s="187">
        <v>43243</v>
      </c>
      <c r="BI807" s="180">
        <v>-0.27</v>
      </c>
      <c r="BJ807" s="191">
        <v>43243</v>
      </c>
      <c r="BK807" s="192">
        <v>0.39200000000000002</v>
      </c>
      <c r="BN807" s="94">
        <v>43258</v>
      </c>
      <c r="BO807" s="95">
        <v>0.35399999999999998</v>
      </c>
      <c r="BP807" s="96">
        <v>11.27</v>
      </c>
    </row>
    <row r="808" spans="60:68" ht="15">
      <c r="BH808" s="187">
        <v>43244</v>
      </c>
      <c r="BI808" s="180">
        <v>-0.27100000000000002</v>
      </c>
      <c r="BJ808" s="191">
        <v>43244</v>
      </c>
      <c r="BK808" s="192">
        <v>0.39</v>
      </c>
      <c r="BN808" s="94">
        <v>43259</v>
      </c>
      <c r="BO808" s="95">
        <v>0.35199999999999998</v>
      </c>
      <c r="BP808" s="96">
        <v>11.27</v>
      </c>
    </row>
    <row r="809" spans="60:68" ht="15">
      <c r="BH809" s="187">
        <v>43245</v>
      </c>
      <c r="BI809" s="180">
        <v>-0.27100000000000002</v>
      </c>
      <c r="BJ809" s="191">
        <v>43245</v>
      </c>
      <c r="BK809" s="192">
        <v>0.38500000000000001</v>
      </c>
      <c r="BN809" s="94">
        <v>43262</v>
      </c>
      <c r="BO809" s="95">
        <v>0.35099999999999998</v>
      </c>
      <c r="BP809" s="96">
        <v>11.26</v>
      </c>
    </row>
    <row r="810" spans="60:68" ht="15">
      <c r="BH810" s="187">
        <v>43248</v>
      </c>
      <c r="BI810" s="180">
        <v>-0.26900000000000002</v>
      </c>
      <c r="BJ810" s="191">
        <v>43248</v>
      </c>
      <c r="BK810" s="192">
        <v>0.378</v>
      </c>
      <c r="BN810" s="94">
        <v>43263</v>
      </c>
      <c r="BO810" s="95">
        <v>0.35199999999999998</v>
      </c>
      <c r="BP810" s="96">
        <v>11.26</v>
      </c>
    </row>
    <row r="811" spans="60:68" ht="15">
      <c r="BH811" s="187">
        <v>43249</v>
      </c>
      <c r="BI811" s="180">
        <v>-0.26900000000000002</v>
      </c>
      <c r="BJ811" s="191">
        <v>43249</v>
      </c>
      <c r="BK811" s="192">
        <v>0.37</v>
      </c>
      <c r="BN811" s="94">
        <v>43264</v>
      </c>
      <c r="BO811" s="95">
        <v>0.34899999999999998</v>
      </c>
      <c r="BP811" s="96">
        <v>11.26</v>
      </c>
    </row>
    <row r="812" spans="60:68" ht="15">
      <c r="BH812" s="187">
        <v>43250</v>
      </c>
      <c r="BI812" s="180">
        <v>-0.26900000000000002</v>
      </c>
      <c r="BJ812" s="191">
        <v>43250</v>
      </c>
      <c r="BK812" s="192">
        <v>0.36599999999999999</v>
      </c>
      <c r="BN812" s="94">
        <v>43265</v>
      </c>
      <c r="BO812" s="95">
        <v>0.34399999999999997</v>
      </c>
      <c r="BP812" s="96">
        <v>11.25</v>
      </c>
    </row>
    <row r="813" spans="60:68" ht="15">
      <c r="BH813" s="187">
        <v>43251</v>
      </c>
      <c r="BI813" s="180">
        <v>-0.26900000000000002</v>
      </c>
      <c r="BJ813" s="191"/>
      <c r="BK813" s="193">
        <f>+BK812</f>
        <v>0.36599999999999999</v>
      </c>
      <c r="BN813" s="94">
        <v>43266</v>
      </c>
      <c r="BO813" s="95">
        <v>0.33700000000000002</v>
      </c>
      <c r="BP813" s="96">
        <v>11.25</v>
      </c>
    </row>
    <row r="814" spans="60:68" ht="15">
      <c r="BH814" s="187">
        <v>43252</v>
      </c>
      <c r="BI814" s="180">
        <v>-0.26900000000000002</v>
      </c>
      <c r="BJ814" s="191">
        <v>43252</v>
      </c>
      <c r="BK814" s="192">
        <v>0.36199999999999999</v>
      </c>
      <c r="BN814" s="94">
        <v>43269</v>
      </c>
      <c r="BO814" s="95">
        <v>0.36199999999999999</v>
      </c>
      <c r="BP814" s="96">
        <v>11.63</v>
      </c>
    </row>
    <row r="815" spans="60:68" ht="15">
      <c r="BH815" s="187">
        <v>43255</v>
      </c>
      <c r="BI815" s="180">
        <v>-0.26900000000000002</v>
      </c>
      <c r="BJ815" s="191">
        <v>43255</v>
      </c>
      <c r="BK815" s="192">
        <v>0.35799999999999998</v>
      </c>
      <c r="BN815" s="94">
        <v>43270</v>
      </c>
      <c r="BO815" s="95">
        <v>0.35299999999999998</v>
      </c>
      <c r="BP815" s="96">
        <v>11.63</v>
      </c>
    </row>
    <row r="816" spans="60:68" ht="15">
      <c r="BH816" s="187">
        <v>43256</v>
      </c>
      <c r="BI816" s="180">
        <v>-0.26900000000000002</v>
      </c>
      <c r="BJ816" s="191">
        <v>43256</v>
      </c>
      <c r="BK816" s="192">
        <v>0.35399999999999998</v>
      </c>
      <c r="BN816" s="94">
        <v>43271</v>
      </c>
      <c r="BO816" s="95">
        <v>0.34699999999999998</v>
      </c>
      <c r="BP816" s="96">
        <v>11.63</v>
      </c>
    </row>
    <row r="817" spans="60:68" ht="15">
      <c r="BH817" s="187">
        <v>43257</v>
      </c>
      <c r="BI817" s="180">
        <v>-0.26900000000000002</v>
      </c>
      <c r="BJ817" s="191">
        <v>43257</v>
      </c>
      <c r="BK817" s="192">
        <v>0.35299999999999998</v>
      </c>
      <c r="BN817" s="94">
        <v>43272</v>
      </c>
      <c r="BO817" s="95">
        <v>0.34</v>
      </c>
      <c r="BP817" s="96">
        <v>11.63</v>
      </c>
    </row>
    <row r="818" spans="60:68" ht="15">
      <c r="BH818" s="187">
        <v>43258</v>
      </c>
      <c r="BI818" s="180">
        <v>-0.26900000000000002</v>
      </c>
      <c r="BJ818" s="191">
        <v>43258</v>
      </c>
      <c r="BK818" s="192">
        <v>0.35399999999999998</v>
      </c>
      <c r="BN818" s="94">
        <v>43273</v>
      </c>
      <c r="BO818" s="95">
        <v>0.33400000000000002</v>
      </c>
      <c r="BP818" s="96">
        <v>11.62</v>
      </c>
    </row>
    <row r="819" spans="60:68" ht="15">
      <c r="BH819" s="187">
        <v>43259</v>
      </c>
      <c r="BI819" s="180">
        <v>-0.26700000000000002</v>
      </c>
      <c r="BJ819" s="191">
        <v>43259</v>
      </c>
      <c r="BK819" s="192">
        <v>0.35199999999999998</v>
      </c>
      <c r="BN819" s="94">
        <v>43276</v>
      </c>
      <c r="BO819" s="95">
        <v>0.33</v>
      </c>
      <c r="BP819" s="96">
        <v>11.61</v>
      </c>
    </row>
    <row r="820" spans="60:68" ht="15">
      <c r="BH820" s="187">
        <v>43262</v>
      </c>
      <c r="BI820" s="180">
        <v>-0.26700000000000002</v>
      </c>
      <c r="BJ820" s="191">
        <v>43262</v>
      </c>
      <c r="BK820" s="192">
        <v>0.35099999999999998</v>
      </c>
      <c r="BN820" s="94">
        <v>43277</v>
      </c>
      <c r="BO820" s="95">
        <v>0.32700000000000001</v>
      </c>
      <c r="BP820" s="96">
        <v>11.61</v>
      </c>
    </row>
    <row r="821" spans="60:68" ht="15">
      <c r="BH821" s="187">
        <v>43263</v>
      </c>
      <c r="BI821" s="180">
        <v>-0.26700000000000002</v>
      </c>
      <c r="BJ821" s="191">
        <v>43263</v>
      </c>
      <c r="BK821" s="192">
        <v>0.35199999999999998</v>
      </c>
      <c r="BN821" s="94">
        <v>43278</v>
      </c>
      <c r="BO821" s="95">
        <v>0.32600000000000001</v>
      </c>
      <c r="BP821" s="96">
        <v>11.61</v>
      </c>
    </row>
    <row r="822" spans="60:68" ht="15">
      <c r="BH822" s="187">
        <v>43264</v>
      </c>
      <c r="BI822" s="180">
        <v>-0.26800000000000002</v>
      </c>
      <c r="BJ822" s="191">
        <v>43264</v>
      </c>
      <c r="BK822" s="192">
        <v>0.34899999999999998</v>
      </c>
      <c r="BN822" s="94">
        <v>43279</v>
      </c>
      <c r="BO822" s="95">
        <v>0.32700000000000001</v>
      </c>
      <c r="BP822" s="96">
        <v>11.84</v>
      </c>
    </row>
    <row r="823" spans="60:68" ht="15">
      <c r="BH823" s="187">
        <v>43265</v>
      </c>
      <c r="BI823" s="180">
        <v>-0.26800000000000002</v>
      </c>
      <c r="BJ823" s="191">
        <v>43265</v>
      </c>
      <c r="BK823" s="192">
        <v>0.34399999999999997</v>
      </c>
      <c r="BN823" s="94">
        <v>43280</v>
      </c>
      <c r="BO823" s="95">
        <v>0.32200000000000001</v>
      </c>
      <c r="BP823" s="96">
        <v>11.83</v>
      </c>
    </row>
    <row r="824" spans="60:68" ht="15">
      <c r="BH824" s="187">
        <v>43266</v>
      </c>
      <c r="BI824" s="180">
        <v>-0.26800000000000002</v>
      </c>
      <c r="BJ824" s="191">
        <v>43266</v>
      </c>
      <c r="BK824" s="192">
        <v>0.33700000000000002</v>
      </c>
      <c r="BN824" s="94">
        <v>43283</v>
      </c>
      <c r="BO824" s="95">
        <v>0.317</v>
      </c>
      <c r="BP824" s="96">
        <v>11.83</v>
      </c>
    </row>
    <row r="825" spans="60:68" ht="15">
      <c r="BH825" s="187">
        <v>43269</v>
      </c>
      <c r="BI825" s="180">
        <v>-0.26800000000000002</v>
      </c>
      <c r="BJ825" s="191">
        <v>43269</v>
      </c>
      <c r="BK825" s="192">
        <v>0.36199999999999999</v>
      </c>
      <c r="BN825" s="94">
        <v>43284</v>
      </c>
      <c r="BO825" s="95">
        <v>0.312</v>
      </c>
      <c r="BP825" s="96">
        <v>11.82</v>
      </c>
    </row>
    <row r="826" spans="60:68" ht="15">
      <c r="BH826" s="187">
        <v>43270</v>
      </c>
      <c r="BI826" s="180">
        <v>-0.26800000000000002</v>
      </c>
      <c r="BJ826" s="191">
        <v>43270</v>
      </c>
      <c r="BK826" s="192">
        <v>0.35299999999999998</v>
      </c>
      <c r="BN826" s="94">
        <v>43285</v>
      </c>
      <c r="BO826" s="95">
        <v>0.30399999999999999</v>
      </c>
      <c r="BP826" s="96">
        <v>11.82</v>
      </c>
    </row>
    <row r="827" spans="60:68" ht="15">
      <c r="BH827" s="187">
        <v>43271</v>
      </c>
      <c r="BI827" s="180">
        <v>-0.26800000000000002</v>
      </c>
      <c r="BJ827" s="191">
        <v>43271</v>
      </c>
      <c r="BK827" s="192">
        <v>0.34699999999999998</v>
      </c>
      <c r="BN827" s="94">
        <v>43286</v>
      </c>
      <c r="BO827" s="95">
        <v>0.29899999999999999</v>
      </c>
      <c r="BP827" s="96">
        <v>11.83</v>
      </c>
    </row>
    <row r="828" spans="60:68" ht="15">
      <c r="BH828" s="187">
        <v>43272</v>
      </c>
      <c r="BI828" s="180">
        <v>-0.26800000000000002</v>
      </c>
      <c r="BJ828" s="191">
        <v>43272</v>
      </c>
      <c r="BK828" s="192">
        <v>0.34</v>
      </c>
      <c r="BN828" s="94">
        <v>43287</v>
      </c>
      <c r="BO828" s="95">
        <v>0.29199999999999998</v>
      </c>
      <c r="BP828" s="96">
        <v>11.83</v>
      </c>
    </row>
    <row r="829" spans="60:68" ht="15">
      <c r="BH829" s="187">
        <v>43273</v>
      </c>
      <c r="BI829" s="180">
        <v>-0.26800000000000002</v>
      </c>
      <c r="BJ829" s="191">
        <v>43273</v>
      </c>
      <c r="BK829" s="192">
        <v>0.33400000000000002</v>
      </c>
      <c r="BN829" s="94">
        <v>43290</v>
      </c>
      <c r="BO829" s="95">
        <v>0.28299999999999997</v>
      </c>
      <c r="BP829" s="96">
        <v>11.82</v>
      </c>
    </row>
    <row r="830" spans="60:68" ht="15">
      <c r="BH830" s="187">
        <v>43276</v>
      </c>
      <c r="BI830" s="180">
        <v>-0.26900000000000002</v>
      </c>
      <c r="BJ830" s="191">
        <v>43276</v>
      </c>
      <c r="BK830" s="192">
        <v>0.33</v>
      </c>
      <c r="BN830" s="94">
        <v>43291</v>
      </c>
      <c r="BO830" s="95">
        <v>0.27400000000000002</v>
      </c>
      <c r="BP830" s="96">
        <v>11.82</v>
      </c>
    </row>
    <row r="831" spans="60:68" ht="15">
      <c r="BH831" s="187">
        <v>43277</v>
      </c>
      <c r="BI831" s="180">
        <v>-0.27</v>
      </c>
      <c r="BJ831" s="191">
        <v>43277</v>
      </c>
      <c r="BK831" s="192">
        <v>0.32700000000000001</v>
      </c>
      <c r="BN831" s="94">
        <v>43292</v>
      </c>
      <c r="BO831" s="95">
        <v>0.26600000000000001</v>
      </c>
      <c r="BP831" s="96">
        <v>11.82</v>
      </c>
    </row>
    <row r="832" spans="60:68" ht="15">
      <c r="BH832" s="187">
        <v>43278</v>
      </c>
      <c r="BI832" s="180">
        <v>-0.27</v>
      </c>
      <c r="BJ832" s="191">
        <v>43278</v>
      </c>
      <c r="BK832" s="192">
        <v>0.32600000000000001</v>
      </c>
      <c r="BN832" s="94">
        <v>43293</v>
      </c>
      <c r="BO832" s="95">
        <v>0.26200000000000001</v>
      </c>
      <c r="BP832" s="96">
        <v>11.93</v>
      </c>
    </row>
    <row r="833" spans="60:68" ht="15">
      <c r="BH833" s="187">
        <v>43279</v>
      </c>
      <c r="BI833" s="180">
        <v>-0.27</v>
      </c>
      <c r="BJ833" s="191">
        <v>43279</v>
      </c>
      <c r="BK833" s="192">
        <v>0.32700000000000001</v>
      </c>
      <c r="BN833" s="94">
        <v>43294</v>
      </c>
      <c r="BO833" s="95">
        <v>0.25600000000000001</v>
      </c>
      <c r="BP833" s="96">
        <v>11.92</v>
      </c>
    </row>
    <row r="834" spans="60:68" ht="15">
      <c r="BH834" s="187">
        <v>43280</v>
      </c>
      <c r="BI834" s="180">
        <v>-0.27</v>
      </c>
      <c r="BJ834" s="191">
        <v>43280</v>
      </c>
      <c r="BK834" s="192">
        <v>0.32200000000000001</v>
      </c>
      <c r="BN834" s="94">
        <v>43297</v>
      </c>
      <c r="BO834" s="95">
        <v>0.252</v>
      </c>
      <c r="BP834" s="96">
        <v>11.92</v>
      </c>
    </row>
    <row r="835" spans="60:68" ht="15">
      <c r="BH835" s="187">
        <v>43283</v>
      </c>
      <c r="BI835" s="180">
        <v>-0.26900000000000002</v>
      </c>
      <c r="BJ835" s="191">
        <v>43283</v>
      </c>
      <c r="BK835" s="192">
        <v>0.317</v>
      </c>
      <c r="BN835" s="94">
        <v>43298</v>
      </c>
      <c r="BO835" s="95">
        <v>0.25</v>
      </c>
      <c r="BP835" s="96">
        <v>11.91</v>
      </c>
    </row>
    <row r="836" spans="60:68" ht="15">
      <c r="BH836" s="187">
        <v>43284</v>
      </c>
      <c r="BI836" s="180">
        <v>-0.27</v>
      </c>
      <c r="BJ836" s="191">
        <v>43284</v>
      </c>
      <c r="BK836" s="192">
        <v>0.312</v>
      </c>
      <c r="BN836" s="94">
        <v>43299</v>
      </c>
      <c r="BO836" s="95">
        <v>0.246</v>
      </c>
      <c r="BP836" s="96">
        <v>11.91</v>
      </c>
    </row>
    <row r="837" spans="60:68" ht="15">
      <c r="BH837" s="187">
        <v>43285</v>
      </c>
      <c r="BI837" s="180">
        <v>-0.26900000000000002</v>
      </c>
      <c r="BJ837" s="191">
        <v>43285</v>
      </c>
      <c r="BK837" s="192">
        <v>0.30399999999999999</v>
      </c>
      <c r="BN837" s="94">
        <v>43300</v>
      </c>
      <c r="BO837" s="95">
        <v>0.24399999999999999</v>
      </c>
      <c r="BP837" s="96">
        <v>11.91</v>
      </c>
    </row>
    <row r="838" spans="60:68" ht="15">
      <c r="BH838" s="187">
        <v>43286</v>
      </c>
      <c r="BI838" s="180">
        <v>-0.26900000000000002</v>
      </c>
      <c r="BJ838" s="191">
        <v>43286</v>
      </c>
      <c r="BK838" s="192">
        <v>0.29899999999999999</v>
      </c>
      <c r="BN838" s="94">
        <v>43301</v>
      </c>
      <c r="BO838" s="95">
        <v>0.24199999999999999</v>
      </c>
      <c r="BP838" s="96">
        <v>11.9</v>
      </c>
    </row>
    <row r="839" spans="60:68" ht="15">
      <c r="BH839" s="187">
        <v>43287</v>
      </c>
      <c r="BI839" s="180">
        <v>-0.27</v>
      </c>
      <c r="BJ839" s="191">
        <v>43287</v>
      </c>
      <c r="BK839" s="192">
        <v>0.29199999999999998</v>
      </c>
      <c r="BN839" s="94">
        <v>43304</v>
      </c>
      <c r="BO839" s="95">
        <v>0.24199999999999999</v>
      </c>
      <c r="BP839" s="96">
        <v>11.9</v>
      </c>
    </row>
    <row r="840" spans="60:68" ht="15">
      <c r="BH840" s="187">
        <v>43290</v>
      </c>
      <c r="BI840" s="180">
        <v>-0.27</v>
      </c>
      <c r="BJ840" s="191">
        <v>43290</v>
      </c>
      <c r="BK840" s="192">
        <v>0.28299999999999997</v>
      </c>
      <c r="BN840" s="94">
        <v>43305</v>
      </c>
      <c r="BO840" s="95">
        <v>0.24199999999999999</v>
      </c>
      <c r="BP840" s="96">
        <v>11.89</v>
      </c>
    </row>
    <row r="841" spans="60:68" ht="15">
      <c r="BH841" s="187">
        <v>43291</v>
      </c>
      <c r="BI841" s="180">
        <v>-0.26900000000000002</v>
      </c>
      <c r="BJ841" s="191">
        <v>43291</v>
      </c>
      <c r="BK841" s="192">
        <v>0.27400000000000002</v>
      </c>
      <c r="BN841" s="94">
        <v>43306</v>
      </c>
      <c r="BO841" s="95">
        <v>0.24199999999999999</v>
      </c>
      <c r="BP841" s="96">
        <v>11.89</v>
      </c>
    </row>
    <row r="842" spans="60:68" ht="15">
      <c r="BH842" s="187">
        <v>43292</v>
      </c>
      <c r="BI842" s="180">
        <v>-0.27100000000000002</v>
      </c>
      <c r="BJ842" s="191">
        <v>43292</v>
      </c>
      <c r="BK842" s="192">
        <v>0.26600000000000001</v>
      </c>
      <c r="BN842" s="94">
        <v>43307</v>
      </c>
      <c r="BO842" s="95">
        <v>0.24299999999999999</v>
      </c>
      <c r="BP842" s="96">
        <v>11.89</v>
      </c>
    </row>
    <row r="843" spans="60:68" ht="15">
      <c r="BH843" s="187">
        <v>43293</v>
      </c>
      <c r="BI843" s="180">
        <v>-0.27100000000000002</v>
      </c>
      <c r="BJ843" s="191">
        <v>43293</v>
      </c>
      <c r="BK843" s="192">
        <v>0.26200000000000001</v>
      </c>
      <c r="BN843" s="94">
        <v>43308</v>
      </c>
      <c r="BO843" s="95">
        <v>0.24399999999999999</v>
      </c>
      <c r="BP843" s="96">
        <v>11.89</v>
      </c>
    </row>
    <row r="844" spans="60:68" ht="15">
      <c r="BH844" s="187">
        <v>43294</v>
      </c>
      <c r="BI844" s="180">
        <v>-0.26800000000000002</v>
      </c>
      <c r="BJ844" s="191">
        <v>43294</v>
      </c>
      <c r="BK844" s="192">
        <v>0.25600000000000001</v>
      </c>
      <c r="BN844" s="94">
        <v>43311</v>
      </c>
      <c r="BO844" s="95">
        <v>0.248</v>
      </c>
      <c r="BP844" s="96">
        <v>11.88</v>
      </c>
    </row>
    <row r="845" spans="60:68" ht="15">
      <c r="BH845" s="187">
        <v>43297</v>
      </c>
      <c r="BI845" s="180">
        <v>-0.26900000000000002</v>
      </c>
      <c r="BJ845" s="191">
        <v>43297</v>
      </c>
      <c r="BK845" s="192">
        <v>0.252</v>
      </c>
      <c r="BN845" s="94">
        <v>43312</v>
      </c>
      <c r="BO845" s="95">
        <v>0.252</v>
      </c>
      <c r="BP845" s="96">
        <v>11.87</v>
      </c>
    </row>
    <row r="846" spans="60:68" ht="15">
      <c r="BH846" s="187">
        <v>43298</v>
      </c>
      <c r="BI846" s="180">
        <v>-0.26900000000000002</v>
      </c>
      <c r="BJ846" s="191">
        <v>43298</v>
      </c>
      <c r="BK846" s="192">
        <v>0.25</v>
      </c>
      <c r="BN846" s="94">
        <v>43313</v>
      </c>
      <c r="BO846" s="95">
        <v>0.25700000000000001</v>
      </c>
      <c r="BP846" s="96">
        <v>11.87</v>
      </c>
    </row>
    <row r="847" spans="60:68" ht="15">
      <c r="BH847" s="187">
        <v>43299</v>
      </c>
      <c r="BI847" s="180">
        <v>-0.26900000000000002</v>
      </c>
      <c r="BJ847" s="191">
        <v>43299</v>
      </c>
      <c r="BK847" s="192">
        <v>0.246</v>
      </c>
      <c r="BN847" s="94">
        <v>43314</v>
      </c>
      <c r="BO847" s="95">
        <v>0.26200000000000001</v>
      </c>
      <c r="BP847" s="96">
        <v>11.87</v>
      </c>
    </row>
    <row r="848" spans="60:68" ht="15">
      <c r="BH848" s="187">
        <v>43300</v>
      </c>
      <c r="BI848" s="180">
        <v>-0.26900000000000002</v>
      </c>
      <c r="BJ848" s="191">
        <v>43300</v>
      </c>
      <c r="BK848" s="192">
        <v>0.24399999999999999</v>
      </c>
      <c r="BN848" s="94">
        <v>43315</v>
      </c>
      <c r="BO848" s="95">
        <v>0.26500000000000001</v>
      </c>
      <c r="BP848" s="96">
        <v>11.87</v>
      </c>
    </row>
    <row r="849" spans="60:68" ht="15">
      <c r="BH849" s="187">
        <v>43301</v>
      </c>
      <c r="BI849" s="180">
        <v>-0.26900000000000002</v>
      </c>
      <c r="BJ849" s="191">
        <v>43301</v>
      </c>
      <c r="BK849" s="192">
        <v>0.24199999999999999</v>
      </c>
      <c r="BN849" s="94">
        <v>43318</v>
      </c>
      <c r="BO849" s="95">
        <v>0.26800000000000002</v>
      </c>
      <c r="BP849" s="96">
        <v>11.86</v>
      </c>
    </row>
    <row r="850" spans="60:68" ht="15">
      <c r="BH850" s="187">
        <v>43304</v>
      </c>
      <c r="BI850" s="180">
        <v>-0.26900000000000002</v>
      </c>
      <c r="BJ850" s="191">
        <v>43304</v>
      </c>
      <c r="BK850" s="192">
        <v>0.24199999999999999</v>
      </c>
      <c r="BN850" s="94">
        <v>43319</v>
      </c>
      <c r="BO850" s="95">
        <v>0.26900000000000002</v>
      </c>
      <c r="BP850" s="96">
        <v>11.86</v>
      </c>
    </row>
    <row r="851" spans="60:68" ht="15">
      <c r="BH851" s="187">
        <v>43305</v>
      </c>
      <c r="BI851" s="180">
        <v>-0.26900000000000002</v>
      </c>
      <c r="BJ851" s="191">
        <v>43305</v>
      </c>
      <c r="BK851" s="192">
        <v>0.24199999999999999</v>
      </c>
      <c r="BN851" s="94">
        <v>43320</v>
      </c>
      <c r="BO851" s="95">
        <v>0.27200000000000002</v>
      </c>
      <c r="BP851" s="96">
        <v>11.85</v>
      </c>
    </row>
    <row r="852" spans="60:68" ht="15">
      <c r="BH852" s="187">
        <v>43306</v>
      </c>
      <c r="BI852" s="180">
        <v>-0.26900000000000002</v>
      </c>
      <c r="BJ852" s="191">
        <v>43306</v>
      </c>
      <c r="BK852" s="192">
        <v>0.24199999999999999</v>
      </c>
      <c r="BN852" s="94">
        <v>43321</v>
      </c>
      <c r="BO852" s="95">
        <v>0.27400000000000002</v>
      </c>
      <c r="BP852" s="96">
        <v>11.85</v>
      </c>
    </row>
    <row r="853" spans="60:68" ht="15">
      <c r="BH853" s="187">
        <v>43307</v>
      </c>
      <c r="BI853" s="180">
        <v>-0.26900000000000002</v>
      </c>
      <c r="BJ853" s="191">
        <v>43307</v>
      </c>
      <c r="BK853" s="192">
        <v>0.24299999999999999</v>
      </c>
      <c r="BN853" s="94">
        <v>43322</v>
      </c>
      <c r="BO853" s="95">
        <v>0.27500000000000002</v>
      </c>
      <c r="BP853" s="96">
        <v>11.85</v>
      </c>
    </row>
    <row r="854" spans="60:68" ht="15">
      <c r="BH854" s="187">
        <v>43308</v>
      </c>
      <c r="BI854" s="180">
        <v>-0.26900000000000002</v>
      </c>
      <c r="BJ854" s="191">
        <v>43308</v>
      </c>
      <c r="BK854" s="192">
        <v>0.24399999999999999</v>
      </c>
      <c r="BN854" s="94">
        <v>43325</v>
      </c>
      <c r="BO854" s="95">
        <v>0.27400000000000002</v>
      </c>
      <c r="BP854" s="96">
        <v>11.84</v>
      </c>
    </row>
    <row r="855" spans="60:68" ht="15">
      <c r="BH855" s="187">
        <v>43311</v>
      </c>
      <c r="BI855" s="180">
        <v>-0.26800000000000002</v>
      </c>
      <c r="BJ855" s="191">
        <v>43311</v>
      </c>
      <c r="BK855" s="192">
        <v>0.248</v>
      </c>
      <c r="BN855" s="94">
        <v>43326</v>
      </c>
      <c r="BO855" s="95">
        <v>0.27400000000000002</v>
      </c>
      <c r="BP855" s="96">
        <v>11.84</v>
      </c>
    </row>
    <row r="856" spans="60:68" ht="15">
      <c r="BH856" s="187">
        <v>43312</v>
      </c>
      <c r="BI856" s="180">
        <v>-0.26800000000000002</v>
      </c>
      <c r="BJ856" s="191">
        <v>43312</v>
      </c>
      <c r="BK856" s="192">
        <v>0.252</v>
      </c>
      <c r="BN856" s="94">
        <v>43328</v>
      </c>
      <c r="BO856" s="95">
        <v>0.27400000000000002</v>
      </c>
      <c r="BP856" s="96">
        <v>11.83</v>
      </c>
    </row>
    <row r="857" spans="60:68" ht="15">
      <c r="BH857" s="187">
        <v>43313</v>
      </c>
      <c r="BI857" s="180">
        <v>-0.26900000000000002</v>
      </c>
      <c r="BJ857" s="191">
        <v>43313</v>
      </c>
      <c r="BK857" s="192">
        <v>0.25700000000000001</v>
      </c>
      <c r="BN857" s="94">
        <v>43329</v>
      </c>
      <c r="BO857" s="95">
        <v>0.27400000000000002</v>
      </c>
      <c r="BP857" s="96">
        <v>11.83</v>
      </c>
    </row>
    <row r="858" spans="60:68" ht="15">
      <c r="BH858" s="187">
        <v>43314</v>
      </c>
      <c r="BI858" s="180">
        <v>-0.26900000000000002</v>
      </c>
      <c r="BJ858" s="191">
        <v>43314</v>
      </c>
      <c r="BK858" s="192">
        <v>0.26200000000000001</v>
      </c>
      <c r="BN858" s="94">
        <v>43332</v>
      </c>
      <c r="BO858" s="95">
        <v>0.27300000000000002</v>
      </c>
      <c r="BP858" s="96">
        <v>11.82</v>
      </c>
    </row>
    <row r="859" spans="60:68" ht="15">
      <c r="BH859" s="187">
        <v>43315</v>
      </c>
      <c r="BI859" s="180">
        <v>-0.26800000000000002</v>
      </c>
      <c r="BJ859" s="191">
        <v>43315</v>
      </c>
      <c r="BK859" s="192">
        <v>0.26500000000000001</v>
      </c>
      <c r="BN859" s="94">
        <v>43333</v>
      </c>
      <c r="BO859" s="95">
        <v>0.27</v>
      </c>
      <c r="BP859" s="96">
        <v>11.82</v>
      </c>
    </row>
    <row r="860" spans="60:68" ht="15">
      <c r="BH860" s="187">
        <v>43318</v>
      </c>
      <c r="BI860" s="180">
        <v>-0.26800000000000002</v>
      </c>
      <c r="BJ860" s="191">
        <v>43318</v>
      </c>
      <c r="BK860" s="192">
        <v>0.26800000000000002</v>
      </c>
      <c r="BN860" s="94">
        <v>43334</v>
      </c>
      <c r="BO860" s="95">
        <v>0.26900000000000002</v>
      </c>
      <c r="BP860" s="96">
        <v>11.81</v>
      </c>
    </row>
    <row r="861" spans="60:68" ht="15">
      <c r="BH861" s="187">
        <v>43319</v>
      </c>
      <c r="BI861" s="180">
        <v>-0.26800000000000002</v>
      </c>
      <c r="BJ861" s="191">
        <v>43319</v>
      </c>
      <c r="BK861" s="192">
        <v>0.26900000000000002</v>
      </c>
      <c r="BN861" s="94">
        <v>43335</v>
      </c>
      <c r="BO861" s="95">
        <v>0.26800000000000002</v>
      </c>
      <c r="BP861" s="96">
        <v>11.81</v>
      </c>
    </row>
    <row r="862" spans="60:68" ht="15">
      <c r="BH862" s="187">
        <v>43320</v>
      </c>
      <c r="BI862" s="180">
        <v>-0.26800000000000002</v>
      </c>
      <c r="BJ862" s="191">
        <v>43320</v>
      </c>
      <c r="BK862" s="192">
        <v>0.27200000000000002</v>
      </c>
      <c r="BN862" s="94">
        <v>43336</v>
      </c>
      <c r="BO862" s="95">
        <v>0.26700000000000002</v>
      </c>
      <c r="BP862" s="96">
        <v>11.81</v>
      </c>
    </row>
    <row r="863" spans="60:68" ht="15">
      <c r="BH863" s="187">
        <v>43321</v>
      </c>
      <c r="BI863" s="180">
        <v>-0.26600000000000001</v>
      </c>
      <c r="BJ863" s="191">
        <v>43321</v>
      </c>
      <c r="BK863" s="192">
        <v>0.27400000000000002</v>
      </c>
      <c r="BN863" s="94">
        <v>43339</v>
      </c>
      <c r="BO863" s="95">
        <v>0.26600000000000001</v>
      </c>
      <c r="BP863" s="96">
        <v>11.8</v>
      </c>
    </row>
    <row r="864" spans="60:68" ht="15">
      <c r="BH864" s="187">
        <v>43322</v>
      </c>
      <c r="BI864" s="180">
        <v>-0.26700000000000002</v>
      </c>
      <c r="BJ864" s="191">
        <v>43322</v>
      </c>
      <c r="BK864" s="192">
        <v>0.27500000000000002</v>
      </c>
      <c r="BN864" s="94">
        <v>43340</v>
      </c>
      <c r="BO864" s="95">
        <v>0.26600000000000001</v>
      </c>
      <c r="BP864" s="96">
        <v>11.8</v>
      </c>
    </row>
    <row r="865" spans="60:68" ht="15">
      <c r="BH865" s="187">
        <v>43325</v>
      </c>
      <c r="BI865" s="180">
        <v>-0.26600000000000001</v>
      </c>
      <c r="BJ865" s="191">
        <v>43325</v>
      </c>
      <c r="BK865" s="192">
        <v>0.27400000000000002</v>
      </c>
      <c r="BN865" s="94">
        <v>43341</v>
      </c>
      <c r="BO865" s="95">
        <v>0.26500000000000001</v>
      </c>
      <c r="BP865" s="96">
        <v>11.8</v>
      </c>
    </row>
    <row r="866" spans="60:68" ht="15">
      <c r="BH866" s="187">
        <v>43326</v>
      </c>
      <c r="BI866" s="180">
        <v>-0.26600000000000001</v>
      </c>
      <c r="BJ866" s="191">
        <v>43326</v>
      </c>
      <c r="BK866" s="192">
        <v>0.27400000000000002</v>
      </c>
      <c r="BN866" s="94">
        <v>43342</v>
      </c>
      <c r="BO866" s="95">
        <v>0.26300000000000001</v>
      </c>
      <c r="BP866" s="96">
        <v>11.79</v>
      </c>
    </row>
    <row r="867" spans="60:68" ht="15">
      <c r="BH867" s="187">
        <v>43327</v>
      </c>
      <c r="BI867" s="180">
        <v>-0.26600000000000001</v>
      </c>
      <c r="BJ867" s="191"/>
      <c r="BK867" s="193">
        <f>+BK866</f>
        <v>0.27400000000000002</v>
      </c>
      <c r="BN867" s="94">
        <v>43343</v>
      </c>
      <c r="BO867" s="95">
        <v>0.26</v>
      </c>
      <c r="BP867" s="96">
        <v>11.79</v>
      </c>
    </row>
    <row r="868" spans="60:68" ht="15">
      <c r="BH868" s="187">
        <v>43328</v>
      </c>
      <c r="BI868" s="180">
        <v>-0.26600000000000001</v>
      </c>
      <c r="BJ868" s="191">
        <v>43328</v>
      </c>
      <c r="BK868" s="192">
        <v>0.27400000000000002</v>
      </c>
      <c r="BN868" s="94">
        <v>43346</v>
      </c>
      <c r="BO868" s="95">
        <v>0.25800000000000001</v>
      </c>
      <c r="BP868" s="96">
        <v>11.78</v>
      </c>
    </row>
    <row r="869" spans="60:68" ht="15">
      <c r="BH869" s="187">
        <v>43329</v>
      </c>
      <c r="BI869" s="180">
        <v>-0.26600000000000001</v>
      </c>
      <c r="BJ869" s="191">
        <v>43329</v>
      </c>
      <c r="BK869" s="192">
        <v>0.27400000000000002</v>
      </c>
      <c r="BN869" s="94">
        <v>43347</v>
      </c>
      <c r="BO869" s="95">
        <v>0.25700000000000001</v>
      </c>
      <c r="BP869" s="96">
        <v>11.78</v>
      </c>
    </row>
    <row r="870" spans="60:68" ht="15">
      <c r="BH870" s="187">
        <v>43332</v>
      </c>
      <c r="BI870" s="180">
        <v>-0.26600000000000001</v>
      </c>
      <c r="BJ870" s="191">
        <v>43332</v>
      </c>
      <c r="BK870" s="192">
        <v>0.27300000000000002</v>
      </c>
      <c r="BN870" s="94">
        <v>43348</v>
      </c>
      <c r="BO870" s="95">
        <v>0.25700000000000001</v>
      </c>
      <c r="BP870" s="96">
        <v>11.78</v>
      </c>
    </row>
    <row r="871" spans="60:68" ht="15">
      <c r="BH871" s="187">
        <v>43333</v>
      </c>
      <c r="BI871" s="180">
        <v>-0.26600000000000001</v>
      </c>
      <c r="BJ871" s="191">
        <v>43333</v>
      </c>
      <c r="BK871" s="192">
        <v>0.27</v>
      </c>
      <c r="BN871" s="94">
        <v>43349</v>
      </c>
      <c r="BO871" s="95">
        <v>0.255</v>
      </c>
      <c r="BP871" s="96">
        <v>11.74</v>
      </c>
    </row>
    <row r="872" spans="60:68" ht="15">
      <c r="BH872" s="187">
        <v>43334</v>
      </c>
      <c r="BI872" s="180">
        <v>-0.26600000000000001</v>
      </c>
      <c r="BJ872" s="191">
        <v>43334</v>
      </c>
      <c r="BK872" s="192">
        <v>0.26900000000000002</v>
      </c>
      <c r="BN872" s="94">
        <v>43350</v>
      </c>
      <c r="BO872" s="95">
        <v>0.25600000000000001</v>
      </c>
      <c r="BP872" s="96">
        <v>11.74</v>
      </c>
    </row>
    <row r="873" spans="60:68" ht="15">
      <c r="BH873" s="187">
        <v>43335</v>
      </c>
      <c r="BI873" s="180">
        <v>-0.26600000000000001</v>
      </c>
      <c r="BJ873" s="191">
        <v>43335</v>
      </c>
      <c r="BK873" s="192">
        <v>0.26800000000000002</v>
      </c>
      <c r="BN873" s="94">
        <v>43353</v>
      </c>
      <c r="BO873" s="95">
        <v>0.25900000000000001</v>
      </c>
      <c r="BP873" s="96">
        <v>11.73</v>
      </c>
    </row>
    <row r="874" spans="60:68" ht="15">
      <c r="BH874" s="187">
        <v>43336</v>
      </c>
      <c r="BI874" s="180">
        <v>-0.26600000000000001</v>
      </c>
      <c r="BJ874" s="191">
        <v>43336</v>
      </c>
      <c r="BK874" s="192">
        <v>0.26700000000000002</v>
      </c>
      <c r="BN874" s="94">
        <v>43354</v>
      </c>
      <c r="BO874" s="95">
        <v>0.26400000000000001</v>
      </c>
      <c r="BP874" s="96">
        <v>11.72</v>
      </c>
    </row>
    <row r="875" spans="60:68" ht="15">
      <c r="BH875" s="187">
        <v>43339</v>
      </c>
      <c r="BI875" s="180">
        <v>-0.26500000000000001</v>
      </c>
      <c r="BJ875" s="191">
        <v>43339</v>
      </c>
      <c r="BK875" s="192">
        <v>0.26600000000000001</v>
      </c>
      <c r="BN875" s="94">
        <v>43355</v>
      </c>
      <c r="BO875" s="95">
        <v>0.26800000000000002</v>
      </c>
      <c r="BP875" s="96">
        <v>11.72</v>
      </c>
    </row>
    <row r="876" spans="60:68" ht="15">
      <c r="BH876" s="187">
        <v>43340</v>
      </c>
      <c r="BI876" s="180">
        <v>-0.26600000000000001</v>
      </c>
      <c r="BJ876" s="191">
        <v>43340</v>
      </c>
      <c r="BK876" s="192">
        <v>0.26600000000000001</v>
      </c>
      <c r="BN876" s="94">
        <v>43356</v>
      </c>
      <c r="BO876" s="95">
        <v>0.27200000000000002</v>
      </c>
      <c r="BP876" s="96">
        <v>11.72</v>
      </c>
    </row>
    <row r="877" spans="60:68" ht="15">
      <c r="BH877" s="187">
        <v>43341</v>
      </c>
      <c r="BI877" s="180">
        <v>-0.26600000000000001</v>
      </c>
      <c r="BJ877" s="191">
        <v>43341</v>
      </c>
      <c r="BK877" s="192">
        <v>0.26500000000000001</v>
      </c>
      <c r="BN877" s="94">
        <v>43357</v>
      </c>
      <c r="BO877" s="95">
        <v>0.27700000000000002</v>
      </c>
      <c r="BP877" s="96">
        <v>11.72</v>
      </c>
    </row>
    <row r="878" spans="60:68" ht="15">
      <c r="BH878" s="187">
        <v>43342</v>
      </c>
      <c r="BI878" s="180">
        <v>-0.26800000000000002</v>
      </c>
      <c r="BJ878" s="191">
        <v>43342</v>
      </c>
      <c r="BK878" s="192">
        <v>0.26300000000000001</v>
      </c>
      <c r="BN878" s="94">
        <v>43360</v>
      </c>
      <c r="BO878" s="95">
        <v>0.28299999999999997</v>
      </c>
      <c r="BP878" s="96">
        <v>11.71</v>
      </c>
    </row>
    <row r="879" spans="60:68" ht="15">
      <c r="BH879" s="187">
        <v>43343</v>
      </c>
      <c r="BI879" s="180">
        <v>-0.26800000000000002</v>
      </c>
      <c r="BJ879" s="191">
        <v>43343</v>
      </c>
      <c r="BK879" s="192">
        <v>0.26</v>
      </c>
      <c r="BN879" s="94">
        <v>43361</v>
      </c>
      <c r="BO879" s="95">
        <v>0.28899999999999998</v>
      </c>
      <c r="BP879" s="96">
        <v>11.71</v>
      </c>
    </row>
    <row r="880" spans="60:68" ht="15">
      <c r="BH880" s="187">
        <v>43346</v>
      </c>
      <c r="BI880" s="180">
        <v>-0.26800000000000002</v>
      </c>
      <c r="BJ880" s="191">
        <v>43346</v>
      </c>
      <c r="BK880" s="192">
        <v>0.25800000000000001</v>
      </c>
      <c r="BN880" s="94">
        <v>43362</v>
      </c>
      <c r="BO880" s="95">
        <v>0.29399999999999998</v>
      </c>
      <c r="BP880" s="96">
        <v>11.7</v>
      </c>
    </row>
    <row r="881" spans="60:68" ht="15">
      <c r="BH881" s="187">
        <v>43347</v>
      </c>
      <c r="BI881" s="180">
        <v>-0.26900000000000002</v>
      </c>
      <c r="BJ881" s="191">
        <v>43347</v>
      </c>
      <c r="BK881" s="192">
        <v>0.25700000000000001</v>
      </c>
      <c r="BN881" s="94">
        <v>43363</v>
      </c>
      <c r="BO881" s="95">
        <v>0.29899999999999999</v>
      </c>
      <c r="BP881" s="96">
        <v>11.7</v>
      </c>
    </row>
    <row r="882" spans="60:68" ht="15">
      <c r="BH882" s="187">
        <v>43348</v>
      </c>
      <c r="BI882" s="180">
        <v>-0.26900000000000002</v>
      </c>
      <c r="BJ882" s="191">
        <v>43348</v>
      </c>
      <c r="BK882" s="192">
        <v>0.25700000000000001</v>
      </c>
      <c r="BN882" s="94">
        <v>43364</v>
      </c>
      <c r="BO882" s="95">
        <v>0.30399999999999999</v>
      </c>
      <c r="BP882" s="96">
        <v>11.7</v>
      </c>
    </row>
    <row r="883" spans="60:68" ht="15">
      <c r="BH883" s="187">
        <v>43349</v>
      </c>
      <c r="BI883" s="180">
        <v>-0.26900000000000002</v>
      </c>
      <c r="BJ883" s="191">
        <v>43349</v>
      </c>
      <c r="BK883" s="192">
        <v>0.255</v>
      </c>
      <c r="BN883" s="94">
        <v>43367</v>
      </c>
      <c r="BO883" s="95">
        <v>0.308</v>
      </c>
      <c r="BP883" s="96">
        <v>11.69</v>
      </c>
    </row>
    <row r="884" spans="60:68" ht="15">
      <c r="BH884" s="187">
        <v>43350</v>
      </c>
      <c r="BI884" s="180">
        <v>-0.26900000000000002</v>
      </c>
      <c r="BJ884" s="191">
        <v>43350</v>
      </c>
      <c r="BK884" s="192">
        <v>0.25600000000000001</v>
      </c>
      <c r="BN884" s="94">
        <v>43368</v>
      </c>
      <c r="BO884" s="95">
        <v>0.314</v>
      </c>
      <c r="BP884" s="96">
        <v>11.69</v>
      </c>
    </row>
    <row r="885" spans="60:68" ht="15">
      <c r="BH885" s="187">
        <v>43353</v>
      </c>
      <c r="BI885" s="180">
        <v>-0.26900000000000002</v>
      </c>
      <c r="BJ885" s="191">
        <v>43353</v>
      </c>
      <c r="BK885" s="192">
        <v>0.25900000000000001</v>
      </c>
      <c r="BN885" s="94">
        <v>43369</v>
      </c>
      <c r="BO885" s="95">
        <v>0.31900000000000001</v>
      </c>
      <c r="BP885" s="96">
        <v>11.68</v>
      </c>
    </row>
    <row r="886" spans="60:68" ht="15">
      <c r="BH886" s="187">
        <v>43354</v>
      </c>
      <c r="BI886" s="180">
        <v>-0.26900000000000002</v>
      </c>
      <c r="BJ886" s="191">
        <v>43354</v>
      </c>
      <c r="BK886" s="192">
        <v>0.26400000000000001</v>
      </c>
      <c r="BN886" s="94">
        <v>43370</v>
      </c>
      <c r="BO886" s="95">
        <v>0.32400000000000001</v>
      </c>
      <c r="BP886" s="96">
        <v>11.68</v>
      </c>
    </row>
    <row r="887" spans="60:68" ht="15">
      <c r="BH887" s="187">
        <v>43355</v>
      </c>
      <c r="BI887" s="180">
        <v>-0.26900000000000002</v>
      </c>
      <c r="BJ887" s="191">
        <v>43355</v>
      </c>
      <c r="BK887" s="192">
        <v>0.26800000000000002</v>
      </c>
      <c r="BN887" s="94">
        <v>43371</v>
      </c>
      <c r="BO887" s="95">
        <v>0.32900000000000001</v>
      </c>
      <c r="BP887" s="96">
        <v>11.68</v>
      </c>
    </row>
    <row r="888" spans="60:68" ht="15">
      <c r="BH888" s="187">
        <v>43356</v>
      </c>
      <c r="BI888" s="180">
        <v>-0.26900000000000002</v>
      </c>
      <c r="BJ888" s="191">
        <v>43356</v>
      </c>
      <c r="BK888" s="192">
        <v>0.27200000000000002</v>
      </c>
      <c r="BN888" s="94">
        <v>43374</v>
      </c>
      <c r="BO888" s="95">
        <v>0.33500000000000002</v>
      </c>
      <c r="BP888" s="96">
        <v>11.67</v>
      </c>
    </row>
    <row r="889" spans="60:68" ht="15">
      <c r="BH889" s="187">
        <v>43357</v>
      </c>
      <c r="BI889" s="180">
        <v>-0.26900000000000002</v>
      </c>
      <c r="BJ889" s="191">
        <v>43357</v>
      </c>
      <c r="BK889" s="192">
        <v>0.27700000000000002</v>
      </c>
      <c r="BN889" s="94">
        <v>43375</v>
      </c>
      <c r="BO889" s="95">
        <v>0.33800000000000002</v>
      </c>
      <c r="BP889" s="96">
        <v>11.67</v>
      </c>
    </row>
    <row r="890" spans="60:68" ht="15">
      <c r="BH890" s="187">
        <v>43360</v>
      </c>
      <c r="BI890" s="180">
        <v>-0.26800000000000002</v>
      </c>
      <c r="BJ890" s="191">
        <v>43360</v>
      </c>
      <c r="BK890" s="192">
        <v>0.28299999999999997</v>
      </c>
      <c r="BN890" s="94">
        <v>43376</v>
      </c>
      <c r="BO890" s="95">
        <v>0.34100000000000003</v>
      </c>
      <c r="BP890" s="96">
        <v>11.66</v>
      </c>
    </row>
    <row r="891" spans="60:68" ht="15">
      <c r="BH891" s="187">
        <v>43361</v>
      </c>
      <c r="BI891" s="180">
        <v>-0.26800000000000002</v>
      </c>
      <c r="BJ891" s="191">
        <v>43361</v>
      </c>
      <c r="BK891" s="192">
        <v>0.28899999999999998</v>
      </c>
      <c r="BN891" s="94">
        <v>43377</v>
      </c>
      <c r="BO891" s="95">
        <v>0.34599999999999997</v>
      </c>
      <c r="BP891" s="96">
        <v>11.63</v>
      </c>
    </row>
    <row r="892" spans="60:68" ht="15">
      <c r="BH892" s="187">
        <v>43362</v>
      </c>
      <c r="BI892" s="180">
        <v>-0.26700000000000002</v>
      </c>
      <c r="BJ892" s="191">
        <v>43362</v>
      </c>
      <c r="BK892" s="192">
        <v>0.29399999999999998</v>
      </c>
      <c r="BN892" s="94">
        <v>43378</v>
      </c>
      <c r="BO892" s="95">
        <v>0.35199999999999998</v>
      </c>
      <c r="BP892" s="96">
        <v>11.63</v>
      </c>
    </row>
    <row r="893" spans="60:68" ht="15">
      <c r="BH893" s="187">
        <v>43363</v>
      </c>
      <c r="BI893" s="180">
        <v>-0.26800000000000002</v>
      </c>
      <c r="BJ893" s="191">
        <v>43363</v>
      </c>
      <c r="BK893" s="192">
        <v>0.29899999999999999</v>
      </c>
      <c r="BN893" s="94">
        <v>43381</v>
      </c>
      <c r="BO893" s="95">
        <v>0.35699999999999998</v>
      </c>
      <c r="BP893" s="96">
        <v>11.62</v>
      </c>
    </row>
    <row r="894" spans="60:68" ht="15">
      <c r="BH894" s="187">
        <v>43364</v>
      </c>
      <c r="BI894" s="180">
        <v>-0.26800000000000002</v>
      </c>
      <c r="BJ894" s="191">
        <v>43364</v>
      </c>
      <c r="BK894" s="192">
        <v>0.30399999999999999</v>
      </c>
      <c r="BN894" s="94">
        <v>43382</v>
      </c>
      <c r="BO894" s="95">
        <v>0.36099999999999999</v>
      </c>
      <c r="BP894" s="96">
        <v>11.62</v>
      </c>
    </row>
    <row r="895" spans="60:68" ht="15">
      <c r="BH895" s="187">
        <v>43367</v>
      </c>
      <c r="BI895" s="180">
        <v>-0.26700000000000002</v>
      </c>
      <c r="BJ895" s="191">
        <v>43367</v>
      </c>
      <c r="BK895" s="192">
        <v>0.308</v>
      </c>
      <c r="BN895" s="94">
        <v>43383</v>
      </c>
      <c r="BO895" s="95">
        <v>0.36599999999999999</v>
      </c>
      <c r="BP895" s="96">
        <v>11.62</v>
      </c>
    </row>
    <row r="896" spans="60:68" ht="15">
      <c r="BH896" s="187">
        <v>43368</v>
      </c>
      <c r="BI896" s="180">
        <v>-0.26700000000000002</v>
      </c>
      <c r="BJ896" s="191">
        <v>43368</v>
      </c>
      <c r="BK896" s="192">
        <v>0.314</v>
      </c>
      <c r="BN896" s="94">
        <v>43384</v>
      </c>
      <c r="BO896" s="95">
        <v>0.36899999999999999</v>
      </c>
      <c r="BP896" s="96">
        <v>11.61</v>
      </c>
    </row>
    <row r="897" spans="60:68" ht="15">
      <c r="BH897" s="187">
        <v>43369</v>
      </c>
      <c r="BI897" s="180">
        <v>-0.26700000000000002</v>
      </c>
      <c r="BJ897" s="191">
        <v>43369</v>
      </c>
      <c r="BK897" s="192">
        <v>0.31900000000000001</v>
      </c>
      <c r="BN897" s="94">
        <v>43385</v>
      </c>
      <c r="BO897" s="95">
        <v>0.372</v>
      </c>
      <c r="BP897" s="96">
        <v>11.61</v>
      </c>
    </row>
    <row r="898" spans="60:68" ht="15">
      <c r="BH898" s="187">
        <v>43370</v>
      </c>
      <c r="BI898" s="180">
        <v>-0.26800000000000002</v>
      </c>
      <c r="BJ898" s="191">
        <v>43370</v>
      </c>
      <c r="BK898" s="192">
        <v>0.32400000000000001</v>
      </c>
      <c r="BN898" s="94">
        <v>43388</v>
      </c>
      <c r="BO898" s="95">
        <v>0.373</v>
      </c>
      <c r="BP898" s="96">
        <v>11.6</v>
      </c>
    </row>
    <row r="899" spans="60:68" ht="15">
      <c r="BH899" s="187">
        <v>43371</v>
      </c>
      <c r="BI899" s="180">
        <v>-0.26800000000000002</v>
      </c>
      <c r="BJ899" s="191">
        <v>43371</v>
      </c>
      <c r="BK899" s="192">
        <v>0.32900000000000001</v>
      </c>
      <c r="BN899" s="94">
        <v>43389</v>
      </c>
      <c r="BO899" s="95">
        <v>0.374</v>
      </c>
      <c r="BP899" s="96">
        <v>11.6</v>
      </c>
    </row>
    <row r="900" spans="60:68" ht="15">
      <c r="BH900" s="187">
        <v>43374</v>
      </c>
      <c r="BI900" s="180">
        <v>-0.26800000000000002</v>
      </c>
      <c r="BJ900" s="191">
        <v>43374</v>
      </c>
      <c r="BK900" s="192">
        <v>0.33500000000000002</v>
      </c>
      <c r="BN900" s="94">
        <v>43390</v>
      </c>
      <c r="BO900" s="95">
        <v>0.372</v>
      </c>
      <c r="BP900" s="96">
        <v>11.6</v>
      </c>
    </row>
    <row r="901" spans="60:68" ht="15">
      <c r="BH901" s="187">
        <v>43375</v>
      </c>
      <c r="BI901" s="180">
        <v>-0.26800000000000002</v>
      </c>
      <c r="BJ901" s="191">
        <v>43375</v>
      </c>
      <c r="BK901" s="192">
        <v>0.33800000000000002</v>
      </c>
      <c r="BN901" s="94">
        <v>43391</v>
      </c>
      <c r="BO901" s="95">
        <v>0.40500000000000003</v>
      </c>
      <c r="BP901" s="96">
        <v>12</v>
      </c>
    </row>
    <row r="902" spans="60:68" ht="15">
      <c r="BH902" s="187">
        <v>43376</v>
      </c>
      <c r="BI902" s="180">
        <v>-0.26700000000000002</v>
      </c>
      <c r="BJ902" s="191">
        <v>43376</v>
      </c>
      <c r="BK902" s="192">
        <v>0.34100000000000003</v>
      </c>
      <c r="BN902" s="94">
        <v>43392</v>
      </c>
      <c r="BO902" s="95">
        <v>0.40300000000000002</v>
      </c>
      <c r="BP902" s="96">
        <v>12</v>
      </c>
    </row>
    <row r="903" spans="60:68" ht="15">
      <c r="BH903" s="187">
        <v>43377</v>
      </c>
      <c r="BI903" s="180">
        <v>-0.26800000000000002</v>
      </c>
      <c r="BJ903" s="191">
        <v>43377</v>
      </c>
      <c r="BK903" s="192">
        <v>0.34599999999999997</v>
      </c>
      <c r="BN903" s="94">
        <v>43395</v>
      </c>
      <c r="BO903" s="95">
        <v>0.40200000000000002</v>
      </c>
      <c r="BP903" s="96">
        <v>11.99</v>
      </c>
    </row>
    <row r="904" spans="60:68" ht="15">
      <c r="BH904" s="187">
        <v>43378</v>
      </c>
      <c r="BI904" s="180">
        <v>-0.26700000000000002</v>
      </c>
      <c r="BJ904" s="191">
        <v>43378</v>
      </c>
      <c r="BK904" s="192">
        <v>0.35199999999999998</v>
      </c>
      <c r="BN904" s="94">
        <v>43396</v>
      </c>
      <c r="BO904" s="95">
        <v>0.39700000000000002</v>
      </c>
      <c r="BP904" s="96">
        <v>11.99</v>
      </c>
    </row>
    <row r="905" spans="60:68" ht="15">
      <c r="BH905" s="187">
        <v>43381</v>
      </c>
      <c r="BI905" s="180">
        <v>-0.26700000000000002</v>
      </c>
      <c r="BJ905" s="191">
        <v>43381</v>
      </c>
      <c r="BK905" s="192">
        <v>0.35699999999999998</v>
      </c>
      <c r="BN905" s="94">
        <v>43397</v>
      </c>
      <c r="BO905" s="95">
        <v>0.39200000000000002</v>
      </c>
      <c r="BP905" s="96">
        <v>11.98</v>
      </c>
    </row>
    <row r="906" spans="60:68" ht="15">
      <c r="BH906" s="187">
        <v>43382</v>
      </c>
      <c r="BI906" s="180">
        <v>-0.26800000000000002</v>
      </c>
      <c r="BJ906" s="191">
        <v>43382</v>
      </c>
      <c r="BK906" s="192">
        <v>0.36099999999999999</v>
      </c>
      <c r="BN906" s="94">
        <v>43398</v>
      </c>
      <c r="BO906" s="95">
        <v>0.38700000000000001</v>
      </c>
      <c r="BP906" s="96">
        <v>11.98</v>
      </c>
    </row>
    <row r="907" spans="60:68" ht="15">
      <c r="BH907" s="187">
        <v>43383</v>
      </c>
      <c r="BI907" s="180">
        <v>-0.26800000000000002</v>
      </c>
      <c r="BJ907" s="191">
        <v>43383</v>
      </c>
      <c r="BK907" s="192">
        <v>0.36599999999999999</v>
      </c>
      <c r="BN907" s="94">
        <v>43402</v>
      </c>
      <c r="BO907" s="95">
        <v>0.38300000000000001</v>
      </c>
      <c r="BP907" s="96">
        <v>11.97</v>
      </c>
    </row>
    <row r="908" spans="60:68" ht="15">
      <c r="BH908" s="187">
        <v>43384</v>
      </c>
      <c r="BI908" s="180">
        <v>-0.26700000000000002</v>
      </c>
      <c r="BJ908" s="191">
        <v>43384</v>
      </c>
      <c r="BK908" s="192">
        <v>0.36899999999999999</v>
      </c>
      <c r="BN908" s="94">
        <v>43403</v>
      </c>
      <c r="BO908" s="95">
        <v>0.378</v>
      </c>
      <c r="BP908" s="96">
        <v>11.97</v>
      </c>
    </row>
    <row r="909" spans="60:68" ht="15">
      <c r="BH909" s="187">
        <v>43385</v>
      </c>
      <c r="BI909" s="180">
        <v>-0.26700000000000002</v>
      </c>
      <c r="BJ909" s="191">
        <v>43385</v>
      </c>
      <c r="BK909" s="192">
        <v>0.372</v>
      </c>
      <c r="BN909" s="94">
        <v>43404</v>
      </c>
      <c r="BO909" s="95">
        <v>0.375</v>
      </c>
      <c r="BP909" s="96">
        <v>11.96</v>
      </c>
    </row>
    <row r="910" spans="60:68" ht="15">
      <c r="BH910" s="187">
        <v>43388</v>
      </c>
      <c r="BI910" s="180">
        <v>-0.26600000000000001</v>
      </c>
      <c r="BJ910" s="191">
        <v>43388</v>
      </c>
      <c r="BK910" s="192">
        <v>0.373</v>
      </c>
      <c r="BN910" s="94">
        <v>43406</v>
      </c>
      <c r="BO910" s="95">
        <v>0.373</v>
      </c>
      <c r="BP910" s="96">
        <v>11.96</v>
      </c>
    </row>
    <row r="911" spans="60:68" ht="15">
      <c r="BH911" s="187">
        <v>43389</v>
      </c>
      <c r="BI911" s="180">
        <v>-0.26500000000000001</v>
      </c>
      <c r="BJ911" s="191">
        <v>43389</v>
      </c>
      <c r="BK911" s="192">
        <v>0.374</v>
      </c>
      <c r="BN911" s="94">
        <v>43409</v>
      </c>
      <c r="BO911" s="95">
        <v>0.36899999999999999</v>
      </c>
      <c r="BP911" s="96">
        <v>11.95</v>
      </c>
    </row>
    <row r="912" spans="60:68" ht="15">
      <c r="BH912" s="187">
        <v>43390</v>
      </c>
      <c r="BI912" s="180">
        <v>-0.26600000000000001</v>
      </c>
      <c r="BJ912" s="191">
        <v>43390</v>
      </c>
      <c r="BK912" s="192">
        <v>0.372</v>
      </c>
      <c r="BN912" s="94">
        <v>43410</v>
      </c>
      <c r="BO912" s="95">
        <v>0.36299999999999999</v>
      </c>
      <c r="BP912" s="96">
        <v>11.95</v>
      </c>
    </row>
    <row r="913" spans="60:68" ht="15">
      <c r="BH913" s="187">
        <v>43391</v>
      </c>
      <c r="BI913" s="180">
        <v>-0.26500000000000001</v>
      </c>
      <c r="BJ913" s="191">
        <v>43391</v>
      </c>
      <c r="BK913" s="192">
        <v>0.40500000000000003</v>
      </c>
      <c r="BN913" s="94">
        <v>43411</v>
      </c>
      <c r="BO913" s="95">
        <v>0.35899999999999999</v>
      </c>
      <c r="BP913" s="96">
        <v>11.95</v>
      </c>
    </row>
    <row r="914" spans="60:68" ht="15">
      <c r="BH914" s="187">
        <v>43392</v>
      </c>
      <c r="BI914" s="180">
        <v>-0.26200000000000001</v>
      </c>
      <c r="BJ914" s="191">
        <v>43392</v>
      </c>
      <c r="BK914" s="192">
        <v>0.40300000000000002</v>
      </c>
      <c r="BN914" s="94">
        <v>43412</v>
      </c>
      <c r="BO914" s="95">
        <v>0.35499999999999998</v>
      </c>
      <c r="BP914" s="96">
        <v>11.94</v>
      </c>
    </row>
    <row r="915" spans="60:68" ht="15">
      <c r="BH915" s="187">
        <v>43395</v>
      </c>
      <c r="BI915" s="180">
        <v>-0.26100000000000001</v>
      </c>
      <c r="BJ915" s="191">
        <v>43395</v>
      </c>
      <c r="BK915" s="192">
        <v>0.40200000000000002</v>
      </c>
      <c r="BN915" s="94">
        <v>43413</v>
      </c>
      <c r="BO915" s="95">
        <v>0.34899999999999998</v>
      </c>
      <c r="BP915" s="96">
        <v>11.94</v>
      </c>
    </row>
    <row r="916" spans="60:68" ht="15">
      <c r="BH916" s="187">
        <v>43396</v>
      </c>
      <c r="BI916" s="180">
        <v>-0.25900000000000001</v>
      </c>
      <c r="BJ916" s="191">
        <v>43396</v>
      </c>
      <c r="BK916" s="192">
        <v>0.39700000000000002</v>
      </c>
      <c r="BN916" s="94">
        <v>43416</v>
      </c>
      <c r="BO916" s="95">
        <v>0.34399999999999997</v>
      </c>
      <c r="BP916" s="96">
        <v>11.93</v>
      </c>
    </row>
    <row r="917" spans="60:68" ht="15">
      <c r="BH917" s="187">
        <v>43397</v>
      </c>
      <c r="BI917" s="180">
        <v>-0.25900000000000001</v>
      </c>
      <c r="BJ917" s="191">
        <v>43397</v>
      </c>
      <c r="BK917" s="192">
        <v>0.39200000000000002</v>
      </c>
      <c r="BN917" s="94">
        <v>43417</v>
      </c>
      <c r="BO917" s="95">
        <v>0.34</v>
      </c>
      <c r="BP917" s="96">
        <v>11.93</v>
      </c>
    </row>
    <row r="918" spans="60:68" ht="15">
      <c r="BH918" s="187">
        <v>43398</v>
      </c>
      <c r="BI918" s="180">
        <v>-0.25900000000000001</v>
      </c>
      <c r="BJ918" s="191">
        <v>43398</v>
      </c>
      <c r="BK918" s="192">
        <v>0.38700000000000001</v>
      </c>
      <c r="BN918" s="94">
        <v>43418</v>
      </c>
      <c r="BO918" s="95">
        <v>0.33700000000000002</v>
      </c>
      <c r="BP918" s="96">
        <v>11.93</v>
      </c>
    </row>
    <row r="919" spans="60:68" ht="15">
      <c r="BH919" s="187">
        <v>43399</v>
      </c>
      <c r="BI919" s="180">
        <v>-0.25900000000000001</v>
      </c>
      <c r="BJ919" s="191"/>
      <c r="BK919" s="193">
        <f>+BK918</f>
        <v>0.38700000000000001</v>
      </c>
      <c r="BN919" s="94">
        <v>43419</v>
      </c>
      <c r="BO919" s="95">
        <v>0.33300000000000002</v>
      </c>
      <c r="BP919" s="96">
        <v>11.92</v>
      </c>
    </row>
    <row r="920" spans="60:68" ht="15">
      <c r="BH920" s="187">
        <v>43402</v>
      </c>
      <c r="BI920" s="180">
        <v>-0.25900000000000001</v>
      </c>
      <c r="BJ920" s="191">
        <v>43402</v>
      </c>
      <c r="BK920" s="192">
        <v>0.38300000000000001</v>
      </c>
      <c r="BN920" s="94">
        <v>43420</v>
      </c>
      <c r="BO920" s="95">
        <v>0.33</v>
      </c>
      <c r="BP920" s="96">
        <v>11.92</v>
      </c>
    </row>
    <row r="921" spans="60:68" ht="15">
      <c r="BH921" s="187">
        <v>43403</v>
      </c>
      <c r="BI921" s="180">
        <v>-0.25900000000000001</v>
      </c>
      <c r="BJ921" s="191">
        <v>43403</v>
      </c>
      <c r="BK921" s="192">
        <v>0.378</v>
      </c>
      <c r="BN921" s="94">
        <v>43423</v>
      </c>
      <c r="BO921" s="95">
        <v>0.32800000000000001</v>
      </c>
      <c r="BP921" s="96">
        <v>11.91</v>
      </c>
    </row>
    <row r="922" spans="60:68" ht="15">
      <c r="BH922" s="187">
        <v>43404</v>
      </c>
      <c r="BI922" s="180">
        <v>-0.25900000000000001</v>
      </c>
      <c r="BJ922" s="191">
        <v>43404</v>
      </c>
      <c r="BK922" s="192">
        <v>0.375</v>
      </c>
      <c r="BN922" s="94">
        <v>43424</v>
      </c>
      <c r="BO922" s="95">
        <v>0.32700000000000001</v>
      </c>
      <c r="BP922" s="96">
        <v>11.91</v>
      </c>
    </row>
    <row r="923" spans="60:68" ht="15">
      <c r="BH923" s="187">
        <v>43405</v>
      </c>
      <c r="BI923" s="180">
        <v>-0.25800000000000001</v>
      </c>
      <c r="BJ923" s="191"/>
      <c r="BK923" s="193">
        <f>+BK922</f>
        <v>0.375</v>
      </c>
      <c r="BL923" s="111">
        <f>+(BI923+BK923)/2+0.37</f>
        <v>0.42849999999999999</v>
      </c>
      <c r="BN923" s="94">
        <v>43425</v>
      </c>
      <c r="BO923" s="95">
        <v>0.32400000000000001</v>
      </c>
      <c r="BP923" s="96">
        <v>11.91</v>
      </c>
    </row>
    <row r="924" spans="60:68" ht="15">
      <c r="BH924" s="187">
        <v>43406</v>
      </c>
      <c r="BI924" s="180">
        <v>-0.25800000000000001</v>
      </c>
      <c r="BJ924" s="191">
        <v>43406</v>
      </c>
      <c r="BK924" s="192">
        <v>0.373</v>
      </c>
      <c r="BN924" s="94">
        <v>43426</v>
      </c>
      <c r="BO924" s="95">
        <v>0.32600000000000001</v>
      </c>
      <c r="BP924" s="96">
        <v>12.04</v>
      </c>
    </row>
    <row r="925" spans="60:68" ht="15">
      <c r="BH925" s="187">
        <v>43409</v>
      </c>
      <c r="BI925" s="180">
        <v>-0.25700000000000001</v>
      </c>
      <c r="BJ925" s="191">
        <v>43409</v>
      </c>
      <c r="BK925" s="192">
        <v>0.36899999999999999</v>
      </c>
      <c r="BN925" s="94">
        <v>43427</v>
      </c>
      <c r="BO925" s="95">
        <v>0.32500000000000001</v>
      </c>
      <c r="BP925" s="96">
        <v>12.04</v>
      </c>
    </row>
    <row r="926" spans="60:68" ht="15">
      <c r="BH926" s="187">
        <v>43410</v>
      </c>
      <c r="BI926" s="180">
        <v>-0.25800000000000001</v>
      </c>
      <c r="BJ926" s="191">
        <v>43410</v>
      </c>
      <c r="BK926" s="192">
        <v>0.36299999999999999</v>
      </c>
      <c r="BN926" s="94">
        <v>43430</v>
      </c>
      <c r="BO926" s="95">
        <v>0.32500000000000001</v>
      </c>
      <c r="BP926" s="96">
        <v>12.03</v>
      </c>
    </row>
    <row r="927" spans="60:68" ht="15">
      <c r="BH927" s="187">
        <v>43411</v>
      </c>
      <c r="BI927" s="180">
        <v>-0.25800000000000001</v>
      </c>
      <c r="BJ927" s="191">
        <v>43411</v>
      </c>
      <c r="BK927" s="192">
        <v>0.35899999999999999</v>
      </c>
      <c r="BN927" s="94">
        <v>43431</v>
      </c>
      <c r="BO927" s="95">
        <v>0.32500000000000001</v>
      </c>
      <c r="BP927" s="96">
        <v>12.03</v>
      </c>
    </row>
    <row r="928" spans="60:68" ht="15">
      <c r="BH928" s="187">
        <v>43412</v>
      </c>
      <c r="BI928" s="180">
        <v>-0.25700000000000001</v>
      </c>
      <c r="BJ928" s="191">
        <v>43412</v>
      </c>
      <c r="BK928" s="192">
        <v>0.35499999999999998</v>
      </c>
      <c r="BN928" s="94">
        <v>43432</v>
      </c>
      <c r="BO928" s="95">
        <v>0.32600000000000001</v>
      </c>
      <c r="BP928" s="96">
        <v>12.03</v>
      </c>
    </row>
    <row r="929" spans="60:68" ht="15">
      <c r="BH929" s="187">
        <v>43413</v>
      </c>
      <c r="BI929" s="180">
        <v>-0.25700000000000001</v>
      </c>
      <c r="BJ929" s="191">
        <v>43413</v>
      </c>
      <c r="BK929" s="192">
        <v>0.34899999999999998</v>
      </c>
      <c r="BN929" s="94">
        <v>43433</v>
      </c>
      <c r="BO929" s="95">
        <v>0.32500000000000001</v>
      </c>
      <c r="BP929" s="96">
        <v>12.02</v>
      </c>
    </row>
    <row r="930" spans="60:68" ht="15">
      <c r="BH930" s="187">
        <v>43416</v>
      </c>
      <c r="BI930" s="180">
        <v>-0.25700000000000001</v>
      </c>
      <c r="BJ930" s="191">
        <v>43416</v>
      </c>
      <c r="BK930" s="192">
        <v>0.34399999999999997</v>
      </c>
      <c r="BN930" s="94">
        <v>43434</v>
      </c>
      <c r="BO930" s="95">
        <v>0.32200000000000001</v>
      </c>
      <c r="BP930" s="96">
        <v>12.02</v>
      </c>
    </row>
    <row r="931" spans="60:68" ht="15">
      <c r="BH931" s="187">
        <v>43417</v>
      </c>
      <c r="BI931" s="180">
        <v>-0.25700000000000001</v>
      </c>
      <c r="BJ931" s="191">
        <v>43417</v>
      </c>
      <c r="BK931" s="192">
        <v>0.34</v>
      </c>
      <c r="BN931" s="94">
        <v>43437</v>
      </c>
      <c r="BO931" s="95">
        <v>0.32</v>
      </c>
      <c r="BP931" s="96">
        <v>12.01</v>
      </c>
    </row>
    <row r="932" spans="60:68" ht="15">
      <c r="BH932" s="187">
        <v>43418</v>
      </c>
      <c r="BI932" s="180">
        <v>-0.25700000000000001</v>
      </c>
      <c r="BJ932" s="191">
        <v>43418</v>
      </c>
      <c r="BK932" s="192">
        <v>0.33700000000000002</v>
      </c>
      <c r="BN932" s="94">
        <v>43438</v>
      </c>
      <c r="BO932" s="95">
        <v>0.316</v>
      </c>
      <c r="BP932" s="96">
        <v>12.01</v>
      </c>
    </row>
    <row r="933" spans="60:68" ht="15">
      <c r="BH933" s="187">
        <v>43419</v>
      </c>
      <c r="BI933" s="180">
        <v>-0.25700000000000001</v>
      </c>
      <c r="BJ933" s="191">
        <v>43419</v>
      </c>
      <c r="BK933" s="192">
        <v>0.33300000000000002</v>
      </c>
      <c r="BN933" s="94">
        <v>43439</v>
      </c>
      <c r="BO933" s="95">
        <v>0.311</v>
      </c>
      <c r="BP933" s="96">
        <v>12.01</v>
      </c>
    </row>
    <row r="934" spans="60:68" ht="15">
      <c r="BH934" s="187">
        <v>43420</v>
      </c>
      <c r="BI934" s="180">
        <v>-0.25700000000000001</v>
      </c>
      <c r="BJ934" s="191">
        <v>43420</v>
      </c>
      <c r="BK934" s="192">
        <v>0.33</v>
      </c>
      <c r="BN934" s="94">
        <v>43440</v>
      </c>
      <c r="BO934" s="95">
        <v>0.30399999999999999</v>
      </c>
      <c r="BP934" s="96">
        <v>12.01</v>
      </c>
    </row>
    <row r="935" spans="60:68" ht="15">
      <c r="BH935" s="187">
        <v>43423</v>
      </c>
      <c r="BI935" s="180">
        <v>-0.25700000000000001</v>
      </c>
      <c r="BJ935" s="191">
        <v>43423</v>
      </c>
      <c r="BK935" s="192">
        <v>0.32800000000000001</v>
      </c>
      <c r="BN935" s="94">
        <v>43441</v>
      </c>
      <c r="BO935" s="95">
        <v>0.3</v>
      </c>
      <c r="BP935" s="96">
        <v>12</v>
      </c>
    </row>
    <row r="936" spans="60:68" ht="15">
      <c r="BH936" s="187">
        <v>43424</v>
      </c>
      <c r="BI936" s="180">
        <v>-0.25700000000000001</v>
      </c>
      <c r="BJ936" s="191">
        <v>43424</v>
      </c>
      <c r="BK936" s="192">
        <v>0.32700000000000001</v>
      </c>
      <c r="BN936" s="94">
        <v>43444</v>
      </c>
      <c r="BO936" s="95">
        <v>0.29599999999999999</v>
      </c>
      <c r="BP936" s="96">
        <v>11.99</v>
      </c>
    </row>
    <row r="937" spans="60:68" ht="15">
      <c r="BH937" s="187">
        <v>43425</v>
      </c>
      <c r="BI937" s="180">
        <v>-0.25700000000000001</v>
      </c>
      <c r="BJ937" s="191">
        <v>43425</v>
      </c>
      <c r="BK937" s="192">
        <v>0.32400000000000001</v>
      </c>
      <c r="BN937" s="94">
        <v>43445</v>
      </c>
      <c r="BO937" s="95">
        <v>0.29299999999999998</v>
      </c>
      <c r="BP937" s="96">
        <v>11.99</v>
      </c>
    </row>
    <row r="938" spans="60:68" ht="15">
      <c r="BH938" s="187">
        <v>43426</v>
      </c>
      <c r="BI938" s="180">
        <v>-0.25700000000000001</v>
      </c>
      <c r="BJ938" s="191">
        <v>43426</v>
      </c>
      <c r="BK938" s="192">
        <v>0.32600000000000001</v>
      </c>
      <c r="BN938" s="94">
        <v>43446</v>
      </c>
      <c r="BO938" s="95">
        <v>0.28899999999999998</v>
      </c>
      <c r="BP938" s="96">
        <v>11.99</v>
      </c>
    </row>
    <row r="939" spans="60:68" ht="15">
      <c r="BH939" s="187">
        <v>43427</v>
      </c>
      <c r="BI939" s="180">
        <v>-0.25700000000000001</v>
      </c>
      <c r="BJ939" s="191">
        <v>43427</v>
      </c>
      <c r="BK939" s="192">
        <v>0.32500000000000001</v>
      </c>
      <c r="BN939" s="94">
        <v>43447</v>
      </c>
      <c r="BO939" s="95">
        <v>0.28799999999999998</v>
      </c>
      <c r="BP939" s="96">
        <v>11.99</v>
      </c>
    </row>
    <row r="940" spans="60:68" ht="15">
      <c r="BH940" s="187">
        <v>43430</v>
      </c>
      <c r="BI940" s="180">
        <v>-0.25600000000000001</v>
      </c>
      <c r="BJ940" s="191">
        <v>43430</v>
      </c>
      <c r="BK940" s="192">
        <v>0.32500000000000001</v>
      </c>
      <c r="BN940" s="94">
        <v>43448</v>
      </c>
      <c r="BO940" s="95">
        <v>0.28499999999999998</v>
      </c>
      <c r="BP940" s="96">
        <v>11.98</v>
      </c>
    </row>
    <row r="941" spans="60:68" ht="15">
      <c r="BH941" s="187">
        <v>43431</v>
      </c>
      <c r="BI941" s="180">
        <v>-0.25600000000000001</v>
      </c>
      <c r="BJ941" s="191">
        <v>43431</v>
      </c>
      <c r="BK941" s="192">
        <v>0.32500000000000001</v>
      </c>
      <c r="BN941" s="94">
        <v>43451</v>
      </c>
      <c r="BO941" s="95">
        <v>0.28100000000000003</v>
      </c>
      <c r="BP941" s="96">
        <v>11.98</v>
      </c>
    </row>
    <row r="942" spans="60:68" ht="15">
      <c r="BH942" s="187">
        <v>43432</v>
      </c>
      <c r="BI942" s="180">
        <v>-0.25600000000000001</v>
      </c>
      <c r="BJ942" s="191">
        <v>43432</v>
      </c>
      <c r="BK942" s="192">
        <v>0.32600000000000001</v>
      </c>
      <c r="BN942" s="94">
        <v>43452</v>
      </c>
      <c r="BO942" s="95">
        <v>0.27700000000000002</v>
      </c>
      <c r="BP942" s="96">
        <v>11.97</v>
      </c>
    </row>
    <row r="943" spans="60:68" ht="15">
      <c r="BH943" s="187">
        <v>43433</v>
      </c>
      <c r="BI943" s="180">
        <v>-0.253</v>
      </c>
      <c r="BJ943" s="191">
        <v>43433</v>
      </c>
      <c r="BK943" s="192">
        <v>0.32500000000000001</v>
      </c>
      <c r="BN943" s="94">
        <v>43453</v>
      </c>
      <c r="BO943" s="95">
        <v>0.27300000000000002</v>
      </c>
      <c r="BP943" s="96">
        <v>11.97</v>
      </c>
    </row>
    <row r="944" spans="60:68" ht="15">
      <c r="BH944" s="187">
        <v>43434</v>
      </c>
      <c r="BI944" s="180">
        <v>-0.251</v>
      </c>
      <c r="BJ944" s="191">
        <v>43434</v>
      </c>
      <c r="BK944" s="192">
        <v>0.32200000000000001</v>
      </c>
      <c r="BN944" s="94">
        <v>43454</v>
      </c>
      <c r="BO944" s="95">
        <v>0.26800000000000002</v>
      </c>
      <c r="BP944" s="96">
        <v>11.97</v>
      </c>
    </row>
    <row r="945" spans="60:68" ht="15">
      <c r="BH945" s="187">
        <v>43437</v>
      </c>
      <c r="BI945" s="180">
        <v>-0.248</v>
      </c>
      <c r="BJ945" s="191">
        <v>43437</v>
      </c>
      <c r="BK945" s="192">
        <v>0.32</v>
      </c>
      <c r="BN945" s="94">
        <v>43455</v>
      </c>
      <c r="BO945" s="95">
        <v>0.26400000000000001</v>
      </c>
      <c r="BP945" s="96">
        <v>11.96</v>
      </c>
    </row>
    <row r="946" spans="60:68" ht="15">
      <c r="BH946" s="187">
        <v>43438</v>
      </c>
      <c r="BI946" s="180">
        <v>-0.247</v>
      </c>
      <c r="BJ946" s="191">
        <v>43438</v>
      </c>
      <c r="BK946" s="192">
        <v>0.316</v>
      </c>
      <c r="BN946" s="94">
        <v>43461</v>
      </c>
      <c r="BO946" s="95">
        <v>0.25900000000000001</v>
      </c>
      <c r="BP946" s="96">
        <v>11.95</v>
      </c>
    </row>
    <row r="947" spans="60:68" ht="15">
      <c r="BH947" s="187">
        <v>43439</v>
      </c>
      <c r="BI947" s="180">
        <v>-0.246</v>
      </c>
      <c r="BJ947" s="191">
        <v>43439</v>
      </c>
      <c r="BK947" s="192">
        <v>0.311</v>
      </c>
      <c r="BN947" s="94">
        <v>43462</v>
      </c>
      <c r="BO947" s="95">
        <v>0.255</v>
      </c>
      <c r="BP947" s="96">
        <v>11.95</v>
      </c>
    </row>
    <row r="948" spans="60:68" ht="15">
      <c r="BH948" s="187">
        <v>43440</v>
      </c>
      <c r="BI948" s="180">
        <v>-0.246</v>
      </c>
      <c r="BJ948" s="191">
        <v>43440</v>
      </c>
      <c r="BK948" s="192">
        <v>0.30399999999999999</v>
      </c>
      <c r="BN948" s="94">
        <v>43465</v>
      </c>
      <c r="BO948" s="95">
        <v>0.251</v>
      </c>
      <c r="BP948" s="96">
        <v>11.94</v>
      </c>
    </row>
    <row r="949" spans="60:68" ht="15">
      <c r="BH949" s="187">
        <v>43441</v>
      </c>
      <c r="BI949" s="180">
        <v>-0.246</v>
      </c>
      <c r="BJ949" s="191">
        <v>43441</v>
      </c>
      <c r="BK949" s="192">
        <v>0.3</v>
      </c>
      <c r="BN949" s="94">
        <v>43467</v>
      </c>
      <c r="BO949" s="95">
        <v>0.245</v>
      </c>
      <c r="BP949" s="96">
        <v>11.93</v>
      </c>
    </row>
    <row r="950" spans="60:68" ht="15">
      <c r="BH950" s="187">
        <v>43444</v>
      </c>
      <c r="BI950" s="180">
        <v>-0.245</v>
      </c>
      <c r="BJ950" s="191">
        <v>43444</v>
      </c>
      <c r="BK950" s="192">
        <v>0.29599999999999999</v>
      </c>
      <c r="BN950" s="94">
        <v>43468</v>
      </c>
      <c r="BO950" s="95">
        <v>0.24</v>
      </c>
      <c r="BP950" s="96">
        <v>11.93</v>
      </c>
    </row>
    <row r="951" spans="60:68" ht="15">
      <c r="BH951" s="187">
        <v>43445</v>
      </c>
      <c r="BI951" s="180">
        <v>-0.24399999999999999</v>
      </c>
      <c r="BJ951" s="191">
        <v>43445</v>
      </c>
      <c r="BK951" s="192">
        <v>0.29299999999999998</v>
      </c>
      <c r="BN951" s="94">
        <v>43469</v>
      </c>
      <c r="BO951" s="95">
        <v>0.23599999999999999</v>
      </c>
      <c r="BP951" s="96">
        <v>11.93</v>
      </c>
    </row>
    <row r="952" spans="60:68" ht="15">
      <c r="BH952" s="187">
        <v>43446</v>
      </c>
      <c r="BI952" s="180">
        <v>-0.24099999999999999</v>
      </c>
      <c r="BJ952" s="191">
        <v>43446</v>
      </c>
      <c r="BK952" s="192">
        <v>0.28899999999999998</v>
      </c>
      <c r="BN952" s="94">
        <v>43472</v>
      </c>
      <c r="BO952" s="95">
        <v>0.23400000000000001</v>
      </c>
      <c r="BP952" s="96">
        <v>11.92</v>
      </c>
    </row>
    <row r="953" spans="60:68" ht="15">
      <c r="BH953" s="187">
        <v>43447</v>
      </c>
      <c r="BI953" s="180">
        <v>-0.23899999999999999</v>
      </c>
      <c r="BJ953" s="191">
        <v>43447</v>
      </c>
      <c r="BK953" s="192">
        <v>0.28799999999999998</v>
      </c>
      <c r="BN953" s="94">
        <v>43473</v>
      </c>
      <c r="BO953" s="95">
        <v>0.23499999999999999</v>
      </c>
      <c r="BP953" s="96">
        <v>11.91</v>
      </c>
    </row>
    <row r="954" spans="60:68" ht="15">
      <c r="BH954" s="187">
        <v>43448</v>
      </c>
      <c r="BI954" s="180">
        <v>-0.23799999999999999</v>
      </c>
      <c r="BJ954" s="191">
        <v>43448</v>
      </c>
      <c r="BK954" s="192">
        <v>0.28499999999999998</v>
      </c>
      <c r="BN954" s="94">
        <v>43474</v>
      </c>
      <c r="BO954" s="95">
        <v>0.23499999999999999</v>
      </c>
      <c r="BP954" s="96">
        <v>11.91</v>
      </c>
    </row>
    <row r="955" spans="60:68" ht="15">
      <c r="BH955" s="187">
        <v>43451</v>
      </c>
      <c r="BI955" s="180">
        <v>-0.23699999999999999</v>
      </c>
      <c r="BJ955" s="191">
        <v>43451</v>
      </c>
      <c r="BK955" s="192">
        <v>0.28100000000000003</v>
      </c>
      <c r="BN955" s="94">
        <v>43475</v>
      </c>
      <c r="BO955" s="95">
        <v>0.23899999999999999</v>
      </c>
      <c r="BP955" s="96">
        <v>11.95</v>
      </c>
    </row>
    <row r="956" spans="60:68" ht="15">
      <c r="BH956" s="187">
        <v>43452</v>
      </c>
      <c r="BI956" s="180">
        <v>-0.23799999999999999</v>
      </c>
      <c r="BJ956" s="191">
        <v>43452</v>
      </c>
      <c r="BK956" s="192">
        <v>0.27700000000000002</v>
      </c>
      <c r="BN956" s="94">
        <v>43476</v>
      </c>
      <c r="BO956" s="95">
        <v>0.23699999999999999</v>
      </c>
      <c r="BP956" s="96">
        <v>11.95</v>
      </c>
    </row>
    <row r="957" spans="60:68" ht="15">
      <c r="BH957" s="187">
        <v>43453</v>
      </c>
      <c r="BI957" s="180">
        <v>-0.23799999999999999</v>
      </c>
      <c r="BJ957" s="191">
        <v>43453</v>
      </c>
      <c r="BK957" s="192">
        <v>0.27300000000000002</v>
      </c>
      <c r="BN957" s="94">
        <v>43479</v>
      </c>
      <c r="BO957" s="95">
        <v>0.23400000000000001</v>
      </c>
      <c r="BP957" s="96">
        <v>11.94</v>
      </c>
    </row>
    <row r="958" spans="60:68" ht="15">
      <c r="BH958" s="187">
        <v>43454</v>
      </c>
      <c r="BI958" s="180">
        <v>-0.23799999999999999</v>
      </c>
      <c r="BJ958" s="191">
        <v>43454</v>
      </c>
      <c r="BK958" s="192">
        <v>0.26800000000000002</v>
      </c>
      <c r="BN958" s="94">
        <v>43480</v>
      </c>
      <c r="BO958" s="95">
        <v>0.23</v>
      </c>
      <c r="BP958" s="96">
        <v>11.93</v>
      </c>
    </row>
    <row r="959" spans="60:68" ht="15">
      <c r="BH959" s="187">
        <v>43455</v>
      </c>
      <c r="BI959" s="180">
        <v>-0.23799999999999999</v>
      </c>
      <c r="BJ959" s="191">
        <v>43455</v>
      </c>
      <c r="BK959" s="192">
        <v>0.26400000000000001</v>
      </c>
      <c r="BN959" s="94">
        <v>43481</v>
      </c>
      <c r="BO959" s="95">
        <v>0.22600000000000001</v>
      </c>
      <c r="BP959" s="96">
        <v>11.93</v>
      </c>
    </row>
    <row r="960" spans="60:68" ht="15">
      <c r="BH960" s="187">
        <v>43458</v>
      </c>
      <c r="BI960" s="180">
        <v>-0.23699999999999999</v>
      </c>
      <c r="BJ960" s="191"/>
      <c r="BK960" s="193">
        <f>+BK959</f>
        <v>0.26400000000000001</v>
      </c>
      <c r="BN960" s="94">
        <v>43482</v>
      </c>
      <c r="BO960" s="95">
        <v>0.224</v>
      </c>
      <c r="BP960" s="96">
        <v>11.93</v>
      </c>
    </row>
    <row r="961" spans="60:68" ht="15">
      <c r="BH961" s="187">
        <v>43459</v>
      </c>
      <c r="BI961" s="180">
        <v>-0.23699999999999999</v>
      </c>
      <c r="BJ961" s="191"/>
      <c r="BK961" s="193">
        <f>+BK960</f>
        <v>0.26400000000000001</v>
      </c>
      <c r="BN961" s="94">
        <v>43483</v>
      </c>
      <c r="BO961" s="95">
        <v>0.223</v>
      </c>
      <c r="BP961" s="96">
        <v>11.93</v>
      </c>
    </row>
    <row r="962" spans="60:68" ht="15">
      <c r="BH962" s="187">
        <v>43460</v>
      </c>
      <c r="BI962" s="180">
        <v>-0.23699999999999999</v>
      </c>
      <c r="BJ962" s="191"/>
      <c r="BK962" s="193">
        <f>+BK961</f>
        <v>0.26400000000000001</v>
      </c>
      <c r="BN962" s="94">
        <v>43486</v>
      </c>
      <c r="BO962" s="95">
        <v>0.222</v>
      </c>
      <c r="BP962" s="96">
        <v>11.92</v>
      </c>
    </row>
    <row r="963" spans="60:68" ht="15">
      <c r="BH963" s="187">
        <v>43461</v>
      </c>
      <c r="BI963" s="180">
        <v>-0.23699999999999999</v>
      </c>
      <c r="BJ963" s="191">
        <v>43461</v>
      </c>
      <c r="BK963" s="192">
        <v>0.25900000000000001</v>
      </c>
      <c r="BN963" s="94">
        <v>43487</v>
      </c>
      <c r="BO963" s="95">
        <v>0.221</v>
      </c>
      <c r="BP963" s="96">
        <v>11.92</v>
      </c>
    </row>
    <row r="964" spans="60:68" ht="15">
      <c r="BH964" s="187">
        <v>43462</v>
      </c>
      <c r="BI964" s="180">
        <v>-0.23599999999999999</v>
      </c>
      <c r="BJ964" s="191">
        <v>43462</v>
      </c>
      <c r="BK964" s="192">
        <v>0.255</v>
      </c>
      <c r="BN964" s="94">
        <v>43488</v>
      </c>
      <c r="BO964" s="95">
        <v>0.22</v>
      </c>
      <c r="BP964" s="96">
        <v>11.91</v>
      </c>
    </row>
    <row r="965" spans="60:68" ht="15">
      <c r="BH965" s="187">
        <v>43465</v>
      </c>
      <c r="BI965" s="180">
        <v>-0.23699999999999999</v>
      </c>
      <c r="BJ965" s="191">
        <v>43465</v>
      </c>
      <c r="BK965" s="192">
        <v>0.251</v>
      </c>
      <c r="BN965" s="94">
        <v>43489</v>
      </c>
      <c r="BO965" s="95">
        <v>0.217</v>
      </c>
      <c r="BP965" s="96">
        <v>11.91</v>
      </c>
    </row>
    <row r="966" spans="60:68" ht="15">
      <c r="BH966" s="187">
        <v>43466</v>
      </c>
      <c r="BI966" s="180">
        <v>-0.23699999999999999</v>
      </c>
      <c r="BJ966" s="191"/>
      <c r="BK966" s="193">
        <f>+BK965</f>
        <v>0.251</v>
      </c>
      <c r="BN966" s="94">
        <v>43490</v>
      </c>
      <c r="BO966" s="95">
        <v>0.216</v>
      </c>
      <c r="BP966" s="96">
        <v>11.91</v>
      </c>
    </row>
    <row r="967" spans="60:68" ht="15">
      <c r="BH967" s="187">
        <v>43467</v>
      </c>
      <c r="BI967" s="180">
        <v>-0.23799999999999999</v>
      </c>
      <c r="BJ967" s="191">
        <v>43467</v>
      </c>
      <c r="BK967" s="192">
        <v>0.245</v>
      </c>
      <c r="BN967" s="94">
        <v>43493</v>
      </c>
      <c r="BO967" s="95">
        <v>0.214</v>
      </c>
      <c r="BP967" s="96">
        <v>11.9</v>
      </c>
    </row>
    <row r="968" spans="60:68" ht="15">
      <c r="BH968" s="187">
        <v>43468</v>
      </c>
      <c r="BI968" s="180">
        <v>-0.23699999999999999</v>
      </c>
      <c r="BJ968" s="191">
        <v>43468</v>
      </c>
      <c r="BK968" s="192">
        <v>0.24</v>
      </c>
      <c r="BN968" s="94">
        <v>43494</v>
      </c>
      <c r="BO968" s="95">
        <v>0.21299999999999999</v>
      </c>
      <c r="BP968" s="96">
        <v>11.9</v>
      </c>
    </row>
    <row r="969" spans="60:68" ht="15">
      <c r="BH969" s="187">
        <v>43469</v>
      </c>
      <c r="BI969" s="180">
        <v>-0.23699999999999999</v>
      </c>
      <c r="BJ969" s="191">
        <v>43469</v>
      </c>
      <c r="BK969" s="192">
        <v>0.23599999999999999</v>
      </c>
      <c r="BN969" s="94">
        <v>43495</v>
      </c>
      <c r="BO969" s="95">
        <v>0.214</v>
      </c>
      <c r="BP969" s="96">
        <v>11.89</v>
      </c>
    </row>
    <row r="970" spans="60:68" ht="15">
      <c r="BH970" s="187">
        <v>43472</v>
      </c>
      <c r="BI970" s="180">
        <v>-0.23599999999999999</v>
      </c>
      <c r="BJ970" s="191">
        <v>43472</v>
      </c>
      <c r="BK970" s="192">
        <v>0.23400000000000001</v>
      </c>
      <c r="BN970" s="94">
        <v>43496</v>
      </c>
      <c r="BO970" s="95">
        <v>0.214</v>
      </c>
      <c r="BP970" s="96">
        <v>11.89</v>
      </c>
    </row>
    <row r="971" spans="60:68" ht="15">
      <c r="BH971" s="187">
        <v>43473</v>
      </c>
      <c r="BI971" s="180">
        <v>-0.23599999999999999</v>
      </c>
      <c r="BJ971" s="191">
        <v>43473</v>
      </c>
      <c r="BK971" s="192">
        <v>0.23499999999999999</v>
      </c>
      <c r="BN971" s="94">
        <v>43497</v>
      </c>
      <c r="BO971" s="95">
        <v>0.21199999999999999</v>
      </c>
      <c r="BP971" s="96">
        <v>11.89</v>
      </c>
    </row>
    <row r="972" spans="60:68" ht="15">
      <c r="BH972" s="187">
        <v>43474</v>
      </c>
      <c r="BI972" s="180">
        <v>-0.23599999999999999</v>
      </c>
      <c r="BJ972" s="191">
        <v>43474</v>
      </c>
      <c r="BK972" s="192">
        <v>0.23499999999999999</v>
      </c>
      <c r="BN972" s="94">
        <v>43500</v>
      </c>
      <c r="BO972" s="95">
        <v>0.20899999999999999</v>
      </c>
      <c r="BP972" s="96">
        <v>11.88</v>
      </c>
    </row>
    <row r="973" spans="60:68" ht="15">
      <c r="BH973" s="187">
        <v>43475</v>
      </c>
      <c r="BI973" s="180">
        <v>-0.23599999999999999</v>
      </c>
      <c r="BJ973" s="191">
        <v>43475</v>
      </c>
      <c r="BK973" s="192">
        <v>0.23899999999999999</v>
      </c>
      <c r="BN973" s="94">
        <v>43501</v>
      </c>
      <c r="BO973" s="95">
        <v>0.215</v>
      </c>
      <c r="BP973" s="96">
        <v>11.83</v>
      </c>
    </row>
    <row r="974" spans="60:68" ht="15">
      <c r="BH974" s="187">
        <v>43476</v>
      </c>
      <c r="BI974" s="180">
        <v>-0.23599999999999999</v>
      </c>
      <c r="BJ974" s="191">
        <v>43476</v>
      </c>
      <c r="BK974" s="192">
        <v>0.23699999999999999</v>
      </c>
      <c r="BN974" s="94">
        <v>43502</v>
      </c>
      <c r="BO974" s="95">
        <v>0.21199999999999999</v>
      </c>
      <c r="BP974" s="96">
        <v>11.83</v>
      </c>
    </row>
    <row r="975" spans="60:68" ht="15">
      <c r="BH975" s="187">
        <v>43479</v>
      </c>
      <c r="BI975" s="180">
        <v>-0.23599999999999999</v>
      </c>
      <c r="BJ975" s="191">
        <v>43479</v>
      </c>
      <c r="BK975" s="192">
        <v>0.23400000000000001</v>
      </c>
      <c r="BN975" s="94">
        <v>43503</v>
      </c>
      <c r="BO975" s="95">
        <v>0.20799999999999999</v>
      </c>
      <c r="BP975" s="96">
        <v>11.82</v>
      </c>
    </row>
    <row r="976" spans="60:68" ht="15">
      <c r="BH976" s="187">
        <v>43480</v>
      </c>
      <c r="BI976" s="180">
        <v>-0.23599999999999999</v>
      </c>
      <c r="BJ976" s="191">
        <v>43480</v>
      </c>
      <c r="BK976" s="192">
        <v>0.23</v>
      </c>
      <c r="BN976" s="94">
        <v>43504</v>
      </c>
      <c r="BO976" s="95">
        <v>0.20399999999999999</v>
      </c>
      <c r="BP976" s="96">
        <v>11.82</v>
      </c>
    </row>
    <row r="977" spans="60:68" ht="15">
      <c r="BH977" s="187">
        <v>43481</v>
      </c>
      <c r="BI977" s="180">
        <v>-0.23599999999999999</v>
      </c>
      <c r="BJ977" s="191">
        <v>43481</v>
      </c>
      <c r="BK977" s="192">
        <v>0.22600000000000001</v>
      </c>
      <c r="BN977" s="94">
        <v>43507</v>
      </c>
      <c r="BO977" s="95">
        <v>0.20200000000000001</v>
      </c>
      <c r="BP977" s="96">
        <v>11.81</v>
      </c>
    </row>
    <row r="978" spans="60:68" ht="15">
      <c r="BH978" s="187">
        <v>43482</v>
      </c>
      <c r="BI978" s="180">
        <v>-0.23599999999999999</v>
      </c>
      <c r="BJ978" s="191">
        <v>43482</v>
      </c>
      <c r="BK978" s="192">
        <v>0.224</v>
      </c>
      <c r="BN978" s="94">
        <v>43508</v>
      </c>
      <c r="BO978" s="95">
        <v>0.2</v>
      </c>
      <c r="BP978" s="96">
        <v>11.81</v>
      </c>
    </row>
    <row r="979" spans="60:68" ht="15">
      <c r="BH979" s="187">
        <v>43483</v>
      </c>
      <c r="BI979" s="180">
        <v>-0.23499999999999999</v>
      </c>
      <c r="BJ979" s="191">
        <v>43483</v>
      </c>
      <c r="BK979" s="192">
        <v>0.223</v>
      </c>
      <c r="BN979" s="94">
        <v>43509</v>
      </c>
      <c r="BO979" s="95">
        <v>0.19900000000000001</v>
      </c>
      <c r="BP979" s="96">
        <v>11.81</v>
      </c>
    </row>
    <row r="980" spans="60:68" ht="15">
      <c r="BH980" s="187">
        <v>43486</v>
      </c>
      <c r="BI980" s="180">
        <v>-0.23599999999999999</v>
      </c>
      <c r="BJ980" s="191">
        <v>43486</v>
      </c>
      <c r="BK980" s="192">
        <v>0.222</v>
      </c>
      <c r="BN980" s="94">
        <v>43510</v>
      </c>
      <c r="BO980" s="95">
        <v>0.19600000000000001</v>
      </c>
      <c r="BP980" s="96">
        <v>11.81</v>
      </c>
    </row>
    <row r="981" spans="60:68" ht="15">
      <c r="BH981" s="187">
        <v>43487</v>
      </c>
      <c r="BI981" s="180">
        <v>-0.23699999999999999</v>
      </c>
      <c r="BJ981" s="191">
        <v>43487</v>
      </c>
      <c r="BK981" s="192">
        <v>0.221</v>
      </c>
      <c r="BN981" s="94">
        <v>43511</v>
      </c>
      <c r="BO981" s="95">
        <v>0.192</v>
      </c>
      <c r="BP981" s="96">
        <v>11.8</v>
      </c>
    </row>
    <row r="982" spans="60:68" ht="15">
      <c r="BH982" s="187">
        <v>43488</v>
      </c>
      <c r="BI982" s="180">
        <v>-0.23699999999999999</v>
      </c>
      <c r="BJ982" s="191">
        <v>43488</v>
      </c>
      <c r="BK982" s="192">
        <v>0.22</v>
      </c>
      <c r="BN982" s="94">
        <v>43514</v>
      </c>
      <c r="BO982" s="95">
        <v>0.189</v>
      </c>
      <c r="BP982" s="96">
        <v>11.79</v>
      </c>
    </row>
    <row r="983" spans="60:68" ht="15">
      <c r="BH983" s="187">
        <v>43489</v>
      </c>
      <c r="BI983" s="180">
        <v>-0.23599999999999999</v>
      </c>
      <c r="BJ983" s="191">
        <v>43489</v>
      </c>
      <c r="BK983" s="192">
        <v>0.217</v>
      </c>
      <c r="BN983" s="94">
        <v>43515</v>
      </c>
      <c r="BO983" s="95">
        <v>0.185</v>
      </c>
      <c r="BP983" s="96">
        <v>11.79</v>
      </c>
    </row>
    <row r="984" spans="60:68" ht="15">
      <c r="BH984" s="187">
        <v>43490</v>
      </c>
      <c r="BI984" s="180">
        <v>-0.23699999999999999</v>
      </c>
      <c r="BJ984" s="191">
        <v>43490</v>
      </c>
      <c r="BK984" s="192">
        <v>0.216</v>
      </c>
      <c r="BN984" s="94">
        <v>43516</v>
      </c>
      <c r="BO984" s="95">
        <v>0.182</v>
      </c>
      <c r="BP984" s="96">
        <v>11.79</v>
      </c>
    </row>
    <row r="985" spans="60:68" ht="15">
      <c r="BH985" s="187">
        <v>43493</v>
      </c>
      <c r="BI985" s="180">
        <v>-0.23699999999999999</v>
      </c>
      <c r="BJ985" s="191">
        <v>43493</v>
      </c>
      <c r="BK985" s="192">
        <v>0.214</v>
      </c>
      <c r="BN985" s="94">
        <v>43517</v>
      </c>
      <c r="BO985" s="95">
        <v>0.18099999999999999</v>
      </c>
      <c r="BP985" s="96">
        <v>11.79</v>
      </c>
    </row>
    <row r="986" spans="60:68" ht="15">
      <c r="BH986" s="187">
        <v>43494</v>
      </c>
      <c r="BI986" s="180">
        <v>-0.23699999999999999</v>
      </c>
      <c r="BJ986" s="191">
        <v>43494</v>
      </c>
      <c r="BK986" s="192">
        <v>0.21299999999999999</v>
      </c>
      <c r="BN986" s="94">
        <v>43518</v>
      </c>
      <c r="BO986" s="95">
        <v>0.17899999999999999</v>
      </c>
      <c r="BP986" s="96">
        <v>11.78</v>
      </c>
    </row>
    <row r="987" spans="60:68" ht="15">
      <c r="BH987" s="187">
        <v>43495</v>
      </c>
      <c r="BI987" s="180">
        <v>-0.23599999999999999</v>
      </c>
      <c r="BJ987" s="191">
        <v>43495</v>
      </c>
      <c r="BK987" s="192">
        <v>0.214</v>
      </c>
      <c r="BN987" s="94">
        <v>43521</v>
      </c>
      <c r="BO987" s="95">
        <v>0.17699999999999999</v>
      </c>
      <c r="BP987" s="96">
        <v>11.78</v>
      </c>
    </row>
    <row r="988" spans="60:68" ht="15">
      <c r="BH988" s="187">
        <v>43496</v>
      </c>
      <c r="BI988" s="180">
        <v>-0.23599999999999999</v>
      </c>
      <c r="BJ988" s="191">
        <v>43496</v>
      </c>
      <c r="BK988" s="192">
        <v>0.214</v>
      </c>
      <c r="BN988" s="94">
        <v>43522</v>
      </c>
      <c r="BO988" s="95">
        <v>0.17499999999999999</v>
      </c>
      <c r="BP988" s="96">
        <v>11.77</v>
      </c>
    </row>
    <row r="989" spans="60:68" ht="15">
      <c r="BH989" s="187">
        <v>43497</v>
      </c>
      <c r="BI989" s="180">
        <v>-0.23499999999999999</v>
      </c>
      <c r="BJ989" s="191">
        <v>43497</v>
      </c>
      <c r="BK989" s="192">
        <v>0.21199999999999999</v>
      </c>
      <c r="BN989" s="94">
        <v>43523</v>
      </c>
      <c r="BO989" s="95">
        <v>0.17399999999999999</v>
      </c>
      <c r="BP989" s="96">
        <v>11.77</v>
      </c>
    </row>
    <row r="990" spans="60:68" ht="15">
      <c r="BH990" s="187">
        <v>43500</v>
      </c>
      <c r="BI990" s="180">
        <v>-0.23499999999999999</v>
      </c>
      <c r="BJ990" s="191">
        <v>43500</v>
      </c>
      <c r="BK990" s="192">
        <v>0.20899999999999999</v>
      </c>
      <c r="BN990" s="94">
        <v>43524</v>
      </c>
      <c r="BO990" s="95">
        <v>0.17499999999999999</v>
      </c>
      <c r="BP990" s="96">
        <v>11.77</v>
      </c>
    </row>
    <row r="991" spans="60:68" ht="15">
      <c r="BH991" s="187">
        <v>43501</v>
      </c>
      <c r="BI991" s="180">
        <v>-0.23400000000000001</v>
      </c>
      <c r="BJ991" s="191">
        <v>43501</v>
      </c>
      <c r="BK991" s="192">
        <v>0.215</v>
      </c>
      <c r="BN991" s="94">
        <v>43525</v>
      </c>
      <c r="BO991" s="95">
        <v>0.17799999999999999</v>
      </c>
      <c r="BP991" s="96">
        <v>11.76</v>
      </c>
    </row>
    <row r="992" spans="60:68" ht="15">
      <c r="BH992" s="187">
        <v>43502</v>
      </c>
      <c r="BI992" s="180">
        <v>-0.23400000000000001</v>
      </c>
      <c r="BJ992" s="191">
        <v>43502</v>
      </c>
      <c r="BK992" s="192">
        <v>0.21199999999999999</v>
      </c>
      <c r="BN992" s="94">
        <v>43528</v>
      </c>
      <c r="BO992" s="95">
        <v>0.17899999999999999</v>
      </c>
      <c r="BP992" s="96">
        <v>11.76</v>
      </c>
    </row>
    <row r="993" spans="60:68" ht="15">
      <c r="BH993" s="187">
        <v>43503</v>
      </c>
      <c r="BI993" s="180">
        <v>-0.23300000000000001</v>
      </c>
      <c r="BJ993" s="191">
        <v>43503</v>
      </c>
      <c r="BK993" s="192">
        <v>0.20799999999999999</v>
      </c>
      <c r="BN993" s="94">
        <v>43529</v>
      </c>
      <c r="BO993" s="95">
        <v>0.18</v>
      </c>
      <c r="BP993" s="96">
        <v>11.75</v>
      </c>
    </row>
    <row r="994" spans="60:68" ht="15">
      <c r="BH994" s="187">
        <v>43504</v>
      </c>
      <c r="BI994" s="180">
        <v>-0.23300000000000001</v>
      </c>
      <c r="BJ994" s="191">
        <v>43504</v>
      </c>
      <c r="BK994" s="192">
        <v>0.20399999999999999</v>
      </c>
      <c r="BN994" s="94">
        <v>43530</v>
      </c>
      <c r="BO994" s="95">
        <v>0.17899999999999999</v>
      </c>
      <c r="BP994" s="96">
        <v>11.75</v>
      </c>
    </row>
    <row r="995" spans="60:68" ht="15">
      <c r="BH995" s="187">
        <v>43507</v>
      </c>
      <c r="BI995" s="180">
        <v>-0.23200000000000001</v>
      </c>
      <c r="BJ995" s="191">
        <v>43507</v>
      </c>
      <c r="BK995" s="192">
        <v>0.20200000000000001</v>
      </c>
      <c r="BN995" s="94">
        <v>43531</v>
      </c>
      <c r="BO995" s="95">
        <v>0.18099999999999999</v>
      </c>
      <c r="BP995" s="96">
        <v>11.77</v>
      </c>
    </row>
    <row r="996" spans="60:68" ht="15">
      <c r="BH996" s="187">
        <v>43508</v>
      </c>
      <c r="BI996" s="180">
        <v>-0.23100000000000001</v>
      </c>
      <c r="BJ996" s="191">
        <v>43508</v>
      </c>
      <c r="BK996" s="192">
        <v>0.2</v>
      </c>
      <c r="BN996" s="94">
        <v>43532</v>
      </c>
      <c r="BO996" s="95">
        <v>0.18</v>
      </c>
      <c r="BP996" s="96">
        <v>11.77</v>
      </c>
    </row>
    <row r="997" spans="60:68" ht="15">
      <c r="BH997" s="187">
        <v>43509</v>
      </c>
      <c r="BI997" s="180">
        <v>-0.23100000000000001</v>
      </c>
      <c r="BJ997" s="191">
        <v>43509</v>
      </c>
      <c r="BK997" s="192">
        <v>0.19900000000000001</v>
      </c>
      <c r="BN997" s="94">
        <v>43535</v>
      </c>
      <c r="BO997" s="95">
        <v>0.17799999999999999</v>
      </c>
      <c r="BP997" s="96">
        <v>11.76</v>
      </c>
    </row>
    <row r="998" spans="60:68" ht="15">
      <c r="BH998" s="187">
        <v>43510</v>
      </c>
      <c r="BI998" s="180">
        <v>-0.23100000000000001</v>
      </c>
      <c r="BJ998" s="191">
        <v>43510</v>
      </c>
      <c r="BK998" s="192">
        <v>0.19600000000000001</v>
      </c>
      <c r="BN998" s="94">
        <v>43536</v>
      </c>
      <c r="BO998" s="95">
        <v>0.17599999999999999</v>
      </c>
      <c r="BP998" s="96">
        <v>11.76</v>
      </c>
    </row>
    <row r="999" spans="60:68" ht="15">
      <c r="BH999" s="187">
        <v>43511</v>
      </c>
      <c r="BI999" s="180">
        <v>-0.23200000000000001</v>
      </c>
      <c r="BJ999" s="191">
        <v>43511</v>
      </c>
      <c r="BK999" s="192">
        <v>0.192</v>
      </c>
      <c r="BN999" s="94">
        <v>43537</v>
      </c>
      <c r="BO999" s="95">
        <v>0.17299999999999999</v>
      </c>
      <c r="BP999" s="96">
        <v>11.76</v>
      </c>
    </row>
    <row r="1000" spans="60:68" ht="15">
      <c r="BH1000" s="187">
        <v>43514</v>
      </c>
      <c r="BI1000" s="180">
        <v>-0.23200000000000001</v>
      </c>
      <c r="BJ1000" s="191">
        <v>43514</v>
      </c>
      <c r="BK1000" s="192">
        <v>0.189</v>
      </c>
      <c r="BN1000" s="94">
        <v>43538</v>
      </c>
      <c r="BO1000" s="95">
        <v>0.17100000000000001</v>
      </c>
      <c r="BP1000" s="96">
        <v>11.75</v>
      </c>
    </row>
    <row r="1001" spans="60:68" ht="15">
      <c r="BH1001" s="187">
        <v>43515</v>
      </c>
      <c r="BI1001" s="180">
        <v>-0.23200000000000001</v>
      </c>
      <c r="BJ1001" s="191">
        <v>43515</v>
      </c>
      <c r="BK1001" s="192">
        <v>0.185</v>
      </c>
      <c r="BN1001" s="94">
        <v>43539</v>
      </c>
      <c r="BO1001" s="95">
        <v>0.16900000000000001</v>
      </c>
      <c r="BP1001" s="96">
        <v>11.75</v>
      </c>
    </row>
    <row r="1002" spans="60:68" ht="15">
      <c r="BH1002" s="187">
        <v>43516</v>
      </c>
      <c r="BI1002" s="180">
        <v>-0.23100000000000001</v>
      </c>
      <c r="BJ1002" s="191">
        <v>43516</v>
      </c>
      <c r="BK1002" s="192">
        <v>0.182</v>
      </c>
      <c r="BN1002" s="94">
        <v>43542</v>
      </c>
      <c r="BO1002" s="95">
        <v>0.16800000000000001</v>
      </c>
      <c r="BP1002" s="96">
        <v>11.74</v>
      </c>
    </row>
    <row r="1003" spans="60:68" ht="15">
      <c r="BH1003" s="187">
        <v>43517</v>
      </c>
      <c r="BI1003" s="180">
        <v>-0.23100000000000001</v>
      </c>
      <c r="BJ1003" s="191">
        <v>43517</v>
      </c>
      <c r="BK1003" s="192">
        <v>0.18099999999999999</v>
      </c>
      <c r="BN1003" s="94">
        <v>43543</v>
      </c>
      <c r="BO1003" s="95">
        <v>0.16600000000000001</v>
      </c>
      <c r="BP1003" s="96">
        <v>11.74</v>
      </c>
    </row>
    <row r="1004" spans="60:68" ht="15">
      <c r="BH1004" s="187">
        <v>43518</v>
      </c>
      <c r="BI1004" s="180">
        <v>-0.23100000000000001</v>
      </c>
      <c r="BJ1004" s="191">
        <v>43518</v>
      </c>
      <c r="BK1004" s="192">
        <v>0.17899999999999999</v>
      </c>
      <c r="BN1004" s="94">
        <v>43544</v>
      </c>
      <c r="BO1004" s="95">
        <v>0.16500000000000001</v>
      </c>
      <c r="BP1004" s="96">
        <v>11.74</v>
      </c>
    </row>
    <row r="1005" spans="60:68" ht="15">
      <c r="BH1005" s="187">
        <v>43521</v>
      </c>
      <c r="BI1005" s="180">
        <v>-0.23</v>
      </c>
      <c r="BJ1005" s="191">
        <v>43521</v>
      </c>
      <c r="BK1005" s="192">
        <v>0.17699999999999999</v>
      </c>
      <c r="BN1005" s="94">
        <v>43545</v>
      </c>
      <c r="BO1005" s="95">
        <v>0.161</v>
      </c>
      <c r="BP1005" s="96">
        <v>11.73</v>
      </c>
    </row>
    <row r="1006" spans="60:68" ht="15">
      <c r="BH1006" s="187">
        <v>43522</v>
      </c>
      <c r="BI1006" s="180">
        <v>-0.23</v>
      </c>
      <c r="BJ1006" s="191">
        <v>43522</v>
      </c>
      <c r="BK1006" s="192">
        <v>0.17499999999999999</v>
      </c>
      <c r="BN1006" s="94">
        <v>43546</v>
      </c>
      <c r="BO1006" s="95">
        <v>0.155</v>
      </c>
      <c r="BP1006" s="96">
        <v>11.73</v>
      </c>
    </row>
    <row r="1007" spans="60:68" ht="15">
      <c r="BH1007" s="187">
        <v>43523</v>
      </c>
      <c r="BI1007" s="180">
        <v>-0.22900000000000001</v>
      </c>
      <c r="BJ1007" s="191">
        <v>43523</v>
      </c>
      <c r="BK1007" s="192">
        <v>0.17399999999999999</v>
      </c>
      <c r="BN1007" s="94">
        <v>43549</v>
      </c>
      <c r="BO1007" s="95">
        <v>0.14899999999999999</v>
      </c>
      <c r="BP1007" s="96">
        <v>11.72</v>
      </c>
    </row>
    <row r="1008" spans="60:68" ht="15">
      <c r="BH1008" s="187">
        <v>43524</v>
      </c>
      <c r="BI1008" s="180">
        <v>-0.22900000000000001</v>
      </c>
      <c r="BJ1008" s="191">
        <v>43524</v>
      </c>
      <c r="BK1008" s="192">
        <v>0.17499999999999999</v>
      </c>
      <c r="BN1008" s="94">
        <v>43550</v>
      </c>
      <c r="BO1008" s="95">
        <v>0.14199999999999999</v>
      </c>
      <c r="BP1008" s="96">
        <v>11.72</v>
      </c>
    </row>
    <row r="1009" spans="60:68" ht="15">
      <c r="BH1009" s="187">
        <v>43525</v>
      </c>
      <c r="BI1009" s="180">
        <v>-0.23</v>
      </c>
      <c r="BJ1009" s="191">
        <v>43525</v>
      </c>
      <c r="BK1009" s="192">
        <v>0.17799999999999999</v>
      </c>
      <c r="BN1009" s="94">
        <v>43551</v>
      </c>
      <c r="BO1009" s="95">
        <v>0.13300000000000001</v>
      </c>
      <c r="BP1009" s="96">
        <v>11.72</v>
      </c>
    </row>
    <row r="1010" spans="60:68" ht="15">
      <c r="BH1010" s="187">
        <v>43528</v>
      </c>
      <c r="BI1010" s="180">
        <v>-0.23</v>
      </c>
      <c r="BJ1010" s="191">
        <v>43528</v>
      </c>
      <c r="BK1010" s="192">
        <v>0.17899999999999999</v>
      </c>
      <c r="BN1010" s="94">
        <v>43552</v>
      </c>
      <c r="BO1010" s="95">
        <v>0.123</v>
      </c>
      <c r="BP1010" s="96">
        <v>11.72</v>
      </c>
    </row>
    <row r="1011" spans="60:68" ht="15">
      <c r="BH1011" s="187">
        <v>43529</v>
      </c>
      <c r="BI1011" s="180">
        <v>-0.23100000000000001</v>
      </c>
      <c r="BJ1011" s="191">
        <v>43529</v>
      </c>
      <c r="BK1011" s="192">
        <v>0.18</v>
      </c>
      <c r="BN1011" s="94">
        <v>43553</v>
      </c>
      <c r="BO1011" s="95">
        <v>0.112</v>
      </c>
      <c r="BP1011" s="96">
        <v>11.71</v>
      </c>
    </row>
    <row r="1012" spans="60:68" ht="15">
      <c r="BH1012" s="187">
        <v>43530</v>
      </c>
      <c r="BI1012" s="180">
        <v>-0.23200000000000001</v>
      </c>
      <c r="BJ1012" s="191">
        <v>43530</v>
      </c>
      <c r="BK1012" s="192">
        <v>0.17899999999999999</v>
      </c>
      <c r="BN1012" s="94">
        <v>43556</v>
      </c>
      <c r="BO1012" s="95">
        <v>0.10299999999999999</v>
      </c>
      <c r="BP1012" s="96">
        <v>11.7</v>
      </c>
    </row>
    <row r="1013" spans="60:68" ht="15">
      <c r="BH1013" s="187">
        <v>43531</v>
      </c>
      <c r="BI1013" s="180">
        <v>-0.23100000000000001</v>
      </c>
      <c r="BJ1013" s="191">
        <v>43531</v>
      </c>
      <c r="BK1013" s="192">
        <v>0.18099999999999999</v>
      </c>
      <c r="BN1013" s="94">
        <v>43557</v>
      </c>
      <c r="BO1013" s="95">
        <v>9.2999999999999999E-2</v>
      </c>
      <c r="BP1013" s="96">
        <v>11.7</v>
      </c>
    </row>
    <row r="1014" spans="60:68" ht="15">
      <c r="BH1014" s="187">
        <v>43532</v>
      </c>
      <c r="BI1014" s="180">
        <v>-0.23200000000000001</v>
      </c>
      <c r="BJ1014" s="191">
        <v>43532</v>
      </c>
      <c r="BK1014" s="192">
        <v>0.18</v>
      </c>
      <c r="BN1014" s="94">
        <v>43558</v>
      </c>
      <c r="BO1014" s="95">
        <v>8.6999999999999994E-2</v>
      </c>
      <c r="BP1014" s="96">
        <v>11.7</v>
      </c>
    </row>
    <row r="1015" spans="60:68" ht="15">
      <c r="BH1015" s="187">
        <v>43535</v>
      </c>
      <c r="BI1015" s="180">
        <v>-0.23200000000000001</v>
      </c>
      <c r="BJ1015" s="191">
        <v>43535</v>
      </c>
      <c r="BK1015" s="192">
        <v>0.17799999999999999</v>
      </c>
      <c r="BN1015" s="94">
        <v>43559</v>
      </c>
      <c r="BO1015" s="95">
        <v>8.3000000000000004E-2</v>
      </c>
      <c r="BP1015" s="96">
        <v>11.7</v>
      </c>
    </row>
    <row r="1016" spans="60:68" ht="15">
      <c r="BH1016" s="187">
        <v>43536</v>
      </c>
      <c r="BI1016" s="180">
        <v>-0.23100000000000001</v>
      </c>
      <c r="BJ1016" s="191">
        <v>43536</v>
      </c>
      <c r="BK1016" s="192">
        <v>0.17599999999999999</v>
      </c>
      <c r="BN1016" s="94">
        <v>43560</v>
      </c>
      <c r="BO1016" s="95">
        <v>0.08</v>
      </c>
      <c r="BP1016" s="96">
        <v>11.69</v>
      </c>
    </row>
    <row r="1017" spans="60:68" ht="15">
      <c r="BH1017" s="187">
        <v>43537</v>
      </c>
      <c r="BI1017" s="180">
        <v>-0.23200000000000001</v>
      </c>
      <c r="BJ1017" s="191">
        <v>43537</v>
      </c>
      <c r="BK1017" s="192">
        <v>0.17299999999999999</v>
      </c>
      <c r="BN1017" s="94">
        <v>43563</v>
      </c>
      <c r="BO1017" s="95">
        <v>7.5999999999999998E-2</v>
      </c>
      <c r="BP1017" s="96">
        <v>11.69</v>
      </c>
    </row>
    <row r="1018" spans="60:68" ht="15">
      <c r="BH1018" s="187">
        <v>43538</v>
      </c>
      <c r="BI1018" s="180">
        <v>-0.23200000000000001</v>
      </c>
      <c r="BJ1018" s="191">
        <v>43538</v>
      </c>
      <c r="BK1018" s="192">
        <v>0.17100000000000001</v>
      </c>
      <c r="BN1018" s="94">
        <v>43564</v>
      </c>
      <c r="BO1018" s="95">
        <v>7.1999999999999995E-2</v>
      </c>
      <c r="BP1018" s="96">
        <v>11.68</v>
      </c>
    </row>
    <row r="1019" spans="60:68" ht="15">
      <c r="BH1019" s="187">
        <v>43539</v>
      </c>
      <c r="BI1019" s="180">
        <v>-0.23200000000000001</v>
      </c>
      <c r="BJ1019" s="191">
        <v>43539</v>
      </c>
      <c r="BK1019" s="192">
        <v>0.16900000000000001</v>
      </c>
      <c r="BN1019" s="94">
        <v>43565</v>
      </c>
      <c r="BO1019" s="95">
        <v>6.8000000000000005E-2</v>
      </c>
      <c r="BP1019" s="96">
        <v>11.68</v>
      </c>
    </row>
    <row r="1020" spans="60:68" ht="15">
      <c r="BH1020" s="187">
        <v>43542</v>
      </c>
      <c r="BI1020" s="180">
        <v>-0.23100000000000001</v>
      </c>
      <c r="BJ1020" s="191">
        <v>43542</v>
      </c>
      <c r="BK1020" s="192">
        <v>0.16800000000000001</v>
      </c>
      <c r="BN1020" s="94">
        <v>43566</v>
      </c>
      <c r="BO1020" s="95">
        <v>6.3E-2</v>
      </c>
      <c r="BP1020" s="96">
        <v>11.65</v>
      </c>
    </row>
    <row r="1021" spans="60:68" ht="15">
      <c r="BH1021" s="187">
        <v>43543</v>
      </c>
      <c r="BI1021" s="180">
        <v>-0.23200000000000001</v>
      </c>
      <c r="BJ1021" s="191">
        <v>43543</v>
      </c>
      <c r="BK1021" s="192">
        <v>0.16600000000000001</v>
      </c>
      <c r="BN1021" s="94">
        <v>43567</v>
      </c>
      <c r="BO1021" s="95">
        <v>0.06</v>
      </c>
      <c r="BP1021" s="96">
        <v>11.65</v>
      </c>
    </row>
    <row r="1022" spans="60:68" ht="15">
      <c r="BH1022" s="187">
        <v>43544</v>
      </c>
      <c r="BI1022" s="180">
        <v>-0.23100000000000001</v>
      </c>
      <c r="BJ1022" s="191">
        <v>43544</v>
      </c>
      <c r="BK1022" s="192">
        <v>0.16500000000000001</v>
      </c>
      <c r="BN1022" s="94">
        <v>43570</v>
      </c>
      <c r="BO1022" s="95">
        <v>5.8000000000000003E-2</v>
      </c>
      <c r="BP1022" s="96">
        <v>11.64</v>
      </c>
    </row>
    <row r="1023" spans="60:68" ht="15">
      <c r="BH1023" s="187">
        <v>43545</v>
      </c>
      <c r="BI1023" s="180">
        <v>-0.22900000000000001</v>
      </c>
      <c r="BJ1023" s="191">
        <v>43545</v>
      </c>
      <c r="BK1023" s="192">
        <v>0.161</v>
      </c>
      <c r="BN1023" s="94">
        <v>43571</v>
      </c>
      <c r="BO1023" s="95">
        <v>5.6000000000000001E-2</v>
      </c>
      <c r="BP1023" s="96">
        <v>11.64</v>
      </c>
    </row>
    <row r="1024" spans="60:68" ht="15">
      <c r="BH1024" s="187">
        <v>43546</v>
      </c>
      <c r="BI1024" s="180">
        <v>-0.22800000000000001</v>
      </c>
      <c r="BJ1024" s="191">
        <v>43546</v>
      </c>
      <c r="BK1024" s="192">
        <v>0.155</v>
      </c>
      <c r="BN1024" s="94">
        <v>43572</v>
      </c>
      <c r="BO1024" s="95">
        <v>5.5E-2</v>
      </c>
      <c r="BP1024" s="96">
        <v>11.63</v>
      </c>
    </row>
    <row r="1025" spans="60:68" ht="15">
      <c r="BH1025" s="187">
        <v>43549</v>
      </c>
      <c r="BI1025" s="180">
        <v>-0.22800000000000001</v>
      </c>
      <c r="BJ1025" s="191">
        <v>43549</v>
      </c>
      <c r="BK1025" s="192">
        <v>0.14899999999999999</v>
      </c>
      <c r="BN1025" s="94">
        <v>43573</v>
      </c>
      <c r="BO1025" s="95">
        <v>5.3999999999999999E-2</v>
      </c>
      <c r="BP1025" s="96">
        <v>11.63</v>
      </c>
    </row>
    <row r="1026" spans="60:68" ht="15">
      <c r="BH1026" s="187">
        <v>43550</v>
      </c>
      <c r="BI1026" s="180">
        <v>-0.22800000000000001</v>
      </c>
      <c r="BJ1026" s="191">
        <v>43550</v>
      </c>
      <c r="BK1026" s="192">
        <v>0.14199999999999999</v>
      </c>
      <c r="BN1026" s="94">
        <v>43574</v>
      </c>
      <c r="BO1026" s="95">
        <v>5.5E-2</v>
      </c>
      <c r="BP1026" s="96">
        <v>11.63</v>
      </c>
    </row>
    <row r="1027" spans="60:68" ht="15">
      <c r="BH1027" s="187">
        <v>43551</v>
      </c>
      <c r="BI1027" s="180">
        <v>-0.22700000000000001</v>
      </c>
      <c r="BJ1027" s="191">
        <v>43551</v>
      </c>
      <c r="BK1027" s="192">
        <v>0.13300000000000001</v>
      </c>
      <c r="BN1027" s="94">
        <v>43578</v>
      </c>
      <c r="BO1027" s="95">
        <v>5.7000000000000002E-2</v>
      </c>
      <c r="BP1027" s="96">
        <v>11.62</v>
      </c>
    </row>
    <row r="1028" spans="60:68" ht="15">
      <c r="BH1028" s="187">
        <v>43552</v>
      </c>
      <c r="BI1028" s="180">
        <v>-0.22800000000000001</v>
      </c>
      <c r="BJ1028" s="191">
        <v>43552</v>
      </c>
      <c r="BK1028" s="192">
        <v>0.123</v>
      </c>
      <c r="BN1028" s="94">
        <v>43579</v>
      </c>
      <c r="BO1028" s="95">
        <v>5.7000000000000002E-2</v>
      </c>
      <c r="BP1028" s="96">
        <v>11.61</v>
      </c>
    </row>
    <row r="1029" spans="60:68" ht="15">
      <c r="BH1029" s="187">
        <v>43553</v>
      </c>
      <c r="BI1029" s="180">
        <v>-0.22800000000000001</v>
      </c>
      <c r="BJ1029" s="191">
        <v>43553</v>
      </c>
      <c r="BK1029" s="192">
        <v>0.112</v>
      </c>
      <c r="BN1029" s="94">
        <v>43580</v>
      </c>
      <c r="BO1029" s="95">
        <v>5.8999999999999997E-2</v>
      </c>
      <c r="BP1029" s="96">
        <v>11.61</v>
      </c>
    </row>
    <row r="1030" spans="60:68" ht="15">
      <c r="BH1030" s="187">
        <v>43556</v>
      </c>
      <c r="BI1030" s="180">
        <v>-0.22800000000000001</v>
      </c>
      <c r="BJ1030" s="191">
        <v>43556</v>
      </c>
      <c r="BK1030" s="192">
        <v>0.10299999999999999</v>
      </c>
      <c r="BN1030" s="94">
        <v>43581</v>
      </c>
      <c r="BO1030" s="95">
        <v>6.0999999999999999E-2</v>
      </c>
      <c r="BP1030" s="96">
        <v>11.61</v>
      </c>
    </row>
    <row r="1031" spans="60:68" ht="15">
      <c r="BH1031" s="187">
        <v>43557</v>
      </c>
      <c r="BI1031" s="180">
        <v>-0.23</v>
      </c>
      <c r="BJ1031" s="191">
        <v>43557</v>
      </c>
      <c r="BK1031" s="192">
        <v>9.2999999999999999E-2</v>
      </c>
      <c r="BN1031" s="94">
        <v>43584</v>
      </c>
      <c r="BO1031" s="95">
        <v>6.3E-2</v>
      </c>
      <c r="BP1031" s="96">
        <v>11.6</v>
      </c>
    </row>
    <row r="1032" spans="60:68" ht="15">
      <c r="BH1032" s="187">
        <v>43558</v>
      </c>
      <c r="BI1032" s="180">
        <v>-0.23</v>
      </c>
      <c r="BJ1032" s="191">
        <v>43558</v>
      </c>
      <c r="BK1032" s="192">
        <v>8.6999999999999994E-2</v>
      </c>
      <c r="BN1032" s="94">
        <v>43585</v>
      </c>
      <c r="BO1032" s="95">
        <v>6.5000000000000002E-2</v>
      </c>
      <c r="BP1032" s="96">
        <v>11.6</v>
      </c>
    </row>
    <row r="1033" spans="60:68" ht="15">
      <c r="BH1033" s="187">
        <v>43559</v>
      </c>
      <c r="BI1033" s="180">
        <v>-0.23</v>
      </c>
      <c r="BJ1033" s="191">
        <v>43559</v>
      </c>
      <c r="BK1033" s="192">
        <v>8.3000000000000004E-2</v>
      </c>
      <c r="BN1033" s="94">
        <v>43587</v>
      </c>
      <c r="BO1033" s="95">
        <v>6.6000000000000003E-2</v>
      </c>
      <c r="BP1033" s="96">
        <v>11.59</v>
      </c>
    </row>
    <row r="1034" spans="60:68" ht="15">
      <c r="BH1034" s="187">
        <v>43560</v>
      </c>
      <c r="BI1034" s="180">
        <v>-0.23100000000000001</v>
      </c>
      <c r="BJ1034" s="191">
        <v>43560</v>
      </c>
      <c r="BK1034" s="192">
        <v>0.08</v>
      </c>
      <c r="BN1034" s="94">
        <v>43588</v>
      </c>
      <c r="BO1034" s="95">
        <v>6.6000000000000003E-2</v>
      </c>
      <c r="BP1034" s="96">
        <v>11.59</v>
      </c>
    </row>
    <row r="1035" spans="60:68" ht="15">
      <c r="BH1035" s="187">
        <v>43563</v>
      </c>
      <c r="BI1035" s="180">
        <v>-0.23100000000000001</v>
      </c>
      <c r="BJ1035" s="191">
        <v>43563</v>
      </c>
      <c r="BK1035" s="192">
        <v>7.5999999999999998E-2</v>
      </c>
      <c r="BN1035" s="94">
        <v>43591</v>
      </c>
      <c r="BO1035" s="95">
        <v>6.6000000000000003E-2</v>
      </c>
      <c r="BP1035" s="96">
        <v>11.58</v>
      </c>
    </row>
    <row r="1036" spans="60:68" ht="15">
      <c r="BH1036" s="187">
        <v>43564</v>
      </c>
      <c r="BI1036" s="180">
        <v>-0.23100000000000001</v>
      </c>
      <c r="BJ1036" s="191">
        <v>43564</v>
      </c>
      <c r="BK1036" s="192">
        <v>7.1999999999999995E-2</v>
      </c>
      <c r="BN1036" s="94">
        <v>43592</v>
      </c>
      <c r="BO1036" s="95">
        <v>6.3E-2</v>
      </c>
      <c r="BP1036" s="96">
        <v>11.58</v>
      </c>
    </row>
    <row r="1037" spans="60:68" ht="15">
      <c r="BH1037" s="187">
        <v>43565</v>
      </c>
      <c r="BI1037" s="180">
        <v>-0.23100000000000001</v>
      </c>
      <c r="BJ1037" s="191">
        <v>43565</v>
      </c>
      <c r="BK1037" s="192">
        <v>6.8000000000000005E-2</v>
      </c>
      <c r="BN1037" s="94">
        <v>43593</v>
      </c>
      <c r="BO1037" s="95">
        <v>6.0999999999999999E-2</v>
      </c>
      <c r="BP1037" s="96">
        <v>11.58</v>
      </c>
    </row>
    <row r="1038" spans="60:68" ht="15">
      <c r="BH1038" s="187">
        <v>43566</v>
      </c>
      <c r="BI1038" s="180">
        <v>-0.23200000000000001</v>
      </c>
      <c r="BJ1038" s="191">
        <v>43566</v>
      </c>
      <c r="BK1038" s="192">
        <v>6.3E-2</v>
      </c>
      <c r="BN1038" s="94">
        <v>43594</v>
      </c>
      <c r="BO1038" s="95">
        <v>5.8999999999999997E-2</v>
      </c>
      <c r="BP1038" s="96">
        <v>11.54</v>
      </c>
    </row>
    <row r="1039" spans="60:68" ht="15">
      <c r="BH1039" s="187">
        <v>43567</v>
      </c>
      <c r="BI1039" s="180">
        <v>-0.23200000000000001</v>
      </c>
      <c r="BJ1039" s="191">
        <v>43567</v>
      </c>
      <c r="BK1039" s="192">
        <v>0.06</v>
      </c>
      <c r="BN1039" s="94">
        <v>43595</v>
      </c>
      <c r="BO1039" s="95">
        <v>5.8000000000000003E-2</v>
      </c>
      <c r="BP1039" s="96">
        <v>11.54</v>
      </c>
    </row>
    <row r="1040" spans="60:68" ht="15">
      <c r="BH1040" s="187">
        <v>43570</v>
      </c>
      <c r="BI1040" s="180">
        <v>-0.23100000000000001</v>
      </c>
      <c r="BJ1040" s="191">
        <v>43570</v>
      </c>
      <c r="BK1040" s="192">
        <v>5.8000000000000003E-2</v>
      </c>
      <c r="BN1040" s="94">
        <v>43598</v>
      </c>
      <c r="BO1040" s="95">
        <v>5.7000000000000002E-2</v>
      </c>
      <c r="BP1040" s="96">
        <v>11.53</v>
      </c>
    </row>
    <row r="1041" spans="60:68" ht="15">
      <c r="BH1041" s="187">
        <v>43571</v>
      </c>
      <c r="BI1041" s="180">
        <v>-0.23200000000000001</v>
      </c>
      <c r="BJ1041" s="191">
        <v>43571</v>
      </c>
      <c r="BK1041" s="192">
        <v>5.6000000000000001E-2</v>
      </c>
      <c r="BN1041" s="94">
        <v>43599</v>
      </c>
      <c r="BO1041" s="95">
        <v>5.2999999999999999E-2</v>
      </c>
      <c r="BP1041" s="96">
        <v>11.53</v>
      </c>
    </row>
    <row r="1042" spans="60:68" ht="15">
      <c r="BH1042" s="187">
        <v>43572</v>
      </c>
      <c r="BI1042" s="180">
        <v>-0.23200000000000001</v>
      </c>
      <c r="BJ1042" s="191">
        <v>43572</v>
      </c>
      <c r="BK1042" s="192">
        <v>5.5E-2</v>
      </c>
      <c r="BN1042" s="94">
        <v>43600</v>
      </c>
      <c r="BO1042" s="95">
        <v>4.7E-2</v>
      </c>
      <c r="BP1042" s="96">
        <v>11.53</v>
      </c>
    </row>
    <row r="1043" spans="60:68" ht="15">
      <c r="BH1043" s="187">
        <v>43573</v>
      </c>
      <c r="BI1043" s="180">
        <v>-0.23200000000000001</v>
      </c>
      <c r="BJ1043" s="191">
        <v>43573</v>
      </c>
      <c r="BK1043" s="192">
        <v>5.3999999999999999E-2</v>
      </c>
      <c r="BN1043" s="94">
        <v>43601</v>
      </c>
      <c r="BO1043" s="95">
        <v>4.1000000000000002E-2</v>
      </c>
      <c r="BP1043" s="96">
        <v>11.53</v>
      </c>
    </row>
    <row r="1044" spans="60:68" ht="15">
      <c r="BH1044" s="187">
        <v>43574</v>
      </c>
      <c r="BI1044" s="180">
        <v>-0.23200000000000001</v>
      </c>
      <c r="BJ1044" s="191">
        <v>43574</v>
      </c>
      <c r="BK1044" s="192">
        <v>5.5E-2</v>
      </c>
      <c r="BN1044" s="94">
        <v>43602</v>
      </c>
      <c r="BO1044" s="95">
        <v>3.4000000000000002E-2</v>
      </c>
      <c r="BP1044" s="96">
        <v>11.52</v>
      </c>
    </row>
    <row r="1045" spans="60:68" ht="15">
      <c r="BH1045" s="187">
        <v>43577</v>
      </c>
      <c r="BI1045" s="180">
        <v>-0.23200000000000001</v>
      </c>
      <c r="BJ1045" s="191"/>
      <c r="BK1045" s="193">
        <f>+BK1044</f>
        <v>5.5E-2</v>
      </c>
      <c r="BN1045" s="94">
        <v>43605</v>
      </c>
      <c r="BO1045" s="95">
        <v>2.9000000000000001E-2</v>
      </c>
      <c r="BP1045" s="96">
        <v>11.51</v>
      </c>
    </row>
    <row r="1046" spans="60:68" ht="15">
      <c r="BH1046" s="187">
        <v>43578</v>
      </c>
      <c r="BI1046" s="180">
        <v>-0.23</v>
      </c>
      <c r="BJ1046" s="191">
        <v>43578</v>
      </c>
      <c r="BK1046" s="192">
        <v>5.7000000000000002E-2</v>
      </c>
      <c r="BN1046" s="94">
        <v>43606</v>
      </c>
      <c r="BO1046" s="95">
        <v>2.8000000000000001E-2</v>
      </c>
      <c r="BP1046" s="96">
        <v>11.51</v>
      </c>
    </row>
    <row r="1047" spans="60:68" ht="15">
      <c r="BH1047" s="187">
        <v>43579</v>
      </c>
      <c r="BI1047" s="180">
        <v>-0.23100000000000001</v>
      </c>
      <c r="BJ1047" s="191">
        <v>43579</v>
      </c>
      <c r="BK1047" s="192">
        <v>5.7000000000000002E-2</v>
      </c>
      <c r="BN1047" s="94">
        <v>43607</v>
      </c>
      <c r="BO1047" s="95">
        <v>2.5000000000000001E-2</v>
      </c>
      <c r="BP1047" s="96">
        <v>11.51</v>
      </c>
    </row>
    <row r="1048" spans="60:68" ht="15">
      <c r="BH1048" s="187">
        <v>43580</v>
      </c>
      <c r="BI1048" s="180">
        <v>-0.23</v>
      </c>
      <c r="BJ1048" s="191">
        <v>43580</v>
      </c>
      <c r="BK1048" s="192">
        <v>5.8999999999999997E-2</v>
      </c>
      <c r="BN1048" s="94">
        <v>43608</v>
      </c>
      <c r="BO1048" s="95">
        <v>2.1000000000000001E-2</v>
      </c>
      <c r="BP1048" s="96">
        <v>11.51</v>
      </c>
    </row>
    <row r="1049" spans="60:68" ht="15">
      <c r="BH1049" s="187">
        <v>43581</v>
      </c>
      <c r="BI1049" s="180">
        <v>-0.22900000000000001</v>
      </c>
      <c r="BJ1049" s="191">
        <v>43581</v>
      </c>
      <c r="BK1049" s="192">
        <v>6.0999999999999999E-2</v>
      </c>
      <c r="BN1049" s="94">
        <v>43609</v>
      </c>
      <c r="BO1049" s="95">
        <v>1.7999999999999999E-2</v>
      </c>
      <c r="BP1049" s="96">
        <v>11.5</v>
      </c>
    </row>
    <row r="1050" spans="60:68" ht="15">
      <c r="BH1050" s="187">
        <v>43584</v>
      </c>
      <c r="BI1050" s="180">
        <v>-0.23100000000000001</v>
      </c>
      <c r="BJ1050" s="191">
        <v>43584</v>
      </c>
      <c r="BK1050" s="192">
        <v>6.3E-2</v>
      </c>
      <c r="BN1050" s="94">
        <v>43612</v>
      </c>
      <c r="BO1050" s="95">
        <v>1.4E-2</v>
      </c>
      <c r="BP1050" s="96">
        <v>11.5</v>
      </c>
    </row>
    <row r="1051" spans="60:68" ht="15">
      <c r="BH1051" s="187">
        <v>43585</v>
      </c>
      <c r="BI1051" s="180">
        <v>-0.23100000000000001</v>
      </c>
      <c r="BJ1051" s="191">
        <v>43585</v>
      </c>
      <c r="BK1051" s="192">
        <v>6.5000000000000002E-2</v>
      </c>
      <c r="BN1051" s="94">
        <v>43613</v>
      </c>
      <c r="BO1051" s="95">
        <v>8.9999999999999993E-3</v>
      </c>
      <c r="BP1051" s="96">
        <v>11.49</v>
      </c>
    </row>
    <row r="1052" spans="60:68" ht="15">
      <c r="BH1052" s="187">
        <v>43586</v>
      </c>
      <c r="BI1052" s="180">
        <v>-0.23100000000000001</v>
      </c>
      <c r="BJ1052" s="191"/>
      <c r="BK1052" s="193">
        <f>+BK1051</f>
        <v>6.5000000000000002E-2</v>
      </c>
      <c r="BL1052" s="111">
        <f>+(BI1052+BK1052)/2+0.37</f>
        <v>0.28699999999999998</v>
      </c>
      <c r="BN1052" s="94">
        <v>43614</v>
      </c>
      <c r="BO1052" s="95">
        <v>3.0000000000000001E-3</v>
      </c>
      <c r="BP1052" s="96">
        <v>11.49</v>
      </c>
    </row>
    <row r="1053" spans="60:68" ht="15">
      <c r="BH1053" s="187">
        <v>43587</v>
      </c>
      <c r="BI1053" s="180">
        <v>-0.23200000000000001</v>
      </c>
      <c r="BJ1053" s="191">
        <v>43587</v>
      </c>
      <c r="BK1053" s="192">
        <v>6.6000000000000003E-2</v>
      </c>
      <c r="BN1053" s="94">
        <v>43616</v>
      </c>
      <c r="BO1053" s="95" t="s">
        <v>126</v>
      </c>
      <c r="BP1053" s="96">
        <v>11.48</v>
      </c>
    </row>
    <row r="1054" spans="60:68" ht="15">
      <c r="BH1054" s="187">
        <v>43588</v>
      </c>
      <c r="BI1054" s="180">
        <v>-0.23</v>
      </c>
      <c r="BJ1054" s="191">
        <v>43588</v>
      </c>
      <c r="BK1054" s="192">
        <v>6.6000000000000003E-2</v>
      </c>
      <c r="BN1054" s="94">
        <v>43619</v>
      </c>
      <c r="BO1054" s="95" t="s">
        <v>127</v>
      </c>
      <c r="BP1054" s="96">
        <v>11.48</v>
      </c>
    </row>
    <row r="1055" spans="60:68" ht="15">
      <c r="BH1055" s="187">
        <v>43591</v>
      </c>
      <c r="BI1055" s="180">
        <v>-0.23</v>
      </c>
      <c r="BJ1055" s="191">
        <v>43591</v>
      </c>
      <c r="BK1055" s="192">
        <v>6.6000000000000003E-2</v>
      </c>
      <c r="BN1055" s="94">
        <v>43620</v>
      </c>
      <c r="BO1055" s="95" t="s">
        <v>128</v>
      </c>
      <c r="BP1055" s="96">
        <v>11.47</v>
      </c>
    </row>
    <row r="1056" spans="60:68" ht="15">
      <c r="BH1056" s="187">
        <v>43592</v>
      </c>
      <c r="BI1056" s="180">
        <v>-0.22900000000000001</v>
      </c>
      <c r="BJ1056" s="191">
        <v>43592</v>
      </c>
      <c r="BK1056" s="192">
        <v>6.3E-2</v>
      </c>
      <c r="BN1056" s="94">
        <v>43621</v>
      </c>
      <c r="BO1056" s="95" t="s">
        <v>129</v>
      </c>
      <c r="BP1056" s="96">
        <v>11.47</v>
      </c>
    </row>
    <row r="1057" spans="60:68" ht="15">
      <c r="BH1057" s="187">
        <v>43593</v>
      </c>
      <c r="BI1057" s="180">
        <v>-0.23</v>
      </c>
      <c r="BJ1057" s="191">
        <v>43593</v>
      </c>
      <c r="BK1057" s="192">
        <v>6.0999999999999999E-2</v>
      </c>
      <c r="BN1057" s="94">
        <v>43622</v>
      </c>
      <c r="BO1057" s="95" t="s">
        <v>130</v>
      </c>
      <c r="BP1057" s="96">
        <v>11.47</v>
      </c>
    </row>
    <row r="1058" spans="60:68" ht="15">
      <c r="BH1058" s="187">
        <v>43594</v>
      </c>
      <c r="BI1058" s="180">
        <v>-0.23100000000000001</v>
      </c>
      <c r="BJ1058" s="191">
        <v>43594</v>
      </c>
      <c r="BK1058" s="192">
        <v>5.8999999999999997E-2</v>
      </c>
      <c r="BN1058" s="94">
        <v>43623</v>
      </c>
      <c r="BO1058" s="95" t="s">
        <v>131</v>
      </c>
      <c r="BP1058" s="96">
        <v>11.47</v>
      </c>
    </row>
    <row r="1059" spans="60:68" ht="15">
      <c r="BH1059" s="187">
        <v>43595</v>
      </c>
      <c r="BI1059" s="180">
        <v>-0.23100000000000001</v>
      </c>
      <c r="BJ1059" s="191">
        <v>43595</v>
      </c>
      <c r="BK1059" s="192">
        <v>5.8000000000000003E-2</v>
      </c>
      <c r="BN1059" s="94">
        <v>43627</v>
      </c>
      <c r="BO1059" s="95" t="s">
        <v>61</v>
      </c>
      <c r="BP1059" s="96">
        <v>11.46</v>
      </c>
    </row>
    <row r="1060" spans="60:68" ht="15">
      <c r="BH1060" s="187">
        <v>43598</v>
      </c>
      <c r="BI1060" s="180">
        <v>-0.23100000000000001</v>
      </c>
      <c r="BJ1060" s="191">
        <v>43598</v>
      </c>
      <c r="BK1060" s="192">
        <v>5.7000000000000002E-2</v>
      </c>
      <c r="BN1060" s="94">
        <v>43628</v>
      </c>
      <c r="BO1060" s="95" t="s">
        <v>132</v>
      </c>
      <c r="BP1060" s="96">
        <v>11.46</v>
      </c>
    </row>
    <row r="1061" spans="60:68" ht="15">
      <c r="BH1061" s="187">
        <v>43599</v>
      </c>
      <c r="BI1061" s="180">
        <v>-0.23200000000000001</v>
      </c>
      <c r="BJ1061" s="191">
        <v>43599</v>
      </c>
      <c r="BK1061" s="192">
        <v>5.2999999999999999E-2</v>
      </c>
      <c r="BN1061" s="94">
        <v>43629</v>
      </c>
      <c r="BO1061" s="95" t="s">
        <v>133</v>
      </c>
      <c r="BP1061" s="96">
        <v>11.45</v>
      </c>
    </row>
    <row r="1062" spans="60:68" ht="15">
      <c r="BH1062" s="187">
        <v>43600</v>
      </c>
      <c r="BI1062" s="180">
        <v>-0.23499999999999999</v>
      </c>
      <c r="BJ1062" s="191">
        <v>43600</v>
      </c>
      <c r="BK1062" s="192">
        <v>4.7E-2</v>
      </c>
      <c r="BN1062" s="94">
        <v>43630</v>
      </c>
      <c r="BO1062" s="95" t="s">
        <v>118</v>
      </c>
      <c r="BP1062" s="96">
        <v>11.45</v>
      </c>
    </row>
    <row r="1063" spans="60:68" ht="15">
      <c r="BH1063" s="187">
        <v>43601</v>
      </c>
      <c r="BI1063" s="180">
        <v>-0.23699999999999999</v>
      </c>
      <c r="BJ1063" s="191">
        <v>43601</v>
      </c>
      <c r="BK1063" s="192">
        <v>4.1000000000000002E-2</v>
      </c>
      <c r="BN1063" s="94">
        <v>43633</v>
      </c>
      <c r="BO1063" s="95" t="s">
        <v>134</v>
      </c>
      <c r="BP1063" s="96">
        <v>11.44</v>
      </c>
    </row>
    <row r="1064" spans="60:68" ht="15">
      <c r="BH1064" s="187">
        <v>43602</v>
      </c>
      <c r="BI1064" s="180">
        <v>-0.24</v>
      </c>
      <c r="BJ1064" s="191">
        <v>43602</v>
      </c>
      <c r="BK1064" s="192">
        <v>3.4000000000000002E-2</v>
      </c>
      <c r="BN1064" s="94">
        <v>43634</v>
      </c>
      <c r="BO1064" s="95" t="s">
        <v>135</v>
      </c>
      <c r="BP1064" s="96">
        <v>11.44</v>
      </c>
    </row>
    <row r="1065" spans="60:68" ht="15">
      <c r="BH1065" s="187">
        <v>43605</v>
      </c>
      <c r="BI1065" s="180">
        <v>-0.24099999999999999</v>
      </c>
      <c r="BJ1065" s="191">
        <v>43605</v>
      </c>
      <c r="BK1065" s="192">
        <v>2.9000000000000001E-2</v>
      </c>
      <c r="BN1065" s="94">
        <v>43635</v>
      </c>
      <c r="BO1065" s="95" t="s">
        <v>136</v>
      </c>
      <c r="BP1065" s="96">
        <v>11.44</v>
      </c>
    </row>
    <row r="1066" spans="60:68" ht="15">
      <c r="BH1066" s="187">
        <v>43606</v>
      </c>
      <c r="BI1066" s="180">
        <v>-0.24399999999999999</v>
      </c>
      <c r="BJ1066" s="191">
        <v>43606</v>
      </c>
      <c r="BK1066" s="192">
        <v>2.8000000000000001E-2</v>
      </c>
      <c r="BN1066" s="94">
        <v>43637</v>
      </c>
      <c r="BO1066" s="95" t="s">
        <v>137</v>
      </c>
      <c r="BP1066" s="96">
        <v>11.43</v>
      </c>
    </row>
    <row r="1067" spans="60:68" ht="15">
      <c r="BH1067" s="187">
        <v>43607</v>
      </c>
      <c r="BI1067" s="180">
        <v>-0.24199999999999999</v>
      </c>
      <c r="BJ1067" s="191">
        <v>43607</v>
      </c>
      <c r="BK1067" s="192">
        <v>2.5000000000000001E-2</v>
      </c>
      <c r="BN1067" s="94">
        <v>43640</v>
      </c>
      <c r="BO1067" s="95" t="s">
        <v>138</v>
      </c>
      <c r="BP1067" s="96">
        <v>11.42</v>
      </c>
    </row>
    <row r="1068" spans="60:68" ht="15">
      <c r="BH1068" s="187">
        <v>43608</v>
      </c>
      <c r="BI1068" s="180">
        <v>-0.24199999999999999</v>
      </c>
      <c r="BJ1068" s="191">
        <v>43608</v>
      </c>
      <c r="BK1068" s="192">
        <v>2.1000000000000001E-2</v>
      </c>
      <c r="BN1068" s="94">
        <v>43641</v>
      </c>
      <c r="BO1068" s="95" t="s">
        <v>139</v>
      </c>
      <c r="BP1068" s="96">
        <v>11.42</v>
      </c>
    </row>
    <row r="1069" spans="60:68" ht="15">
      <c r="BH1069" s="187">
        <v>43609</v>
      </c>
      <c r="BI1069" s="180">
        <v>-0.24099999999999999</v>
      </c>
      <c r="BJ1069" s="191">
        <v>43609</v>
      </c>
      <c r="BK1069" s="192">
        <v>1.7999999999999999E-2</v>
      </c>
      <c r="BN1069" s="94">
        <v>43642</v>
      </c>
      <c r="BO1069" s="95" t="s">
        <v>140</v>
      </c>
      <c r="BP1069" s="96">
        <v>11.42</v>
      </c>
    </row>
    <row r="1070" spans="60:68" ht="15">
      <c r="BH1070" s="187">
        <v>43612</v>
      </c>
      <c r="BI1070" s="180">
        <v>-0.24</v>
      </c>
      <c r="BJ1070" s="191">
        <v>43612</v>
      </c>
      <c r="BK1070" s="192">
        <v>1.4E-2</v>
      </c>
      <c r="BN1070" s="94">
        <v>43643</v>
      </c>
      <c r="BO1070" s="95" t="s">
        <v>141</v>
      </c>
      <c r="BP1070" s="96">
        <v>11.41</v>
      </c>
    </row>
    <row r="1071" spans="60:68" ht="15">
      <c r="BH1071" s="187">
        <v>43613</v>
      </c>
      <c r="BI1071" s="180">
        <v>-0.24199999999999999</v>
      </c>
      <c r="BJ1071" s="191">
        <v>43613</v>
      </c>
      <c r="BK1071" s="192">
        <v>8.9999999999999993E-3</v>
      </c>
      <c r="BN1071" s="94">
        <v>43644</v>
      </c>
      <c r="BO1071" s="95" t="s">
        <v>142</v>
      </c>
      <c r="BP1071" s="96">
        <v>11.41</v>
      </c>
    </row>
    <row r="1072" spans="60:68" ht="15">
      <c r="BH1072" s="187">
        <v>43614</v>
      </c>
      <c r="BI1072" s="180">
        <v>-0.245</v>
      </c>
      <c r="BJ1072" s="191">
        <v>43614</v>
      </c>
      <c r="BK1072" s="192">
        <v>3.0000000000000001E-3</v>
      </c>
      <c r="BN1072" s="94">
        <v>43647</v>
      </c>
      <c r="BO1072" s="95" t="s">
        <v>143</v>
      </c>
      <c r="BP1072" s="96">
        <v>11.4</v>
      </c>
    </row>
    <row r="1073" spans="60:68" ht="15">
      <c r="BH1073" s="187">
        <v>43615</v>
      </c>
      <c r="BI1073" s="180">
        <v>-0.247</v>
      </c>
      <c r="BJ1073" s="191"/>
      <c r="BK1073" s="193">
        <f>+BK1072</f>
        <v>3.0000000000000001E-3</v>
      </c>
      <c r="BN1073" s="94">
        <v>43648</v>
      </c>
      <c r="BO1073" s="95" t="s">
        <v>97</v>
      </c>
      <c r="BP1073" s="96">
        <v>11.83</v>
      </c>
    </row>
    <row r="1074" spans="60:68" ht="15">
      <c r="BH1074" s="187">
        <v>43616</v>
      </c>
      <c r="BI1074" s="180">
        <v>-0.25</v>
      </c>
      <c r="BJ1074" s="191">
        <v>43616</v>
      </c>
      <c r="BK1074" s="192" t="s">
        <v>126</v>
      </c>
      <c r="BN1074" s="94">
        <v>43649</v>
      </c>
      <c r="BO1074" s="95" t="s">
        <v>79</v>
      </c>
      <c r="BP1074" s="96">
        <v>11.83</v>
      </c>
    </row>
    <row r="1075" spans="60:68" ht="15">
      <c r="BH1075" s="187">
        <v>43619</v>
      </c>
      <c r="BI1075" s="180">
        <v>-0.254</v>
      </c>
      <c r="BJ1075" s="191">
        <v>43619</v>
      </c>
      <c r="BK1075" s="192" t="s">
        <v>127</v>
      </c>
      <c r="BN1075" s="94">
        <v>43650</v>
      </c>
      <c r="BO1075" s="95" t="s">
        <v>83</v>
      </c>
      <c r="BP1075" s="96">
        <v>11.83</v>
      </c>
    </row>
    <row r="1076" spans="60:68" ht="15">
      <c r="BH1076" s="187">
        <v>43620</v>
      </c>
      <c r="BI1076" s="180">
        <v>-0.254</v>
      </c>
      <c r="BJ1076" s="191">
        <v>43620</v>
      </c>
      <c r="BK1076" s="192" t="s">
        <v>128</v>
      </c>
      <c r="BN1076" s="94">
        <v>43651</v>
      </c>
      <c r="BO1076" s="95" t="s">
        <v>86</v>
      </c>
      <c r="BP1076" s="96">
        <v>11.82</v>
      </c>
    </row>
    <row r="1077" spans="60:68" ht="15">
      <c r="BH1077" s="187">
        <v>43621</v>
      </c>
      <c r="BI1077" s="180">
        <v>-0.254</v>
      </c>
      <c r="BJ1077" s="191">
        <v>43621</v>
      </c>
      <c r="BK1077" s="192" t="s">
        <v>129</v>
      </c>
      <c r="BN1077" s="94">
        <v>43654</v>
      </c>
      <c r="BO1077" s="95" t="s">
        <v>88</v>
      </c>
      <c r="BP1077" s="96">
        <v>11.82</v>
      </c>
    </row>
    <row r="1078" spans="60:68" ht="15">
      <c r="BH1078" s="187">
        <v>43622</v>
      </c>
      <c r="BI1078" s="180">
        <v>-0.25900000000000001</v>
      </c>
      <c r="BJ1078" s="191">
        <v>43622</v>
      </c>
      <c r="BK1078" s="192" t="s">
        <v>130</v>
      </c>
      <c r="BN1078" s="94">
        <v>43655</v>
      </c>
      <c r="BO1078" s="95" t="s">
        <v>94</v>
      </c>
      <c r="BP1078" s="96">
        <v>11.81</v>
      </c>
    </row>
    <row r="1079" spans="60:68" ht="15">
      <c r="BH1079" s="187">
        <v>43623</v>
      </c>
      <c r="BI1079" s="180">
        <v>-0.25600000000000001</v>
      </c>
      <c r="BJ1079" s="191">
        <v>43623</v>
      </c>
      <c r="BK1079" s="192" t="s">
        <v>131</v>
      </c>
      <c r="BN1079" s="94">
        <v>43656</v>
      </c>
      <c r="BO1079" s="95" t="s">
        <v>92</v>
      </c>
      <c r="BP1079" s="96">
        <v>11.81</v>
      </c>
    </row>
    <row r="1080" spans="60:68" ht="15">
      <c r="BH1080" s="187">
        <v>43626</v>
      </c>
      <c r="BI1080" s="180">
        <v>-0.25800000000000001</v>
      </c>
      <c r="BJ1080" s="191"/>
      <c r="BK1080" s="193" t="str">
        <f>+BK1079</f>
        <v>−0,034</v>
      </c>
      <c r="BN1080" s="94">
        <v>43657</v>
      </c>
      <c r="BO1080" s="95" t="s">
        <v>144</v>
      </c>
      <c r="BP1080" s="96">
        <v>11.81</v>
      </c>
    </row>
    <row r="1081" spans="60:68" ht="15">
      <c r="BH1081" s="187">
        <v>43627</v>
      </c>
      <c r="BI1081" s="180">
        <v>-0.25800000000000001</v>
      </c>
      <c r="BJ1081" s="191">
        <v>43627</v>
      </c>
      <c r="BK1081" s="192" t="s">
        <v>61</v>
      </c>
      <c r="BN1081" s="94">
        <v>43658</v>
      </c>
      <c r="BO1081" s="95" t="s">
        <v>145</v>
      </c>
      <c r="BP1081" s="96">
        <v>11.81</v>
      </c>
    </row>
    <row r="1082" spans="60:68" ht="15">
      <c r="BH1082" s="187">
        <v>43628</v>
      </c>
      <c r="BI1082" s="180">
        <v>-0.25900000000000001</v>
      </c>
      <c r="BJ1082" s="191">
        <v>43628</v>
      </c>
      <c r="BK1082" s="192" t="s">
        <v>132</v>
      </c>
      <c r="BN1082" s="94">
        <v>43661</v>
      </c>
      <c r="BO1082" s="95" t="s">
        <v>84</v>
      </c>
      <c r="BP1082" s="96">
        <v>12.64</v>
      </c>
    </row>
    <row r="1083" spans="60:68" ht="15">
      <c r="BH1083" s="187">
        <v>43629</v>
      </c>
      <c r="BI1083" s="180">
        <v>-0.25900000000000001</v>
      </c>
      <c r="BJ1083" s="191">
        <v>43629</v>
      </c>
      <c r="BK1083" s="192" t="s">
        <v>133</v>
      </c>
      <c r="BN1083" s="94">
        <v>43662</v>
      </c>
      <c r="BO1083" s="95" t="s">
        <v>146</v>
      </c>
      <c r="BP1083" s="96">
        <v>12.64</v>
      </c>
    </row>
    <row r="1084" spans="60:68" ht="15">
      <c r="BH1084" s="187">
        <v>43630</v>
      </c>
      <c r="BI1084" s="180">
        <v>-0.26100000000000001</v>
      </c>
      <c r="BJ1084" s="191">
        <v>43630</v>
      </c>
      <c r="BK1084" s="192" t="s">
        <v>118</v>
      </c>
      <c r="BN1084" s="94">
        <v>43663</v>
      </c>
      <c r="BO1084" s="95" t="s">
        <v>86</v>
      </c>
      <c r="BP1084" s="96">
        <v>12.64</v>
      </c>
    </row>
    <row r="1085" spans="60:68" ht="15">
      <c r="BH1085" s="187">
        <v>43633</v>
      </c>
      <c r="BI1085" s="180">
        <v>-0.26800000000000002</v>
      </c>
      <c r="BJ1085" s="191">
        <v>43633</v>
      </c>
      <c r="BK1085" s="192" t="s">
        <v>134</v>
      </c>
      <c r="BN1085" s="94">
        <v>43664</v>
      </c>
      <c r="BO1085" s="95" t="s">
        <v>87</v>
      </c>
      <c r="BP1085" s="96">
        <v>12.63</v>
      </c>
    </row>
    <row r="1086" spans="60:68" ht="15">
      <c r="BH1086" s="187">
        <v>43634</v>
      </c>
      <c r="BI1086" s="180">
        <v>-0.27600000000000002</v>
      </c>
      <c r="BJ1086" s="191">
        <v>43634</v>
      </c>
      <c r="BK1086" s="192" t="s">
        <v>135</v>
      </c>
      <c r="BN1086" s="94">
        <v>43665</v>
      </c>
      <c r="BO1086" s="95" t="s">
        <v>88</v>
      </c>
      <c r="BP1086" s="96">
        <v>12.63</v>
      </c>
    </row>
    <row r="1087" spans="60:68" ht="15">
      <c r="BH1087" s="187">
        <v>43635</v>
      </c>
      <c r="BI1087" s="180">
        <v>-0.29899999999999999</v>
      </c>
      <c r="BJ1087" s="191">
        <v>43635</v>
      </c>
      <c r="BK1087" s="192" t="s">
        <v>136</v>
      </c>
      <c r="BN1087" s="94">
        <v>43668</v>
      </c>
      <c r="BO1087" s="95" t="s">
        <v>89</v>
      </c>
      <c r="BP1087" s="96">
        <v>12.62</v>
      </c>
    </row>
    <row r="1088" spans="60:68" ht="15">
      <c r="BH1088" s="187">
        <v>43636</v>
      </c>
      <c r="BI1088" s="180">
        <v>-0.30299999999999999</v>
      </c>
      <c r="BJ1088" s="191"/>
      <c r="BK1088" s="193" t="str">
        <f>+BK1087</f>
        <v>−0,086</v>
      </c>
      <c r="BN1088" s="94">
        <v>43669</v>
      </c>
      <c r="BO1088" s="95" t="s">
        <v>93</v>
      </c>
      <c r="BP1088" s="96">
        <v>12.62</v>
      </c>
    </row>
    <row r="1089" spans="60:68" ht="15">
      <c r="BH1089" s="187">
        <v>43637</v>
      </c>
      <c r="BI1089" s="180">
        <v>-0.308</v>
      </c>
      <c r="BJ1089" s="191">
        <v>43637</v>
      </c>
      <c r="BK1089" s="192" t="s">
        <v>137</v>
      </c>
      <c r="BN1089" s="94">
        <v>43670</v>
      </c>
      <c r="BO1089" s="95" t="s">
        <v>144</v>
      </c>
      <c r="BP1089" s="96">
        <v>12.62</v>
      </c>
    </row>
    <row r="1090" spans="60:68" ht="15">
      <c r="BH1090" s="187">
        <v>43640</v>
      </c>
      <c r="BI1090" s="180">
        <v>-0.308</v>
      </c>
      <c r="BJ1090" s="191">
        <v>43640</v>
      </c>
      <c r="BK1090" s="192" t="s">
        <v>138</v>
      </c>
      <c r="BN1090" s="94">
        <v>43671</v>
      </c>
      <c r="BO1090" s="95" t="s">
        <v>147</v>
      </c>
      <c r="BP1090" s="96">
        <v>12.62</v>
      </c>
    </row>
    <row r="1091" spans="60:68" ht="15">
      <c r="BH1091" s="187">
        <v>43641</v>
      </c>
      <c r="BI1091" s="180">
        <v>-0.311</v>
      </c>
      <c r="BJ1091" s="191">
        <v>43641</v>
      </c>
      <c r="BK1091" s="192" t="s">
        <v>139</v>
      </c>
      <c r="BN1091" s="94">
        <v>43672</v>
      </c>
      <c r="BO1091" s="95" t="s">
        <v>148</v>
      </c>
      <c r="BP1091" s="96">
        <v>12.61</v>
      </c>
    </row>
    <row r="1092" spans="60:68" ht="15">
      <c r="BH1092" s="187">
        <v>43642</v>
      </c>
      <c r="BI1092" s="180">
        <v>-0.311</v>
      </c>
      <c r="BJ1092" s="191">
        <v>43642</v>
      </c>
      <c r="BK1092" s="192" t="s">
        <v>140</v>
      </c>
      <c r="BN1092" s="94">
        <v>43675</v>
      </c>
      <c r="BO1092" s="95" t="s">
        <v>149</v>
      </c>
      <c r="BP1092" s="96">
        <v>12.6</v>
      </c>
    </row>
    <row r="1093" spans="60:68" ht="15">
      <c r="BH1093" s="187">
        <v>43643</v>
      </c>
      <c r="BI1093" s="180">
        <v>-0.313</v>
      </c>
      <c r="BJ1093" s="191">
        <v>43643</v>
      </c>
      <c r="BK1093" s="192" t="s">
        <v>141</v>
      </c>
      <c r="BN1093" s="94">
        <v>43676</v>
      </c>
      <c r="BO1093" s="95" t="s">
        <v>150</v>
      </c>
      <c r="BP1093" s="96">
        <v>12.6</v>
      </c>
    </row>
    <row r="1094" spans="60:68" ht="15">
      <c r="BH1094" s="187">
        <v>43644</v>
      </c>
      <c r="BI1094" s="180">
        <v>-0.311</v>
      </c>
      <c r="BJ1094" s="191">
        <v>43644</v>
      </c>
      <c r="BK1094" s="192" t="s">
        <v>142</v>
      </c>
      <c r="BN1094" s="94">
        <v>43677</v>
      </c>
      <c r="BO1094" s="95" t="s">
        <v>151</v>
      </c>
      <c r="BP1094" s="96">
        <v>12.6</v>
      </c>
    </row>
    <row r="1095" spans="60:68" ht="15">
      <c r="BH1095" s="187">
        <v>43647</v>
      </c>
      <c r="BI1095" s="180">
        <v>-0.313</v>
      </c>
      <c r="BJ1095" s="191">
        <v>43647</v>
      </c>
      <c r="BK1095" s="192" t="s">
        <v>143</v>
      </c>
      <c r="BN1095" s="94">
        <v>43678</v>
      </c>
      <c r="BO1095" s="95" t="s">
        <v>152</v>
      </c>
      <c r="BP1095" s="96">
        <v>12.6</v>
      </c>
    </row>
    <row r="1096" spans="60:68" ht="15">
      <c r="BH1096" s="187">
        <v>43648</v>
      </c>
      <c r="BI1096" s="180">
        <v>-0.32700000000000001</v>
      </c>
      <c r="BJ1096" s="191">
        <v>43648</v>
      </c>
      <c r="BK1096" s="192" t="s">
        <v>97</v>
      </c>
      <c r="BN1096" s="94">
        <v>43679</v>
      </c>
      <c r="BO1096" s="95" t="s">
        <v>153</v>
      </c>
      <c r="BP1096" s="96">
        <v>12.59</v>
      </c>
    </row>
    <row r="1097" spans="60:68" ht="15">
      <c r="BH1097" s="187">
        <v>43649</v>
      </c>
      <c r="BI1097" s="180">
        <v>-0.33500000000000002</v>
      </c>
      <c r="BJ1097" s="191">
        <v>43649</v>
      </c>
      <c r="BK1097" s="192" t="s">
        <v>79</v>
      </c>
      <c r="BN1097" s="94">
        <v>43682</v>
      </c>
      <c r="BO1097" s="95" t="s">
        <v>154</v>
      </c>
      <c r="BP1097" s="96">
        <v>12.59</v>
      </c>
    </row>
    <row r="1098" spans="60:68" ht="15">
      <c r="BH1098" s="187">
        <v>43650</v>
      </c>
      <c r="BI1098" s="180">
        <v>-0.33800000000000002</v>
      </c>
      <c r="BJ1098" s="191">
        <v>43650</v>
      </c>
      <c r="BK1098" s="192" t="s">
        <v>83</v>
      </c>
      <c r="BN1098" s="94">
        <v>43683</v>
      </c>
      <c r="BO1098" s="95" t="s">
        <v>155</v>
      </c>
      <c r="BP1098" s="96">
        <v>12.58</v>
      </c>
    </row>
    <row r="1099" spans="60:68" ht="15">
      <c r="BH1099" s="187">
        <v>43651</v>
      </c>
      <c r="BI1099" s="180">
        <v>-0.34399999999999997</v>
      </c>
      <c r="BJ1099" s="191">
        <v>43651</v>
      </c>
      <c r="BK1099" s="192" t="s">
        <v>86</v>
      </c>
      <c r="BN1099" s="94">
        <v>43684</v>
      </c>
      <c r="BO1099" s="95" t="s">
        <v>156</v>
      </c>
      <c r="BP1099" s="96">
        <v>12.58</v>
      </c>
    </row>
    <row r="1100" spans="60:68" ht="15">
      <c r="BH1100" s="187">
        <v>43654</v>
      </c>
      <c r="BI1100" s="180">
        <v>-0.33800000000000002</v>
      </c>
      <c r="BJ1100" s="191">
        <v>43654</v>
      </c>
      <c r="BK1100" s="192" t="s">
        <v>88</v>
      </c>
      <c r="BN1100" s="94">
        <v>43685</v>
      </c>
      <c r="BO1100" s="95" t="s">
        <v>157</v>
      </c>
      <c r="BP1100" s="96">
        <v>12.58</v>
      </c>
    </row>
    <row r="1101" spans="60:68" ht="15">
      <c r="BH1101" s="187">
        <v>43655</v>
      </c>
      <c r="BI1101" s="180">
        <v>-0.33600000000000002</v>
      </c>
      <c r="BJ1101" s="191">
        <v>43655</v>
      </c>
      <c r="BK1101" s="192" t="s">
        <v>94</v>
      </c>
      <c r="BN1101" s="94">
        <v>43686</v>
      </c>
      <c r="BO1101" s="95" t="s">
        <v>158</v>
      </c>
      <c r="BP1101" s="96">
        <v>12.57</v>
      </c>
    </row>
    <row r="1102" spans="60:68" ht="15">
      <c r="BH1102" s="187">
        <v>43656</v>
      </c>
      <c r="BI1102" s="180">
        <v>-0.32900000000000001</v>
      </c>
      <c r="BJ1102" s="191">
        <v>43656</v>
      </c>
      <c r="BK1102" s="192" t="s">
        <v>92</v>
      </c>
      <c r="BN1102" s="94">
        <v>43689</v>
      </c>
      <c r="BO1102" s="95" t="s">
        <v>159</v>
      </c>
      <c r="BP1102" s="96">
        <v>12.57</v>
      </c>
    </row>
    <row r="1103" spans="60:68" ht="15">
      <c r="BH1103" s="187">
        <v>43657</v>
      </c>
      <c r="BI1103" s="180">
        <v>-0.34200000000000003</v>
      </c>
      <c r="BJ1103" s="191">
        <v>43657</v>
      </c>
      <c r="BK1103" s="192" t="s">
        <v>144</v>
      </c>
      <c r="BN1103" s="94">
        <v>43690</v>
      </c>
      <c r="BO1103" s="95" t="s">
        <v>160</v>
      </c>
      <c r="BP1103" s="96">
        <v>12.56</v>
      </c>
    </row>
    <row r="1104" spans="60:68" ht="15">
      <c r="BH1104" s="187">
        <v>43658</v>
      </c>
      <c r="BI1104" s="180">
        <v>-0.34200000000000003</v>
      </c>
      <c r="BJ1104" s="191">
        <v>43658</v>
      </c>
      <c r="BK1104" s="192" t="s">
        <v>145</v>
      </c>
      <c r="BN1104" s="94">
        <v>43691</v>
      </c>
      <c r="BO1104" s="95" t="s">
        <v>161</v>
      </c>
      <c r="BP1104" s="96">
        <v>12.56</v>
      </c>
    </row>
    <row r="1105" spans="60:68" ht="15">
      <c r="BH1105" s="187">
        <v>43661</v>
      </c>
      <c r="BI1105" s="180">
        <v>-0.34300000000000003</v>
      </c>
      <c r="BJ1105" s="191">
        <v>43661</v>
      </c>
      <c r="BK1105" s="192" t="s">
        <v>84</v>
      </c>
      <c r="BN1105" s="94">
        <v>43693</v>
      </c>
      <c r="BO1105" s="95" t="s">
        <v>162</v>
      </c>
      <c r="BP1105" s="96">
        <v>12.56</v>
      </c>
    </row>
    <row r="1106" spans="60:68" ht="15">
      <c r="BH1106" s="187">
        <v>43662</v>
      </c>
      <c r="BI1106" s="180">
        <v>-0.35</v>
      </c>
      <c r="BJ1106" s="191">
        <v>43662</v>
      </c>
      <c r="BK1106" s="192" t="s">
        <v>146</v>
      </c>
      <c r="BN1106" s="94">
        <v>43696</v>
      </c>
      <c r="BO1106" s="95" t="s">
        <v>163</v>
      </c>
      <c r="BP1106" s="96">
        <v>12.55</v>
      </c>
    </row>
    <row r="1107" spans="60:68" ht="15">
      <c r="BH1107" s="187">
        <v>43663</v>
      </c>
      <c r="BI1107" s="180">
        <v>-0.35699999999999998</v>
      </c>
      <c r="BJ1107" s="191">
        <v>43663</v>
      </c>
      <c r="BK1107" s="192" t="s">
        <v>86</v>
      </c>
      <c r="BN1107" s="94">
        <v>43697</v>
      </c>
      <c r="BO1107" s="95" t="s">
        <v>164</v>
      </c>
      <c r="BP1107" s="96">
        <v>12.54</v>
      </c>
    </row>
    <row r="1108" spans="60:68" ht="15">
      <c r="BH1108" s="187">
        <v>43664</v>
      </c>
      <c r="BI1108" s="180">
        <v>-0.35299999999999998</v>
      </c>
      <c r="BJ1108" s="191">
        <v>43664</v>
      </c>
      <c r="BK1108" s="192" t="s">
        <v>87</v>
      </c>
      <c r="BN1108" s="94">
        <v>43698</v>
      </c>
      <c r="BO1108" s="95" t="s">
        <v>165</v>
      </c>
      <c r="BP1108" s="96">
        <v>12.54</v>
      </c>
    </row>
    <row r="1109" spans="60:68" ht="15">
      <c r="BH1109" s="187">
        <v>43665</v>
      </c>
      <c r="BI1109" s="180">
        <v>-0.35399999999999998</v>
      </c>
      <c r="BJ1109" s="191">
        <v>43665</v>
      </c>
      <c r="BK1109" s="192" t="s">
        <v>88</v>
      </c>
      <c r="BN1109" s="94">
        <v>43699</v>
      </c>
      <c r="BO1109" s="95" t="s">
        <v>166</v>
      </c>
      <c r="BP1109" s="96">
        <v>12.54</v>
      </c>
    </row>
    <row r="1110" spans="60:68" ht="15">
      <c r="BH1110" s="187">
        <v>43668</v>
      </c>
      <c r="BI1110" s="180">
        <v>-0.36099999999999999</v>
      </c>
      <c r="BJ1110" s="191">
        <v>43668</v>
      </c>
      <c r="BK1110" s="192" t="s">
        <v>89</v>
      </c>
      <c r="BN1110" s="94">
        <v>43700</v>
      </c>
      <c r="BO1110" s="95" t="s">
        <v>167</v>
      </c>
      <c r="BP1110" s="96">
        <v>12.54</v>
      </c>
    </row>
    <row r="1111" spans="60:68" ht="15">
      <c r="BH1111" s="187">
        <v>43669</v>
      </c>
      <c r="BI1111" s="180">
        <v>-0.36199999999999999</v>
      </c>
      <c r="BJ1111" s="191">
        <v>43669</v>
      </c>
      <c r="BK1111" s="192" t="s">
        <v>93</v>
      </c>
      <c r="BN1111" s="94">
        <v>43703</v>
      </c>
      <c r="BO1111" s="95" t="s">
        <v>168</v>
      </c>
      <c r="BP1111" s="96">
        <v>12.53</v>
      </c>
    </row>
    <row r="1112" spans="60:68" ht="15">
      <c r="BH1112" s="187">
        <v>43670</v>
      </c>
      <c r="BI1112" s="180">
        <v>-0.36799999999999999</v>
      </c>
      <c r="BJ1112" s="191">
        <v>43670</v>
      </c>
      <c r="BK1112" s="192" t="s">
        <v>144</v>
      </c>
      <c r="BN1112" s="94">
        <v>43704</v>
      </c>
      <c r="BO1112" s="95" t="s">
        <v>169</v>
      </c>
      <c r="BP1112" s="96">
        <v>12.53</v>
      </c>
    </row>
    <row r="1113" spans="60:68" ht="15">
      <c r="BH1113" s="187">
        <v>43671</v>
      </c>
      <c r="BI1113" s="180">
        <v>-0.36799999999999999</v>
      </c>
      <c r="BJ1113" s="191">
        <v>43671</v>
      </c>
      <c r="BK1113" s="192" t="s">
        <v>147</v>
      </c>
      <c r="BN1113" s="94">
        <v>43705</v>
      </c>
      <c r="BO1113" s="95" t="s">
        <v>170</v>
      </c>
      <c r="BP1113" s="96">
        <v>12.52</v>
      </c>
    </row>
    <row r="1114" spans="60:68" ht="15">
      <c r="BH1114" s="187">
        <v>43672</v>
      </c>
      <c r="BI1114" s="180">
        <v>-0.36199999999999999</v>
      </c>
      <c r="BJ1114" s="191">
        <v>43672</v>
      </c>
      <c r="BK1114" s="192" t="s">
        <v>148</v>
      </c>
      <c r="BN1114" s="94">
        <v>43706</v>
      </c>
      <c r="BO1114" s="95" t="s">
        <v>171</v>
      </c>
      <c r="BP1114" s="96">
        <v>12.52</v>
      </c>
    </row>
    <row r="1115" spans="60:68" ht="15">
      <c r="BH1115" s="187">
        <v>43675</v>
      </c>
      <c r="BI1115" s="180">
        <v>-0.35099999999999998</v>
      </c>
      <c r="BJ1115" s="191">
        <v>43675</v>
      </c>
      <c r="BK1115" s="192" t="s">
        <v>149</v>
      </c>
      <c r="BN1115" s="94">
        <v>43707</v>
      </c>
      <c r="BO1115" s="95" t="s">
        <v>172</v>
      </c>
      <c r="BP1115" s="96">
        <v>12.52</v>
      </c>
    </row>
    <row r="1116" spans="60:68" ht="15">
      <c r="BH1116" s="187">
        <v>43676</v>
      </c>
      <c r="BI1116" s="180">
        <v>-0.35499999999999998</v>
      </c>
      <c r="BJ1116" s="191">
        <v>43676</v>
      </c>
      <c r="BK1116" s="192" t="s">
        <v>150</v>
      </c>
      <c r="BN1116" s="94">
        <v>43710</v>
      </c>
      <c r="BO1116" s="95" t="s">
        <v>173</v>
      </c>
      <c r="BP1116" s="96">
        <v>12.51</v>
      </c>
    </row>
    <row r="1117" spans="60:68" ht="15">
      <c r="BH1117" s="187">
        <v>43677</v>
      </c>
      <c r="BI1117" s="180">
        <v>-0.36199999999999999</v>
      </c>
      <c r="BJ1117" s="191">
        <v>43677</v>
      </c>
      <c r="BK1117" s="192" t="s">
        <v>151</v>
      </c>
      <c r="BN1117" s="94">
        <v>43711</v>
      </c>
      <c r="BO1117" s="95" t="s">
        <v>174</v>
      </c>
      <c r="BP1117" s="96">
        <v>12.51</v>
      </c>
    </row>
    <row r="1118" spans="60:68" ht="15">
      <c r="BH1118" s="187">
        <v>43678</v>
      </c>
      <c r="BI1118" s="180">
        <v>-0.36299999999999999</v>
      </c>
      <c r="BJ1118" s="191">
        <v>43678</v>
      </c>
      <c r="BK1118" s="192" t="s">
        <v>152</v>
      </c>
      <c r="BN1118" s="94">
        <v>43712</v>
      </c>
      <c r="BO1118" s="95" t="s">
        <v>175</v>
      </c>
      <c r="BP1118" s="96">
        <v>12.5</v>
      </c>
    </row>
    <row r="1119" spans="60:68" ht="15">
      <c r="BH1119" s="187">
        <v>43679</v>
      </c>
      <c r="BI1119" s="180">
        <v>-0.36699999999999999</v>
      </c>
      <c r="BJ1119" s="191">
        <v>43679</v>
      </c>
      <c r="BK1119" s="192" t="s">
        <v>153</v>
      </c>
      <c r="BN1119" s="94">
        <v>43713</v>
      </c>
      <c r="BO1119" s="95" t="s">
        <v>175</v>
      </c>
      <c r="BP1119" s="96">
        <v>12.47</v>
      </c>
    </row>
    <row r="1120" spans="60:68" ht="15">
      <c r="BH1120" s="187">
        <v>43682</v>
      </c>
      <c r="BI1120" s="180">
        <v>-0.36899999999999999</v>
      </c>
      <c r="BJ1120" s="191">
        <v>43682</v>
      </c>
      <c r="BK1120" s="192" t="s">
        <v>154</v>
      </c>
      <c r="BN1120" s="94">
        <v>43714</v>
      </c>
      <c r="BO1120" s="95" t="s">
        <v>176</v>
      </c>
      <c r="BP1120" s="96">
        <v>12.47</v>
      </c>
    </row>
    <row r="1121" spans="60:68" ht="15">
      <c r="BH1121" s="187">
        <v>43683</v>
      </c>
      <c r="BI1121" s="180">
        <v>-0.38300000000000001</v>
      </c>
      <c r="BJ1121" s="191">
        <v>43683</v>
      </c>
      <c r="BK1121" s="192" t="s">
        <v>155</v>
      </c>
      <c r="BN1121" s="94">
        <v>43717</v>
      </c>
      <c r="BO1121" s="95" t="s">
        <v>175</v>
      </c>
      <c r="BP1121" s="96">
        <v>12.46</v>
      </c>
    </row>
    <row r="1122" spans="60:68" ht="15">
      <c r="BH1122" s="187">
        <v>43684</v>
      </c>
      <c r="BI1122" s="180">
        <v>-0.38900000000000001</v>
      </c>
      <c r="BJ1122" s="191">
        <v>43684</v>
      </c>
      <c r="BK1122" s="192" t="s">
        <v>156</v>
      </c>
      <c r="BN1122" s="94">
        <v>43718</v>
      </c>
      <c r="BO1122" s="95" t="s">
        <v>177</v>
      </c>
      <c r="BP1122" s="96">
        <v>12.45</v>
      </c>
    </row>
    <row r="1123" spans="60:68" ht="15">
      <c r="BH1123" s="187">
        <v>43685</v>
      </c>
      <c r="BI1123" s="180">
        <v>-0.39300000000000002</v>
      </c>
      <c r="BJ1123" s="191">
        <v>43685</v>
      </c>
      <c r="BK1123" s="192" t="s">
        <v>157</v>
      </c>
      <c r="BN1123" s="94">
        <v>43719</v>
      </c>
      <c r="BO1123" s="95" t="s">
        <v>178</v>
      </c>
      <c r="BP1123" s="96">
        <v>12.45</v>
      </c>
    </row>
    <row r="1124" spans="60:68" ht="15">
      <c r="BH1124" s="187">
        <v>43686</v>
      </c>
      <c r="BI1124" s="180">
        <v>-0.39600000000000002</v>
      </c>
      <c r="BJ1124" s="191">
        <v>43686</v>
      </c>
      <c r="BK1124" s="192" t="s">
        <v>158</v>
      </c>
      <c r="BN1124" s="94">
        <v>43720</v>
      </c>
      <c r="BO1124" s="95" t="s">
        <v>179</v>
      </c>
      <c r="BP1124" s="96">
        <v>12.45</v>
      </c>
    </row>
    <row r="1125" spans="60:68" ht="15">
      <c r="BH1125" s="187">
        <v>43689</v>
      </c>
      <c r="BI1125" s="180">
        <v>-0.4</v>
      </c>
      <c r="BJ1125" s="191">
        <v>43689</v>
      </c>
      <c r="BK1125" s="192" t="s">
        <v>159</v>
      </c>
      <c r="BN1125" s="94">
        <v>43721</v>
      </c>
      <c r="BO1125" s="95" t="s">
        <v>180</v>
      </c>
      <c r="BP1125" s="96">
        <v>12.45</v>
      </c>
    </row>
    <row r="1126" spans="60:68" ht="15">
      <c r="BH1126" s="187">
        <v>43690</v>
      </c>
      <c r="BI1126" s="180">
        <v>-0.40100000000000002</v>
      </c>
      <c r="BJ1126" s="191">
        <v>43690</v>
      </c>
      <c r="BK1126" s="192" t="s">
        <v>160</v>
      </c>
      <c r="BN1126" s="94">
        <v>43724</v>
      </c>
      <c r="BO1126" s="95" t="s">
        <v>171</v>
      </c>
      <c r="BP1126" s="96">
        <v>12.44</v>
      </c>
    </row>
    <row r="1127" spans="60:68" ht="15">
      <c r="BH1127" s="187">
        <v>43691</v>
      </c>
      <c r="BI1127" s="180">
        <v>-0.40600000000000003</v>
      </c>
      <c r="BJ1127" s="191">
        <v>43691</v>
      </c>
      <c r="BK1127" s="192" t="s">
        <v>161</v>
      </c>
      <c r="BN1127" s="94">
        <v>43725</v>
      </c>
      <c r="BO1127" s="95" t="s">
        <v>170</v>
      </c>
      <c r="BP1127" s="96">
        <v>12.44</v>
      </c>
    </row>
    <row r="1128" spans="60:68" ht="15">
      <c r="BH1128" s="187">
        <v>43692</v>
      </c>
      <c r="BI1128" s="180">
        <v>-0.40899999999999997</v>
      </c>
      <c r="BJ1128" s="191"/>
      <c r="BK1128" s="193" t="str">
        <f>+BK1127</f>
        <v>−0,324</v>
      </c>
      <c r="BN1128" s="94">
        <v>43726</v>
      </c>
      <c r="BO1128" s="95" t="s">
        <v>181</v>
      </c>
      <c r="BP1128" s="96">
        <v>12.43</v>
      </c>
    </row>
    <row r="1129" spans="60:68" ht="15">
      <c r="BH1129" s="187">
        <v>43693</v>
      </c>
      <c r="BI1129" s="180">
        <v>-0.42699999999999999</v>
      </c>
      <c r="BJ1129" s="191">
        <v>43693</v>
      </c>
      <c r="BK1129" s="192" t="s">
        <v>162</v>
      </c>
      <c r="BN1129" s="94">
        <v>43727</v>
      </c>
      <c r="BO1129" s="95" t="s">
        <v>182</v>
      </c>
      <c r="BP1129" s="96">
        <v>12.43</v>
      </c>
    </row>
    <row r="1130" spans="60:68" ht="15">
      <c r="BH1130" s="187">
        <v>43696</v>
      </c>
      <c r="BI1130" s="180">
        <v>-0.42299999999999999</v>
      </c>
      <c r="BJ1130" s="191">
        <v>43696</v>
      </c>
      <c r="BK1130" s="192" t="s">
        <v>163</v>
      </c>
      <c r="BN1130" s="94">
        <v>43728</v>
      </c>
      <c r="BO1130" s="95" t="s">
        <v>168</v>
      </c>
      <c r="BP1130" s="96">
        <v>12.43</v>
      </c>
    </row>
    <row r="1131" spans="60:68" ht="15">
      <c r="BH1131" s="187">
        <v>43697</v>
      </c>
      <c r="BI1131" s="180">
        <v>-0.42499999999999999</v>
      </c>
      <c r="BJ1131" s="191">
        <v>43697</v>
      </c>
      <c r="BK1131" s="192" t="s">
        <v>164</v>
      </c>
      <c r="BN1131" s="94">
        <v>43731</v>
      </c>
      <c r="BO1131" s="95" t="s">
        <v>183</v>
      </c>
      <c r="BP1131" s="96">
        <v>12.42</v>
      </c>
    </row>
    <row r="1132" spans="60:68" ht="15">
      <c r="BH1132" s="187">
        <v>43698</v>
      </c>
      <c r="BI1132" s="180">
        <v>-0.42399999999999999</v>
      </c>
      <c r="BJ1132" s="191">
        <v>43698</v>
      </c>
      <c r="BK1132" s="192" t="s">
        <v>165</v>
      </c>
      <c r="BN1132" s="94">
        <v>43732</v>
      </c>
      <c r="BO1132" s="95" t="s">
        <v>167</v>
      </c>
      <c r="BP1132" s="96">
        <v>12.42</v>
      </c>
    </row>
    <row r="1133" spans="60:68" ht="15">
      <c r="BH1133" s="187">
        <v>43699</v>
      </c>
      <c r="BI1133" s="180">
        <v>-0.41799999999999998</v>
      </c>
      <c r="BJ1133" s="191">
        <v>43699</v>
      </c>
      <c r="BK1133" s="192" t="s">
        <v>166</v>
      </c>
      <c r="BN1133" s="94">
        <v>43733</v>
      </c>
      <c r="BO1133" s="95" t="s">
        <v>184</v>
      </c>
      <c r="BP1133" s="96">
        <v>12.41</v>
      </c>
    </row>
    <row r="1134" spans="60:68" ht="15">
      <c r="BH1134" s="187">
        <v>43700</v>
      </c>
      <c r="BI1134" s="180">
        <v>-0.40799999999999997</v>
      </c>
      <c r="BJ1134" s="191">
        <v>43700</v>
      </c>
      <c r="BK1134" s="192" t="s">
        <v>167</v>
      </c>
      <c r="BN1134" s="94">
        <v>43734</v>
      </c>
      <c r="BO1134" s="95" t="s">
        <v>185</v>
      </c>
      <c r="BP1134" s="96">
        <v>12.41</v>
      </c>
    </row>
    <row r="1135" spans="60:68" ht="15">
      <c r="BH1135" s="187">
        <v>43703</v>
      </c>
      <c r="BI1135" s="180">
        <v>-0.41499999999999998</v>
      </c>
      <c r="BJ1135" s="191">
        <v>43703</v>
      </c>
      <c r="BK1135" s="192" t="s">
        <v>168</v>
      </c>
      <c r="BN1135" s="94">
        <v>43735</v>
      </c>
      <c r="BO1135" s="95" t="s">
        <v>186</v>
      </c>
      <c r="BP1135" s="96">
        <v>12.41</v>
      </c>
    </row>
    <row r="1136" spans="60:68" ht="15">
      <c r="BH1136" s="187">
        <v>43704</v>
      </c>
      <c r="BI1136" s="180">
        <v>-0.41499999999999998</v>
      </c>
      <c r="BJ1136" s="191">
        <v>43704</v>
      </c>
      <c r="BK1136" s="192" t="s">
        <v>169</v>
      </c>
      <c r="BN1136" s="94">
        <v>43738</v>
      </c>
      <c r="BO1136" s="95" t="s">
        <v>187</v>
      </c>
      <c r="BP1136" s="96">
        <v>12.4</v>
      </c>
    </row>
    <row r="1137" spans="60:68" ht="15">
      <c r="BH1137" s="187">
        <v>43705</v>
      </c>
      <c r="BI1137" s="180">
        <v>-0.42699999999999999</v>
      </c>
      <c r="BJ1137" s="191">
        <v>43705</v>
      </c>
      <c r="BK1137" s="192" t="s">
        <v>170</v>
      </c>
      <c r="BN1137" s="94">
        <v>43739</v>
      </c>
      <c r="BO1137" s="95" t="s">
        <v>188</v>
      </c>
      <c r="BP1137" s="96">
        <v>12.4</v>
      </c>
    </row>
    <row r="1138" spans="60:68" ht="15">
      <c r="BH1138" s="187">
        <v>43706</v>
      </c>
      <c r="BI1138" s="180">
        <v>-0.42299999999999999</v>
      </c>
      <c r="BJ1138" s="191">
        <v>43706</v>
      </c>
      <c r="BK1138" s="192" t="s">
        <v>171</v>
      </c>
      <c r="BN1138" s="94">
        <v>43740</v>
      </c>
      <c r="BO1138" s="95" t="s">
        <v>189</v>
      </c>
      <c r="BP1138" s="96">
        <v>12.39</v>
      </c>
    </row>
    <row r="1139" spans="60:68" ht="15">
      <c r="BH1139" s="187">
        <v>43707</v>
      </c>
      <c r="BI1139" s="180">
        <v>-0.42799999999999999</v>
      </c>
      <c r="BJ1139" s="191">
        <v>43707</v>
      </c>
      <c r="BK1139" s="192" t="s">
        <v>172</v>
      </c>
      <c r="BN1139" s="94">
        <v>43741</v>
      </c>
      <c r="BO1139" s="95" t="s">
        <v>190</v>
      </c>
      <c r="BP1139" s="96">
        <v>12.39</v>
      </c>
    </row>
    <row r="1140" spans="60:68" ht="15">
      <c r="BH1140" s="187">
        <v>43710</v>
      </c>
      <c r="BI1140" s="180">
        <v>-0.439</v>
      </c>
      <c r="BJ1140" s="191">
        <v>43710</v>
      </c>
      <c r="BK1140" s="192" t="s">
        <v>173</v>
      </c>
      <c r="BN1140" s="94">
        <v>43742</v>
      </c>
      <c r="BO1140" s="95" t="s">
        <v>191</v>
      </c>
      <c r="BP1140" s="96">
        <v>12.39</v>
      </c>
    </row>
    <row r="1141" spans="60:68" ht="15">
      <c r="BH1141" s="187">
        <v>43711</v>
      </c>
      <c r="BI1141" s="180">
        <v>-0.44800000000000001</v>
      </c>
      <c r="BJ1141" s="191">
        <v>43711</v>
      </c>
      <c r="BK1141" s="192" t="s">
        <v>174</v>
      </c>
      <c r="BN1141" s="94">
        <v>43745</v>
      </c>
      <c r="BO1141" s="95" t="s">
        <v>191</v>
      </c>
      <c r="BP1141" s="96">
        <v>12.38</v>
      </c>
    </row>
    <row r="1142" spans="60:68" ht="15">
      <c r="BH1142" s="187">
        <v>43712</v>
      </c>
      <c r="BI1142" s="180">
        <v>-0.439</v>
      </c>
      <c r="BJ1142" s="191">
        <v>43712</v>
      </c>
      <c r="BK1142" s="192" t="s">
        <v>175</v>
      </c>
      <c r="BN1142" s="94">
        <v>43746</v>
      </c>
      <c r="BO1142" s="95" t="s">
        <v>190</v>
      </c>
      <c r="BP1142" s="96">
        <v>12.38</v>
      </c>
    </row>
    <row r="1143" spans="60:68" ht="15">
      <c r="BH1143" s="187">
        <v>43713</v>
      </c>
      <c r="BI1143" s="180">
        <v>-0.43099999999999999</v>
      </c>
      <c r="BJ1143" s="191">
        <v>43713</v>
      </c>
      <c r="BK1143" s="192" t="s">
        <v>175</v>
      </c>
      <c r="BN1143" s="94">
        <v>43747</v>
      </c>
      <c r="BO1143" s="95" t="s">
        <v>190</v>
      </c>
      <c r="BP1143" s="96">
        <v>12.38</v>
      </c>
    </row>
    <row r="1144" spans="60:68" ht="15">
      <c r="BH1144" s="187">
        <v>43714</v>
      </c>
      <c r="BI1144" s="180">
        <v>-0.42299999999999999</v>
      </c>
      <c r="BJ1144" s="191">
        <v>43714</v>
      </c>
      <c r="BK1144" s="192" t="s">
        <v>176</v>
      </c>
      <c r="BN1144" s="94">
        <v>43748</v>
      </c>
      <c r="BO1144" s="95" t="s">
        <v>163</v>
      </c>
      <c r="BP1144" s="96">
        <v>12.39</v>
      </c>
    </row>
    <row r="1145" spans="60:68" ht="15">
      <c r="BH1145" s="187">
        <v>43717</v>
      </c>
      <c r="BI1145" s="180">
        <v>-0.41299999999999998</v>
      </c>
      <c r="BJ1145" s="191">
        <v>43717</v>
      </c>
      <c r="BK1145" s="192" t="s">
        <v>175</v>
      </c>
      <c r="BN1145" s="94">
        <v>43749</v>
      </c>
      <c r="BO1145" s="95" t="s">
        <v>163</v>
      </c>
      <c r="BP1145" s="96">
        <v>12.39</v>
      </c>
    </row>
    <row r="1146" spans="60:68" ht="15">
      <c r="BH1146" s="187">
        <v>43718</v>
      </c>
      <c r="BI1146" s="180">
        <v>-0.41399999999999998</v>
      </c>
      <c r="BJ1146" s="191">
        <v>43718</v>
      </c>
      <c r="BK1146" s="192" t="s">
        <v>177</v>
      </c>
      <c r="BN1146" s="94">
        <v>43752</v>
      </c>
      <c r="BO1146" s="95" t="s">
        <v>163</v>
      </c>
      <c r="BP1146" s="96">
        <v>12.38</v>
      </c>
    </row>
    <row r="1147" spans="60:68" ht="15">
      <c r="BH1147" s="187">
        <v>43719</v>
      </c>
      <c r="BI1147" s="180">
        <v>-0.40799999999999997</v>
      </c>
      <c r="BJ1147" s="191">
        <v>43719</v>
      </c>
      <c r="BK1147" s="192" t="s">
        <v>178</v>
      </c>
      <c r="BN1147" s="94">
        <v>43753</v>
      </c>
      <c r="BO1147" s="95" t="s">
        <v>163</v>
      </c>
      <c r="BP1147" s="96">
        <v>12.38</v>
      </c>
    </row>
    <row r="1148" spans="60:68" ht="15">
      <c r="BH1148" s="187">
        <v>43720</v>
      </c>
      <c r="BI1148" s="180">
        <v>-0.40799999999999997</v>
      </c>
      <c r="BJ1148" s="191">
        <v>43720</v>
      </c>
      <c r="BK1148" s="192" t="s">
        <v>179</v>
      </c>
      <c r="BN1148" s="94">
        <v>43754</v>
      </c>
      <c r="BO1148" s="95" t="s">
        <v>192</v>
      </c>
      <c r="BP1148" s="96">
        <v>12.38</v>
      </c>
    </row>
    <row r="1149" spans="60:68" ht="15">
      <c r="BH1149" s="187">
        <v>43721</v>
      </c>
      <c r="BI1149" s="180">
        <v>-0.377</v>
      </c>
      <c r="BJ1149" s="191">
        <v>43721</v>
      </c>
      <c r="BK1149" s="192" t="s">
        <v>180</v>
      </c>
      <c r="BN1149" s="94">
        <v>43755</v>
      </c>
      <c r="BO1149" s="95" t="s">
        <v>193</v>
      </c>
      <c r="BP1149" s="96">
        <v>12.38</v>
      </c>
    </row>
    <row r="1150" spans="60:68" ht="15">
      <c r="BH1150" s="187">
        <v>43724</v>
      </c>
      <c r="BI1150" s="180">
        <v>-0.36099999999999999</v>
      </c>
      <c r="BJ1150" s="191">
        <v>43724</v>
      </c>
      <c r="BK1150" s="192" t="s">
        <v>171</v>
      </c>
      <c r="BN1150" s="94">
        <v>43756</v>
      </c>
      <c r="BO1150" s="95" t="s">
        <v>194</v>
      </c>
      <c r="BP1150" s="96">
        <v>12.37</v>
      </c>
    </row>
    <row r="1151" spans="60:68" ht="15">
      <c r="BH1151" s="187">
        <v>43725</v>
      </c>
      <c r="BI1151" s="180">
        <v>-0.36499999999999999</v>
      </c>
      <c r="BJ1151" s="191">
        <v>43725</v>
      </c>
      <c r="BK1151" s="192" t="s">
        <v>170</v>
      </c>
      <c r="BN1151" s="94">
        <v>43759</v>
      </c>
      <c r="BO1151" s="95" t="s">
        <v>195</v>
      </c>
      <c r="BP1151" s="96">
        <v>12.36</v>
      </c>
    </row>
    <row r="1152" spans="60:68" ht="15">
      <c r="BH1152" s="187">
        <v>43726</v>
      </c>
      <c r="BI1152" s="180">
        <v>-0.36899999999999999</v>
      </c>
      <c r="BJ1152" s="191">
        <v>43726</v>
      </c>
      <c r="BK1152" s="192" t="s">
        <v>181</v>
      </c>
      <c r="BN1152" s="94">
        <v>43760</v>
      </c>
      <c r="BO1152" s="95" t="s">
        <v>196</v>
      </c>
      <c r="BP1152" s="96">
        <v>12.36</v>
      </c>
    </row>
    <row r="1153" spans="60:68" ht="15">
      <c r="BH1153" s="187">
        <v>43727</v>
      </c>
      <c r="BI1153" s="180">
        <v>-0.36799999999999999</v>
      </c>
      <c r="BJ1153" s="191">
        <v>43727</v>
      </c>
      <c r="BK1153" s="192" t="s">
        <v>182</v>
      </c>
      <c r="BN1153" s="94">
        <v>43761</v>
      </c>
      <c r="BO1153" s="95" t="s">
        <v>197</v>
      </c>
      <c r="BP1153" s="96">
        <v>12.36</v>
      </c>
    </row>
    <row r="1154" spans="60:68" ht="15">
      <c r="BH1154" s="187">
        <v>43728</v>
      </c>
      <c r="BI1154" s="180">
        <v>-0.35799999999999998</v>
      </c>
      <c r="BJ1154" s="191">
        <v>43728</v>
      </c>
      <c r="BK1154" s="192" t="s">
        <v>168</v>
      </c>
      <c r="BN1154" s="94">
        <v>43762</v>
      </c>
      <c r="BO1154" s="95" t="s">
        <v>198</v>
      </c>
      <c r="BP1154" s="96">
        <v>12.36</v>
      </c>
    </row>
    <row r="1155" spans="60:68" ht="15">
      <c r="BH1155" s="187">
        <v>43731</v>
      </c>
      <c r="BI1155" s="180">
        <v>-0.36299999999999999</v>
      </c>
      <c r="BJ1155" s="191">
        <v>43731</v>
      </c>
      <c r="BK1155" s="192" t="s">
        <v>183</v>
      </c>
      <c r="BN1155" s="94">
        <v>43763</v>
      </c>
      <c r="BO1155" s="95" t="s">
        <v>199</v>
      </c>
      <c r="BP1155" s="96">
        <v>12.35</v>
      </c>
    </row>
    <row r="1156" spans="60:68" ht="15">
      <c r="BH1156" s="187">
        <v>43732</v>
      </c>
      <c r="BI1156" s="180">
        <v>-0.373</v>
      </c>
      <c r="BJ1156" s="191">
        <v>43732</v>
      </c>
      <c r="BK1156" s="192" t="s">
        <v>167</v>
      </c>
      <c r="BN1156" s="94">
        <v>43766</v>
      </c>
      <c r="BO1156" s="95" t="s">
        <v>200</v>
      </c>
      <c r="BP1156" s="96">
        <v>12.34</v>
      </c>
    </row>
    <row r="1157" spans="60:68" ht="15">
      <c r="BH1157" s="187">
        <v>43733</v>
      </c>
      <c r="BI1157" s="180">
        <v>-0.375</v>
      </c>
      <c r="BJ1157" s="191">
        <v>43733</v>
      </c>
      <c r="BK1157" s="192" t="s">
        <v>184</v>
      </c>
      <c r="BN1157" s="94">
        <v>43767</v>
      </c>
      <c r="BO1157" s="95" t="s">
        <v>201</v>
      </c>
      <c r="BP1157" s="96">
        <v>12.34</v>
      </c>
    </row>
    <row r="1158" spans="60:68" ht="15">
      <c r="BH1158" s="187">
        <v>43734</v>
      </c>
      <c r="BI1158" s="180">
        <v>-0.376</v>
      </c>
      <c r="BJ1158" s="191">
        <v>43734</v>
      </c>
      <c r="BK1158" s="192" t="s">
        <v>185</v>
      </c>
      <c r="BN1158" s="94">
        <v>43768</v>
      </c>
      <c r="BO1158" s="95" t="s">
        <v>202</v>
      </c>
      <c r="BP1158" s="96">
        <v>12.34</v>
      </c>
    </row>
    <row r="1159" spans="60:68" ht="15">
      <c r="BH1159" s="187">
        <v>43735</v>
      </c>
      <c r="BI1159" s="180">
        <v>-0.377</v>
      </c>
      <c r="BJ1159" s="191">
        <v>43735</v>
      </c>
      <c r="BK1159" s="192" t="s">
        <v>186</v>
      </c>
      <c r="BN1159" s="94">
        <v>43769</v>
      </c>
      <c r="BO1159" s="95" t="s">
        <v>157</v>
      </c>
      <c r="BP1159" s="96">
        <v>12.34</v>
      </c>
    </row>
    <row r="1160" spans="60:68" ht="15">
      <c r="BH1160" s="187">
        <v>43738</v>
      </c>
      <c r="BI1160" s="180">
        <v>-0.38600000000000001</v>
      </c>
      <c r="BJ1160" s="191">
        <v>43738</v>
      </c>
      <c r="BK1160" s="192" t="s">
        <v>187</v>
      </c>
      <c r="BN1160" s="94">
        <v>43773</v>
      </c>
      <c r="BO1160" s="95" t="s">
        <v>203</v>
      </c>
      <c r="BP1160" s="96">
        <v>12.33</v>
      </c>
    </row>
    <row r="1161" spans="60:68" ht="15">
      <c r="BH1161" s="187">
        <v>43739</v>
      </c>
      <c r="BI1161" s="180">
        <v>-0.38700000000000001</v>
      </c>
      <c r="BJ1161" s="191">
        <v>43739</v>
      </c>
      <c r="BK1161" s="192" t="s">
        <v>188</v>
      </c>
      <c r="BN1161" s="94">
        <v>43774</v>
      </c>
      <c r="BO1161" s="95" t="s">
        <v>204</v>
      </c>
      <c r="BP1161" s="96">
        <v>12.32</v>
      </c>
    </row>
    <row r="1162" spans="60:68" ht="15">
      <c r="BH1162" s="187">
        <v>43740</v>
      </c>
      <c r="BI1162" s="180">
        <v>-0.38400000000000001</v>
      </c>
      <c r="BJ1162" s="191">
        <v>43740</v>
      </c>
      <c r="BK1162" s="192" t="s">
        <v>189</v>
      </c>
      <c r="BN1162" s="94">
        <v>43775</v>
      </c>
      <c r="BO1162" s="95" t="s">
        <v>205</v>
      </c>
      <c r="BP1162" s="96">
        <v>12.32</v>
      </c>
    </row>
    <row r="1163" spans="60:68" ht="15">
      <c r="BH1163" s="187">
        <v>43741</v>
      </c>
      <c r="BI1163" s="180">
        <v>-0.38700000000000001</v>
      </c>
      <c r="BJ1163" s="191">
        <v>43741</v>
      </c>
      <c r="BK1163" s="192" t="s">
        <v>190</v>
      </c>
      <c r="BN1163" s="94">
        <v>43776</v>
      </c>
      <c r="BO1163" s="95" t="s">
        <v>206</v>
      </c>
      <c r="BP1163" s="96">
        <v>12.29</v>
      </c>
    </row>
    <row r="1164" spans="60:68" ht="15">
      <c r="BH1164" s="187">
        <v>43742</v>
      </c>
      <c r="BI1164" s="180">
        <v>-0.38900000000000001</v>
      </c>
      <c r="BJ1164" s="191">
        <v>43742</v>
      </c>
      <c r="BK1164" s="192" t="s">
        <v>191</v>
      </c>
      <c r="BN1164" s="94">
        <v>43777</v>
      </c>
      <c r="BO1164" s="95" t="s">
        <v>207</v>
      </c>
      <c r="BP1164" s="96">
        <v>12.29</v>
      </c>
    </row>
    <row r="1165" spans="60:68" ht="15">
      <c r="BH1165" s="187">
        <v>43745</v>
      </c>
      <c r="BI1165" s="180">
        <v>-0.38900000000000001</v>
      </c>
      <c r="BJ1165" s="191">
        <v>43745</v>
      </c>
      <c r="BK1165" s="192" t="s">
        <v>191</v>
      </c>
      <c r="BN1165" s="94">
        <v>43780</v>
      </c>
      <c r="BO1165" s="95" t="s">
        <v>208</v>
      </c>
      <c r="BP1165" s="96">
        <v>12.28</v>
      </c>
    </row>
    <row r="1166" spans="60:68" ht="15">
      <c r="BH1166" s="187">
        <v>43746</v>
      </c>
      <c r="BI1166" s="180">
        <v>-0.38700000000000001</v>
      </c>
      <c r="BJ1166" s="191">
        <v>43746</v>
      </c>
      <c r="BK1166" s="192" t="s">
        <v>190</v>
      </c>
      <c r="BN1166" s="94">
        <v>43781</v>
      </c>
      <c r="BO1166" s="95" t="s">
        <v>209</v>
      </c>
      <c r="BP1166" s="96">
        <v>12.28</v>
      </c>
    </row>
    <row r="1167" spans="60:68" ht="15">
      <c r="BH1167" s="187">
        <v>43747</v>
      </c>
      <c r="BI1167" s="180">
        <v>-0.38400000000000001</v>
      </c>
      <c r="BJ1167" s="191">
        <v>43747</v>
      </c>
      <c r="BK1167" s="192" t="s">
        <v>190</v>
      </c>
      <c r="BN1167" s="94">
        <v>43782</v>
      </c>
      <c r="BO1167" s="95" t="s">
        <v>210</v>
      </c>
      <c r="BP1167" s="96">
        <v>12.27</v>
      </c>
    </row>
    <row r="1168" spans="60:68" ht="15">
      <c r="BH1168" s="187">
        <v>43748</v>
      </c>
      <c r="BI1168" s="180">
        <v>-0.375</v>
      </c>
      <c r="BJ1168" s="191">
        <v>43748</v>
      </c>
      <c r="BK1168" s="192" t="s">
        <v>163</v>
      </c>
      <c r="BN1168" s="94">
        <v>43783</v>
      </c>
      <c r="BO1168" s="95" t="s">
        <v>211</v>
      </c>
      <c r="BP1168" s="96">
        <v>12.27</v>
      </c>
    </row>
    <row r="1169" spans="60:68" ht="15">
      <c r="BH1169" s="187">
        <v>43749</v>
      </c>
      <c r="BI1169" s="180">
        <v>-0.35799999999999998</v>
      </c>
      <c r="BJ1169" s="191">
        <v>43749</v>
      </c>
      <c r="BK1169" s="192" t="s">
        <v>163</v>
      </c>
      <c r="BN1169" s="94">
        <v>43784</v>
      </c>
      <c r="BO1169" s="95" t="s">
        <v>91</v>
      </c>
      <c r="BP1169" s="96">
        <v>12.27</v>
      </c>
    </row>
    <row r="1170" spans="60:68" ht="15">
      <c r="BH1170" s="187">
        <v>43752</v>
      </c>
      <c r="BI1170" s="180">
        <v>-0.35299999999999998</v>
      </c>
      <c r="BJ1170" s="191">
        <v>43752</v>
      </c>
      <c r="BK1170" s="192" t="s">
        <v>163</v>
      </c>
      <c r="BN1170" s="94">
        <v>43787</v>
      </c>
      <c r="BO1170" s="95" t="s">
        <v>93</v>
      </c>
      <c r="BP1170" s="96">
        <v>12.26</v>
      </c>
    </row>
    <row r="1171" spans="60:68" ht="15">
      <c r="BH1171" s="187">
        <v>43753</v>
      </c>
      <c r="BI1171" s="180">
        <v>-0.35799999999999998</v>
      </c>
      <c r="BJ1171" s="191">
        <v>43753</v>
      </c>
      <c r="BK1171" s="192" t="s">
        <v>163</v>
      </c>
      <c r="BN1171" s="94">
        <v>43788</v>
      </c>
      <c r="BO1171" s="95" t="s">
        <v>90</v>
      </c>
      <c r="BP1171" s="96">
        <v>12.26</v>
      </c>
    </row>
    <row r="1172" spans="60:68" ht="15">
      <c r="BH1172" s="187">
        <v>43754</v>
      </c>
      <c r="BI1172" s="180">
        <v>-0.35399999999999998</v>
      </c>
      <c r="BJ1172" s="191">
        <v>43754</v>
      </c>
      <c r="BK1172" s="192" t="s">
        <v>192</v>
      </c>
      <c r="BN1172" s="94">
        <v>43789</v>
      </c>
      <c r="BO1172" s="95" t="s">
        <v>94</v>
      </c>
      <c r="BP1172" s="96">
        <v>12.25</v>
      </c>
    </row>
    <row r="1173" spans="60:68" ht="15">
      <c r="BH1173" s="187">
        <v>43755</v>
      </c>
      <c r="BI1173" s="180">
        <v>-0.34899999999999998</v>
      </c>
      <c r="BJ1173" s="191">
        <v>43755</v>
      </c>
      <c r="BK1173" s="192" t="s">
        <v>193</v>
      </c>
      <c r="BN1173" s="94">
        <v>43790</v>
      </c>
      <c r="BO1173" s="95" t="s">
        <v>212</v>
      </c>
      <c r="BP1173" s="96">
        <v>12.25</v>
      </c>
    </row>
    <row r="1174" spans="60:68" ht="15">
      <c r="BH1174" s="187">
        <v>43756</v>
      </c>
      <c r="BI1174" s="180">
        <v>-0.35099999999999998</v>
      </c>
      <c r="BJ1174" s="191">
        <v>43756</v>
      </c>
      <c r="BK1174" s="192" t="s">
        <v>194</v>
      </c>
      <c r="BN1174" s="94">
        <v>43791</v>
      </c>
      <c r="BO1174" s="95" t="s">
        <v>213</v>
      </c>
      <c r="BP1174" s="96">
        <v>12.24</v>
      </c>
    </row>
    <row r="1175" spans="60:68" ht="15">
      <c r="BH1175" s="187">
        <v>43759</v>
      </c>
      <c r="BI1175" s="180">
        <v>-0.34899999999999998</v>
      </c>
      <c r="BJ1175" s="191">
        <v>43759</v>
      </c>
      <c r="BK1175" s="192" t="s">
        <v>195</v>
      </c>
      <c r="BN1175" s="94">
        <v>43794</v>
      </c>
      <c r="BO1175" s="95" t="s">
        <v>88</v>
      </c>
      <c r="BP1175" s="96">
        <v>12.23</v>
      </c>
    </row>
    <row r="1176" spans="60:68" ht="15">
      <c r="BH1176" s="187">
        <v>43760</v>
      </c>
      <c r="BI1176" s="180">
        <v>-0.34799999999999998</v>
      </c>
      <c r="BJ1176" s="191">
        <v>43760</v>
      </c>
      <c r="BK1176" s="192" t="s">
        <v>196</v>
      </c>
      <c r="BN1176" s="94">
        <v>43795</v>
      </c>
      <c r="BO1176" s="95" t="s">
        <v>88</v>
      </c>
      <c r="BP1176" s="96">
        <v>12.23</v>
      </c>
    </row>
    <row r="1177" spans="60:68" ht="15">
      <c r="BH1177" s="187">
        <v>43761</v>
      </c>
      <c r="BI1177" s="180">
        <v>-0.35099999999999998</v>
      </c>
      <c r="BJ1177" s="191">
        <v>43761</v>
      </c>
      <c r="BK1177" s="192" t="s">
        <v>197</v>
      </c>
      <c r="BN1177" s="94">
        <v>43796</v>
      </c>
      <c r="BO1177" s="95" t="s">
        <v>213</v>
      </c>
      <c r="BP1177" s="96">
        <v>12.23</v>
      </c>
    </row>
    <row r="1178" spans="60:68" ht="15">
      <c r="BH1178" s="187">
        <v>43762</v>
      </c>
      <c r="BI1178" s="180">
        <v>-0.34799999999999998</v>
      </c>
      <c r="BJ1178" s="191">
        <v>43762</v>
      </c>
      <c r="BK1178" s="192" t="s">
        <v>198</v>
      </c>
      <c r="BN1178" s="94">
        <v>43797</v>
      </c>
      <c r="BO1178" s="95" t="s">
        <v>214</v>
      </c>
      <c r="BP1178" s="96">
        <v>12.21</v>
      </c>
    </row>
    <row r="1179" spans="60:68" ht="15">
      <c r="BH1179" s="187">
        <v>43763</v>
      </c>
      <c r="BI1179" s="180">
        <v>-0.35</v>
      </c>
      <c r="BJ1179" s="191">
        <v>43763</v>
      </c>
      <c r="BK1179" s="192" t="s">
        <v>199</v>
      </c>
      <c r="BN1179" s="94">
        <v>43798</v>
      </c>
      <c r="BO1179" s="95" t="s">
        <v>88</v>
      </c>
      <c r="BP1179" s="96">
        <v>12.21</v>
      </c>
    </row>
    <row r="1180" spans="60:68" ht="15">
      <c r="BH1180" s="187">
        <v>43766</v>
      </c>
      <c r="BI1180" s="180">
        <v>-0.34599999999999997</v>
      </c>
      <c r="BJ1180" s="191">
        <v>43766</v>
      </c>
      <c r="BK1180" s="192" t="s">
        <v>200</v>
      </c>
      <c r="BN1180" s="94">
        <v>43801</v>
      </c>
      <c r="BO1180" s="95" t="s">
        <v>215</v>
      </c>
      <c r="BP1180" s="96">
        <v>12.2</v>
      </c>
    </row>
    <row r="1181" spans="60:68" ht="15">
      <c r="BH1181" s="187">
        <v>43767</v>
      </c>
      <c r="BI1181" s="180">
        <v>-0.34300000000000003</v>
      </c>
      <c r="BJ1181" s="191">
        <v>43767</v>
      </c>
      <c r="BK1181" s="192" t="s">
        <v>201</v>
      </c>
      <c r="BN1181" s="94">
        <v>43802</v>
      </c>
      <c r="BO1181" s="95" t="s">
        <v>215</v>
      </c>
      <c r="BP1181" s="96">
        <v>12.2</v>
      </c>
    </row>
    <row r="1182" spans="60:68" ht="15">
      <c r="BH1182" s="187">
        <v>43768</v>
      </c>
      <c r="BI1182" s="180">
        <v>-0.33900000000000002</v>
      </c>
      <c r="BJ1182" s="191">
        <v>43768</v>
      </c>
      <c r="BK1182" s="192" t="s">
        <v>202</v>
      </c>
      <c r="BN1182" s="94">
        <v>43803</v>
      </c>
      <c r="BO1182" s="95" t="s">
        <v>216</v>
      </c>
      <c r="BP1182" s="96">
        <v>12.2</v>
      </c>
    </row>
    <row r="1183" spans="60:68" ht="15">
      <c r="BH1183" s="187">
        <v>43769</v>
      </c>
      <c r="BI1183" s="180">
        <v>-0.33700000000000002</v>
      </c>
      <c r="BJ1183" s="191">
        <v>43769</v>
      </c>
      <c r="BK1183" s="192" t="s">
        <v>157</v>
      </c>
      <c r="BN1183" s="94">
        <v>43804</v>
      </c>
      <c r="BO1183" s="95" t="s">
        <v>88</v>
      </c>
      <c r="BP1183" s="96">
        <v>12.19</v>
      </c>
    </row>
    <row r="1184" spans="60:68" ht="15">
      <c r="BH1184" s="187">
        <v>43770</v>
      </c>
      <c r="BI1184" s="180">
        <v>-0.34799999999999998</v>
      </c>
      <c r="BJ1184" s="191"/>
      <c r="BK1184" s="193">
        <v>-0.27100000000000002</v>
      </c>
      <c r="BL1184" s="111">
        <f>+(BI1184+BK1184)/2+0.37</f>
        <v>6.0499999999999998E-2</v>
      </c>
      <c r="BN1184" s="94">
        <v>43805</v>
      </c>
      <c r="BO1184" s="95" t="s">
        <v>214</v>
      </c>
      <c r="BP1184" s="96">
        <v>12.19</v>
      </c>
    </row>
    <row r="1185" spans="60:68" ht="15">
      <c r="BH1185" s="187">
        <v>43773</v>
      </c>
      <c r="BI1185" s="180">
        <v>-0.34300000000000003</v>
      </c>
      <c r="BJ1185" s="191">
        <v>43773</v>
      </c>
      <c r="BK1185" s="192" t="s">
        <v>203</v>
      </c>
      <c r="BN1185" s="94">
        <v>43808</v>
      </c>
      <c r="BO1185" s="95" t="s">
        <v>89</v>
      </c>
      <c r="BP1185" s="96">
        <v>12.18</v>
      </c>
    </row>
    <row r="1186" spans="60:68" ht="15">
      <c r="BH1186" s="187">
        <v>43774</v>
      </c>
      <c r="BI1186" s="180">
        <v>-0.34399999999999997</v>
      </c>
      <c r="BJ1186" s="191">
        <v>43774</v>
      </c>
      <c r="BK1186" s="192" t="s">
        <v>204</v>
      </c>
      <c r="BN1186" s="94">
        <v>43809</v>
      </c>
      <c r="BO1186" s="95" t="s">
        <v>90</v>
      </c>
      <c r="BP1186" s="96">
        <v>12.18</v>
      </c>
    </row>
    <row r="1187" spans="60:68" ht="15">
      <c r="BH1187" s="187">
        <v>43775</v>
      </c>
      <c r="BI1187" s="180">
        <v>-0.33900000000000002</v>
      </c>
      <c r="BJ1187" s="191">
        <v>43775</v>
      </c>
      <c r="BK1187" s="192" t="s">
        <v>205</v>
      </c>
      <c r="BN1187" s="94">
        <v>43810</v>
      </c>
      <c r="BO1187" s="95" t="s">
        <v>93</v>
      </c>
      <c r="BP1187" s="96">
        <v>12.18</v>
      </c>
    </row>
    <row r="1188" spans="60:68" ht="15">
      <c r="BH1188" s="187">
        <v>43776</v>
      </c>
      <c r="BI1188" s="180">
        <v>-0.33400000000000002</v>
      </c>
      <c r="BJ1188" s="191">
        <v>43776</v>
      </c>
      <c r="BK1188" s="192" t="s">
        <v>206</v>
      </c>
      <c r="BN1188" s="94">
        <v>43811</v>
      </c>
      <c r="BO1188" s="95" t="s">
        <v>93</v>
      </c>
      <c r="BP1188" s="96">
        <v>12.17</v>
      </c>
    </row>
    <row r="1189" spans="60:68" ht="15">
      <c r="BH1189" s="187">
        <v>43777</v>
      </c>
      <c r="BI1189" s="180">
        <v>-0.32400000000000001</v>
      </c>
      <c r="BJ1189" s="191">
        <v>43777</v>
      </c>
      <c r="BK1189" s="192" t="s">
        <v>207</v>
      </c>
      <c r="BN1189" s="94">
        <v>43812</v>
      </c>
      <c r="BO1189" s="95" t="s">
        <v>94</v>
      </c>
      <c r="BP1189" s="96">
        <v>12.17</v>
      </c>
    </row>
    <row r="1190" spans="60:68" ht="15">
      <c r="BH1190" s="187">
        <v>43780</v>
      </c>
      <c r="BI1190" s="180">
        <v>-0.33100000000000002</v>
      </c>
      <c r="BJ1190" s="191">
        <v>43780</v>
      </c>
      <c r="BK1190" s="192" t="s">
        <v>208</v>
      </c>
      <c r="BN1190" s="94">
        <v>43815</v>
      </c>
      <c r="BO1190" s="95" t="s">
        <v>95</v>
      </c>
      <c r="BP1190" s="96">
        <v>12.16</v>
      </c>
    </row>
    <row r="1191" spans="60:68" ht="15">
      <c r="BH1191" s="187">
        <v>43781</v>
      </c>
      <c r="BI1191" s="180">
        <v>-0.32800000000000001</v>
      </c>
      <c r="BJ1191" s="191">
        <v>43781</v>
      </c>
      <c r="BK1191" s="192" t="s">
        <v>209</v>
      </c>
      <c r="BN1191" s="94">
        <v>43816</v>
      </c>
      <c r="BO1191" s="95" t="s">
        <v>95</v>
      </c>
      <c r="BP1191" s="96">
        <v>12.15</v>
      </c>
    </row>
    <row r="1192" spans="60:68" ht="15">
      <c r="BH1192" s="187">
        <v>43782</v>
      </c>
      <c r="BI1192" s="180">
        <v>-0.33600000000000002</v>
      </c>
      <c r="BJ1192" s="191">
        <v>43782</v>
      </c>
      <c r="BK1192" s="192" t="s">
        <v>210</v>
      </c>
      <c r="BN1192" s="94">
        <v>43817</v>
      </c>
      <c r="BO1192" s="95" t="s">
        <v>212</v>
      </c>
      <c r="BP1192" s="96">
        <v>12.15</v>
      </c>
    </row>
    <row r="1193" spans="60:68" ht="15">
      <c r="BH1193" s="187">
        <v>43783</v>
      </c>
      <c r="BI1193" s="180">
        <v>-0.33</v>
      </c>
      <c r="BJ1193" s="191">
        <v>43783</v>
      </c>
      <c r="BK1193" s="192" t="s">
        <v>211</v>
      </c>
      <c r="BN1193" s="94">
        <v>43818</v>
      </c>
      <c r="BO1193" s="95" t="s">
        <v>88</v>
      </c>
      <c r="BP1193" s="96">
        <v>12.15</v>
      </c>
    </row>
    <row r="1194" spans="60:68" ht="15">
      <c r="BH1194" s="187">
        <v>43784</v>
      </c>
      <c r="BI1194" s="180">
        <v>-0.33300000000000002</v>
      </c>
      <c r="BJ1194" s="191">
        <v>43784</v>
      </c>
      <c r="BK1194" s="192" t="s">
        <v>91</v>
      </c>
      <c r="BN1194" s="94">
        <v>43819</v>
      </c>
      <c r="BO1194" s="95" t="s">
        <v>215</v>
      </c>
      <c r="BP1194" s="96">
        <v>12.15</v>
      </c>
    </row>
    <row r="1195" spans="60:68" ht="15">
      <c r="BH1195" s="187">
        <v>43787</v>
      </c>
      <c r="BI1195" s="180">
        <v>-0.33800000000000002</v>
      </c>
      <c r="BJ1195" s="191">
        <v>43787</v>
      </c>
      <c r="BK1195" s="192" t="s">
        <v>93</v>
      </c>
      <c r="BN1195" s="94">
        <v>43822</v>
      </c>
      <c r="BO1195" s="95" t="s">
        <v>87</v>
      </c>
      <c r="BP1195" s="96">
        <v>12.14</v>
      </c>
    </row>
    <row r="1196" spans="60:68" ht="15">
      <c r="BH1196" s="187">
        <v>43788</v>
      </c>
      <c r="BI1196" s="180">
        <v>-0.33600000000000002</v>
      </c>
      <c r="BJ1196" s="191">
        <v>43788</v>
      </c>
      <c r="BK1196" s="192" t="s">
        <v>90</v>
      </c>
      <c r="BN1196" s="94">
        <v>43826</v>
      </c>
      <c r="BO1196" s="95" t="s">
        <v>86</v>
      </c>
      <c r="BP1196" s="96">
        <v>12.13</v>
      </c>
    </row>
    <row r="1197" spans="60:68" ht="15">
      <c r="BH1197" s="187">
        <v>43789</v>
      </c>
      <c r="BI1197" s="180">
        <v>-0.33800000000000002</v>
      </c>
      <c r="BJ1197" s="191">
        <v>43789</v>
      </c>
      <c r="BK1197" s="192" t="s">
        <v>94</v>
      </c>
      <c r="BN1197" s="94">
        <v>43829</v>
      </c>
      <c r="BO1197" s="95" t="s">
        <v>84</v>
      </c>
      <c r="BP1197" s="96">
        <v>12.12</v>
      </c>
    </row>
    <row r="1198" spans="60:68" ht="15">
      <c r="BH1198" s="187">
        <v>43790</v>
      </c>
      <c r="BI1198" s="180">
        <v>-0.34</v>
      </c>
      <c r="BJ1198" s="191">
        <v>43790</v>
      </c>
      <c r="BK1198" s="192" t="s">
        <v>212</v>
      </c>
      <c r="BN1198" s="94">
        <v>43830</v>
      </c>
      <c r="BO1198" s="95" t="s">
        <v>217</v>
      </c>
      <c r="BP1198" s="96">
        <v>12.12</v>
      </c>
    </row>
    <row r="1199" spans="60:68" ht="15">
      <c r="BH1199" s="187">
        <v>43791</v>
      </c>
      <c r="BI1199" s="180">
        <v>-0.33500000000000002</v>
      </c>
      <c r="BJ1199" s="191">
        <v>43791</v>
      </c>
      <c r="BK1199" s="192" t="s">
        <v>213</v>
      </c>
      <c r="BN1199" s="94">
        <v>43832</v>
      </c>
      <c r="BO1199" s="95" t="s">
        <v>218</v>
      </c>
      <c r="BP1199" s="96">
        <v>12.11</v>
      </c>
    </row>
    <row r="1200" spans="60:68" ht="15">
      <c r="BH1200" s="187">
        <v>43794</v>
      </c>
      <c r="BI1200" s="180">
        <v>-0.33800000000000002</v>
      </c>
      <c r="BJ1200" s="191">
        <v>43794</v>
      </c>
      <c r="BK1200" s="192" t="s">
        <v>88</v>
      </c>
      <c r="BN1200" s="94">
        <v>43833</v>
      </c>
      <c r="BO1200" s="95" t="s">
        <v>82</v>
      </c>
      <c r="BP1200" s="96">
        <v>12.11</v>
      </c>
    </row>
    <row r="1201" spans="60:68" ht="15">
      <c r="BH1201" s="187">
        <v>43795</v>
      </c>
      <c r="BI1201" s="180">
        <v>-0.33800000000000002</v>
      </c>
      <c r="BJ1201" s="191">
        <v>43795</v>
      </c>
      <c r="BK1201" s="192" t="s">
        <v>88</v>
      </c>
      <c r="BN1201" s="94">
        <v>43837</v>
      </c>
      <c r="BO1201" s="95" t="s">
        <v>219</v>
      </c>
      <c r="BP1201" s="96">
        <v>12.1</v>
      </c>
    </row>
    <row r="1202" spans="60:68" ht="15">
      <c r="BH1202" s="187">
        <v>43796</v>
      </c>
      <c r="BI1202" s="180">
        <v>-0.34200000000000003</v>
      </c>
      <c r="BJ1202" s="191">
        <v>43796</v>
      </c>
      <c r="BK1202" s="192" t="s">
        <v>213</v>
      </c>
      <c r="BN1202" s="94">
        <v>43838</v>
      </c>
      <c r="BO1202" s="95" t="s">
        <v>80</v>
      </c>
      <c r="BP1202" s="96">
        <v>12.09</v>
      </c>
    </row>
    <row r="1203" spans="60:68" ht="15">
      <c r="BH1203" s="187">
        <v>43797</v>
      </c>
      <c r="BI1203" s="180">
        <v>-0.34699999999999998</v>
      </c>
      <c r="BJ1203" s="191">
        <v>43797</v>
      </c>
      <c r="BK1203" s="192" t="s">
        <v>214</v>
      </c>
      <c r="BN1203" s="94">
        <v>43839</v>
      </c>
      <c r="BO1203" s="95" t="s">
        <v>81</v>
      </c>
      <c r="BP1203" s="96">
        <v>12.06</v>
      </c>
    </row>
    <row r="1204" spans="60:68" ht="15">
      <c r="BH1204" s="187">
        <v>43798</v>
      </c>
      <c r="BI1204" s="180">
        <v>-0.34300000000000003</v>
      </c>
      <c r="BJ1204" s="191">
        <v>43798</v>
      </c>
      <c r="BK1204" s="192" t="s">
        <v>88</v>
      </c>
      <c r="BN1204" s="94">
        <v>43840</v>
      </c>
      <c r="BO1204" s="95" t="s">
        <v>220</v>
      </c>
      <c r="BP1204" s="96">
        <v>12.06</v>
      </c>
    </row>
    <row r="1205" spans="60:68" ht="15">
      <c r="BH1205" s="187">
        <v>43801</v>
      </c>
      <c r="BI1205" s="180">
        <v>-0.34499999999999997</v>
      </c>
      <c r="BJ1205" s="191">
        <v>43801</v>
      </c>
      <c r="BK1205" s="192" t="s">
        <v>215</v>
      </c>
      <c r="BN1205" s="94">
        <v>43843</v>
      </c>
      <c r="BO1205" s="95" t="s">
        <v>78</v>
      </c>
      <c r="BP1205" s="96">
        <v>12.05</v>
      </c>
    </row>
    <row r="1206" spans="60:68" ht="15">
      <c r="BH1206" s="187">
        <v>43802</v>
      </c>
      <c r="BI1206" s="180">
        <v>-0.33300000000000002</v>
      </c>
      <c r="BJ1206" s="191">
        <v>43802</v>
      </c>
      <c r="BK1206" s="192" t="s">
        <v>215</v>
      </c>
      <c r="BN1206" s="94">
        <v>43844</v>
      </c>
      <c r="BO1206" s="95" t="s">
        <v>221</v>
      </c>
      <c r="BP1206" s="96">
        <v>12.05</v>
      </c>
    </row>
    <row r="1207" spans="60:68" ht="15">
      <c r="BH1207" s="187">
        <v>43803</v>
      </c>
      <c r="BI1207" s="180">
        <v>-0.33500000000000002</v>
      </c>
      <c r="BJ1207" s="191">
        <v>43803</v>
      </c>
      <c r="BK1207" s="192" t="s">
        <v>216</v>
      </c>
      <c r="BN1207" s="94">
        <v>43845</v>
      </c>
      <c r="BO1207" s="95" t="s">
        <v>97</v>
      </c>
      <c r="BP1207" s="96">
        <v>12.04</v>
      </c>
    </row>
    <row r="1208" spans="60:68" ht="15">
      <c r="BH1208" s="187">
        <v>43804</v>
      </c>
      <c r="BI1208" s="180">
        <v>-0.33600000000000002</v>
      </c>
      <c r="BJ1208" s="191">
        <v>43804</v>
      </c>
      <c r="BK1208" s="192" t="s">
        <v>88</v>
      </c>
      <c r="BN1208" s="94">
        <v>43846</v>
      </c>
      <c r="BO1208" s="95" t="s">
        <v>98</v>
      </c>
      <c r="BP1208" s="96">
        <v>12.02</v>
      </c>
    </row>
    <row r="1209" spans="60:68" ht="15">
      <c r="BH1209" s="187">
        <v>43805</v>
      </c>
      <c r="BI1209" s="180">
        <v>-0.33300000000000002</v>
      </c>
      <c r="BJ1209" s="191">
        <v>43805</v>
      </c>
      <c r="BK1209" s="192" t="s">
        <v>214</v>
      </c>
      <c r="BN1209" s="94">
        <v>43847</v>
      </c>
      <c r="BO1209" s="95" t="s">
        <v>76</v>
      </c>
      <c r="BP1209" s="96">
        <v>12.01</v>
      </c>
    </row>
    <row r="1210" spans="60:68" ht="15">
      <c r="BH1210" s="187">
        <v>43808</v>
      </c>
      <c r="BI1210" s="180">
        <v>-0.33200000000000002</v>
      </c>
      <c r="BJ1210" s="191">
        <v>43808</v>
      </c>
      <c r="BK1210" s="192" t="s">
        <v>89</v>
      </c>
      <c r="BN1210" s="94">
        <v>43850</v>
      </c>
      <c r="BO1210" s="95" t="s">
        <v>222</v>
      </c>
      <c r="BP1210" s="96">
        <v>11.99</v>
      </c>
    </row>
    <row r="1211" spans="60:68" ht="15">
      <c r="BH1211" s="187">
        <v>43809</v>
      </c>
      <c r="BI1211" s="180">
        <v>-0.33300000000000002</v>
      </c>
      <c r="BJ1211" s="191">
        <v>43809</v>
      </c>
      <c r="BK1211" s="192" t="s">
        <v>90</v>
      </c>
      <c r="BN1211" s="94">
        <v>43851</v>
      </c>
      <c r="BO1211" s="95" t="s">
        <v>75</v>
      </c>
      <c r="BP1211" s="96">
        <v>11.98</v>
      </c>
    </row>
    <row r="1212" spans="60:68" ht="15">
      <c r="BH1212" s="187">
        <v>43810</v>
      </c>
      <c r="BI1212" s="180">
        <v>-0.33800000000000002</v>
      </c>
      <c r="BJ1212" s="191">
        <v>43810</v>
      </c>
      <c r="BK1212" s="192" t="s">
        <v>93</v>
      </c>
      <c r="BN1212" s="94">
        <v>43852</v>
      </c>
      <c r="BO1212" s="95" t="s">
        <v>143</v>
      </c>
      <c r="BP1212" s="96">
        <v>11.97</v>
      </c>
    </row>
    <row r="1213" spans="60:68" ht="15">
      <c r="BH1213" s="187">
        <v>43811</v>
      </c>
      <c r="BI1213" s="180">
        <v>-0.34</v>
      </c>
      <c r="BJ1213" s="191">
        <v>43811</v>
      </c>
      <c r="BK1213" s="192" t="s">
        <v>93</v>
      </c>
      <c r="BN1213" s="94">
        <v>43853</v>
      </c>
      <c r="BO1213" s="95" t="s">
        <v>98</v>
      </c>
      <c r="BP1213" s="96">
        <v>11.97</v>
      </c>
    </row>
    <row r="1214" spans="60:68" ht="15">
      <c r="BH1214" s="187">
        <v>43812</v>
      </c>
      <c r="BI1214" s="180">
        <v>-0.34</v>
      </c>
      <c r="BJ1214" s="191">
        <v>43812</v>
      </c>
      <c r="BK1214" s="192" t="s">
        <v>94</v>
      </c>
      <c r="BN1214" s="94">
        <v>43854</v>
      </c>
      <c r="BO1214" s="95" t="s">
        <v>106</v>
      </c>
      <c r="BP1214" s="96">
        <v>11.97</v>
      </c>
    </row>
    <row r="1215" spans="60:68" ht="15">
      <c r="BH1215" s="187">
        <v>43815</v>
      </c>
      <c r="BI1215" s="180">
        <v>-0.34</v>
      </c>
      <c r="BJ1215" s="191">
        <v>43815</v>
      </c>
      <c r="BK1215" s="192" t="s">
        <v>95</v>
      </c>
      <c r="BN1215" s="94">
        <v>43857</v>
      </c>
      <c r="BO1215" s="95" t="s">
        <v>103</v>
      </c>
      <c r="BP1215" s="96">
        <v>11.95</v>
      </c>
    </row>
    <row r="1216" spans="60:68" ht="15">
      <c r="BH1216" s="187">
        <v>43816</v>
      </c>
      <c r="BI1216" s="180">
        <v>-0.34200000000000003</v>
      </c>
      <c r="BJ1216" s="191">
        <v>43816</v>
      </c>
      <c r="BK1216" s="192" t="s">
        <v>95</v>
      </c>
      <c r="BN1216" s="94">
        <v>43858</v>
      </c>
      <c r="BO1216" s="95" t="s">
        <v>81</v>
      </c>
      <c r="BP1216" s="96">
        <v>11.95</v>
      </c>
    </row>
    <row r="1217" spans="60:68" ht="15">
      <c r="BH1217" s="187">
        <v>43817</v>
      </c>
      <c r="BI1217" s="180">
        <v>-0.34799999999999998</v>
      </c>
      <c r="BJ1217" s="191">
        <v>43817</v>
      </c>
      <c r="BK1217" s="192" t="s">
        <v>212</v>
      </c>
      <c r="BN1217" s="94">
        <v>43859</v>
      </c>
      <c r="BO1217" s="95" t="s">
        <v>223</v>
      </c>
      <c r="BP1217" s="96">
        <v>11.94</v>
      </c>
    </row>
    <row r="1218" spans="60:68" ht="15">
      <c r="BH1218" s="187">
        <v>43818</v>
      </c>
      <c r="BI1218" s="180">
        <v>-0.34200000000000003</v>
      </c>
      <c r="BJ1218" s="191">
        <v>43818</v>
      </c>
      <c r="BK1218" s="192" t="s">
        <v>88</v>
      </c>
      <c r="BN1218" s="94">
        <v>43860</v>
      </c>
      <c r="BO1218" s="95" t="s">
        <v>146</v>
      </c>
      <c r="BP1218" s="96">
        <v>11.99</v>
      </c>
    </row>
    <row r="1219" spans="60:68" ht="15">
      <c r="BH1219" s="187">
        <v>43819</v>
      </c>
      <c r="BI1219" s="180">
        <v>-0.33</v>
      </c>
      <c r="BJ1219" s="191">
        <v>43819</v>
      </c>
      <c r="BK1219" s="192" t="s">
        <v>215</v>
      </c>
      <c r="BN1219" s="94">
        <v>43861</v>
      </c>
      <c r="BO1219" s="95" t="s">
        <v>213</v>
      </c>
      <c r="BP1219" s="96">
        <v>11.98</v>
      </c>
    </row>
    <row r="1220" spans="60:68" ht="15">
      <c r="BH1220" s="187">
        <v>43822</v>
      </c>
      <c r="BI1220" s="180">
        <v>-0.33900000000000002</v>
      </c>
      <c r="BJ1220" s="191">
        <v>43822</v>
      </c>
      <c r="BK1220" s="192" t="s">
        <v>87</v>
      </c>
      <c r="BN1220" s="94">
        <v>43864</v>
      </c>
      <c r="BO1220" s="95" t="s">
        <v>90</v>
      </c>
      <c r="BP1220" s="96">
        <v>11.98</v>
      </c>
    </row>
    <row r="1221" spans="60:68" ht="15">
      <c r="BH1221" s="187">
        <v>43823</v>
      </c>
      <c r="BI1221" s="180">
        <v>-0.33100000000000002</v>
      </c>
      <c r="BJ1221" s="191"/>
      <c r="BK1221" s="193" t="str">
        <f>+BK1220</f>
        <v>−0,183</v>
      </c>
      <c r="BN1221" s="94">
        <v>43865</v>
      </c>
      <c r="BO1221" s="95" t="s">
        <v>224</v>
      </c>
      <c r="BP1221" s="96">
        <v>11.97</v>
      </c>
    </row>
    <row r="1222" spans="60:68" ht="15">
      <c r="BH1222" s="187">
        <v>43824</v>
      </c>
      <c r="BI1222" s="180">
        <v>-0.33100000000000002</v>
      </c>
      <c r="BJ1222" s="191"/>
      <c r="BK1222" s="193" t="str">
        <f t="shared" ref="BK1222:BK1223" si="33">+BK1221</f>
        <v>−0,183</v>
      </c>
      <c r="BN1222" s="94">
        <v>43866</v>
      </c>
      <c r="BO1222" s="95" t="s">
        <v>225</v>
      </c>
      <c r="BP1222" s="96">
        <v>11.94</v>
      </c>
    </row>
    <row r="1223" spans="60:68" ht="15">
      <c r="BH1223" s="187">
        <v>43825</v>
      </c>
      <c r="BI1223" s="180">
        <v>-0.33100000000000002</v>
      </c>
      <c r="BJ1223" s="191"/>
      <c r="BK1223" s="193" t="str">
        <f t="shared" si="33"/>
        <v>−0,183</v>
      </c>
      <c r="BN1223" s="94">
        <v>43867</v>
      </c>
      <c r="BO1223" s="95" t="s">
        <v>226</v>
      </c>
      <c r="BP1223" s="96">
        <v>11.94</v>
      </c>
    </row>
    <row r="1224" spans="60:68" ht="15">
      <c r="BH1224" s="187">
        <v>43826</v>
      </c>
      <c r="BI1224" s="180">
        <v>-0.32500000000000001</v>
      </c>
      <c r="BJ1224" s="191">
        <v>43826</v>
      </c>
      <c r="BK1224" s="192" t="s">
        <v>86</v>
      </c>
      <c r="BN1224" s="94">
        <v>43868</v>
      </c>
      <c r="BO1224" s="95" t="s">
        <v>208</v>
      </c>
      <c r="BP1224" s="96">
        <v>11.93</v>
      </c>
    </row>
    <row r="1225" spans="60:68" ht="15">
      <c r="BH1225" s="187">
        <v>43829</v>
      </c>
      <c r="BI1225" s="180">
        <v>-0.32500000000000001</v>
      </c>
      <c r="BJ1225" s="191">
        <v>43829</v>
      </c>
      <c r="BK1225" s="192" t="s">
        <v>84</v>
      </c>
      <c r="BN1225" s="94">
        <v>43871</v>
      </c>
      <c r="BO1225" s="95" t="s">
        <v>227</v>
      </c>
      <c r="BP1225" s="96">
        <v>11.92</v>
      </c>
    </row>
    <row r="1226" spans="60:68" ht="15">
      <c r="BH1226" s="187">
        <v>43830</v>
      </c>
      <c r="BI1226" s="180">
        <v>-0.32400000000000001</v>
      </c>
      <c r="BJ1226" s="191">
        <v>43830</v>
      </c>
      <c r="BK1226" s="192" t="s">
        <v>217</v>
      </c>
      <c r="BN1226" s="94">
        <v>43872</v>
      </c>
      <c r="BO1226" s="95" t="s">
        <v>206</v>
      </c>
      <c r="BP1226" s="96">
        <v>11.92</v>
      </c>
    </row>
    <row r="1227" spans="60:68" ht="15">
      <c r="BH1227" s="187">
        <v>43831</v>
      </c>
      <c r="BI1227" s="180">
        <v>-0.32400000000000001</v>
      </c>
      <c r="BJ1227" s="191"/>
      <c r="BK1227" s="193" t="str">
        <f>+BK1226</f>
        <v>−0,173</v>
      </c>
      <c r="BN1227" s="94">
        <v>43873</v>
      </c>
      <c r="BO1227" s="95" t="s">
        <v>154</v>
      </c>
      <c r="BP1227" s="96">
        <v>11.92</v>
      </c>
    </row>
    <row r="1228" spans="60:68" ht="15">
      <c r="BH1228" s="187">
        <v>43832</v>
      </c>
      <c r="BI1228" s="180">
        <v>-0.32300000000000001</v>
      </c>
      <c r="BJ1228" s="191">
        <v>43832</v>
      </c>
      <c r="BK1228" s="192" t="s">
        <v>218</v>
      </c>
      <c r="BN1228" s="94">
        <v>43874</v>
      </c>
      <c r="BO1228" s="95" t="s">
        <v>228</v>
      </c>
      <c r="BP1228" s="96">
        <v>11.92</v>
      </c>
    </row>
    <row r="1229" spans="60:68" ht="15">
      <c r="BH1229" s="187">
        <v>43833</v>
      </c>
      <c r="BI1229" s="180">
        <v>-0.32300000000000001</v>
      </c>
      <c r="BJ1229" s="191">
        <v>43833</v>
      </c>
      <c r="BK1229" s="192" t="s">
        <v>82</v>
      </c>
      <c r="BN1229" s="94">
        <v>43875</v>
      </c>
      <c r="BO1229" s="95" t="s">
        <v>229</v>
      </c>
      <c r="BP1229" s="96">
        <v>11.91</v>
      </c>
    </row>
    <row r="1230" spans="60:68" ht="15">
      <c r="BH1230" s="187">
        <v>43836</v>
      </c>
      <c r="BI1230" s="180">
        <v>-0.32500000000000001</v>
      </c>
      <c r="BJ1230" s="191"/>
      <c r="BK1230" s="193" t="str">
        <f>+BK1229</f>
        <v>−0,170</v>
      </c>
      <c r="BN1230" s="94">
        <v>43878</v>
      </c>
      <c r="BO1230" s="95" t="s">
        <v>156</v>
      </c>
      <c r="BP1230" s="96">
        <v>11.95</v>
      </c>
    </row>
    <row r="1231" spans="60:68" ht="15">
      <c r="BH1231" s="187">
        <v>43837</v>
      </c>
      <c r="BI1231" s="180">
        <v>-0.32300000000000001</v>
      </c>
      <c r="BJ1231" s="191">
        <v>43837</v>
      </c>
      <c r="BK1231" s="192" t="s">
        <v>219</v>
      </c>
      <c r="BN1231" s="94">
        <v>43879</v>
      </c>
      <c r="BO1231" s="95" t="s">
        <v>230</v>
      </c>
      <c r="BP1231" s="96">
        <v>11.95</v>
      </c>
    </row>
    <row r="1232" spans="60:68" ht="15">
      <c r="BH1232" s="187">
        <v>43838</v>
      </c>
      <c r="BI1232" s="180">
        <v>-0.33200000000000002</v>
      </c>
      <c r="BJ1232" s="191">
        <v>43838</v>
      </c>
      <c r="BK1232" s="192" t="s">
        <v>80</v>
      </c>
      <c r="BN1232" s="94">
        <v>43880</v>
      </c>
      <c r="BO1232" s="95" t="s">
        <v>231</v>
      </c>
      <c r="BP1232" s="96">
        <v>11.94</v>
      </c>
    </row>
    <row r="1233" spans="60:68" ht="15">
      <c r="BH1233" s="187">
        <v>43839</v>
      </c>
      <c r="BI1233" s="180">
        <v>-0.33300000000000002</v>
      </c>
      <c r="BJ1233" s="191">
        <v>43839</v>
      </c>
      <c r="BK1233" s="192" t="s">
        <v>81</v>
      </c>
      <c r="BN1233" s="94">
        <v>43881</v>
      </c>
      <c r="BO1233" s="95" t="s">
        <v>202</v>
      </c>
      <c r="BP1233" s="96">
        <v>11.94</v>
      </c>
    </row>
    <row r="1234" spans="60:68" ht="15">
      <c r="BH1234" s="187">
        <v>43840</v>
      </c>
      <c r="BI1234" s="180">
        <v>-0.33400000000000002</v>
      </c>
      <c r="BJ1234" s="191">
        <v>43840</v>
      </c>
      <c r="BK1234" s="192" t="s">
        <v>220</v>
      </c>
      <c r="BN1234" s="94">
        <v>43882</v>
      </c>
      <c r="BO1234" s="95" t="s">
        <v>232</v>
      </c>
      <c r="BP1234" s="96">
        <v>11.94</v>
      </c>
    </row>
    <row r="1235" spans="60:68" ht="15">
      <c r="BH1235" s="187">
        <v>43843</v>
      </c>
      <c r="BI1235" s="180">
        <v>-0.32400000000000001</v>
      </c>
      <c r="BJ1235" s="191">
        <v>43843</v>
      </c>
      <c r="BK1235" s="192" t="s">
        <v>78</v>
      </c>
      <c r="BN1235" s="94">
        <v>43885</v>
      </c>
      <c r="BO1235" s="95" t="s">
        <v>233</v>
      </c>
      <c r="BP1235" s="96">
        <v>11.92</v>
      </c>
    </row>
    <row r="1236" spans="60:68" ht="15">
      <c r="BH1236" s="187">
        <v>43844</v>
      </c>
      <c r="BI1236" s="180">
        <v>-0.32900000000000001</v>
      </c>
      <c r="BJ1236" s="191">
        <v>43844</v>
      </c>
      <c r="BK1236" s="192" t="s">
        <v>221</v>
      </c>
      <c r="BN1236" s="94">
        <v>43886</v>
      </c>
      <c r="BO1236" s="95" t="s">
        <v>200</v>
      </c>
      <c r="BP1236" s="96">
        <v>11.92</v>
      </c>
    </row>
    <row r="1237" spans="60:68" ht="15">
      <c r="BH1237" s="187">
        <v>43845</v>
      </c>
      <c r="BI1237" s="180">
        <v>-0.33400000000000002</v>
      </c>
      <c r="BJ1237" s="191">
        <v>43845</v>
      </c>
      <c r="BK1237" s="192" t="s">
        <v>97</v>
      </c>
      <c r="BN1237" s="94">
        <v>43887</v>
      </c>
      <c r="BO1237" s="95" t="s">
        <v>159</v>
      </c>
      <c r="BP1237" s="96">
        <v>11.92</v>
      </c>
    </row>
    <row r="1238" spans="60:68" ht="15">
      <c r="BH1238" s="187">
        <v>43846</v>
      </c>
      <c r="BI1238" s="180">
        <v>-0.33</v>
      </c>
      <c r="BJ1238" s="191">
        <v>43846</v>
      </c>
      <c r="BK1238" s="192" t="s">
        <v>98</v>
      </c>
      <c r="BN1238" s="94">
        <v>43888</v>
      </c>
      <c r="BO1238" s="95" t="s">
        <v>234</v>
      </c>
      <c r="BP1238" s="96">
        <v>11.92</v>
      </c>
    </row>
    <row r="1239" spans="60:68" ht="15">
      <c r="BH1239" s="187">
        <v>43847</v>
      </c>
      <c r="BI1239" s="180">
        <v>-0.33200000000000002</v>
      </c>
      <c r="BJ1239" s="191">
        <v>43847</v>
      </c>
      <c r="BK1239" s="192" t="s">
        <v>76</v>
      </c>
      <c r="BN1239" s="94">
        <v>43889</v>
      </c>
      <c r="BO1239" s="95" t="s">
        <v>235</v>
      </c>
      <c r="BP1239" s="96">
        <v>11.91</v>
      </c>
    </row>
    <row r="1240" spans="60:68" ht="15">
      <c r="BH1240" s="187">
        <v>43850</v>
      </c>
      <c r="BI1240" s="180">
        <v>-0.33300000000000002</v>
      </c>
      <c r="BJ1240" s="191">
        <v>43850</v>
      </c>
      <c r="BK1240" s="192" t="s">
        <v>222</v>
      </c>
      <c r="BN1240" s="94">
        <v>43892</v>
      </c>
      <c r="BO1240" s="95" t="s">
        <v>236</v>
      </c>
      <c r="BP1240" s="96">
        <v>11.9</v>
      </c>
    </row>
    <row r="1241" spans="60:68" ht="15">
      <c r="BH1241" s="187">
        <v>43851</v>
      </c>
      <c r="BI1241" s="180">
        <v>-0.33400000000000002</v>
      </c>
      <c r="BJ1241" s="191">
        <v>43851</v>
      </c>
      <c r="BK1241" s="192" t="s">
        <v>75</v>
      </c>
      <c r="BN1241" s="94">
        <v>43893</v>
      </c>
      <c r="BO1241" s="95" t="s">
        <v>161</v>
      </c>
      <c r="BP1241" s="96">
        <v>11.9</v>
      </c>
    </row>
    <row r="1242" spans="60:68" ht="15">
      <c r="BH1242" s="187">
        <v>43852</v>
      </c>
      <c r="BI1242" s="180">
        <v>-0.32900000000000001</v>
      </c>
      <c r="BJ1242" s="191">
        <v>43852</v>
      </c>
      <c r="BK1242" s="192" t="s">
        <v>143</v>
      </c>
      <c r="BN1242" s="94">
        <v>43894</v>
      </c>
      <c r="BO1242" s="95" t="s">
        <v>195</v>
      </c>
      <c r="BP1242" s="96">
        <v>11.9</v>
      </c>
    </row>
    <row r="1243" spans="60:68" ht="15">
      <c r="BH1243" s="187">
        <v>43853</v>
      </c>
      <c r="BI1243" s="180">
        <v>-0.32</v>
      </c>
      <c r="BJ1243" s="191">
        <v>43853</v>
      </c>
      <c r="BK1243" s="192" t="s">
        <v>98</v>
      </c>
      <c r="BN1243" s="94">
        <v>43895</v>
      </c>
      <c r="BO1243" s="95" t="s">
        <v>237</v>
      </c>
      <c r="BP1243" s="96">
        <v>11.94</v>
      </c>
    </row>
    <row r="1244" spans="60:68" ht="15">
      <c r="BH1244" s="187">
        <v>43854</v>
      </c>
      <c r="BI1244" s="180">
        <v>-0.32300000000000001</v>
      </c>
      <c r="BJ1244" s="191">
        <v>43854</v>
      </c>
      <c r="BK1244" s="192" t="s">
        <v>106</v>
      </c>
      <c r="BN1244" s="94">
        <v>43896</v>
      </c>
      <c r="BO1244" s="95" t="s">
        <v>238</v>
      </c>
      <c r="BP1244" s="96">
        <v>11.93</v>
      </c>
    </row>
    <row r="1245" spans="60:68" ht="15">
      <c r="BH1245" s="187">
        <v>43857</v>
      </c>
      <c r="BI1245" s="180">
        <v>-0.33300000000000002</v>
      </c>
      <c r="BJ1245" s="191">
        <v>43857</v>
      </c>
      <c r="BK1245" s="192" t="s">
        <v>103</v>
      </c>
      <c r="BN1245" s="94">
        <v>43899</v>
      </c>
      <c r="BO1245" s="95" t="s">
        <v>239</v>
      </c>
      <c r="BP1245" s="96">
        <v>11.92</v>
      </c>
    </row>
    <row r="1246" spans="60:68" ht="15">
      <c r="BH1246" s="187">
        <v>43858</v>
      </c>
      <c r="BI1246" s="180">
        <v>-0.33700000000000002</v>
      </c>
      <c r="BJ1246" s="191">
        <v>43858</v>
      </c>
      <c r="BK1246" s="192" t="s">
        <v>81</v>
      </c>
      <c r="BN1246" s="94">
        <v>43900</v>
      </c>
      <c r="BO1246" s="95" t="s">
        <v>186</v>
      </c>
      <c r="BP1246" s="96">
        <v>11.92</v>
      </c>
    </row>
    <row r="1247" spans="60:68" ht="15">
      <c r="BH1247" s="187">
        <v>43859</v>
      </c>
      <c r="BI1247" s="180">
        <v>-0.33600000000000002</v>
      </c>
      <c r="BJ1247" s="191">
        <v>43859</v>
      </c>
      <c r="BK1247" s="192" t="s">
        <v>223</v>
      </c>
      <c r="BN1247" s="94">
        <v>43901</v>
      </c>
      <c r="BO1247" s="95" t="s">
        <v>240</v>
      </c>
      <c r="BP1247" s="96">
        <v>11.92</v>
      </c>
    </row>
    <row r="1248" spans="60:68" ht="15">
      <c r="BH1248" s="187">
        <v>43860</v>
      </c>
      <c r="BI1248" s="180">
        <v>-0.33700000000000002</v>
      </c>
      <c r="BJ1248" s="191">
        <v>43860</v>
      </c>
      <c r="BK1248" s="192" t="s">
        <v>146</v>
      </c>
      <c r="BN1248" s="94">
        <v>43902</v>
      </c>
      <c r="BO1248" s="95" t="s">
        <v>167</v>
      </c>
      <c r="BP1248" s="96">
        <v>11.92</v>
      </c>
    </row>
    <row r="1249" spans="60:68" ht="15">
      <c r="BH1249" s="187">
        <v>43861</v>
      </c>
      <c r="BI1249" s="180">
        <v>-0.33800000000000002</v>
      </c>
      <c r="BJ1249" s="191">
        <v>43861</v>
      </c>
      <c r="BK1249" s="192" t="s">
        <v>213</v>
      </c>
      <c r="BN1249" s="94">
        <v>43903</v>
      </c>
      <c r="BO1249" s="95" t="s">
        <v>241</v>
      </c>
      <c r="BP1249" s="96">
        <v>11.91</v>
      </c>
    </row>
    <row r="1250" spans="60:68" ht="15">
      <c r="BH1250" s="187">
        <v>43864</v>
      </c>
      <c r="BI1250" s="180">
        <v>-0.33800000000000002</v>
      </c>
      <c r="BJ1250" s="191">
        <v>43864</v>
      </c>
      <c r="BK1250" s="192" t="s">
        <v>90</v>
      </c>
      <c r="BN1250" s="94">
        <v>43906</v>
      </c>
      <c r="BO1250" s="95" t="s">
        <v>242</v>
      </c>
      <c r="BP1250" s="96">
        <v>11.91</v>
      </c>
    </row>
    <row r="1251" spans="60:68" ht="15">
      <c r="BH1251" s="187">
        <v>43865</v>
      </c>
      <c r="BI1251" s="180">
        <v>-0.34</v>
      </c>
      <c r="BJ1251" s="191">
        <v>43865</v>
      </c>
      <c r="BK1251" s="192" t="s">
        <v>224</v>
      </c>
      <c r="BN1251" s="94">
        <v>43907</v>
      </c>
      <c r="BO1251" s="95" t="s">
        <v>243</v>
      </c>
      <c r="BP1251" s="96">
        <v>11.9</v>
      </c>
    </row>
    <row r="1252" spans="60:68" ht="15">
      <c r="BH1252" s="187">
        <v>43866</v>
      </c>
      <c r="BI1252" s="180">
        <v>-0.34599999999999997</v>
      </c>
      <c r="BJ1252" s="191">
        <v>43866</v>
      </c>
      <c r="BK1252" s="192" t="s">
        <v>225</v>
      </c>
      <c r="BN1252" s="94">
        <v>43908</v>
      </c>
      <c r="BO1252" s="95" t="s">
        <v>244</v>
      </c>
      <c r="BP1252" s="96">
        <v>11.9</v>
      </c>
    </row>
    <row r="1253" spans="60:68" ht="15">
      <c r="BH1253" s="187">
        <v>43867</v>
      </c>
      <c r="BI1253" s="180">
        <v>-0.34300000000000003</v>
      </c>
      <c r="BJ1253" s="191">
        <v>43867</v>
      </c>
      <c r="BK1253" s="192" t="s">
        <v>226</v>
      </c>
      <c r="BN1253" s="94">
        <v>43909</v>
      </c>
      <c r="BO1253" s="95" t="s">
        <v>245</v>
      </c>
      <c r="BP1253" s="96">
        <v>11.9</v>
      </c>
    </row>
    <row r="1254" spans="60:68" ht="15">
      <c r="BH1254" s="187">
        <v>43868</v>
      </c>
      <c r="BI1254" s="180">
        <v>-0.33900000000000002</v>
      </c>
      <c r="BJ1254" s="191">
        <v>43868</v>
      </c>
      <c r="BK1254" s="192" t="s">
        <v>208</v>
      </c>
      <c r="BN1254" s="94">
        <v>43910</v>
      </c>
      <c r="BO1254" s="95" t="s">
        <v>246</v>
      </c>
      <c r="BP1254" s="96">
        <v>11.89</v>
      </c>
    </row>
    <row r="1255" spans="60:68" ht="15">
      <c r="BH1255" s="187">
        <v>43871</v>
      </c>
      <c r="BI1255" s="180">
        <v>-0.34599999999999997</v>
      </c>
      <c r="BJ1255" s="191">
        <v>43871</v>
      </c>
      <c r="BK1255" s="192" t="s">
        <v>227</v>
      </c>
      <c r="BN1255" s="94">
        <v>43913</v>
      </c>
      <c r="BO1255" s="95" t="s">
        <v>247</v>
      </c>
      <c r="BP1255" s="96">
        <v>11.88</v>
      </c>
    </row>
    <row r="1256" spans="60:68" ht="15">
      <c r="BH1256" s="187">
        <v>43872</v>
      </c>
      <c r="BI1256" s="180">
        <v>-0.35</v>
      </c>
      <c r="BJ1256" s="191">
        <v>43872</v>
      </c>
      <c r="BK1256" s="192" t="s">
        <v>206</v>
      </c>
      <c r="BN1256" s="94">
        <v>43914</v>
      </c>
      <c r="BO1256" s="95" t="s">
        <v>248</v>
      </c>
      <c r="BP1256" s="96">
        <v>11.87</v>
      </c>
    </row>
    <row r="1257" spans="60:68" ht="15">
      <c r="BH1257" s="187">
        <v>43873</v>
      </c>
      <c r="BI1257" s="180">
        <v>-0.36199999999999999</v>
      </c>
      <c r="BJ1257" s="191">
        <v>43873</v>
      </c>
      <c r="BK1257" s="192" t="s">
        <v>154</v>
      </c>
      <c r="BN1257" s="94">
        <v>43915</v>
      </c>
      <c r="BO1257" s="95" t="s">
        <v>249</v>
      </c>
      <c r="BP1257" s="96">
        <v>11.86</v>
      </c>
    </row>
    <row r="1258" spans="60:68" ht="15">
      <c r="BH1258" s="187">
        <v>43874</v>
      </c>
      <c r="BI1258" s="180">
        <v>-0.35699999999999998</v>
      </c>
      <c r="BJ1258" s="191">
        <v>43874</v>
      </c>
      <c r="BK1258" s="192" t="s">
        <v>228</v>
      </c>
      <c r="BN1258" s="94">
        <v>43916</v>
      </c>
      <c r="BO1258" s="95" t="s">
        <v>250</v>
      </c>
      <c r="BP1258" s="96">
        <v>11.85</v>
      </c>
    </row>
    <row r="1259" spans="60:68" ht="15">
      <c r="BH1259" s="187">
        <v>43875</v>
      </c>
      <c r="BI1259" s="180">
        <v>-0.35899999999999999</v>
      </c>
      <c r="BJ1259" s="191">
        <v>43875</v>
      </c>
      <c r="BK1259" s="192" t="s">
        <v>229</v>
      </c>
      <c r="BN1259" s="94">
        <v>43917</v>
      </c>
      <c r="BO1259" s="95" t="s">
        <v>251</v>
      </c>
      <c r="BP1259" s="96">
        <v>11.85</v>
      </c>
    </row>
    <row r="1260" spans="60:68" ht="15">
      <c r="BH1260" s="187">
        <v>43878</v>
      </c>
      <c r="BI1260" s="180">
        <v>-0.35299999999999998</v>
      </c>
      <c r="BJ1260" s="191">
        <v>43878</v>
      </c>
      <c r="BK1260" s="192" t="s">
        <v>156</v>
      </c>
      <c r="BN1260" s="94">
        <v>43920</v>
      </c>
      <c r="BO1260" s="95" t="s">
        <v>228</v>
      </c>
      <c r="BP1260" s="96">
        <v>11.83</v>
      </c>
    </row>
    <row r="1261" spans="60:68" ht="15">
      <c r="BH1261" s="187">
        <v>43879</v>
      </c>
      <c r="BI1261" s="180">
        <v>-0.35799999999999998</v>
      </c>
      <c r="BJ1261" s="191">
        <v>43879</v>
      </c>
      <c r="BK1261" s="192" t="s">
        <v>230</v>
      </c>
      <c r="BN1261" s="94">
        <v>43921</v>
      </c>
      <c r="BO1261" s="95" t="s">
        <v>252</v>
      </c>
      <c r="BP1261" s="96">
        <v>11.82</v>
      </c>
    </row>
    <row r="1262" spans="60:68" ht="15">
      <c r="BH1262" s="187">
        <v>43880</v>
      </c>
      <c r="BI1262" s="180">
        <v>-0.35299999999999998</v>
      </c>
      <c r="BJ1262" s="191">
        <v>43880</v>
      </c>
      <c r="BK1262" s="192" t="s">
        <v>231</v>
      </c>
      <c r="BN1262" s="94">
        <v>43922</v>
      </c>
      <c r="BO1262" s="95" t="s">
        <v>253</v>
      </c>
      <c r="BP1262" s="96">
        <v>11.82</v>
      </c>
    </row>
    <row r="1263" spans="60:68" ht="15">
      <c r="BH1263" s="187">
        <v>43881</v>
      </c>
      <c r="BI1263" s="180">
        <v>-0.35799999999999998</v>
      </c>
      <c r="BJ1263" s="191">
        <v>43881</v>
      </c>
      <c r="BK1263" s="192" t="s">
        <v>202</v>
      </c>
      <c r="BN1263" s="94">
        <v>43923</v>
      </c>
      <c r="BO1263" s="95" t="s">
        <v>94</v>
      </c>
      <c r="BP1263" s="96">
        <v>11.83</v>
      </c>
    </row>
    <row r="1264" spans="60:68" ht="15">
      <c r="BH1264" s="187">
        <v>43882</v>
      </c>
      <c r="BI1264" s="180">
        <v>-0.35599999999999998</v>
      </c>
      <c r="BJ1264" s="191">
        <v>43882</v>
      </c>
      <c r="BK1264" s="192" t="s">
        <v>232</v>
      </c>
      <c r="BN1264" s="94">
        <v>43924</v>
      </c>
      <c r="BO1264" s="95" t="s">
        <v>223</v>
      </c>
      <c r="BP1264" s="96">
        <v>11.83</v>
      </c>
    </row>
    <row r="1265" spans="60:68" ht="15">
      <c r="BH1265" s="187">
        <v>43885</v>
      </c>
      <c r="BI1265" s="180">
        <v>-0.35699999999999998</v>
      </c>
      <c r="BJ1265" s="191">
        <v>43885</v>
      </c>
      <c r="BK1265" s="192" t="s">
        <v>233</v>
      </c>
      <c r="BN1265" s="94">
        <v>43927</v>
      </c>
      <c r="BO1265" s="95" t="s">
        <v>98</v>
      </c>
      <c r="BP1265" s="96">
        <v>11.82</v>
      </c>
    </row>
    <row r="1266" spans="60:68" ht="15">
      <c r="BH1266" s="187">
        <v>43886</v>
      </c>
      <c r="BI1266" s="180">
        <v>-0.35799999999999998</v>
      </c>
      <c r="BJ1266" s="191">
        <v>43886</v>
      </c>
      <c r="BK1266" s="192" t="s">
        <v>200</v>
      </c>
      <c r="BN1266" s="94">
        <v>43928</v>
      </c>
      <c r="BO1266" s="95" t="s">
        <v>141</v>
      </c>
      <c r="BP1266" s="96">
        <v>11.82</v>
      </c>
    </row>
    <row r="1267" spans="60:68" ht="15">
      <c r="BH1267" s="187">
        <v>43887</v>
      </c>
      <c r="BI1267" s="180">
        <v>-0.371</v>
      </c>
      <c r="BJ1267" s="191">
        <v>43887</v>
      </c>
      <c r="BK1267" s="192" t="s">
        <v>159</v>
      </c>
      <c r="BN1267" s="94">
        <v>43929</v>
      </c>
      <c r="BO1267" s="95" t="s">
        <v>254</v>
      </c>
      <c r="BP1267" s="96">
        <v>11.82</v>
      </c>
    </row>
    <row r="1268" spans="60:68" ht="15">
      <c r="BH1268" s="187">
        <v>43888</v>
      </c>
      <c r="BI1268" s="180">
        <v>-0.375</v>
      </c>
      <c r="BJ1268" s="191">
        <v>43888</v>
      </c>
      <c r="BK1268" s="192" t="s">
        <v>234</v>
      </c>
      <c r="BN1268" s="94">
        <v>43930</v>
      </c>
      <c r="BO1268" s="95" t="s">
        <v>255</v>
      </c>
      <c r="BP1268" s="96">
        <v>11.79</v>
      </c>
    </row>
    <row r="1269" spans="60:68" ht="15">
      <c r="BH1269" s="187">
        <v>43889</v>
      </c>
      <c r="BI1269" s="180">
        <v>-0.38600000000000001</v>
      </c>
      <c r="BJ1269" s="191">
        <v>43889</v>
      </c>
      <c r="BK1269" s="192" t="s">
        <v>235</v>
      </c>
      <c r="BN1269" s="94">
        <v>43931</v>
      </c>
      <c r="BO1269" s="95" t="s">
        <v>256</v>
      </c>
      <c r="BP1269" s="96">
        <v>11.79</v>
      </c>
    </row>
    <row r="1270" spans="60:68" ht="15">
      <c r="BH1270" s="187">
        <v>43892</v>
      </c>
      <c r="BI1270" s="180">
        <v>-0.4</v>
      </c>
      <c r="BJ1270" s="191">
        <v>43892</v>
      </c>
      <c r="BK1270" s="192" t="s">
        <v>236</v>
      </c>
      <c r="BN1270" s="94">
        <v>43935</v>
      </c>
      <c r="BO1270" s="95" t="s">
        <v>257</v>
      </c>
      <c r="BP1270" s="96">
        <v>11.77</v>
      </c>
    </row>
    <row r="1271" spans="60:68" ht="15">
      <c r="BH1271" s="187">
        <v>43893</v>
      </c>
      <c r="BI1271" s="180">
        <v>-0.42199999999999999</v>
      </c>
      <c r="BJ1271" s="191">
        <v>43893</v>
      </c>
      <c r="BK1271" s="192" t="s">
        <v>161</v>
      </c>
      <c r="BN1271" s="94">
        <v>43936</v>
      </c>
      <c r="BO1271" s="95" t="s">
        <v>258</v>
      </c>
      <c r="BP1271" s="96">
        <v>11.77</v>
      </c>
    </row>
    <row r="1272" spans="60:68" ht="15">
      <c r="BH1272" s="187">
        <v>43894</v>
      </c>
      <c r="BI1272" s="180">
        <v>-0.41799999999999998</v>
      </c>
      <c r="BJ1272" s="191">
        <v>43894</v>
      </c>
      <c r="BK1272" s="192" t="s">
        <v>195</v>
      </c>
      <c r="BN1272" s="94">
        <v>43937</v>
      </c>
      <c r="BO1272" s="95" t="s">
        <v>259</v>
      </c>
      <c r="BP1272" s="96">
        <v>11.76</v>
      </c>
    </row>
    <row r="1273" spans="60:68" ht="15">
      <c r="BH1273" s="187">
        <v>43895</v>
      </c>
      <c r="BI1273" s="180">
        <v>-0.432</v>
      </c>
      <c r="BJ1273" s="191">
        <v>43895</v>
      </c>
      <c r="BK1273" s="192" t="s">
        <v>237</v>
      </c>
      <c r="BN1273" s="94">
        <v>43938</v>
      </c>
      <c r="BO1273" s="95" t="s">
        <v>260</v>
      </c>
      <c r="BP1273" s="96">
        <v>11.76</v>
      </c>
    </row>
    <row r="1274" spans="60:68" ht="15">
      <c r="BH1274" s="187">
        <v>43896</v>
      </c>
      <c r="BI1274" s="180">
        <v>-0.42699999999999999</v>
      </c>
      <c r="BJ1274" s="191">
        <v>43896</v>
      </c>
      <c r="BK1274" s="192" t="s">
        <v>238</v>
      </c>
      <c r="BN1274" s="94">
        <v>43941</v>
      </c>
      <c r="BO1274" s="95" t="s">
        <v>261</v>
      </c>
      <c r="BP1274" s="96">
        <v>11.75</v>
      </c>
    </row>
    <row r="1275" spans="60:68" ht="15">
      <c r="BH1275" s="187">
        <v>43899</v>
      </c>
      <c r="BI1275" s="180">
        <v>-0.42099999999999999</v>
      </c>
      <c r="BJ1275" s="191">
        <v>43899</v>
      </c>
      <c r="BK1275" s="192" t="s">
        <v>239</v>
      </c>
      <c r="BN1275" s="94">
        <v>43942</v>
      </c>
      <c r="BO1275" s="95" t="s">
        <v>262</v>
      </c>
      <c r="BP1275" s="96">
        <v>11.75</v>
      </c>
    </row>
    <row r="1276" spans="60:68" ht="15">
      <c r="BH1276" s="187">
        <v>43900</v>
      </c>
      <c r="BI1276" s="180">
        <v>-0.438</v>
      </c>
      <c r="BJ1276" s="191">
        <v>43900</v>
      </c>
      <c r="BK1276" s="192" t="s">
        <v>186</v>
      </c>
      <c r="BN1276" s="94">
        <v>43943</v>
      </c>
      <c r="BO1276" s="95" t="s">
        <v>68</v>
      </c>
      <c r="BP1276" s="96">
        <v>11.75</v>
      </c>
    </row>
    <row r="1277" spans="60:68" ht="15">
      <c r="BH1277" s="187">
        <v>43901</v>
      </c>
      <c r="BI1277" s="180">
        <v>-0.42899999999999999</v>
      </c>
      <c r="BJ1277" s="191">
        <v>43901</v>
      </c>
      <c r="BK1277" s="192" t="s">
        <v>240</v>
      </c>
      <c r="BN1277" s="94">
        <v>43944</v>
      </c>
      <c r="BO1277" s="95" t="s">
        <v>69</v>
      </c>
      <c r="BP1277" s="96">
        <v>11.74</v>
      </c>
    </row>
    <row r="1278" spans="60:68" ht="15">
      <c r="BH1278" s="187">
        <v>43902</v>
      </c>
      <c r="BI1278" s="180">
        <v>-0.44700000000000001</v>
      </c>
      <c r="BJ1278" s="191">
        <v>43902</v>
      </c>
      <c r="BK1278" s="192" t="s">
        <v>167</v>
      </c>
      <c r="BN1278" s="94">
        <v>43945</v>
      </c>
      <c r="BO1278" s="95" t="s">
        <v>113</v>
      </c>
      <c r="BP1278" s="96">
        <v>11.74</v>
      </c>
    </row>
    <row r="1279" spans="60:68" ht="15">
      <c r="BH1279" s="187">
        <v>43903</v>
      </c>
      <c r="BI1279" s="180">
        <v>-0.39700000000000002</v>
      </c>
      <c r="BJ1279" s="191">
        <v>43903</v>
      </c>
      <c r="BK1279" s="192" t="s">
        <v>241</v>
      </c>
      <c r="BN1279" s="94">
        <v>43948</v>
      </c>
      <c r="BO1279" s="95" t="s">
        <v>113</v>
      </c>
      <c r="BP1279" s="96">
        <v>11.73</v>
      </c>
    </row>
    <row r="1280" spans="60:68" ht="15">
      <c r="BH1280" s="187">
        <v>43906</v>
      </c>
      <c r="BI1280" s="180">
        <v>-0.372</v>
      </c>
      <c r="BJ1280" s="191">
        <v>43906</v>
      </c>
      <c r="BK1280" s="192" t="s">
        <v>242</v>
      </c>
      <c r="BN1280" s="94">
        <v>43949</v>
      </c>
      <c r="BO1280" s="95" t="s">
        <v>263</v>
      </c>
      <c r="BP1280" s="96">
        <v>11.73</v>
      </c>
    </row>
    <row r="1281" spans="60:68" ht="15">
      <c r="BH1281" s="187">
        <v>43907</v>
      </c>
      <c r="BI1281" s="180">
        <v>-0.373</v>
      </c>
      <c r="BJ1281" s="191">
        <v>43907</v>
      </c>
      <c r="BK1281" s="192" t="s">
        <v>243</v>
      </c>
      <c r="BN1281" s="94">
        <v>43950</v>
      </c>
      <c r="BO1281" s="95" t="s">
        <v>264</v>
      </c>
      <c r="BP1281" s="96">
        <v>11.73</v>
      </c>
    </row>
    <row r="1282" spans="60:68" ht="15">
      <c r="BH1282" s="187">
        <v>43908</v>
      </c>
      <c r="BI1282" s="180">
        <v>-0.36</v>
      </c>
      <c r="BJ1282" s="191">
        <v>43908</v>
      </c>
      <c r="BK1282" s="192" t="s">
        <v>244</v>
      </c>
      <c r="BN1282" s="94">
        <v>43951</v>
      </c>
      <c r="BO1282" s="95" t="s">
        <v>265</v>
      </c>
      <c r="BP1282" s="96">
        <v>11.73</v>
      </c>
    </row>
    <row r="1283" spans="60:68" ht="15">
      <c r="BH1283" s="187">
        <v>43909</v>
      </c>
      <c r="BI1283" s="180">
        <v>-0.34499999999999997</v>
      </c>
      <c r="BJ1283" s="191">
        <v>43909</v>
      </c>
      <c r="BK1283" s="192" t="s">
        <v>245</v>
      </c>
      <c r="BN1283" s="94">
        <v>43955</v>
      </c>
      <c r="BO1283" s="95" t="s">
        <v>110</v>
      </c>
      <c r="BP1283" s="96">
        <v>11.71</v>
      </c>
    </row>
    <row r="1284" spans="60:68" ht="15">
      <c r="BH1284" s="187">
        <v>43910</v>
      </c>
      <c r="BI1284" s="180">
        <v>-0.313</v>
      </c>
      <c r="BJ1284" s="191">
        <v>43910</v>
      </c>
      <c r="BK1284" s="192" t="s">
        <v>246</v>
      </c>
      <c r="BN1284" s="94">
        <v>43956</v>
      </c>
      <c r="BO1284" s="95" t="s">
        <v>73</v>
      </c>
      <c r="BP1284" s="96">
        <v>11.71</v>
      </c>
    </row>
    <row r="1285" spans="60:68" ht="15">
      <c r="BH1285" s="187">
        <v>43913</v>
      </c>
      <c r="BI1285" s="180">
        <v>-0.307</v>
      </c>
      <c r="BJ1285" s="191">
        <v>43913</v>
      </c>
      <c r="BK1285" s="192" t="s">
        <v>247</v>
      </c>
      <c r="BN1285" s="94">
        <v>43957</v>
      </c>
      <c r="BO1285" s="95" t="s">
        <v>97</v>
      </c>
      <c r="BP1285" s="96">
        <v>11.7</v>
      </c>
    </row>
    <row r="1286" spans="60:68" ht="15">
      <c r="BH1286" s="187">
        <v>43914</v>
      </c>
      <c r="BI1286" s="180">
        <v>-0.30599999999999999</v>
      </c>
      <c r="BJ1286" s="191">
        <v>43914</v>
      </c>
      <c r="BK1286" s="192" t="s">
        <v>248</v>
      </c>
      <c r="BN1286" s="94">
        <v>43958</v>
      </c>
      <c r="BO1286" s="95" t="s">
        <v>103</v>
      </c>
      <c r="BP1286" s="96">
        <v>11.74</v>
      </c>
    </row>
    <row r="1287" spans="60:68" ht="15">
      <c r="BH1287" s="187">
        <v>43915</v>
      </c>
      <c r="BI1287" s="180">
        <v>-0.29799999999999999</v>
      </c>
      <c r="BJ1287" s="191">
        <v>43915</v>
      </c>
      <c r="BK1287" s="192" t="s">
        <v>249</v>
      </c>
      <c r="BN1287" s="94">
        <v>43959</v>
      </c>
      <c r="BO1287" s="95" t="s">
        <v>223</v>
      </c>
      <c r="BP1287" s="96">
        <v>11.73</v>
      </c>
    </row>
    <row r="1288" spans="60:68" ht="15">
      <c r="BH1288" s="187">
        <v>43916</v>
      </c>
      <c r="BI1288" s="180">
        <v>-0.27400000000000002</v>
      </c>
      <c r="BJ1288" s="191">
        <v>43916</v>
      </c>
      <c r="BK1288" s="192" t="s">
        <v>250</v>
      </c>
      <c r="BN1288" s="94">
        <v>43962</v>
      </c>
      <c r="BO1288" s="95" t="s">
        <v>266</v>
      </c>
      <c r="BP1288" s="96">
        <v>11.72</v>
      </c>
    </row>
    <row r="1289" spans="60:68" ht="15">
      <c r="BH1289" s="187">
        <v>43917</v>
      </c>
      <c r="BI1289" s="180">
        <v>-0.28100000000000003</v>
      </c>
      <c r="BJ1289" s="191">
        <v>43917</v>
      </c>
      <c r="BK1289" s="192" t="s">
        <v>251</v>
      </c>
      <c r="BN1289" s="94">
        <v>43963</v>
      </c>
      <c r="BO1289" s="95" t="s">
        <v>88</v>
      </c>
      <c r="BP1289" s="96">
        <v>11.71</v>
      </c>
    </row>
    <row r="1290" spans="60:68" ht="15">
      <c r="BH1290" s="187">
        <v>43920</v>
      </c>
      <c r="BI1290" s="180">
        <v>-0.28000000000000003</v>
      </c>
      <c r="BJ1290" s="191">
        <v>43920</v>
      </c>
      <c r="BK1290" s="192" t="s">
        <v>228</v>
      </c>
      <c r="BN1290" s="94">
        <v>43964</v>
      </c>
      <c r="BO1290" s="95" t="s">
        <v>91</v>
      </c>
      <c r="BP1290" s="96">
        <v>11.71</v>
      </c>
    </row>
    <row r="1291" spans="60:68" ht="15">
      <c r="BH1291" s="187">
        <v>43921</v>
      </c>
      <c r="BI1291" s="180">
        <v>-0.28699999999999998</v>
      </c>
      <c r="BJ1291" s="191">
        <v>43921</v>
      </c>
      <c r="BK1291" s="192" t="s">
        <v>252</v>
      </c>
      <c r="BN1291" s="94">
        <v>43965</v>
      </c>
      <c r="BO1291" s="95" t="s">
        <v>225</v>
      </c>
      <c r="BP1291" s="96">
        <v>11.71</v>
      </c>
    </row>
    <row r="1292" spans="60:68" ht="15">
      <c r="BH1292" s="187">
        <v>43922</v>
      </c>
      <c r="BI1292" s="180">
        <v>-0.27600000000000002</v>
      </c>
      <c r="BJ1292" s="191">
        <v>43922</v>
      </c>
      <c r="BK1292" s="192" t="s">
        <v>253</v>
      </c>
      <c r="BN1292" s="94">
        <v>43966</v>
      </c>
      <c r="BO1292" s="95" t="s">
        <v>267</v>
      </c>
      <c r="BP1292" s="96">
        <v>11.7</v>
      </c>
    </row>
    <row r="1293" spans="60:68" ht="15">
      <c r="BH1293" s="187">
        <v>43923</v>
      </c>
      <c r="BI1293" s="180">
        <v>-0.26800000000000002</v>
      </c>
      <c r="BJ1293" s="191">
        <v>43923</v>
      </c>
      <c r="BK1293" s="192" t="s">
        <v>94</v>
      </c>
      <c r="BN1293" s="94">
        <v>43969</v>
      </c>
      <c r="BO1293" s="95" t="s">
        <v>149</v>
      </c>
      <c r="BP1293" s="96">
        <v>11.69</v>
      </c>
    </row>
    <row r="1294" spans="60:68" ht="15">
      <c r="BH1294" s="187">
        <v>43924</v>
      </c>
      <c r="BI1294" s="180">
        <v>-0.27700000000000002</v>
      </c>
      <c r="BJ1294" s="191">
        <v>43924</v>
      </c>
      <c r="BK1294" s="192" t="s">
        <v>223</v>
      </c>
      <c r="BN1294" s="94">
        <v>43970</v>
      </c>
      <c r="BO1294" s="95" t="s">
        <v>268</v>
      </c>
      <c r="BP1294" s="96">
        <v>11.69</v>
      </c>
    </row>
    <row r="1295" spans="60:68" ht="15">
      <c r="BH1295" s="187">
        <v>43927</v>
      </c>
      <c r="BI1295" s="180">
        <v>-0.253</v>
      </c>
      <c r="BJ1295" s="191">
        <v>43927</v>
      </c>
      <c r="BK1295" s="192" t="s">
        <v>98</v>
      </c>
      <c r="BN1295" s="94">
        <v>43971</v>
      </c>
      <c r="BO1295" s="95" t="s">
        <v>227</v>
      </c>
      <c r="BP1295" s="96">
        <v>11.69</v>
      </c>
    </row>
    <row r="1296" spans="60:68" ht="15">
      <c r="BH1296" s="187">
        <v>43928</v>
      </c>
      <c r="BI1296" s="180">
        <v>-0.23200000000000001</v>
      </c>
      <c r="BJ1296" s="191">
        <v>43928</v>
      </c>
      <c r="BK1296" s="192" t="s">
        <v>141</v>
      </c>
      <c r="BN1296" s="94">
        <v>43973</v>
      </c>
      <c r="BO1296" s="95" t="s">
        <v>153</v>
      </c>
      <c r="BP1296" s="96">
        <v>11.68</v>
      </c>
    </row>
    <row r="1297" spans="60:68" ht="15">
      <c r="BH1297" s="187">
        <v>43929</v>
      </c>
      <c r="BI1297" s="180">
        <v>-0.19600000000000001</v>
      </c>
      <c r="BJ1297" s="191">
        <v>43929</v>
      </c>
      <c r="BK1297" s="192" t="s">
        <v>254</v>
      </c>
      <c r="BN1297" s="94">
        <v>43976</v>
      </c>
      <c r="BO1297" s="95" t="s">
        <v>154</v>
      </c>
      <c r="BP1297" s="96">
        <v>11.67</v>
      </c>
    </row>
    <row r="1298" spans="60:68" ht="15">
      <c r="BH1298" s="187">
        <v>43930</v>
      </c>
      <c r="BI1298" s="180">
        <v>-0.17899999999999999</v>
      </c>
      <c r="BJ1298" s="191">
        <v>43930</v>
      </c>
      <c r="BK1298" s="192" t="s">
        <v>255</v>
      </c>
      <c r="BN1298" s="94">
        <v>43977</v>
      </c>
      <c r="BO1298" s="95" t="s">
        <v>269</v>
      </c>
      <c r="BP1298" s="96">
        <v>11.66</v>
      </c>
    </row>
    <row r="1299" spans="60:68" ht="15">
      <c r="BH1299" s="187">
        <v>43931</v>
      </c>
      <c r="BI1299" s="180">
        <v>-0.17899999999999999</v>
      </c>
      <c r="BJ1299" s="191">
        <v>43931</v>
      </c>
      <c r="BK1299" s="192" t="s">
        <v>256</v>
      </c>
      <c r="BN1299" s="94">
        <v>43978</v>
      </c>
      <c r="BO1299" s="95" t="s">
        <v>205</v>
      </c>
      <c r="BP1299" s="96">
        <v>11.66</v>
      </c>
    </row>
    <row r="1300" spans="60:68" ht="15">
      <c r="BH1300" s="187">
        <v>43934</v>
      </c>
      <c r="BI1300" s="180">
        <v>-0.17899999999999999</v>
      </c>
      <c r="BJ1300" s="191"/>
      <c r="BK1300" s="193" t="str">
        <f>+BK1299</f>
        <v>−0,081</v>
      </c>
      <c r="BN1300" s="94">
        <v>43979</v>
      </c>
      <c r="BO1300" s="95" t="s">
        <v>228</v>
      </c>
      <c r="BP1300" s="96">
        <v>11.65</v>
      </c>
    </row>
    <row r="1301" spans="60:68" ht="15">
      <c r="BH1301" s="187">
        <v>43935</v>
      </c>
      <c r="BI1301" s="180">
        <v>-0.19500000000000001</v>
      </c>
      <c r="BJ1301" s="191">
        <v>43935</v>
      </c>
      <c r="BK1301" s="192" t="s">
        <v>257</v>
      </c>
      <c r="BN1301" s="94">
        <v>43980</v>
      </c>
      <c r="BO1301" s="95" t="s">
        <v>270</v>
      </c>
      <c r="BP1301" s="96">
        <v>11.65</v>
      </c>
    </row>
    <row r="1302" spans="60:68" ht="15">
      <c r="BH1302" s="187">
        <v>43936</v>
      </c>
      <c r="BI1302" s="180">
        <v>-0.19600000000000001</v>
      </c>
      <c r="BJ1302" s="191">
        <v>43936</v>
      </c>
      <c r="BK1302" s="192" t="s">
        <v>258</v>
      </c>
      <c r="BN1302" s="94">
        <v>43984</v>
      </c>
      <c r="BO1302" s="95" t="s">
        <v>155</v>
      </c>
      <c r="BP1302" s="96">
        <v>11.63</v>
      </c>
    </row>
    <row r="1303" spans="60:68" ht="15">
      <c r="BH1303" s="187">
        <v>43937</v>
      </c>
      <c r="BI1303" s="180">
        <v>-0.187</v>
      </c>
      <c r="BJ1303" s="191">
        <v>43937</v>
      </c>
      <c r="BK1303" s="192" t="s">
        <v>259</v>
      </c>
      <c r="BN1303" s="94">
        <v>43985</v>
      </c>
      <c r="BO1303" s="95" t="s">
        <v>205</v>
      </c>
      <c r="BP1303" s="96">
        <v>11.63</v>
      </c>
    </row>
    <row r="1304" spans="60:68" ht="15">
      <c r="BH1304" s="187">
        <v>43938</v>
      </c>
      <c r="BI1304" s="180">
        <v>-0.19500000000000001</v>
      </c>
      <c r="BJ1304" s="191">
        <v>43938</v>
      </c>
      <c r="BK1304" s="192" t="s">
        <v>260</v>
      </c>
      <c r="BN1304" s="94">
        <v>43986</v>
      </c>
      <c r="BO1304" s="95" t="s">
        <v>271</v>
      </c>
      <c r="BP1304" s="96">
        <v>11.59</v>
      </c>
    </row>
    <row r="1305" spans="60:68" ht="15">
      <c r="BH1305" s="187">
        <v>43941</v>
      </c>
      <c r="BI1305" s="180">
        <v>-0.185</v>
      </c>
      <c r="BJ1305" s="191">
        <v>43941</v>
      </c>
      <c r="BK1305" s="192" t="s">
        <v>261</v>
      </c>
      <c r="BN1305" s="94">
        <v>43987</v>
      </c>
      <c r="BO1305" s="95" t="s">
        <v>272</v>
      </c>
      <c r="BP1305" s="96">
        <v>11.59</v>
      </c>
    </row>
    <row r="1306" spans="60:68" ht="15">
      <c r="BH1306" s="187">
        <v>43942</v>
      </c>
      <c r="BI1306" s="180">
        <v>-0.17799999999999999</v>
      </c>
      <c r="BJ1306" s="191">
        <v>43942</v>
      </c>
      <c r="BK1306" s="192" t="s">
        <v>262</v>
      </c>
      <c r="BN1306" s="94">
        <v>43990</v>
      </c>
      <c r="BO1306" s="95" t="s">
        <v>252</v>
      </c>
      <c r="BP1306" s="96">
        <v>11.58</v>
      </c>
    </row>
    <row r="1307" spans="60:68" ht="15">
      <c r="BH1307" s="187">
        <v>43943</v>
      </c>
      <c r="BI1307" s="180">
        <v>-0.124</v>
      </c>
      <c r="BJ1307" s="191">
        <v>43943</v>
      </c>
      <c r="BK1307" s="192" t="s">
        <v>68</v>
      </c>
      <c r="BN1307" s="94">
        <v>43991</v>
      </c>
      <c r="BO1307" s="95" t="s">
        <v>273</v>
      </c>
      <c r="BP1307" s="96">
        <v>11.58</v>
      </c>
    </row>
    <row r="1308" spans="60:68" ht="15">
      <c r="BH1308" s="187">
        <v>43944</v>
      </c>
      <c r="BI1308" s="180">
        <v>-0.114</v>
      </c>
      <c r="BJ1308" s="191">
        <v>43944</v>
      </c>
      <c r="BK1308" s="192" t="s">
        <v>69</v>
      </c>
      <c r="BN1308" s="94">
        <v>43992</v>
      </c>
      <c r="BO1308" s="95" t="s">
        <v>274</v>
      </c>
      <c r="BP1308" s="96">
        <v>11.58</v>
      </c>
    </row>
    <row r="1309" spans="60:68" ht="15">
      <c r="BH1309" s="187">
        <v>43945</v>
      </c>
      <c r="BI1309" s="180">
        <v>-0.13600000000000001</v>
      </c>
      <c r="BJ1309" s="191">
        <v>43945</v>
      </c>
      <c r="BK1309" s="192" t="s">
        <v>113</v>
      </c>
      <c r="BN1309" s="94">
        <v>43994</v>
      </c>
      <c r="BO1309" s="95" t="s">
        <v>275</v>
      </c>
      <c r="BP1309" s="96">
        <v>11.56</v>
      </c>
    </row>
    <row r="1310" spans="60:68" ht="15">
      <c r="BH1310" s="187">
        <v>43948</v>
      </c>
      <c r="BI1310" s="180">
        <v>-0.14699999999999999</v>
      </c>
      <c r="BJ1310" s="191">
        <v>43948</v>
      </c>
      <c r="BK1310" s="192" t="s">
        <v>113</v>
      </c>
      <c r="BN1310" s="94">
        <v>43997</v>
      </c>
      <c r="BO1310" s="95" t="s">
        <v>275</v>
      </c>
      <c r="BP1310" s="96">
        <v>11.55</v>
      </c>
    </row>
    <row r="1311" spans="60:68" ht="15">
      <c r="BH1311" s="187">
        <v>43949</v>
      </c>
      <c r="BI1311" s="180">
        <v>-0.16300000000000001</v>
      </c>
      <c r="BJ1311" s="191">
        <v>43949</v>
      </c>
      <c r="BK1311" s="192" t="s">
        <v>263</v>
      </c>
      <c r="BN1311" s="94">
        <v>43998</v>
      </c>
      <c r="BO1311" s="95" t="s">
        <v>276</v>
      </c>
      <c r="BP1311" s="96">
        <v>11.55</v>
      </c>
    </row>
    <row r="1312" spans="60:68" ht="15">
      <c r="BH1312" s="187">
        <v>43950</v>
      </c>
      <c r="BI1312" s="180">
        <v>-0.16900000000000001</v>
      </c>
      <c r="BJ1312" s="191">
        <v>43950</v>
      </c>
      <c r="BK1312" s="192" t="s">
        <v>264</v>
      </c>
      <c r="BN1312" s="94">
        <v>43999</v>
      </c>
      <c r="BO1312" s="95" t="s">
        <v>276</v>
      </c>
      <c r="BP1312" s="96">
        <v>11.54</v>
      </c>
    </row>
    <row r="1313" spans="60:68" ht="15">
      <c r="BH1313" s="187">
        <v>43951</v>
      </c>
      <c r="BI1313" s="180">
        <v>-0.17</v>
      </c>
      <c r="BJ1313" s="191">
        <v>43951</v>
      </c>
      <c r="BK1313" s="192" t="s">
        <v>265</v>
      </c>
      <c r="BN1313" s="94">
        <v>44000</v>
      </c>
      <c r="BO1313" s="95" t="s">
        <v>275</v>
      </c>
      <c r="BP1313" s="96">
        <v>11.55</v>
      </c>
    </row>
    <row r="1314" spans="60:68" ht="15">
      <c r="BH1314" s="187">
        <v>43952</v>
      </c>
      <c r="BI1314" s="180">
        <v>-0.17</v>
      </c>
      <c r="BJ1314" s="191"/>
      <c r="BK1314" s="193">
        <v>-0.127</v>
      </c>
      <c r="BL1314" s="111">
        <f>+(BI1314+BK1314)/2+0.37</f>
        <v>0.22149999999999997</v>
      </c>
      <c r="BN1314" s="94">
        <v>44001</v>
      </c>
      <c r="BO1314" s="95" t="s">
        <v>153</v>
      </c>
      <c r="BP1314" s="96">
        <v>11.55</v>
      </c>
    </row>
    <row r="1315" spans="60:68" ht="15">
      <c r="BH1315" s="187">
        <v>43955</v>
      </c>
      <c r="BI1315" s="180">
        <v>-0.157</v>
      </c>
      <c r="BJ1315" s="191">
        <v>43955</v>
      </c>
      <c r="BK1315" s="192" t="s">
        <v>110</v>
      </c>
      <c r="BN1315" s="94">
        <v>44004</v>
      </c>
      <c r="BO1315" s="95" t="s">
        <v>272</v>
      </c>
      <c r="BP1315" s="96">
        <v>11.54</v>
      </c>
    </row>
    <row r="1316" spans="60:68" ht="15">
      <c r="BH1316" s="187">
        <v>43956</v>
      </c>
      <c r="BI1316" s="180">
        <v>-0.16500000000000001</v>
      </c>
      <c r="BJ1316" s="191">
        <v>43956</v>
      </c>
      <c r="BK1316" s="192" t="s">
        <v>73</v>
      </c>
      <c r="BN1316" s="94">
        <v>44005</v>
      </c>
      <c r="BO1316" s="95" t="s">
        <v>277</v>
      </c>
      <c r="BP1316" s="96">
        <v>11.53</v>
      </c>
    </row>
    <row r="1317" spans="60:68" ht="15">
      <c r="BH1317" s="187">
        <v>43957</v>
      </c>
      <c r="BI1317" s="180">
        <v>-0.13600000000000001</v>
      </c>
      <c r="BJ1317" s="191">
        <v>43957</v>
      </c>
      <c r="BK1317" s="192" t="s">
        <v>97</v>
      </c>
      <c r="BN1317" s="94">
        <v>44006</v>
      </c>
      <c r="BO1317" s="95" t="s">
        <v>271</v>
      </c>
      <c r="BP1317" s="96">
        <v>11.53</v>
      </c>
    </row>
    <row r="1318" spans="60:68" ht="15">
      <c r="BH1318" s="187">
        <v>43958</v>
      </c>
      <c r="BI1318" s="180">
        <v>-0.114</v>
      </c>
      <c r="BJ1318" s="191">
        <v>43958</v>
      </c>
      <c r="BK1318" s="192" t="s">
        <v>103</v>
      </c>
      <c r="BN1318" s="94">
        <v>44007</v>
      </c>
      <c r="BO1318" s="95" t="s">
        <v>228</v>
      </c>
      <c r="BP1318" s="96">
        <v>11.53</v>
      </c>
    </row>
    <row r="1319" spans="60:68" ht="15">
      <c r="BH1319" s="187">
        <v>43959</v>
      </c>
      <c r="BI1319" s="180">
        <v>-0.14499999999999999</v>
      </c>
      <c r="BJ1319" s="191">
        <v>43959</v>
      </c>
      <c r="BK1319" s="192" t="s">
        <v>223</v>
      </c>
      <c r="BN1319" s="94">
        <v>44008</v>
      </c>
      <c r="BO1319" s="95" t="s">
        <v>278</v>
      </c>
      <c r="BP1319" s="96">
        <v>11.52</v>
      </c>
    </row>
    <row r="1320" spans="60:68" ht="15">
      <c r="BH1320" s="187">
        <v>43962</v>
      </c>
      <c r="BI1320" s="180">
        <v>-0.14699999999999999</v>
      </c>
      <c r="BJ1320" s="191">
        <v>43962</v>
      </c>
      <c r="BK1320" s="192" t="s">
        <v>266</v>
      </c>
      <c r="BN1320" s="94">
        <v>44011</v>
      </c>
      <c r="BO1320" s="95" t="s">
        <v>279</v>
      </c>
      <c r="BP1320" s="96">
        <v>11.51</v>
      </c>
    </row>
    <row r="1321" spans="60:68" ht="15">
      <c r="BH1321" s="187">
        <v>43963</v>
      </c>
      <c r="BI1321" s="180">
        <v>-0.14699999999999999</v>
      </c>
      <c r="BJ1321" s="191">
        <v>43963</v>
      </c>
      <c r="BK1321" s="192" t="s">
        <v>88</v>
      </c>
      <c r="BN1321" s="94">
        <v>44012</v>
      </c>
      <c r="BO1321" s="95" t="s">
        <v>278</v>
      </c>
      <c r="BP1321" s="96">
        <v>12.31</v>
      </c>
    </row>
    <row r="1322" spans="60:68" ht="15">
      <c r="BH1322" s="187">
        <v>43964</v>
      </c>
      <c r="BI1322" s="180">
        <v>-0.14199999999999999</v>
      </c>
      <c r="BJ1322" s="191">
        <v>43964</v>
      </c>
      <c r="BK1322" s="192" t="s">
        <v>91</v>
      </c>
      <c r="BN1322" s="94">
        <v>44013</v>
      </c>
      <c r="BO1322" s="95" t="s">
        <v>204</v>
      </c>
      <c r="BP1322" s="96">
        <v>12.31</v>
      </c>
    </row>
    <row r="1323" spans="60:68" ht="15">
      <c r="BH1323" s="187">
        <v>43965</v>
      </c>
      <c r="BI1323" s="180">
        <v>-0.13700000000000001</v>
      </c>
      <c r="BJ1323" s="191">
        <v>43965</v>
      </c>
      <c r="BK1323" s="192" t="s">
        <v>225</v>
      </c>
      <c r="BN1323" s="94">
        <v>44014</v>
      </c>
      <c r="BO1323" s="95" t="s">
        <v>280</v>
      </c>
      <c r="BP1323" s="96">
        <v>12.3</v>
      </c>
    </row>
    <row r="1324" spans="60:68" ht="15">
      <c r="BH1324" s="187">
        <v>43966</v>
      </c>
      <c r="BI1324" s="180">
        <v>-0.13100000000000001</v>
      </c>
      <c r="BJ1324" s="191">
        <v>43966</v>
      </c>
      <c r="BK1324" s="192" t="s">
        <v>267</v>
      </c>
      <c r="BN1324" s="94">
        <v>44015</v>
      </c>
      <c r="BO1324" s="95" t="s">
        <v>281</v>
      </c>
      <c r="BP1324" s="96">
        <v>12.3</v>
      </c>
    </row>
    <row r="1325" spans="60:68" ht="15">
      <c r="BH1325" s="187">
        <v>43969</v>
      </c>
      <c r="BI1325" s="180">
        <v>-0.13700000000000001</v>
      </c>
      <c r="BJ1325" s="191">
        <v>43969</v>
      </c>
      <c r="BK1325" s="192" t="s">
        <v>149</v>
      </c>
      <c r="BN1325" s="94">
        <v>44018</v>
      </c>
      <c r="BO1325" s="95" t="s">
        <v>282</v>
      </c>
      <c r="BP1325" s="96">
        <v>12.29</v>
      </c>
    </row>
    <row r="1326" spans="60:68" ht="15">
      <c r="BH1326" s="187">
        <v>43970</v>
      </c>
      <c r="BI1326" s="180">
        <v>-0.13800000000000001</v>
      </c>
      <c r="BJ1326" s="191">
        <v>43970</v>
      </c>
      <c r="BK1326" s="192" t="s">
        <v>268</v>
      </c>
      <c r="BN1326" s="94">
        <v>44019</v>
      </c>
      <c r="BO1326" s="95" t="s">
        <v>283</v>
      </c>
      <c r="BP1326" s="96">
        <v>12.29</v>
      </c>
    </row>
    <row r="1327" spans="60:68" ht="15">
      <c r="BH1327" s="187">
        <v>43971</v>
      </c>
      <c r="BI1327" s="180">
        <v>-0.13900000000000001</v>
      </c>
      <c r="BJ1327" s="191">
        <v>43971</v>
      </c>
      <c r="BK1327" s="192" t="s">
        <v>227</v>
      </c>
      <c r="BN1327" s="94">
        <v>44020</v>
      </c>
      <c r="BO1327" s="95" t="s">
        <v>284</v>
      </c>
      <c r="BP1327" s="96">
        <v>12.32</v>
      </c>
    </row>
    <row r="1328" spans="60:68" ht="15">
      <c r="BH1328" s="187">
        <v>43972</v>
      </c>
      <c r="BI1328" s="180">
        <v>-0.14499999999999999</v>
      </c>
      <c r="BJ1328" s="191"/>
      <c r="BK1328" s="193" t="str">
        <f>+BK1327</f>
        <v>−0,223</v>
      </c>
      <c r="BN1328" s="94">
        <v>44021</v>
      </c>
      <c r="BO1328" s="95" t="s">
        <v>249</v>
      </c>
      <c r="BP1328" s="96">
        <v>12.4</v>
      </c>
    </row>
    <row r="1329" spans="60:68" ht="15">
      <c r="BH1329" s="187">
        <v>43973</v>
      </c>
      <c r="BI1329" s="180">
        <v>-0.154</v>
      </c>
      <c r="BJ1329" s="191">
        <v>43973</v>
      </c>
      <c r="BK1329" s="192" t="s">
        <v>153</v>
      </c>
      <c r="BN1329" s="94">
        <v>44022</v>
      </c>
      <c r="BO1329" s="95" t="s">
        <v>285</v>
      </c>
      <c r="BP1329" s="96">
        <v>12.39</v>
      </c>
    </row>
    <row r="1330" spans="60:68" ht="15">
      <c r="BH1330" s="187">
        <v>43976</v>
      </c>
      <c r="BI1330" s="180">
        <v>-0.14499999999999999</v>
      </c>
      <c r="BJ1330" s="191">
        <v>43976</v>
      </c>
      <c r="BK1330" s="192" t="s">
        <v>154</v>
      </c>
      <c r="BN1330" s="94">
        <v>44025</v>
      </c>
      <c r="BO1330" s="95" t="s">
        <v>286</v>
      </c>
      <c r="BP1330" s="96">
        <v>12.36</v>
      </c>
    </row>
    <row r="1331" spans="60:68" ht="15">
      <c r="BH1331" s="187">
        <v>43977</v>
      </c>
      <c r="BI1331" s="180">
        <v>-0.13300000000000001</v>
      </c>
      <c r="BJ1331" s="191">
        <v>43977</v>
      </c>
      <c r="BK1331" s="192" t="s">
        <v>269</v>
      </c>
      <c r="BN1331" s="94">
        <v>44026</v>
      </c>
      <c r="BO1331" s="95" t="s">
        <v>159</v>
      </c>
      <c r="BP1331" s="96">
        <v>12.36</v>
      </c>
    </row>
    <row r="1332" spans="60:68" ht="15">
      <c r="BH1332" s="187">
        <v>43978</v>
      </c>
      <c r="BI1332" s="180">
        <v>-0.14899999999999999</v>
      </c>
      <c r="BJ1332" s="191">
        <v>43978</v>
      </c>
      <c r="BK1332" s="192" t="s">
        <v>205</v>
      </c>
      <c r="BN1332" s="94">
        <v>44027</v>
      </c>
      <c r="BO1332" s="95" t="s">
        <v>287</v>
      </c>
      <c r="BP1332" s="96">
        <v>12.36</v>
      </c>
    </row>
    <row r="1333" spans="60:68" ht="15">
      <c r="BH1333" s="187">
        <v>43979</v>
      </c>
      <c r="BI1333" s="180">
        <v>-0.14199999999999999</v>
      </c>
      <c r="BJ1333" s="191">
        <v>43979</v>
      </c>
      <c r="BK1333" s="192" t="s">
        <v>228</v>
      </c>
      <c r="BN1333" s="94">
        <v>44028</v>
      </c>
      <c r="BO1333" s="95" t="s">
        <v>288</v>
      </c>
      <c r="BP1333" s="96">
        <v>12.35</v>
      </c>
    </row>
    <row r="1334" spans="60:68" ht="15">
      <c r="BH1334" s="187">
        <v>43980</v>
      </c>
      <c r="BI1334" s="180">
        <v>-0.158</v>
      </c>
      <c r="BJ1334" s="191">
        <v>43980</v>
      </c>
      <c r="BK1334" s="192" t="s">
        <v>270</v>
      </c>
      <c r="BN1334" s="94">
        <v>44029</v>
      </c>
      <c r="BO1334" s="95" t="s">
        <v>289</v>
      </c>
      <c r="BP1334" s="96">
        <v>12.35</v>
      </c>
    </row>
    <row r="1335" spans="60:68" ht="15">
      <c r="BH1335" s="187">
        <v>43983</v>
      </c>
      <c r="BI1335" s="180">
        <v>-0.16300000000000001</v>
      </c>
      <c r="BJ1335" s="191"/>
      <c r="BK1335" s="193" t="str">
        <f>+BK1334</f>
        <v>−0,246</v>
      </c>
      <c r="BN1335" s="94">
        <v>44032</v>
      </c>
      <c r="BO1335" s="95" t="s">
        <v>198</v>
      </c>
      <c r="BP1335" s="96">
        <v>12.34</v>
      </c>
    </row>
    <row r="1336" spans="60:68" ht="15">
      <c r="BH1336" s="187">
        <v>43984</v>
      </c>
      <c r="BI1336" s="180">
        <v>-0.182</v>
      </c>
      <c r="BJ1336" s="191">
        <v>43984</v>
      </c>
      <c r="BK1336" s="192" t="s">
        <v>155</v>
      </c>
      <c r="BN1336" s="94">
        <v>44033</v>
      </c>
      <c r="BO1336" s="95" t="s">
        <v>290</v>
      </c>
      <c r="BP1336" s="96">
        <v>12.33</v>
      </c>
    </row>
    <row r="1337" spans="60:68" ht="15">
      <c r="BH1337" s="187">
        <v>43985</v>
      </c>
      <c r="BI1337" s="180">
        <v>-0.17399999999999999</v>
      </c>
      <c r="BJ1337" s="191">
        <v>43985</v>
      </c>
      <c r="BK1337" s="192" t="s">
        <v>205</v>
      </c>
      <c r="BN1337" s="94">
        <v>44034</v>
      </c>
      <c r="BO1337" s="95" t="s">
        <v>291</v>
      </c>
      <c r="BP1337" s="96">
        <v>12.33</v>
      </c>
    </row>
    <row r="1338" spans="60:68" ht="15">
      <c r="BH1338" s="187">
        <v>43986</v>
      </c>
      <c r="BI1338" s="180">
        <v>-0.17899999999999999</v>
      </c>
      <c r="BJ1338" s="191">
        <v>43986</v>
      </c>
      <c r="BK1338" s="192" t="s">
        <v>271</v>
      </c>
      <c r="BN1338" s="94">
        <v>44035</v>
      </c>
      <c r="BO1338" s="95" t="s">
        <v>247</v>
      </c>
      <c r="BP1338" s="96">
        <v>12.33</v>
      </c>
    </row>
    <row r="1339" spans="60:68" ht="15">
      <c r="BH1339" s="187">
        <v>43987</v>
      </c>
      <c r="BI1339" s="180">
        <v>-0.19600000000000001</v>
      </c>
      <c r="BJ1339" s="191">
        <v>43987</v>
      </c>
      <c r="BK1339" s="192" t="s">
        <v>272</v>
      </c>
      <c r="BN1339" s="94">
        <v>44036</v>
      </c>
      <c r="BO1339" s="95" t="s">
        <v>161</v>
      </c>
      <c r="BP1339" s="96">
        <v>12.33</v>
      </c>
    </row>
    <row r="1340" spans="60:68" ht="15">
      <c r="BH1340" s="187">
        <v>43990</v>
      </c>
      <c r="BI1340" s="180">
        <v>-0.19500000000000001</v>
      </c>
      <c r="BJ1340" s="191">
        <v>43990</v>
      </c>
      <c r="BK1340" s="192" t="s">
        <v>252</v>
      </c>
      <c r="BN1340" s="94">
        <v>44039</v>
      </c>
      <c r="BO1340" s="95" t="s">
        <v>292</v>
      </c>
      <c r="BP1340" s="96">
        <v>12.31</v>
      </c>
    </row>
    <row r="1341" spans="60:68" ht="15">
      <c r="BH1341" s="187">
        <v>43991</v>
      </c>
      <c r="BI1341" s="180">
        <v>-0.19400000000000001</v>
      </c>
      <c r="BJ1341" s="191">
        <v>43991</v>
      </c>
      <c r="BK1341" s="192" t="s">
        <v>273</v>
      </c>
      <c r="BN1341" s="94">
        <v>44040</v>
      </c>
      <c r="BO1341" s="95" t="s">
        <v>293</v>
      </c>
      <c r="BP1341" s="96">
        <v>12.3</v>
      </c>
    </row>
    <row r="1342" spans="60:68" ht="15">
      <c r="BH1342" s="187">
        <v>43992</v>
      </c>
      <c r="BI1342" s="180">
        <v>-0.193</v>
      </c>
      <c r="BJ1342" s="191">
        <v>43992</v>
      </c>
      <c r="BK1342" s="192" t="s">
        <v>274</v>
      </c>
      <c r="BN1342" s="94">
        <v>44041</v>
      </c>
      <c r="BO1342" s="95" t="s">
        <v>294</v>
      </c>
      <c r="BP1342" s="96">
        <v>12.34</v>
      </c>
    </row>
    <row r="1343" spans="60:68" ht="15">
      <c r="BH1343" s="187">
        <v>43993</v>
      </c>
      <c r="BI1343" s="180">
        <v>-0.183</v>
      </c>
      <c r="BJ1343" s="191"/>
      <c r="BK1343" s="193" t="str">
        <f>+BK1342</f>
        <v>−0,225</v>
      </c>
      <c r="BN1343" s="94">
        <v>44042</v>
      </c>
      <c r="BO1343" s="95" t="s">
        <v>295</v>
      </c>
      <c r="BP1343" s="96">
        <v>12.34</v>
      </c>
    </row>
    <row r="1344" spans="60:68" ht="15">
      <c r="BH1344" s="187">
        <v>43994</v>
      </c>
      <c r="BI1344" s="180">
        <v>-0.19900000000000001</v>
      </c>
      <c r="BJ1344" s="191">
        <v>43994</v>
      </c>
      <c r="BK1344" s="192" t="s">
        <v>275</v>
      </c>
      <c r="BN1344" s="94">
        <v>44043</v>
      </c>
      <c r="BO1344" s="95" t="s">
        <v>296</v>
      </c>
      <c r="BP1344" s="96">
        <v>12.33</v>
      </c>
    </row>
    <row r="1345" spans="60:68" ht="15">
      <c r="BH1345" s="187">
        <v>43997</v>
      </c>
      <c r="BI1345" s="180">
        <v>-0.20599999999999999</v>
      </c>
      <c r="BJ1345" s="191">
        <v>43997</v>
      </c>
      <c r="BK1345" s="192" t="s">
        <v>275</v>
      </c>
      <c r="BN1345" s="94">
        <v>44046</v>
      </c>
      <c r="BO1345" s="95" t="s">
        <v>245</v>
      </c>
      <c r="BP1345" s="96">
        <v>12.32</v>
      </c>
    </row>
    <row r="1346" spans="60:68" ht="15">
      <c r="BH1346" s="187">
        <v>43998</v>
      </c>
      <c r="BI1346" s="180">
        <v>-0.20599999999999999</v>
      </c>
      <c r="BJ1346" s="191">
        <v>43998</v>
      </c>
      <c r="BK1346" s="192" t="s">
        <v>276</v>
      </c>
      <c r="BN1346" s="94">
        <v>44047</v>
      </c>
      <c r="BO1346" s="95" t="s">
        <v>297</v>
      </c>
      <c r="BP1346" s="96">
        <v>12.32</v>
      </c>
    </row>
    <row r="1347" spans="60:68" ht="15">
      <c r="BH1347" s="187">
        <v>43999</v>
      </c>
      <c r="BI1347" s="180">
        <v>-0.215</v>
      </c>
      <c r="BJ1347" s="191">
        <v>43999</v>
      </c>
      <c r="BK1347" s="192" t="s">
        <v>276</v>
      </c>
      <c r="BN1347" s="94">
        <v>44048</v>
      </c>
      <c r="BO1347" s="95" t="s">
        <v>189</v>
      </c>
      <c r="BP1347" s="96">
        <v>12.35</v>
      </c>
    </row>
    <row r="1348" spans="60:68" ht="15">
      <c r="BH1348" s="187">
        <v>44000</v>
      </c>
      <c r="BI1348" s="180">
        <v>-0.22800000000000001</v>
      </c>
      <c r="BJ1348" s="191">
        <v>44000</v>
      </c>
      <c r="BK1348" s="192" t="s">
        <v>275</v>
      </c>
      <c r="BN1348" s="94">
        <v>44049</v>
      </c>
      <c r="BO1348" s="95" t="s">
        <v>244</v>
      </c>
      <c r="BP1348" s="96">
        <v>12.31</v>
      </c>
    </row>
    <row r="1349" spans="60:68" ht="15">
      <c r="BH1349" s="187">
        <v>44001</v>
      </c>
      <c r="BI1349" s="180">
        <v>-0.23400000000000001</v>
      </c>
      <c r="BJ1349" s="191">
        <v>44001</v>
      </c>
      <c r="BK1349" s="192" t="s">
        <v>153</v>
      </c>
      <c r="BN1349" s="94">
        <v>44050</v>
      </c>
      <c r="BO1349" s="95" t="s">
        <v>239</v>
      </c>
      <c r="BP1349" s="96">
        <v>12.31</v>
      </c>
    </row>
    <row r="1350" spans="60:68" ht="15">
      <c r="BH1350" s="187">
        <v>44004</v>
      </c>
      <c r="BI1350" s="180">
        <v>-0.25900000000000001</v>
      </c>
      <c r="BJ1350" s="191">
        <v>44004</v>
      </c>
      <c r="BK1350" s="192" t="s">
        <v>272</v>
      </c>
      <c r="BN1350" s="94">
        <v>44053</v>
      </c>
      <c r="BO1350" s="95" t="s">
        <v>298</v>
      </c>
      <c r="BP1350" s="96">
        <v>12.29</v>
      </c>
    </row>
    <row r="1351" spans="60:68" ht="15">
      <c r="BH1351" s="187">
        <v>44005</v>
      </c>
      <c r="BI1351" s="180">
        <v>-0.26900000000000002</v>
      </c>
      <c r="BJ1351" s="191">
        <v>44005</v>
      </c>
      <c r="BK1351" s="192" t="s">
        <v>277</v>
      </c>
      <c r="BN1351" s="94">
        <v>44054</v>
      </c>
      <c r="BO1351" s="95" t="s">
        <v>165</v>
      </c>
      <c r="BP1351" s="96">
        <v>12.29</v>
      </c>
    </row>
    <row r="1352" spans="60:68" ht="15">
      <c r="BH1352" s="187">
        <v>44006</v>
      </c>
      <c r="BI1352" s="180">
        <v>-0.27800000000000002</v>
      </c>
      <c r="BJ1352" s="191">
        <v>44006</v>
      </c>
      <c r="BK1352" s="192" t="s">
        <v>271</v>
      </c>
      <c r="BN1352" s="94">
        <v>44055</v>
      </c>
      <c r="BO1352" s="95" t="s">
        <v>299</v>
      </c>
      <c r="BP1352" s="96">
        <v>12.28</v>
      </c>
    </row>
    <row r="1353" spans="60:68" ht="15">
      <c r="BH1353" s="187">
        <v>44007</v>
      </c>
      <c r="BI1353" s="180">
        <v>-0.26800000000000002</v>
      </c>
      <c r="BJ1353" s="191">
        <v>44007</v>
      </c>
      <c r="BK1353" s="192" t="s">
        <v>228</v>
      </c>
      <c r="BN1353" s="94">
        <v>44056</v>
      </c>
      <c r="BO1353" s="95" t="s">
        <v>243</v>
      </c>
      <c r="BP1353" s="96">
        <v>12.28</v>
      </c>
    </row>
    <row r="1354" spans="60:68" ht="15">
      <c r="BH1354" s="187">
        <v>44008</v>
      </c>
      <c r="BI1354" s="180">
        <v>-0.28299999999999997</v>
      </c>
      <c r="BJ1354" s="191">
        <v>44008</v>
      </c>
      <c r="BK1354" s="192" t="s">
        <v>278</v>
      </c>
      <c r="BN1354" s="94">
        <v>44057</v>
      </c>
      <c r="BO1354" s="95" t="s">
        <v>299</v>
      </c>
      <c r="BP1354" s="96">
        <v>12.28</v>
      </c>
    </row>
    <row r="1355" spans="60:68" ht="15">
      <c r="BH1355" s="187">
        <v>44011</v>
      </c>
      <c r="BI1355" s="180">
        <v>-0.28699999999999998</v>
      </c>
      <c r="BJ1355" s="191">
        <v>44011</v>
      </c>
      <c r="BK1355" s="192" t="s">
        <v>279</v>
      </c>
      <c r="BN1355" s="94">
        <v>44060</v>
      </c>
      <c r="BO1355" s="95" t="s">
        <v>299</v>
      </c>
      <c r="BP1355" s="96">
        <v>12.27</v>
      </c>
    </row>
    <row r="1356" spans="60:68" ht="15">
      <c r="BH1356" s="187">
        <v>44012</v>
      </c>
      <c r="BI1356" s="180">
        <v>-0.308</v>
      </c>
      <c r="BJ1356" s="191">
        <v>44012</v>
      </c>
      <c r="BK1356" s="192" t="s">
        <v>278</v>
      </c>
      <c r="BN1356" s="94">
        <v>44061</v>
      </c>
      <c r="BO1356" s="95" t="s">
        <v>300</v>
      </c>
      <c r="BP1356" s="96">
        <v>12.27</v>
      </c>
    </row>
    <row r="1357" spans="60:68" ht="15">
      <c r="BH1357" s="187">
        <v>44013</v>
      </c>
      <c r="BI1357" s="180">
        <v>-0.29499999999999998</v>
      </c>
      <c r="BJ1357" s="191">
        <v>44013</v>
      </c>
      <c r="BK1357" s="192" t="s">
        <v>204</v>
      </c>
      <c r="BN1357" s="94">
        <v>44062</v>
      </c>
      <c r="BO1357" s="95" t="s">
        <v>299</v>
      </c>
      <c r="BP1357" s="96">
        <v>12.27</v>
      </c>
    </row>
    <row r="1358" spans="60:68" ht="15">
      <c r="BH1358" s="187">
        <v>44014</v>
      </c>
      <c r="BI1358" s="180">
        <v>-0.30199999999999999</v>
      </c>
      <c r="BJ1358" s="191">
        <v>44014</v>
      </c>
      <c r="BK1358" s="192" t="s">
        <v>280</v>
      </c>
      <c r="BN1358" s="94">
        <v>44063</v>
      </c>
      <c r="BO1358" s="95" t="s">
        <v>299</v>
      </c>
      <c r="BP1358" s="96">
        <v>12.26</v>
      </c>
    </row>
    <row r="1359" spans="60:68" ht="15">
      <c r="BH1359" s="187">
        <v>44015</v>
      </c>
      <c r="BI1359" s="180">
        <v>-0.314</v>
      </c>
      <c r="BJ1359" s="191">
        <v>44015</v>
      </c>
      <c r="BK1359" s="192" t="s">
        <v>281</v>
      </c>
      <c r="BN1359" s="94">
        <v>44064</v>
      </c>
      <c r="BO1359" s="95" t="s">
        <v>301</v>
      </c>
      <c r="BP1359" s="96">
        <v>12.26</v>
      </c>
    </row>
    <row r="1360" spans="60:68" ht="15">
      <c r="BH1360" s="187">
        <v>44018</v>
      </c>
      <c r="BI1360" s="180">
        <v>-0.308</v>
      </c>
      <c r="BJ1360" s="191">
        <v>44018</v>
      </c>
      <c r="BK1360" s="192" t="s">
        <v>282</v>
      </c>
      <c r="BN1360" s="94">
        <v>44067</v>
      </c>
      <c r="BO1360" s="95" t="s">
        <v>302</v>
      </c>
      <c r="BP1360" s="96">
        <v>12.25</v>
      </c>
    </row>
    <row r="1361" spans="60:68" ht="15">
      <c r="BH1361" s="187">
        <v>44019</v>
      </c>
      <c r="BI1361" s="180">
        <v>-0.313</v>
      </c>
      <c r="BJ1361" s="191">
        <v>44019</v>
      </c>
      <c r="BK1361" s="192" t="s">
        <v>283</v>
      </c>
      <c r="BN1361" s="94">
        <v>44068</v>
      </c>
      <c r="BO1361" s="95" t="s">
        <v>301</v>
      </c>
      <c r="BP1361" s="96">
        <v>12.25</v>
      </c>
    </row>
    <row r="1362" spans="60:68" ht="15">
      <c r="BH1362" s="187">
        <v>44020</v>
      </c>
      <c r="BI1362" s="180">
        <v>-0.32200000000000001</v>
      </c>
      <c r="BJ1362" s="191">
        <v>44020</v>
      </c>
      <c r="BK1362" s="192" t="s">
        <v>284</v>
      </c>
      <c r="BN1362" s="94">
        <v>44069</v>
      </c>
      <c r="BO1362" s="95" t="s">
        <v>299</v>
      </c>
      <c r="BP1362" s="96">
        <v>12.25</v>
      </c>
    </row>
    <row r="1363" spans="60:68" ht="15">
      <c r="BH1363" s="187">
        <v>44021</v>
      </c>
      <c r="BI1363" s="180">
        <v>-0.32800000000000001</v>
      </c>
      <c r="BJ1363" s="191">
        <v>44021</v>
      </c>
      <c r="BK1363" s="192" t="s">
        <v>249</v>
      </c>
      <c r="BN1363" s="94">
        <v>44070</v>
      </c>
      <c r="BO1363" s="95" t="s">
        <v>165</v>
      </c>
      <c r="BP1363" s="96">
        <v>12.24</v>
      </c>
    </row>
    <row r="1364" spans="60:68" ht="15">
      <c r="BH1364" s="187">
        <v>44022</v>
      </c>
      <c r="BI1364" s="180">
        <v>-0.33</v>
      </c>
      <c r="BJ1364" s="191">
        <v>44022</v>
      </c>
      <c r="BK1364" s="192" t="s">
        <v>285</v>
      </c>
      <c r="BN1364" s="94">
        <v>44071</v>
      </c>
      <c r="BO1364" s="95" t="s">
        <v>298</v>
      </c>
      <c r="BP1364" s="96">
        <v>12.24</v>
      </c>
    </row>
    <row r="1365" spans="60:68" ht="15">
      <c r="BH1365" s="187">
        <v>44025</v>
      </c>
      <c r="BI1365" s="180">
        <v>-0.33200000000000002</v>
      </c>
      <c r="BJ1365" s="191">
        <v>44025</v>
      </c>
      <c r="BK1365" s="192" t="s">
        <v>286</v>
      </c>
      <c r="BN1365" s="94">
        <v>44074</v>
      </c>
      <c r="BO1365" s="95" t="s">
        <v>303</v>
      </c>
      <c r="BP1365" s="96">
        <v>12.23</v>
      </c>
    </row>
    <row r="1366" spans="60:68" ht="15">
      <c r="BH1366" s="187">
        <v>44026</v>
      </c>
      <c r="BI1366" s="180">
        <v>-0.33</v>
      </c>
      <c r="BJ1366" s="191">
        <v>44026</v>
      </c>
      <c r="BK1366" s="192" t="s">
        <v>159</v>
      </c>
      <c r="BN1366" s="94">
        <v>44075</v>
      </c>
      <c r="BO1366" s="95" t="s">
        <v>164</v>
      </c>
      <c r="BP1366" s="96">
        <v>12.23</v>
      </c>
    </row>
    <row r="1367" spans="60:68" ht="15">
      <c r="BH1367" s="187">
        <v>44027</v>
      </c>
      <c r="BI1367" s="180">
        <v>-0.33300000000000002</v>
      </c>
      <c r="BJ1367" s="191">
        <v>44027</v>
      </c>
      <c r="BK1367" s="192" t="s">
        <v>287</v>
      </c>
      <c r="BN1367" s="94">
        <v>44076</v>
      </c>
      <c r="BO1367" s="95" t="s">
        <v>188</v>
      </c>
      <c r="BP1367" s="96">
        <v>12.23</v>
      </c>
    </row>
    <row r="1368" spans="60:68" ht="15">
      <c r="BH1368" s="187">
        <v>44028</v>
      </c>
      <c r="BI1368" s="180">
        <v>-0.35199999999999998</v>
      </c>
      <c r="BJ1368" s="191">
        <v>44028</v>
      </c>
      <c r="BK1368" s="192" t="s">
        <v>288</v>
      </c>
      <c r="BN1368" s="94">
        <v>44077</v>
      </c>
      <c r="BO1368" s="95" t="s">
        <v>304</v>
      </c>
      <c r="BP1368" s="96">
        <v>12.22</v>
      </c>
    </row>
    <row r="1369" spans="60:68" ht="15">
      <c r="BH1369" s="187">
        <v>44029</v>
      </c>
      <c r="BI1369" s="180">
        <v>-0.35099999999999998</v>
      </c>
      <c r="BJ1369" s="191">
        <v>44029</v>
      </c>
      <c r="BK1369" s="192" t="s">
        <v>289</v>
      </c>
      <c r="BN1369" s="94">
        <v>44078</v>
      </c>
      <c r="BO1369" s="95" t="s">
        <v>305</v>
      </c>
      <c r="BP1369" s="96">
        <v>12.22</v>
      </c>
    </row>
    <row r="1370" spans="60:68" ht="15">
      <c r="BH1370" s="187">
        <v>44032</v>
      </c>
      <c r="BI1370" s="180">
        <v>-0.34799999999999998</v>
      </c>
      <c r="BJ1370" s="191">
        <v>44032</v>
      </c>
      <c r="BK1370" s="192" t="s">
        <v>198</v>
      </c>
      <c r="BN1370" s="94">
        <v>44081</v>
      </c>
      <c r="BO1370" s="95" t="s">
        <v>306</v>
      </c>
      <c r="BP1370" s="96">
        <v>12.21</v>
      </c>
    </row>
    <row r="1371" spans="60:68" ht="15">
      <c r="BH1371" s="187">
        <v>44033</v>
      </c>
      <c r="BI1371" s="180">
        <v>-0.35299999999999998</v>
      </c>
      <c r="BJ1371" s="191">
        <v>44033</v>
      </c>
      <c r="BK1371" s="192" t="s">
        <v>290</v>
      </c>
      <c r="BN1371" s="94">
        <v>44082</v>
      </c>
      <c r="BO1371" s="95" t="s">
        <v>189</v>
      </c>
      <c r="BP1371" s="96">
        <v>12.21</v>
      </c>
    </row>
    <row r="1372" spans="60:68" ht="15">
      <c r="BH1372" s="187">
        <v>44034</v>
      </c>
      <c r="BI1372" s="180">
        <v>-0.35499999999999998</v>
      </c>
      <c r="BJ1372" s="191">
        <v>44034</v>
      </c>
      <c r="BK1372" s="192" t="s">
        <v>291</v>
      </c>
      <c r="BN1372" s="94">
        <v>44083</v>
      </c>
      <c r="BO1372" s="95" t="s">
        <v>306</v>
      </c>
      <c r="BP1372" s="96">
        <v>12.21</v>
      </c>
    </row>
    <row r="1373" spans="60:68" ht="15">
      <c r="BH1373" s="187">
        <v>44035</v>
      </c>
      <c r="BI1373" s="180">
        <v>-0.373</v>
      </c>
      <c r="BJ1373" s="191">
        <v>44035</v>
      </c>
      <c r="BK1373" s="192" t="s">
        <v>247</v>
      </c>
      <c r="BN1373" s="94">
        <v>44084</v>
      </c>
      <c r="BO1373" s="95" t="s">
        <v>189</v>
      </c>
      <c r="BP1373" s="96">
        <v>12.2</v>
      </c>
    </row>
    <row r="1374" spans="60:68" ht="15">
      <c r="BH1374" s="187">
        <v>44036</v>
      </c>
      <c r="BI1374" s="180">
        <v>-0.373</v>
      </c>
      <c r="BJ1374" s="191">
        <v>44036</v>
      </c>
      <c r="BK1374" s="192" t="s">
        <v>161</v>
      </c>
      <c r="BN1374" s="94">
        <v>44085</v>
      </c>
      <c r="BO1374" s="95" t="s">
        <v>304</v>
      </c>
      <c r="BP1374" s="96">
        <v>12.2</v>
      </c>
    </row>
    <row r="1375" spans="60:68" ht="15">
      <c r="BH1375" s="187">
        <v>44039</v>
      </c>
      <c r="BI1375" s="180">
        <v>-0.375</v>
      </c>
      <c r="BJ1375" s="191">
        <v>44039</v>
      </c>
      <c r="BK1375" s="192" t="s">
        <v>292</v>
      </c>
      <c r="BN1375" s="94">
        <v>44088</v>
      </c>
      <c r="BO1375" s="95" t="s">
        <v>244</v>
      </c>
      <c r="BP1375" s="96">
        <v>12.19</v>
      </c>
    </row>
    <row r="1376" spans="60:68" ht="15">
      <c r="BH1376" s="187">
        <v>44040</v>
      </c>
      <c r="BI1376" s="180">
        <v>-0.379</v>
      </c>
      <c r="BJ1376" s="191">
        <v>44040</v>
      </c>
      <c r="BK1376" s="192" t="s">
        <v>293</v>
      </c>
      <c r="BN1376" s="94">
        <v>44089</v>
      </c>
      <c r="BO1376" s="95" t="s">
        <v>163</v>
      </c>
      <c r="BP1376" s="96">
        <v>13.03</v>
      </c>
    </row>
    <row r="1377" spans="60:68" ht="15">
      <c r="BH1377" s="187">
        <v>44041</v>
      </c>
      <c r="BI1377" s="180">
        <v>-0.38900000000000001</v>
      </c>
      <c r="BJ1377" s="191">
        <v>44041</v>
      </c>
      <c r="BK1377" s="192" t="s">
        <v>294</v>
      </c>
      <c r="BN1377" s="94">
        <v>44090</v>
      </c>
      <c r="BO1377" s="95" t="s">
        <v>307</v>
      </c>
      <c r="BP1377" s="96">
        <v>13.03</v>
      </c>
    </row>
    <row r="1378" spans="60:68" ht="15">
      <c r="BH1378" s="187">
        <v>44042</v>
      </c>
      <c r="BI1378" s="180">
        <v>-0.39900000000000002</v>
      </c>
      <c r="BJ1378" s="191">
        <v>44042</v>
      </c>
      <c r="BK1378" s="192" t="s">
        <v>295</v>
      </c>
      <c r="BN1378" s="94">
        <v>44091</v>
      </c>
      <c r="BO1378" s="95" t="s">
        <v>238</v>
      </c>
      <c r="BP1378" s="96">
        <v>13.03</v>
      </c>
    </row>
    <row r="1379" spans="60:68" ht="15">
      <c r="BH1379" s="187">
        <v>44043</v>
      </c>
      <c r="BI1379" s="180">
        <v>-0.40699999999999997</v>
      </c>
      <c r="BJ1379" s="191">
        <v>44043</v>
      </c>
      <c r="BK1379" s="192" t="s">
        <v>296</v>
      </c>
      <c r="BN1379" s="94">
        <v>44092</v>
      </c>
      <c r="BO1379" s="95" t="s">
        <v>238</v>
      </c>
      <c r="BP1379" s="96">
        <v>13.02</v>
      </c>
    </row>
    <row r="1380" spans="60:68" ht="15">
      <c r="BH1380" s="187">
        <v>44046</v>
      </c>
      <c r="BI1380" s="180">
        <v>-0.41699999999999998</v>
      </c>
      <c r="BJ1380" s="191">
        <v>44046</v>
      </c>
      <c r="BK1380" s="192" t="s">
        <v>245</v>
      </c>
      <c r="BN1380" s="94">
        <v>44095</v>
      </c>
      <c r="BO1380" s="95" t="s">
        <v>191</v>
      </c>
      <c r="BP1380" s="96">
        <v>13.02</v>
      </c>
    </row>
    <row r="1381" spans="60:68" ht="15">
      <c r="BH1381" s="187">
        <v>44047</v>
      </c>
      <c r="BI1381" s="180">
        <v>-0.42099999999999999</v>
      </c>
      <c r="BJ1381" s="191">
        <v>44047</v>
      </c>
      <c r="BK1381" s="192" t="s">
        <v>297</v>
      </c>
      <c r="BN1381" s="94">
        <v>44096</v>
      </c>
      <c r="BO1381" s="95" t="s">
        <v>306</v>
      </c>
      <c r="BP1381" s="96">
        <v>13.01</v>
      </c>
    </row>
    <row r="1382" spans="60:68" ht="15">
      <c r="BH1382" s="187">
        <v>44048</v>
      </c>
      <c r="BI1382" s="180">
        <v>-0.41799999999999998</v>
      </c>
      <c r="BJ1382" s="191">
        <v>44048</v>
      </c>
      <c r="BK1382" s="192" t="s">
        <v>189</v>
      </c>
      <c r="BN1382" s="94">
        <v>44097</v>
      </c>
      <c r="BO1382" s="95" t="s">
        <v>244</v>
      </c>
      <c r="BP1382" s="96">
        <v>13.01</v>
      </c>
    </row>
    <row r="1383" spans="60:68" ht="15">
      <c r="BH1383" s="187">
        <v>44049</v>
      </c>
      <c r="BI1383" s="180">
        <v>-0.41699999999999998</v>
      </c>
      <c r="BJ1383" s="191">
        <v>44049</v>
      </c>
      <c r="BK1383" s="192" t="s">
        <v>244</v>
      </c>
      <c r="BN1383" s="94">
        <v>44098</v>
      </c>
      <c r="BO1383" s="95" t="s">
        <v>303</v>
      </c>
      <c r="BP1383" s="96">
        <v>13.01</v>
      </c>
    </row>
    <row r="1384" spans="60:68" ht="15">
      <c r="BH1384" s="187">
        <v>44050</v>
      </c>
      <c r="BI1384" s="180">
        <v>-0.41799999999999998</v>
      </c>
      <c r="BJ1384" s="191">
        <v>44050</v>
      </c>
      <c r="BK1384" s="192" t="s">
        <v>239</v>
      </c>
      <c r="BN1384" s="94">
        <v>44099</v>
      </c>
      <c r="BO1384" s="95" t="s">
        <v>308</v>
      </c>
      <c r="BP1384" s="96">
        <v>13</v>
      </c>
    </row>
    <row r="1385" spans="60:68" ht="15">
      <c r="BH1385" s="187">
        <v>44053</v>
      </c>
      <c r="BI1385" s="180">
        <v>-0.42199999999999999</v>
      </c>
      <c r="BJ1385" s="191">
        <v>44053</v>
      </c>
      <c r="BK1385" s="192" t="s">
        <v>298</v>
      </c>
      <c r="BN1385" s="94">
        <v>44102</v>
      </c>
      <c r="BO1385" s="95" t="s">
        <v>299</v>
      </c>
      <c r="BP1385" s="96">
        <v>13</v>
      </c>
    </row>
    <row r="1386" spans="60:68" ht="15">
      <c r="BH1386" s="187">
        <v>44054</v>
      </c>
      <c r="BI1386" s="180">
        <v>-0.42599999999999999</v>
      </c>
      <c r="BJ1386" s="191">
        <v>44054</v>
      </c>
      <c r="BK1386" s="192" t="s">
        <v>165</v>
      </c>
      <c r="BN1386" s="94">
        <v>44103</v>
      </c>
      <c r="BO1386" s="95" t="s">
        <v>309</v>
      </c>
      <c r="BP1386" s="96">
        <v>12.99</v>
      </c>
    </row>
    <row r="1387" spans="60:68" ht="15">
      <c r="BH1387" s="187">
        <v>44055</v>
      </c>
      <c r="BI1387" s="180">
        <v>-0.42799999999999999</v>
      </c>
      <c r="BJ1387" s="191">
        <v>44055</v>
      </c>
      <c r="BK1387" s="192" t="s">
        <v>299</v>
      </c>
      <c r="BN1387" s="94">
        <v>44104</v>
      </c>
      <c r="BO1387" s="95" t="s">
        <v>240</v>
      </c>
      <c r="BP1387" s="96">
        <v>12.99</v>
      </c>
    </row>
    <row r="1388" spans="60:68" ht="15">
      <c r="BH1388" s="187">
        <v>44056</v>
      </c>
      <c r="BI1388" s="180">
        <v>-0.433</v>
      </c>
      <c r="BJ1388" s="191">
        <v>44056</v>
      </c>
      <c r="BK1388" s="192" t="s">
        <v>243</v>
      </c>
      <c r="BN1388" s="94">
        <v>44105</v>
      </c>
      <c r="BO1388" s="95" t="s">
        <v>184</v>
      </c>
      <c r="BP1388" s="96">
        <v>12.99</v>
      </c>
    </row>
    <row r="1389" spans="60:68" ht="15">
      <c r="BH1389" s="187">
        <v>44057</v>
      </c>
      <c r="BI1389" s="180">
        <v>-0.432</v>
      </c>
      <c r="BJ1389" s="191">
        <v>44057</v>
      </c>
      <c r="BK1389" s="192" t="s">
        <v>299</v>
      </c>
      <c r="BN1389" s="94">
        <v>44106</v>
      </c>
      <c r="BO1389" s="95" t="s">
        <v>242</v>
      </c>
      <c r="BP1389" s="96">
        <v>12.99</v>
      </c>
    </row>
    <row r="1390" spans="60:68" ht="15">
      <c r="BH1390" s="187">
        <v>44060</v>
      </c>
      <c r="BI1390" s="180">
        <v>-0.433</v>
      </c>
      <c r="BJ1390" s="191">
        <v>44060</v>
      </c>
      <c r="BK1390" s="192" t="s">
        <v>299</v>
      </c>
      <c r="BN1390" s="94">
        <v>44109</v>
      </c>
      <c r="BO1390" s="95" t="s">
        <v>310</v>
      </c>
      <c r="BP1390" s="96">
        <v>12.98</v>
      </c>
    </row>
    <row r="1391" spans="60:68" ht="15">
      <c r="BH1391" s="187">
        <v>44061</v>
      </c>
      <c r="BI1391" s="180">
        <v>-0.44</v>
      </c>
      <c r="BJ1391" s="191">
        <v>44061</v>
      </c>
      <c r="BK1391" s="192" t="s">
        <v>300</v>
      </c>
      <c r="BN1391" s="94">
        <v>44110</v>
      </c>
      <c r="BO1391" s="95" t="s">
        <v>167</v>
      </c>
      <c r="BP1391" s="96">
        <v>12.97</v>
      </c>
    </row>
    <row r="1392" spans="60:68" ht="15">
      <c r="BH1392" s="187">
        <v>44062</v>
      </c>
      <c r="BI1392" s="180">
        <v>-0.442</v>
      </c>
      <c r="BJ1392" s="191">
        <v>44062</v>
      </c>
      <c r="BK1392" s="192" t="s">
        <v>299</v>
      </c>
      <c r="BN1392" s="94">
        <v>44111</v>
      </c>
      <c r="BO1392" s="95" t="s">
        <v>241</v>
      </c>
      <c r="BP1392" s="96">
        <v>12.97</v>
      </c>
    </row>
    <row r="1393" spans="60:68" ht="15">
      <c r="BH1393" s="187">
        <v>44063</v>
      </c>
      <c r="BI1393" s="180">
        <v>-0.44400000000000001</v>
      </c>
      <c r="BJ1393" s="191">
        <v>44063</v>
      </c>
      <c r="BK1393" s="192" t="s">
        <v>299</v>
      </c>
      <c r="BN1393" s="94">
        <v>44112</v>
      </c>
      <c r="BO1393" s="95" t="s">
        <v>311</v>
      </c>
      <c r="BP1393" s="96">
        <v>12.93</v>
      </c>
    </row>
    <row r="1394" spans="60:68" ht="15">
      <c r="BH1394" s="187">
        <v>44064</v>
      </c>
      <c r="BI1394" s="180">
        <v>-0.441</v>
      </c>
      <c r="BJ1394" s="191">
        <v>44064</v>
      </c>
      <c r="BK1394" s="192" t="s">
        <v>301</v>
      </c>
      <c r="BN1394" s="94">
        <v>44113</v>
      </c>
      <c r="BO1394" s="95" t="s">
        <v>312</v>
      </c>
      <c r="BP1394" s="96">
        <v>12.93</v>
      </c>
    </row>
    <row r="1395" spans="60:68" ht="15">
      <c r="BH1395" s="187">
        <v>44067</v>
      </c>
      <c r="BI1395" s="180">
        <v>-0.442</v>
      </c>
      <c r="BJ1395" s="191">
        <v>44067</v>
      </c>
      <c r="BK1395" s="192" t="s">
        <v>302</v>
      </c>
      <c r="BN1395" s="94">
        <v>44116</v>
      </c>
      <c r="BO1395" s="95" t="s">
        <v>168</v>
      </c>
      <c r="BP1395" s="96">
        <v>12.92</v>
      </c>
    </row>
    <row r="1396" spans="60:68" ht="15">
      <c r="BH1396" s="187">
        <v>44068</v>
      </c>
      <c r="BI1396" s="180">
        <v>-0.443</v>
      </c>
      <c r="BJ1396" s="191">
        <v>44068</v>
      </c>
      <c r="BK1396" s="192" t="s">
        <v>301</v>
      </c>
      <c r="BN1396" s="94">
        <v>44117</v>
      </c>
      <c r="BO1396" s="95" t="s">
        <v>313</v>
      </c>
      <c r="BP1396" s="96">
        <v>12.92</v>
      </c>
    </row>
    <row r="1397" spans="60:68" ht="15">
      <c r="BH1397" s="187">
        <v>44069</v>
      </c>
      <c r="BI1397" s="180">
        <v>-0.443</v>
      </c>
      <c r="BJ1397" s="191">
        <v>44069</v>
      </c>
      <c r="BK1397" s="192" t="s">
        <v>299</v>
      </c>
      <c r="BN1397" s="94">
        <v>44118</v>
      </c>
      <c r="BO1397" s="95" t="s">
        <v>314</v>
      </c>
      <c r="BP1397" s="96">
        <v>12.92</v>
      </c>
    </row>
    <row r="1398" spans="60:68" ht="15">
      <c r="BH1398" s="187">
        <v>44070</v>
      </c>
      <c r="BI1398" s="180">
        <v>-0.439</v>
      </c>
      <c r="BJ1398" s="191">
        <v>44070</v>
      </c>
      <c r="BK1398" s="192" t="s">
        <v>165</v>
      </c>
      <c r="BN1398" s="94">
        <v>44119</v>
      </c>
      <c r="BO1398" s="95" t="s">
        <v>181</v>
      </c>
      <c r="BP1398" s="96">
        <v>12.91</v>
      </c>
    </row>
    <row r="1399" spans="60:68" ht="15">
      <c r="BH1399" s="187">
        <v>44071</v>
      </c>
      <c r="BI1399" s="180">
        <v>-0.44400000000000001</v>
      </c>
      <c r="BJ1399" s="191">
        <v>44071</v>
      </c>
      <c r="BK1399" s="192" t="s">
        <v>298</v>
      </c>
      <c r="BN1399" s="94">
        <v>44120</v>
      </c>
      <c r="BO1399" s="95" t="s">
        <v>315</v>
      </c>
      <c r="BP1399" s="96">
        <v>12.91</v>
      </c>
    </row>
    <row r="1400" spans="60:68" ht="15">
      <c r="BH1400" s="187">
        <v>44074</v>
      </c>
      <c r="BI1400" s="180">
        <v>-0.44800000000000001</v>
      </c>
      <c r="BJ1400" s="191">
        <v>44074</v>
      </c>
      <c r="BK1400" s="192" t="s">
        <v>303</v>
      </c>
      <c r="BN1400" s="94">
        <v>44123</v>
      </c>
      <c r="BO1400" s="95" t="s">
        <v>316</v>
      </c>
      <c r="BP1400" s="96">
        <v>12.9</v>
      </c>
    </row>
    <row r="1401" spans="60:68" ht="15">
      <c r="BH1401" s="187">
        <v>44075</v>
      </c>
      <c r="BI1401" s="180">
        <v>-0.441</v>
      </c>
      <c r="BJ1401" s="191">
        <v>44075</v>
      </c>
      <c r="BK1401" s="192" t="s">
        <v>164</v>
      </c>
      <c r="BN1401" s="94">
        <v>44124</v>
      </c>
      <c r="BO1401" s="95" t="s">
        <v>317</v>
      </c>
      <c r="BP1401" s="96">
        <v>12.9</v>
      </c>
    </row>
    <row r="1402" spans="60:68" ht="15">
      <c r="BH1402" s="187">
        <v>44076</v>
      </c>
      <c r="BI1402" s="180">
        <v>-0.45100000000000001</v>
      </c>
      <c r="BJ1402" s="191">
        <v>44076</v>
      </c>
      <c r="BK1402" s="192" t="s">
        <v>188</v>
      </c>
      <c r="BN1402" s="94">
        <v>44125</v>
      </c>
      <c r="BO1402" s="95" t="s">
        <v>318</v>
      </c>
      <c r="BP1402" s="96">
        <v>12.9</v>
      </c>
    </row>
    <row r="1403" spans="60:68" ht="15">
      <c r="BH1403" s="187">
        <v>44077</v>
      </c>
      <c r="BI1403" s="180">
        <v>-0.45500000000000002</v>
      </c>
      <c r="BJ1403" s="191">
        <v>44077</v>
      </c>
      <c r="BK1403" s="192" t="s">
        <v>304</v>
      </c>
      <c r="BN1403" s="94">
        <v>44126</v>
      </c>
      <c r="BO1403" s="95" t="s">
        <v>319</v>
      </c>
      <c r="BP1403" s="96">
        <v>12.98</v>
      </c>
    </row>
    <row r="1404" spans="60:68" ht="15">
      <c r="BH1404" s="187">
        <v>44078</v>
      </c>
      <c r="BI1404" s="180">
        <v>-0.45100000000000001</v>
      </c>
      <c r="BJ1404" s="191">
        <v>44078</v>
      </c>
      <c r="BK1404" s="192" t="s">
        <v>305</v>
      </c>
      <c r="BN1404" s="94">
        <v>44127</v>
      </c>
      <c r="BO1404" s="95" t="s">
        <v>318</v>
      </c>
      <c r="BP1404" s="96">
        <v>12.97</v>
      </c>
    </row>
    <row r="1405" spans="60:68" ht="15">
      <c r="BH1405" s="187">
        <v>44081</v>
      </c>
      <c r="BI1405" s="180">
        <v>-0.45900000000000002</v>
      </c>
      <c r="BJ1405" s="191">
        <v>44081</v>
      </c>
      <c r="BK1405" s="192" t="s">
        <v>306</v>
      </c>
      <c r="BN1405" s="94">
        <v>44131</v>
      </c>
      <c r="BO1405" s="95" t="s">
        <v>320</v>
      </c>
      <c r="BP1405" s="96">
        <v>12.96</v>
      </c>
    </row>
    <row r="1406" spans="60:68" ht="15">
      <c r="BH1406" s="187">
        <v>44082</v>
      </c>
      <c r="BI1406" s="180">
        <v>-0.45900000000000002</v>
      </c>
      <c r="BJ1406" s="191">
        <v>44082</v>
      </c>
      <c r="BK1406" s="192" t="s">
        <v>189</v>
      </c>
      <c r="BN1406" s="94">
        <v>44132</v>
      </c>
      <c r="BO1406" s="95" t="s">
        <v>321</v>
      </c>
      <c r="BP1406" s="96">
        <v>12.95</v>
      </c>
    </row>
    <row r="1407" spans="60:68" ht="15">
      <c r="BH1407" s="187">
        <v>44083</v>
      </c>
      <c r="BI1407" s="180">
        <v>-0.46300000000000002</v>
      </c>
      <c r="BJ1407" s="191">
        <v>44083</v>
      </c>
      <c r="BK1407" s="192" t="s">
        <v>306</v>
      </c>
      <c r="BN1407" s="94">
        <v>44133</v>
      </c>
      <c r="BO1407" s="95" t="s">
        <v>180</v>
      </c>
      <c r="BP1407" s="96">
        <v>12.95</v>
      </c>
    </row>
    <row r="1408" spans="60:68" ht="15">
      <c r="BH1408" s="187">
        <v>44084</v>
      </c>
      <c r="BI1408" s="180">
        <v>-0.45800000000000002</v>
      </c>
      <c r="BJ1408" s="191">
        <v>44084</v>
      </c>
      <c r="BK1408" s="192" t="s">
        <v>189</v>
      </c>
      <c r="BN1408" s="94">
        <v>44134</v>
      </c>
      <c r="BO1408" s="95" t="s">
        <v>322</v>
      </c>
      <c r="BP1408" s="96">
        <v>12.95</v>
      </c>
    </row>
    <row r="1409" spans="60:68" ht="15">
      <c r="BH1409" s="187">
        <v>44085</v>
      </c>
      <c r="BI1409" s="180">
        <v>-0.45500000000000002</v>
      </c>
      <c r="BJ1409" s="191">
        <v>44085</v>
      </c>
      <c r="BK1409" s="192" t="s">
        <v>304</v>
      </c>
      <c r="BN1409" s="94">
        <v>44137</v>
      </c>
      <c r="BO1409" s="95" t="s">
        <v>173</v>
      </c>
      <c r="BP1409" s="96">
        <v>12.94</v>
      </c>
    </row>
    <row r="1410" spans="60:68" ht="15">
      <c r="BH1410" s="187">
        <v>44088</v>
      </c>
      <c r="BI1410" s="180">
        <v>-0.46</v>
      </c>
      <c r="BJ1410" s="191">
        <v>44088</v>
      </c>
      <c r="BK1410" s="192" t="s">
        <v>244</v>
      </c>
      <c r="BN1410" s="94">
        <v>44138</v>
      </c>
      <c r="BO1410" s="95" t="s">
        <v>323</v>
      </c>
      <c r="BP1410" s="96">
        <v>12.94</v>
      </c>
    </row>
    <row r="1411" spans="60:68" ht="15">
      <c r="BH1411" s="187">
        <v>44089</v>
      </c>
      <c r="BI1411" s="180">
        <v>-0.45800000000000002</v>
      </c>
      <c r="BJ1411" s="191">
        <v>44089</v>
      </c>
      <c r="BK1411" s="192" t="s">
        <v>163</v>
      </c>
      <c r="BN1411" s="94">
        <v>44139</v>
      </c>
      <c r="BO1411" s="95" t="s">
        <v>177</v>
      </c>
      <c r="BP1411" s="96">
        <v>12.93</v>
      </c>
    </row>
    <row r="1412" spans="60:68" ht="15">
      <c r="BH1412" s="187">
        <v>44090</v>
      </c>
      <c r="BI1412" s="180">
        <v>-0.46200000000000002</v>
      </c>
      <c r="BJ1412" s="191">
        <v>44090</v>
      </c>
      <c r="BK1412" s="192" t="s">
        <v>307</v>
      </c>
      <c r="BN1412" s="94">
        <v>44140</v>
      </c>
      <c r="BO1412" s="95" t="s">
        <v>324</v>
      </c>
      <c r="BP1412" s="96">
        <v>12.96</v>
      </c>
    </row>
    <row r="1413" spans="60:68" ht="15">
      <c r="BH1413" s="187">
        <v>44091</v>
      </c>
      <c r="BI1413" s="180">
        <v>-0.46300000000000002</v>
      </c>
      <c r="BJ1413" s="191">
        <v>44091</v>
      </c>
      <c r="BK1413" s="192" t="s">
        <v>238</v>
      </c>
      <c r="BN1413" s="94">
        <v>44141</v>
      </c>
      <c r="BO1413" s="95" t="s">
        <v>325</v>
      </c>
      <c r="BP1413" s="96">
        <v>12.96</v>
      </c>
    </row>
    <row r="1414" spans="60:68" ht="15">
      <c r="BH1414" s="187">
        <v>44092</v>
      </c>
      <c r="BI1414" s="180">
        <v>-0.46800000000000003</v>
      </c>
      <c r="BJ1414" s="191">
        <v>44092</v>
      </c>
      <c r="BK1414" s="192" t="s">
        <v>238</v>
      </c>
      <c r="BN1414" s="94">
        <v>44144</v>
      </c>
      <c r="BO1414" s="95" t="s">
        <v>326</v>
      </c>
      <c r="BP1414" s="96">
        <v>12.95</v>
      </c>
    </row>
    <row r="1415" spans="60:68" ht="15">
      <c r="BH1415" s="187">
        <v>44095</v>
      </c>
      <c r="BI1415" s="180">
        <v>-0.47</v>
      </c>
      <c r="BJ1415" s="191">
        <v>44095</v>
      </c>
      <c r="BK1415" s="192" t="s">
        <v>191</v>
      </c>
      <c r="BN1415" s="94">
        <v>44145</v>
      </c>
      <c r="BO1415" s="95" t="s">
        <v>327</v>
      </c>
      <c r="BP1415" s="96">
        <v>12.94</v>
      </c>
    </row>
    <row r="1416" spans="60:68" ht="15">
      <c r="BH1416" s="187">
        <v>44096</v>
      </c>
      <c r="BI1416" s="180">
        <v>-0.47299999999999998</v>
      </c>
      <c r="BJ1416" s="191">
        <v>44096</v>
      </c>
      <c r="BK1416" s="192" t="s">
        <v>306</v>
      </c>
      <c r="BN1416" s="94">
        <v>44146</v>
      </c>
      <c r="BO1416" s="95" t="s">
        <v>328</v>
      </c>
      <c r="BP1416" s="96">
        <v>12.94</v>
      </c>
    </row>
    <row r="1417" spans="60:68" ht="15">
      <c r="BH1417" s="187">
        <v>44097</v>
      </c>
      <c r="BI1417" s="180">
        <v>-0.46800000000000003</v>
      </c>
      <c r="BJ1417" s="191">
        <v>44097</v>
      </c>
      <c r="BK1417" s="192" t="s">
        <v>244</v>
      </c>
      <c r="BN1417" s="94">
        <v>44147</v>
      </c>
      <c r="BO1417" s="95" t="s">
        <v>329</v>
      </c>
      <c r="BP1417" s="96">
        <v>12.94</v>
      </c>
    </row>
    <row r="1418" spans="60:68" ht="15">
      <c r="BH1418" s="187">
        <v>44098</v>
      </c>
      <c r="BI1418" s="180">
        <v>-0.47199999999999998</v>
      </c>
      <c r="BJ1418" s="191">
        <v>44098</v>
      </c>
      <c r="BK1418" s="192" t="s">
        <v>303</v>
      </c>
      <c r="BN1418" s="94">
        <v>44148</v>
      </c>
      <c r="BO1418" s="95" t="s">
        <v>176</v>
      </c>
      <c r="BP1418" s="96">
        <v>12.94</v>
      </c>
    </row>
    <row r="1419" spans="60:68" ht="15">
      <c r="BH1419" s="187">
        <v>44099</v>
      </c>
      <c r="BI1419" s="180">
        <v>-0.46800000000000003</v>
      </c>
      <c r="BJ1419" s="191">
        <v>44099</v>
      </c>
      <c r="BK1419" s="192" t="s">
        <v>308</v>
      </c>
      <c r="BN1419" s="94">
        <v>44151</v>
      </c>
      <c r="BO1419" s="95" t="s">
        <v>330</v>
      </c>
      <c r="BP1419" s="96">
        <v>12.93</v>
      </c>
    </row>
    <row r="1420" spans="60:68" ht="15">
      <c r="BH1420" s="187">
        <v>44102</v>
      </c>
      <c r="BI1420" s="180">
        <v>-0.47</v>
      </c>
      <c r="BJ1420" s="191">
        <v>44102</v>
      </c>
      <c r="BK1420" s="192" t="s">
        <v>299</v>
      </c>
      <c r="BN1420" s="94">
        <v>44152</v>
      </c>
      <c r="BO1420" s="95" t="s">
        <v>331</v>
      </c>
      <c r="BP1420" s="96">
        <v>12.93</v>
      </c>
    </row>
    <row r="1421" spans="60:68" ht="15">
      <c r="BH1421" s="187">
        <v>44103</v>
      </c>
      <c r="BI1421" s="180">
        <v>-0.47399999999999998</v>
      </c>
      <c r="BJ1421" s="191">
        <v>44103</v>
      </c>
      <c r="BK1421" s="192" t="s">
        <v>309</v>
      </c>
      <c r="BN1421" s="94">
        <v>44153</v>
      </c>
      <c r="BO1421" s="95" t="s">
        <v>174</v>
      </c>
      <c r="BP1421" s="96">
        <v>12.92</v>
      </c>
    </row>
    <row r="1422" spans="60:68" ht="15">
      <c r="BH1422" s="187">
        <v>44104</v>
      </c>
      <c r="BI1422" s="180">
        <v>-0.48</v>
      </c>
      <c r="BJ1422" s="191">
        <v>44104</v>
      </c>
      <c r="BK1422" s="192" t="s">
        <v>240</v>
      </c>
      <c r="BN1422" s="94">
        <v>44154</v>
      </c>
      <c r="BO1422" s="95" t="s">
        <v>174</v>
      </c>
      <c r="BP1422" s="96">
        <v>12.92</v>
      </c>
    </row>
    <row r="1423" spans="60:68" ht="15">
      <c r="BH1423" s="187">
        <v>44105</v>
      </c>
      <c r="BI1423" s="180">
        <v>-0.48099999999999998</v>
      </c>
      <c r="BJ1423" s="191">
        <v>44105</v>
      </c>
      <c r="BK1423" s="192" t="s">
        <v>184</v>
      </c>
      <c r="BN1423" s="94">
        <v>44155</v>
      </c>
      <c r="BO1423" s="95" t="s">
        <v>331</v>
      </c>
      <c r="BP1423" s="96">
        <v>12.92</v>
      </c>
    </row>
    <row r="1424" spans="60:68" ht="15">
      <c r="BH1424" s="187">
        <v>44106</v>
      </c>
      <c r="BI1424" s="180">
        <v>-0.47299999999999998</v>
      </c>
      <c r="BJ1424" s="191">
        <v>44106</v>
      </c>
      <c r="BK1424" s="192" t="s">
        <v>242</v>
      </c>
      <c r="BN1424" s="94">
        <v>44158</v>
      </c>
      <c r="BO1424" s="95" t="s">
        <v>330</v>
      </c>
      <c r="BP1424" s="96">
        <v>12.91</v>
      </c>
    </row>
    <row r="1425" spans="60:68" ht="15">
      <c r="BH1425" s="187">
        <v>44109</v>
      </c>
      <c r="BI1425" s="180">
        <v>-0.48799999999999999</v>
      </c>
      <c r="BJ1425" s="191">
        <v>44109</v>
      </c>
      <c r="BK1425" s="192" t="s">
        <v>310</v>
      </c>
      <c r="BN1425" s="94">
        <v>44159</v>
      </c>
      <c r="BO1425" s="95" t="s">
        <v>175</v>
      </c>
      <c r="BP1425" s="96">
        <v>12.91</v>
      </c>
    </row>
    <row r="1426" spans="60:68" ht="15">
      <c r="BH1426" s="187">
        <v>44110</v>
      </c>
      <c r="BI1426" s="180">
        <v>-0.47899999999999998</v>
      </c>
      <c r="BJ1426" s="191">
        <v>44110</v>
      </c>
      <c r="BK1426" s="192" t="s">
        <v>167</v>
      </c>
      <c r="BN1426" s="94">
        <v>44160</v>
      </c>
      <c r="BO1426" s="95" t="s">
        <v>330</v>
      </c>
      <c r="BP1426" s="96">
        <v>12.9</v>
      </c>
    </row>
    <row r="1427" spans="60:68" ht="15">
      <c r="BH1427" s="187">
        <v>44111</v>
      </c>
      <c r="BI1427" s="180">
        <v>-0.48799999999999999</v>
      </c>
      <c r="BJ1427" s="191">
        <v>44111</v>
      </c>
      <c r="BK1427" s="192" t="s">
        <v>241</v>
      </c>
      <c r="BN1427" s="94">
        <v>44161</v>
      </c>
      <c r="BO1427" s="95" t="s">
        <v>177</v>
      </c>
      <c r="BP1427" s="96">
        <v>12.9</v>
      </c>
    </row>
    <row r="1428" spans="60:68" ht="15">
      <c r="BH1428" s="187">
        <v>44112</v>
      </c>
      <c r="BI1428" s="180">
        <v>-0.48599999999999999</v>
      </c>
      <c r="BJ1428" s="191">
        <v>44112</v>
      </c>
      <c r="BK1428" s="192" t="s">
        <v>311</v>
      </c>
      <c r="BN1428" s="94">
        <v>44162</v>
      </c>
      <c r="BO1428" s="95" t="s">
        <v>331</v>
      </c>
      <c r="BP1428" s="96">
        <v>12.9</v>
      </c>
    </row>
    <row r="1429" spans="60:68" ht="15">
      <c r="BH1429" s="187">
        <v>44113</v>
      </c>
      <c r="BI1429" s="180">
        <v>-0.48599999999999999</v>
      </c>
      <c r="BJ1429" s="191">
        <v>44113</v>
      </c>
      <c r="BK1429" s="192" t="s">
        <v>312</v>
      </c>
      <c r="BN1429" s="94">
        <v>44165</v>
      </c>
      <c r="BO1429" s="95" t="s">
        <v>174</v>
      </c>
      <c r="BP1429" s="96">
        <v>12.89</v>
      </c>
    </row>
    <row r="1430" spans="60:68" ht="15">
      <c r="BH1430" s="187">
        <v>44116</v>
      </c>
      <c r="BI1430" s="180">
        <v>-0.48499999999999999</v>
      </c>
      <c r="BJ1430" s="191">
        <v>44116</v>
      </c>
      <c r="BK1430" s="192" t="s">
        <v>168</v>
      </c>
      <c r="BN1430" s="94">
        <v>44166</v>
      </c>
      <c r="BO1430" s="95" t="s">
        <v>178</v>
      </c>
      <c r="BP1430" s="96">
        <v>12.88</v>
      </c>
    </row>
    <row r="1431" spans="60:68" ht="15">
      <c r="BH1431" s="187">
        <v>44117</v>
      </c>
      <c r="BI1431" s="180">
        <v>-0.48299999999999998</v>
      </c>
      <c r="BJ1431" s="191">
        <v>44117</v>
      </c>
      <c r="BK1431" s="192" t="s">
        <v>313</v>
      </c>
      <c r="BN1431" s="94">
        <v>44167</v>
      </c>
      <c r="BO1431" s="95" t="s">
        <v>173</v>
      </c>
      <c r="BP1431" s="96">
        <v>12.88</v>
      </c>
    </row>
    <row r="1432" spans="60:68" ht="15">
      <c r="BH1432" s="187">
        <v>44118</v>
      </c>
      <c r="BI1432" s="180">
        <v>-0.49299999999999999</v>
      </c>
      <c r="BJ1432" s="191">
        <v>44118</v>
      </c>
      <c r="BK1432" s="192" t="s">
        <v>314</v>
      </c>
      <c r="BN1432" s="94">
        <v>44168</v>
      </c>
      <c r="BO1432" s="95" t="s">
        <v>332</v>
      </c>
      <c r="BP1432" s="96">
        <v>12.88</v>
      </c>
    </row>
    <row r="1433" spans="60:68" ht="15">
      <c r="BH1433" s="187">
        <v>44119</v>
      </c>
      <c r="BI1433" s="180">
        <v>-0.497</v>
      </c>
      <c r="BJ1433" s="191">
        <v>44119</v>
      </c>
      <c r="BK1433" s="192" t="s">
        <v>181</v>
      </c>
      <c r="BN1433" s="94">
        <v>44169</v>
      </c>
      <c r="BO1433" s="95" t="s">
        <v>322</v>
      </c>
      <c r="BP1433" s="96">
        <v>12.87</v>
      </c>
    </row>
    <row r="1434" spans="60:68" ht="15">
      <c r="BH1434" s="187">
        <v>44120</v>
      </c>
      <c r="BI1434" s="180">
        <v>-0.498</v>
      </c>
      <c r="BJ1434" s="191">
        <v>44120</v>
      </c>
      <c r="BK1434" s="192" t="s">
        <v>315</v>
      </c>
      <c r="BN1434" s="94">
        <v>44172</v>
      </c>
      <c r="BO1434" s="95" t="s">
        <v>322</v>
      </c>
      <c r="BP1434" s="96">
        <v>12.9</v>
      </c>
    </row>
    <row r="1435" spans="60:68" ht="15">
      <c r="BH1435" s="187">
        <v>44123</v>
      </c>
      <c r="BI1435" s="180">
        <v>-0.497</v>
      </c>
      <c r="BJ1435" s="191">
        <v>44123</v>
      </c>
      <c r="BK1435" s="192" t="s">
        <v>316</v>
      </c>
      <c r="BN1435" s="94">
        <v>44174</v>
      </c>
      <c r="BO1435" s="95" t="s">
        <v>333</v>
      </c>
      <c r="BP1435" s="96">
        <v>12.89</v>
      </c>
    </row>
    <row r="1436" spans="60:68" ht="15">
      <c r="BH1436" s="187">
        <v>44124</v>
      </c>
      <c r="BI1436" s="180">
        <v>-0.498</v>
      </c>
      <c r="BJ1436" s="191">
        <v>44124</v>
      </c>
      <c r="BK1436" s="192" t="s">
        <v>317</v>
      </c>
      <c r="BN1436" s="94">
        <v>44175</v>
      </c>
      <c r="BO1436" s="95" t="s">
        <v>334</v>
      </c>
      <c r="BP1436" s="96">
        <v>12.89</v>
      </c>
    </row>
    <row r="1437" spans="60:68" ht="15">
      <c r="BH1437" s="187">
        <v>44125</v>
      </c>
      <c r="BI1437" s="180">
        <v>-0.498</v>
      </c>
      <c r="BJ1437" s="191">
        <v>44125</v>
      </c>
      <c r="BK1437" s="192" t="s">
        <v>318</v>
      </c>
      <c r="BN1437" s="94">
        <v>44176</v>
      </c>
      <c r="BO1437" s="95" t="s">
        <v>174</v>
      </c>
      <c r="BP1437" s="96">
        <v>12.89</v>
      </c>
    </row>
    <row r="1438" spans="60:68" ht="15">
      <c r="BH1438" s="187">
        <v>44126</v>
      </c>
      <c r="BI1438" s="180">
        <v>-0.498</v>
      </c>
      <c r="BJ1438" s="191">
        <v>44126</v>
      </c>
      <c r="BK1438" s="192" t="s">
        <v>319</v>
      </c>
      <c r="BN1438" s="94">
        <v>44179</v>
      </c>
      <c r="BO1438" s="95" t="s">
        <v>330</v>
      </c>
      <c r="BP1438" s="96">
        <v>12.88</v>
      </c>
    </row>
    <row r="1439" spans="60:68" ht="15">
      <c r="BH1439" s="187">
        <v>44127</v>
      </c>
      <c r="BI1439" s="180">
        <v>-0.496</v>
      </c>
      <c r="BJ1439" s="191">
        <v>44127</v>
      </c>
      <c r="BK1439" s="192" t="s">
        <v>318</v>
      </c>
      <c r="BN1439" s="94">
        <v>44180</v>
      </c>
      <c r="BO1439" s="95" t="s">
        <v>175</v>
      </c>
      <c r="BP1439" s="96">
        <v>12.97</v>
      </c>
    </row>
    <row r="1440" spans="60:68" ht="15">
      <c r="BH1440" s="187">
        <v>44130</v>
      </c>
      <c r="BI1440" s="180">
        <v>-0.496</v>
      </c>
      <c r="BJ1440" s="191"/>
      <c r="BK1440" s="193" t="str">
        <f>+BK1439</f>
        <v>−0,435</v>
      </c>
      <c r="BN1440" s="94">
        <v>44181</v>
      </c>
      <c r="BO1440" s="95" t="s">
        <v>175</v>
      </c>
      <c r="BP1440" s="96">
        <v>12.97</v>
      </c>
    </row>
    <row r="1441" spans="60:68" ht="15">
      <c r="BH1441" s="187">
        <v>44131</v>
      </c>
      <c r="BI1441" s="180">
        <v>-0.50700000000000001</v>
      </c>
      <c r="BJ1441" s="191">
        <v>44131</v>
      </c>
      <c r="BK1441" s="192" t="s">
        <v>320</v>
      </c>
      <c r="BN1441" s="94">
        <v>44182</v>
      </c>
      <c r="BO1441" s="95" t="s">
        <v>175</v>
      </c>
      <c r="BP1441" s="96">
        <v>12.97</v>
      </c>
    </row>
    <row r="1442" spans="60:68" ht="15">
      <c r="BH1442" s="187">
        <v>44132</v>
      </c>
      <c r="BI1442" s="180">
        <v>-0.505</v>
      </c>
      <c r="BJ1442" s="191">
        <v>44132</v>
      </c>
      <c r="BK1442" s="192" t="s">
        <v>321</v>
      </c>
      <c r="BN1442" s="94">
        <v>44183</v>
      </c>
      <c r="BO1442" s="95" t="s">
        <v>330</v>
      </c>
      <c r="BP1442" s="96">
        <v>12.96</v>
      </c>
    </row>
    <row r="1443" spans="60:68" ht="15">
      <c r="BH1443" s="187">
        <v>44133</v>
      </c>
      <c r="BI1443" s="180">
        <v>-0.51500000000000001</v>
      </c>
      <c r="BJ1443" s="191">
        <v>44133</v>
      </c>
      <c r="BK1443" s="192" t="s">
        <v>180</v>
      </c>
      <c r="BN1443" s="94">
        <v>44186</v>
      </c>
      <c r="BO1443" s="95" t="s">
        <v>175</v>
      </c>
      <c r="BP1443" s="96">
        <v>12.96</v>
      </c>
    </row>
    <row r="1444" spans="60:68" ht="15">
      <c r="BH1444" s="187">
        <v>44134</v>
      </c>
      <c r="BI1444" s="180">
        <v>-0.52100000000000002</v>
      </c>
      <c r="BJ1444" s="191">
        <v>44134</v>
      </c>
      <c r="BK1444" s="192" t="s">
        <v>322</v>
      </c>
      <c r="BN1444" s="94">
        <v>44187</v>
      </c>
      <c r="BO1444" s="95" t="s">
        <v>175</v>
      </c>
      <c r="BP1444" s="96">
        <v>12.95</v>
      </c>
    </row>
    <row r="1445" spans="60:68" ht="15">
      <c r="BH1445" s="187">
        <v>44137</v>
      </c>
      <c r="BI1445" s="180">
        <v>-0.51300000000000001</v>
      </c>
      <c r="BJ1445" s="191">
        <v>44137</v>
      </c>
      <c r="BK1445" s="192">
        <v>-0.45500000000000002</v>
      </c>
      <c r="BL1445" s="111">
        <f>+(BI1445+BK1445)/2+0.37</f>
        <v>-0.11399999999999999</v>
      </c>
      <c r="BN1445" s="94">
        <v>44188</v>
      </c>
      <c r="BO1445" s="95" t="s">
        <v>175</v>
      </c>
      <c r="BP1445" s="96">
        <v>12.95</v>
      </c>
    </row>
    <row r="1446" spans="60:68" ht="15">
      <c r="BH1446" s="187">
        <v>44138</v>
      </c>
      <c r="BI1446" s="180">
        <v>-0.51300000000000001</v>
      </c>
      <c r="BJ1446" s="191">
        <v>44138</v>
      </c>
      <c r="BK1446" s="192" t="s">
        <v>323</v>
      </c>
      <c r="BN1446" s="94">
        <v>44193</v>
      </c>
      <c r="BO1446" s="95" t="s">
        <v>330</v>
      </c>
      <c r="BP1446" s="96">
        <v>12.94</v>
      </c>
    </row>
    <row r="1447" spans="60:68" ht="15">
      <c r="BH1447" s="187">
        <v>44139</v>
      </c>
      <c r="BI1447" s="180">
        <v>-0.51500000000000001</v>
      </c>
      <c r="BJ1447" s="191">
        <v>44139</v>
      </c>
      <c r="BK1447" s="192" t="s">
        <v>177</v>
      </c>
      <c r="BN1447" s="94">
        <v>44194</v>
      </c>
      <c r="BO1447" s="95" t="s">
        <v>330</v>
      </c>
      <c r="BP1447" s="96">
        <v>12.93</v>
      </c>
    </row>
    <row r="1448" spans="60:68" ht="15">
      <c r="BH1448" s="187">
        <v>44140</v>
      </c>
      <c r="BI1448" s="180">
        <v>-0.51100000000000001</v>
      </c>
      <c r="BJ1448" s="191">
        <v>44140</v>
      </c>
      <c r="BK1448" s="192" t="s">
        <v>324</v>
      </c>
      <c r="BN1448" s="94">
        <v>44195</v>
      </c>
      <c r="BO1448" s="95" t="s">
        <v>177</v>
      </c>
      <c r="BP1448" s="96">
        <v>12.93</v>
      </c>
    </row>
    <row r="1449" spans="60:68" ht="15">
      <c r="BH1449" s="187">
        <v>44141</v>
      </c>
      <c r="BI1449" s="180">
        <v>-0.51200000000000001</v>
      </c>
      <c r="BJ1449" s="191">
        <v>44141</v>
      </c>
      <c r="BK1449" s="192" t="s">
        <v>325</v>
      </c>
      <c r="BN1449" s="94">
        <v>44196</v>
      </c>
      <c r="BO1449" s="95" t="s">
        <v>177</v>
      </c>
      <c r="BP1449" s="96">
        <v>12.93</v>
      </c>
    </row>
    <row r="1450" spans="60:68" ht="15">
      <c r="BH1450" s="187">
        <v>44144</v>
      </c>
      <c r="BI1450" s="180">
        <v>-0.51100000000000001</v>
      </c>
      <c r="BJ1450" s="191">
        <v>44144</v>
      </c>
      <c r="BK1450" s="192" t="s">
        <v>326</v>
      </c>
      <c r="BN1450" s="94">
        <v>44200</v>
      </c>
      <c r="BO1450" s="95" t="s">
        <v>330</v>
      </c>
      <c r="BP1450" s="96">
        <v>12.92</v>
      </c>
    </row>
    <row r="1451" spans="60:68" ht="15">
      <c r="BH1451" s="187">
        <v>44145</v>
      </c>
      <c r="BI1451" s="180">
        <v>-0.505</v>
      </c>
      <c r="BJ1451" s="191">
        <v>44145</v>
      </c>
      <c r="BK1451" s="192" t="s">
        <v>327</v>
      </c>
      <c r="BN1451" s="94">
        <v>44201</v>
      </c>
      <c r="BO1451" s="95" t="s">
        <v>324</v>
      </c>
      <c r="BP1451" s="96">
        <v>12.91</v>
      </c>
    </row>
    <row r="1452" spans="60:68" ht="15">
      <c r="BH1452" s="187">
        <v>44146</v>
      </c>
      <c r="BI1452" s="180">
        <v>-0.50700000000000001</v>
      </c>
      <c r="BJ1452" s="191">
        <v>44146</v>
      </c>
      <c r="BK1452" s="192" t="s">
        <v>328</v>
      </c>
      <c r="BN1452" s="94">
        <v>44203</v>
      </c>
      <c r="BO1452" s="95" t="s">
        <v>329</v>
      </c>
      <c r="BP1452" s="96">
        <v>12.91</v>
      </c>
    </row>
    <row r="1453" spans="60:68" ht="15">
      <c r="BH1453" s="187">
        <v>44147</v>
      </c>
      <c r="BI1453" s="180">
        <v>-0.504</v>
      </c>
      <c r="BJ1453" s="191">
        <v>44147</v>
      </c>
      <c r="BK1453" s="192" t="s">
        <v>329</v>
      </c>
      <c r="BN1453" s="94">
        <v>44204</v>
      </c>
      <c r="BO1453" s="95" t="s">
        <v>329</v>
      </c>
      <c r="BP1453" s="96">
        <v>12.91</v>
      </c>
    </row>
    <row r="1454" spans="60:68" ht="15">
      <c r="BH1454" s="187">
        <v>44148</v>
      </c>
      <c r="BI1454" s="180">
        <v>-0.503</v>
      </c>
      <c r="BJ1454" s="191">
        <v>44148</v>
      </c>
      <c r="BK1454" s="192" t="s">
        <v>176</v>
      </c>
      <c r="BN1454" s="94">
        <v>44207</v>
      </c>
      <c r="BO1454" s="95" t="s">
        <v>176</v>
      </c>
      <c r="BP1454" s="96">
        <v>12.9</v>
      </c>
    </row>
    <row r="1455" spans="60:68" ht="15">
      <c r="BH1455" s="187">
        <v>44151</v>
      </c>
      <c r="BI1455" s="180">
        <v>-0.505</v>
      </c>
      <c r="BJ1455" s="191">
        <v>44151</v>
      </c>
      <c r="BK1455" s="192" t="s">
        <v>330</v>
      </c>
      <c r="BN1455" s="94">
        <v>44208</v>
      </c>
      <c r="BO1455" s="95" t="s">
        <v>177</v>
      </c>
      <c r="BP1455" s="96">
        <v>12.9</v>
      </c>
    </row>
    <row r="1456" spans="60:68" ht="15">
      <c r="BH1456" s="187">
        <v>44152</v>
      </c>
      <c r="BI1456" s="180">
        <v>-0.50800000000000001</v>
      </c>
      <c r="BJ1456" s="191">
        <v>44152</v>
      </c>
      <c r="BK1456" s="192" t="s">
        <v>331</v>
      </c>
      <c r="BN1456" s="94">
        <v>44209</v>
      </c>
      <c r="BO1456" s="95" t="s">
        <v>178</v>
      </c>
      <c r="BP1456" s="96">
        <v>12.89</v>
      </c>
    </row>
    <row r="1457" spans="60:68" ht="15">
      <c r="BH1457" s="187">
        <v>44153</v>
      </c>
      <c r="BI1457" s="180">
        <v>-0.51300000000000001</v>
      </c>
      <c r="BJ1457" s="191">
        <v>44153</v>
      </c>
      <c r="BK1457" s="192" t="s">
        <v>174</v>
      </c>
      <c r="BN1457" s="94">
        <v>44210</v>
      </c>
      <c r="BO1457" s="95" t="s">
        <v>179</v>
      </c>
      <c r="BP1457" s="96">
        <v>12.92</v>
      </c>
    </row>
    <row r="1458" spans="60:68" ht="15">
      <c r="BH1458" s="187">
        <v>44154</v>
      </c>
      <c r="BI1458" s="180">
        <v>-0.51200000000000001</v>
      </c>
      <c r="BJ1458" s="191">
        <v>44154</v>
      </c>
      <c r="BK1458" s="192" t="s">
        <v>174</v>
      </c>
      <c r="BN1458" s="94">
        <v>44211</v>
      </c>
      <c r="BO1458" s="95" t="s">
        <v>332</v>
      </c>
      <c r="BP1458" s="96">
        <v>12.92</v>
      </c>
    </row>
    <row r="1459" spans="60:68" ht="15">
      <c r="BH1459" s="187">
        <v>44155</v>
      </c>
      <c r="BI1459" s="180">
        <v>-0.50900000000000001</v>
      </c>
      <c r="BJ1459" s="191">
        <v>44155</v>
      </c>
      <c r="BK1459" s="192" t="s">
        <v>331</v>
      </c>
      <c r="BN1459" s="94">
        <v>44214</v>
      </c>
      <c r="BO1459" s="95" t="s">
        <v>335</v>
      </c>
      <c r="BP1459" s="96">
        <v>12.91</v>
      </c>
    </row>
    <row r="1460" spans="60:68" ht="15">
      <c r="BH1460" s="187">
        <v>44158</v>
      </c>
      <c r="BI1460" s="180">
        <v>-0.50900000000000001</v>
      </c>
      <c r="BJ1460" s="191">
        <v>44158</v>
      </c>
      <c r="BK1460" s="192" t="s">
        <v>330</v>
      </c>
      <c r="BN1460" s="94">
        <v>44215</v>
      </c>
      <c r="BO1460" s="95" t="s">
        <v>322</v>
      </c>
      <c r="BP1460" s="96">
        <v>12.91</v>
      </c>
    </row>
    <row r="1461" spans="60:68" ht="15">
      <c r="BH1461" s="187">
        <v>44159</v>
      </c>
      <c r="BI1461" s="180">
        <v>-0.51</v>
      </c>
      <c r="BJ1461" s="191">
        <v>44159</v>
      </c>
      <c r="BK1461" s="192" t="s">
        <v>175</v>
      </c>
      <c r="BN1461" s="94">
        <v>44216</v>
      </c>
      <c r="BO1461" s="95" t="s">
        <v>336</v>
      </c>
      <c r="BP1461" s="96">
        <v>12.9</v>
      </c>
    </row>
    <row r="1462" spans="60:68" ht="15">
      <c r="BH1462" s="187">
        <v>44160</v>
      </c>
      <c r="BI1462" s="180">
        <v>-0.50800000000000001</v>
      </c>
      <c r="BJ1462" s="191">
        <v>44160</v>
      </c>
      <c r="BK1462" s="192" t="s">
        <v>330</v>
      </c>
      <c r="BN1462" s="94">
        <v>44217</v>
      </c>
      <c r="BO1462" s="95" t="s">
        <v>180</v>
      </c>
      <c r="BP1462" s="96">
        <v>12.89</v>
      </c>
    </row>
    <row r="1463" spans="60:68" ht="15">
      <c r="BH1463" s="187">
        <v>44161</v>
      </c>
      <c r="BI1463" s="180">
        <v>-0.50600000000000001</v>
      </c>
      <c r="BJ1463" s="191">
        <v>44161</v>
      </c>
      <c r="BK1463" s="192" t="s">
        <v>177</v>
      </c>
      <c r="BN1463" s="94">
        <v>44218</v>
      </c>
      <c r="BO1463" s="95" t="s">
        <v>321</v>
      </c>
      <c r="BP1463" s="96">
        <v>12.89</v>
      </c>
    </row>
    <row r="1464" spans="60:68" ht="15">
      <c r="BH1464" s="187">
        <v>44162</v>
      </c>
      <c r="BI1464" s="180">
        <v>-0.50700000000000001</v>
      </c>
      <c r="BJ1464" s="191">
        <v>44162</v>
      </c>
      <c r="BK1464" s="192" t="s">
        <v>331</v>
      </c>
      <c r="BN1464" s="94">
        <v>44221</v>
      </c>
      <c r="BO1464" s="95" t="s">
        <v>337</v>
      </c>
      <c r="BP1464" s="96">
        <v>12.88</v>
      </c>
    </row>
    <row r="1465" spans="60:68" ht="15">
      <c r="BH1465" s="187">
        <v>44165</v>
      </c>
      <c r="BI1465" s="180">
        <v>-0.50800000000000001</v>
      </c>
      <c r="BJ1465" s="191">
        <v>44165</v>
      </c>
      <c r="BK1465" s="192" t="s">
        <v>174</v>
      </c>
      <c r="BN1465" s="94">
        <v>44222</v>
      </c>
      <c r="BO1465" s="95" t="s">
        <v>320</v>
      </c>
      <c r="BP1465" s="96">
        <v>12.88</v>
      </c>
    </row>
    <row r="1466" spans="60:68" ht="15">
      <c r="BH1466" s="187">
        <v>44166</v>
      </c>
      <c r="BI1466" s="180">
        <v>-0.50800000000000001</v>
      </c>
      <c r="BJ1466" s="191">
        <v>44166</v>
      </c>
      <c r="BK1466" s="192" t="s">
        <v>178</v>
      </c>
      <c r="BN1466" s="94">
        <v>44223</v>
      </c>
      <c r="BO1466" s="95" t="s">
        <v>171</v>
      </c>
      <c r="BP1466" s="96">
        <v>12.88</v>
      </c>
    </row>
    <row r="1467" spans="60:68" ht="15">
      <c r="BH1467" s="187">
        <v>44167</v>
      </c>
      <c r="BI1467" s="180">
        <v>-0.50800000000000001</v>
      </c>
      <c r="BJ1467" s="191">
        <v>44167</v>
      </c>
      <c r="BK1467" s="192" t="s">
        <v>173</v>
      </c>
      <c r="BN1467" s="94">
        <v>44224</v>
      </c>
      <c r="BO1467" s="95" t="s">
        <v>338</v>
      </c>
      <c r="BP1467" s="96">
        <v>12.88</v>
      </c>
    </row>
    <row r="1468" spans="60:68" ht="15">
      <c r="BH1468" s="187">
        <v>44168</v>
      </c>
      <c r="BI1468" s="180">
        <v>-0.51</v>
      </c>
      <c r="BJ1468" s="191">
        <v>44168</v>
      </c>
      <c r="BK1468" s="192" t="s">
        <v>332</v>
      </c>
      <c r="BN1468" s="94">
        <v>44225</v>
      </c>
      <c r="BO1468" s="95" t="s">
        <v>339</v>
      </c>
      <c r="BP1468" s="96">
        <v>12.87</v>
      </c>
    </row>
    <row r="1469" spans="60:68" ht="15">
      <c r="BH1469" s="187">
        <v>44169</v>
      </c>
      <c r="BI1469" s="180">
        <v>-0.51200000000000001</v>
      </c>
      <c r="BJ1469" s="191">
        <v>44169</v>
      </c>
      <c r="BK1469" s="192" t="s">
        <v>322</v>
      </c>
      <c r="BN1469" s="94">
        <v>44228</v>
      </c>
      <c r="BO1469" s="95" t="s">
        <v>319</v>
      </c>
      <c r="BP1469" s="96">
        <v>12.86</v>
      </c>
    </row>
    <row r="1470" spans="60:68" ht="15">
      <c r="BH1470" s="187">
        <v>44172</v>
      </c>
      <c r="BI1470" s="180">
        <v>-0.51300000000000001</v>
      </c>
      <c r="BJ1470" s="191">
        <v>44172</v>
      </c>
      <c r="BK1470" s="192" t="s">
        <v>322</v>
      </c>
      <c r="BN1470" s="94">
        <v>44229</v>
      </c>
      <c r="BO1470" s="95" t="s">
        <v>340</v>
      </c>
      <c r="BP1470" s="96">
        <v>12.86</v>
      </c>
    </row>
    <row r="1471" spans="60:68" ht="15">
      <c r="BH1471" s="187">
        <v>44173</v>
      </c>
      <c r="BI1471" s="180">
        <v>-0.51800000000000002</v>
      </c>
      <c r="BJ1471" s="191"/>
      <c r="BK1471" s="193" t="str">
        <f>+BK1470</f>
        <v>−0,450</v>
      </c>
      <c r="BN1471" s="94">
        <v>44230</v>
      </c>
      <c r="BO1471" s="95" t="s">
        <v>341</v>
      </c>
      <c r="BP1471" s="96">
        <v>12.8</v>
      </c>
    </row>
    <row r="1472" spans="60:68" ht="15">
      <c r="BH1472" s="187">
        <v>44174</v>
      </c>
      <c r="BI1472" s="180">
        <v>-0.52400000000000002</v>
      </c>
      <c r="BJ1472" s="191">
        <v>44174</v>
      </c>
      <c r="BK1472" s="192" t="s">
        <v>333</v>
      </c>
      <c r="BN1472" s="94">
        <v>44231</v>
      </c>
      <c r="BO1472" s="95" t="s">
        <v>181</v>
      </c>
      <c r="BP1472" s="96">
        <v>12.8</v>
      </c>
    </row>
    <row r="1473" spans="60:68" ht="15">
      <c r="BH1473" s="187">
        <v>44175</v>
      </c>
      <c r="BI1473" s="180">
        <v>-0.52300000000000002</v>
      </c>
      <c r="BJ1473" s="191">
        <v>44175</v>
      </c>
      <c r="BK1473" s="192" t="s">
        <v>334</v>
      </c>
      <c r="BN1473" s="94">
        <v>44232</v>
      </c>
      <c r="BO1473" s="95" t="s">
        <v>169</v>
      </c>
      <c r="BP1473" s="96">
        <v>12.8</v>
      </c>
    </row>
    <row r="1474" spans="60:68" ht="15">
      <c r="BH1474" s="187">
        <v>44176</v>
      </c>
      <c r="BI1474" s="180">
        <v>-0.52</v>
      </c>
      <c r="BJ1474" s="191">
        <v>44176</v>
      </c>
      <c r="BK1474" s="192" t="s">
        <v>174</v>
      </c>
      <c r="BN1474" s="94">
        <v>44235</v>
      </c>
      <c r="BO1474" s="95" t="s">
        <v>182</v>
      </c>
      <c r="BP1474" s="96">
        <v>12.79</v>
      </c>
    </row>
    <row r="1475" spans="60:68" ht="15">
      <c r="BH1475" s="187">
        <v>44179</v>
      </c>
      <c r="BI1475" s="180">
        <v>-0.52200000000000002</v>
      </c>
      <c r="BJ1475" s="191">
        <v>44179</v>
      </c>
      <c r="BK1475" s="192" t="s">
        <v>330</v>
      </c>
      <c r="BN1475" s="94">
        <v>44236</v>
      </c>
      <c r="BO1475" s="95" t="s">
        <v>342</v>
      </c>
      <c r="BP1475" s="96">
        <v>12.79</v>
      </c>
    </row>
    <row r="1476" spans="60:68" ht="15">
      <c r="BH1476" s="187">
        <v>44180</v>
      </c>
      <c r="BI1476" s="180">
        <v>-0.52</v>
      </c>
      <c r="BJ1476" s="191">
        <v>44180</v>
      </c>
      <c r="BK1476" s="192" t="s">
        <v>175</v>
      </c>
      <c r="BN1476" s="94">
        <v>44237</v>
      </c>
      <c r="BO1476" s="95" t="s">
        <v>343</v>
      </c>
      <c r="BP1476" s="96">
        <v>12.78</v>
      </c>
    </row>
    <row r="1477" spans="60:68" ht="15">
      <c r="BH1477" s="187">
        <v>44181</v>
      </c>
      <c r="BI1477" s="180">
        <v>-0.52500000000000002</v>
      </c>
      <c r="BJ1477" s="191">
        <v>44181</v>
      </c>
      <c r="BK1477" s="192" t="s">
        <v>175</v>
      </c>
      <c r="BN1477" s="94">
        <v>44238</v>
      </c>
      <c r="BO1477" s="95" t="s">
        <v>344</v>
      </c>
      <c r="BP1477" s="96">
        <v>12.78</v>
      </c>
    </row>
    <row r="1478" spans="60:68" ht="15">
      <c r="BH1478" s="187">
        <v>44182</v>
      </c>
      <c r="BI1478" s="180">
        <v>-0.51800000000000002</v>
      </c>
      <c r="BJ1478" s="191">
        <v>44182</v>
      </c>
      <c r="BK1478" s="192" t="s">
        <v>175</v>
      </c>
      <c r="BN1478" s="94">
        <v>44239</v>
      </c>
      <c r="BO1478" s="95" t="s">
        <v>183</v>
      </c>
      <c r="BP1478" s="96">
        <v>12.78</v>
      </c>
    </row>
    <row r="1479" spans="60:68" ht="15">
      <c r="BH1479" s="187">
        <v>44183</v>
      </c>
      <c r="BI1479" s="180">
        <v>-0.52</v>
      </c>
      <c r="BJ1479" s="191">
        <v>44183</v>
      </c>
      <c r="BK1479" s="192" t="s">
        <v>330</v>
      </c>
      <c r="BN1479" s="94">
        <v>44242</v>
      </c>
      <c r="BO1479" s="95" t="s">
        <v>167</v>
      </c>
      <c r="BP1479" s="96">
        <v>12.77</v>
      </c>
    </row>
    <row r="1480" spans="60:68" ht="15">
      <c r="BH1480" s="187">
        <v>44186</v>
      </c>
      <c r="BI1480" s="180">
        <v>-0.51800000000000002</v>
      </c>
      <c r="BJ1480" s="191">
        <v>44186</v>
      </c>
      <c r="BK1480" s="192" t="s">
        <v>175</v>
      </c>
      <c r="BN1480" s="94">
        <v>44243</v>
      </c>
      <c r="BO1480" s="95" t="s">
        <v>184</v>
      </c>
      <c r="BP1480" s="96">
        <v>12.77</v>
      </c>
    </row>
    <row r="1481" spans="60:68" ht="15">
      <c r="BH1481" s="187">
        <v>44187</v>
      </c>
      <c r="BI1481" s="180">
        <v>-0.52200000000000002</v>
      </c>
      <c r="BJ1481" s="191">
        <v>44187</v>
      </c>
      <c r="BK1481" s="192" t="s">
        <v>175</v>
      </c>
      <c r="BN1481" s="94">
        <v>44244</v>
      </c>
      <c r="BO1481" s="95" t="s">
        <v>185</v>
      </c>
      <c r="BP1481" s="96">
        <v>12.76</v>
      </c>
    </row>
    <row r="1482" spans="60:68" ht="15">
      <c r="BH1482" s="187">
        <v>44188</v>
      </c>
      <c r="BI1482" s="180">
        <v>-0.52100000000000002</v>
      </c>
      <c r="BJ1482" s="191">
        <v>44188</v>
      </c>
      <c r="BK1482" s="192" t="s">
        <v>175</v>
      </c>
      <c r="BN1482" s="94">
        <v>44245</v>
      </c>
      <c r="BO1482" s="95" t="s">
        <v>165</v>
      </c>
      <c r="BP1482" s="96">
        <v>12.76</v>
      </c>
    </row>
    <row r="1483" spans="60:68" ht="15">
      <c r="BH1483" s="187">
        <v>44189</v>
      </c>
      <c r="BI1483" s="180">
        <v>-0.51900000000000002</v>
      </c>
      <c r="BJ1483" s="191"/>
      <c r="BK1483" s="193" t="str">
        <f>+BK1482</f>
        <v>−0,466</v>
      </c>
      <c r="BN1483" s="94">
        <v>44246</v>
      </c>
      <c r="BO1483" s="95" t="s">
        <v>303</v>
      </c>
      <c r="BP1483" s="96">
        <v>12.76</v>
      </c>
    </row>
    <row r="1484" spans="60:68" ht="15">
      <c r="BH1484" s="187">
        <v>44190</v>
      </c>
      <c r="BI1484" s="180">
        <v>-0.51900000000000002</v>
      </c>
      <c r="BJ1484" s="191"/>
      <c r="BK1484" s="193" t="str">
        <f>+BK1483</f>
        <v>−0,466</v>
      </c>
      <c r="BN1484" s="94">
        <v>44249</v>
      </c>
      <c r="BO1484" s="95" t="s">
        <v>189</v>
      </c>
      <c r="BP1484" s="96">
        <v>12.75</v>
      </c>
    </row>
    <row r="1485" spans="60:68" ht="15">
      <c r="BH1485" s="187">
        <v>44193</v>
      </c>
      <c r="BI1485" s="180">
        <v>-0.52</v>
      </c>
      <c r="BJ1485" s="191">
        <v>44193</v>
      </c>
      <c r="BK1485" s="192" t="s">
        <v>330</v>
      </c>
      <c r="BN1485" s="94">
        <v>44250</v>
      </c>
      <c r="BO1485" s="95" t="s">
        <v>245</v>
      </c>
      <c r="BP1485" s="96">
        <v>12.82</v>
      </c>
    </row>
    <row r="1486" spans="60:68" ht="15">
      <c r="BH1486" s="187">
        <v>44194</v>
      </c>
      <c r="BI1486" s="180">
        <v>-0.52300000000000002</v>
      </c>
      <c r="BJ1486" s="191">
        <v>44194</v>
      </c>
      <c r="BK1486" s="192" t="s">
        <v>330</v>
      </c>
      <c r="BN1486" s="94">
        <v>44251</v>
      </c>
      <c r="BO1486" s="95" t="s">
        <v>162</v>
      </c>
      <c r="BP1486" s="96">
        <v>12.82</v>
      </c>
    </row>
    <row r="1487" spans="60:68" ht="15">
      <c r="BH1487" s="187">
        <v>44195</v>
      </c>
      <c r="BI1487" s="180">
        <v>-0.52</v>
      </c>
      <c r="BJ1487" s="191">
        <v>44195</v>
      </c>
      <c r="BK1487" s="192" t="s">
        <v>177</v>
      </c>
      <c r="BN1487" s="94">
        <v>44252</v>
      </c>
      <c r="BO1487" s="95" t="s">
        <v>345</v>
      </c>
      <c r="BP1487" s="96">
        <v>12.82</v>
      </c>
    </row>
    <row r="1488" spans="60:68" ht="15">
      <c r="BH1488" s="187">
        <v>44196</v>
      </c>
      <c r="BI1488" s="180">
        <v>-0.52600000000000002</v>
      </c>
      <c r="BJ1488" s="191">
        <v>44196</v>
      </c>
      <c r="BK1488" s="192" t="s">
        <v>177</v>
      </c>
      <c r="BN1488" s="94">
        <v>44253</v>
      </c>
      <c r="BO1488" s="95" t="s">
        <v>197</v>
      </c>
      <c r="BP1488" s="96">
        <v>12.82</v>
      </c>
    </row>
    <row r="1489" spans="60:68" ht="15">
      <c r="BH1489" s="187">
        <v>44197</v>
      </c>
      <c r="BI1489" s="180">
        <v>-0.52600000000000002</v>
      </c>
      <c r="BJ1489" s="191"/>
      <c r="BK1489" s="193" t="str">
        <f>+BK1488</f>
        <v>−0,464</v>
      </c>
      <c r="BN1489" s="94">
        <v>44256</v>
      </c>
      <c r="BO1489" s="95" t="s">
        <v>235</v>
      </c>
      <c r="BP1489" s="96">
        <v>12.81</v>
      </c>
    </row>
    <row r="1490" spans="60:68" ht="15">
      <c r="BH1490" s="187">
        <v>44200</v>
      </c>
      <c r="BI1490" s="180">
        <v>-0.53200000000000003</v>
      </c>
      <c r="BJ1490" s="191">
        <v>44200</v>
      </c>
      <c r="BK1490" s="192" t="s">
        <v>330</v>
      </c>
      <c r="BN1490" s="94">
        <v>44257</v>
      </c>
      <c r="BO1490" s="95" t="s">
        <v>234</v>
      </c>
      <c r="BP1490" s="96">
        <v>12.81</v>
      </c>
    </row>
    <row r="1491" spans="60:68" ht="15">
      <c r="BH1491" s="187">
        <v>44201</v>
      </c>
      <c r="BI1491" s="180">
        <v>-0.52400000000000002</v>
      </c>
      <c r="BJ1491" s="191">
        <v>44201</v>
      </c>
      <c r="BK1491" s="192" t="s">
        <v>324</v>
      </c>
      <c r="BN1491" s="94">
        <v>44258</v>
      </c>
      <c r="BO1491" s="95" t="s">
        <v>346</v>
      </c>
      <c r="BP1491" s="96">
        <v>12.8</v>
      </c>
    </row>
    <row r="1492" spans="60:68" ht="15">
      <c r="BH1492" s="187">
        <v>44202</v>
      </c>
      <c r="BI1492" s="180">
        <v>-0.53</v>
      </c>
      <c r="BJ1492" s="191"/>
      <c r="BK1492" s="193" t="str">
        <f>+BK1491</f>
        <v>−0,468</v>
      </c>
      <c r="BN1492" s="94">
        <v>44259</v>
      </c>
      <c r="BO1492" s="95" t="s">
        <v>347</v>
      </c>
      <c r="BP1492" s="96">
        <v>12.76</v>
      </c>
    </row>
    <row r="1493" spans="60:68" ht="15">
      <c r="BH1493" s="187">
        <v>44203</v>
      </c>
      <c r="BI1493" s="180">
        <v>-0.52400000000000002</v>
      </c>
      <c r="BJ1493" s="191">
        <v>44203</v>
      </c>
      <c r="BK1493" s="192" t="s">
        <v>329</v>
      </c>
      <c r="BN1493" s="94">
        <v>44260</v>
      </c>
      <c r="BO1493" s="95" t="s">
        <v>201</v>
      </c>
      <c r="BP1493" s="96">
        <v>12.76</v>
      </c>
    </row>
    <row r="1494" spans="60:68" ht="15">
      <c r="BH1494" s="187">
        <v>44204</v>
      </c>
      <c r="BI1494" s="180">
        <v>-0.53</v>
      </c>
      <c r="BJ1494" s="191">
        <v>44204</v>
      </c>
      <c r="BK1494" s="192" t="s">
        <v>329</v>
      </c>
      <c r="BN1494" s="94">
        <v>44263</v>
      </c>
      <c r="BO1494" s="95" t="s">
        <v>348</v>
      </c>
      <c r="BP1494" s="96">
        <v>12.75</v>
      </c>
    </row>
    <row r="1495" spans="60:68" ht="15">
      <c r="BH1495" s="187">
        <v>44207</v>
      </c>
      <c r="BI1495" s="180">
        <v>-0.52300000000000002</v>
      </c>
      <c r="BJ1495" s="191">
        <v>44207</v>
      </c>
      <c r="BK1495" s="192" t="s">
        <v>176</v>
      </c>
      <c r="BN1495" s="94">
        <v>44264</v>
      </c>
      <c r="BO1495" s="95" t="s">
        <v>349</v>
      </c>
      <c r="BP1495" s="96">
        <v>12.74</v>
      </c>
    </row>
    <row r="1496" spans="60:68" ht="15">
      <c r="BH1496" s="187">
        <v>44208</v>
      </c>
      <c r="BI1496" s="180">
        <v>-0.53</v>
      </c>
      <c r="BJ1496" s="191">
        <v>44208</v>
      </c>
      <c r="BK1496" s="192" t="s">
        <v>177</v>
      </c>
      <c r="BN1496" s="94">
        <v>44265</v>
      </c>
      <c r="BO1496" s="95" t="s">
        <v>350</v>
      </c>
      <c r="BP1496" s="96">
        <v>12.74</v>
      </c>
    </row>
    <row r="1497" spans="60:68" ht="15">
      <c r="BH1497" s="187">
        <v>44209</v>
      </c>
      <c r="BI1497" s="180">
        <v>-0.52700000000000002</v>
      </c>
      <c r="BJ1497" s="191">
        <v>44209</v>
      </c>
      <c r="BK1497" s="192" t="s">
        <v>178</v>
      </c>
      <c r="BN1497" s="94">
        <v>44266</v>
      </c>
      <c r="BO1497" s="95" t="s">
        <v>281</v>
      </c>
      <c r="BP1497" s="96">
        <v>12.74</v>
      </c>
    </row>
    <row r="1498" spans="60:68" ht="15">
      <c r="BH1498" s="187">
        <v>44210</v>
      </c>
      <c r="BI1498" s="180">
        <v>-0.53300000000000003</v>
      </c>
      <c r="BJ1498" s="191">
        <v>44210</v>
      </c>
      <c r="BK1498" s="192" t="s">
        <v>179</v>
      </c>
      <c r="BN1498" s="94">
        <v>44267</v>
      </c>
      <c r="BO1498" s="95" t="s">
        <v>351</v>
      </c>
      <c r="BP1498" s="96">
        <v>12.73</v>
      </c>
    </row>
    <row r="1499" spans="60:68" ht="15">
      <c r="BH1499" s="187">
        <v>44211</v>
      </c>
      <c r="BI1499" s="180">
        <v>-0.53200000000000003</v>
      </c>
      <c r="BJ1499" s="191">
        <v>44211</v>
      </c>
      <c r="BK1499" s="192" t="s">
        <v>332</v>
      </c>
      <c r="BN1499" s="94">
        <v>44270</v>
      </c>
      <c r="BO1499" s="95" t="s">
        <v>280</v>
      </c>
      <c r="BP1499" s="96">
        <v>12.72</v>
      </c>
    </row>
    <row r="1500" spans="60:68" ht="15">
      <c r="BH1500" s="187">
        <v>44214</v>
      </c>
      <c r="BI1500" s="180">
        <v>-0.53300000000000003</v>
      </c>
      <c r="BJ1500" s="191">
        <v>44214</v>
      </c>
      <c r="BK1500" s="192" t="s">
        <v>335</v>
      </c>
      <c r="BN1500" s="94">
        <v>44271</v>
      </c>
      <c r="BO1500" s="95" t="s">
        <v>251</v>
      </c>
      <c r="BP1500" s="96">
        <v>12.72</v>
      </c>
    </row>
    <row r="1501" spans="60:68" ht="15">
      <c r="BH1501" s="187">
        <v>44215</v>
      </c>
      <c r="BI1501" s="180">
        <v>-0.52800000000000002</v>
      </c>
      <c r="BJ1501" s="191">
        <v>44215</v>
      </c>
      <c r="BK1501" s="192" t="s">
        <v>322</v>
      </c>
      <c r="BN1501" s="94">
        <v>44272</v>
      </c>
      <c r="BO1501" s="95" t="s">
        <v>352</v>
      </c>
      <c r="BP1501" s="96">
        <v>12.71</v>
      </c>
    </row>
    <row r="1502" spans="60:68" ht="15">
      <c r="BH1502" s="187">
        <v>44216</v>
      </c>
      <c r="BI1502" s="180">
        <v>-0.53200000000000003</v>
      </c>
      <c r="BJ1502" s="191">
        <v>44216</v>
      </c>
      <c r="BK1502" s="192" t="s">
        <v>336</v>
      </c>
      <c r="BN1502" s="94">
        <v>44273</v>
      </c>
      <c r="BO1502" s="95" t="s">
        <v>204</v>
      </c>
      <c r="BP1502" s="96">
        <v>12.7</v>
      </c>
    </row>
    <row r="1503" spans="60:68" ht="15">
      <c r="BH1503" s="187">
        <v>44217</v>
      </c>
      <c r="BI1503" s="180">
        <v>-0.52700000000000002</v>
      </c>
      <c r="BJ1503" s="191">
        <v>44217</v>
      </c>
      <c r="BK1503" s="192" t="s">
        <v>180</v>
      </c>
      <c r="BN1503" s="94">
        <v>44274</v>
      </c>
      <c r="BO1503" s="95" t="s">
        <v>204</v>
      </c>
      <c r="BP1503" s="96">
        <v>12.7</v>
      </c>
    </row>
    <row r="1504" spans="60:68" ht="15">
      <c r="BH1504" s="187">
        <v>44218</v>
      </c>
      <c r="BI1504" s="180">
        <v>-0.52500000000000002</v>
      </c>
      <c r="BJ1504" s="191">
        <v>44218</v>
      </c>
      <c r="BK1504" s="192" t="s">
        <v>321</v>
      </c>
      <c r="BN1504" s="94">
        <v>44277</v>
      </c>
      <c r="BO1504" s="95" t="s">
        <v>204</v>
      </c>
      <c r="BP1504" s="96">
        <v>12.68</v>
      </c>
    </row>
    <row r="1505" spans="60:68" ht="15">
      <c r="BH1505" s="187">
        <v>44221</v>
      </c>
      <c r="BI1505" s="180">
        <v>-0.52100000000000002</v>
      </c>
      <c r="BJ1505" s="191">
        <v>44221</v>
      </c>
      <c r="BK1505" s="192" t="s">
        <v>337</v>
      </c>
      <c r="BN1505" s="94">
        <v>44278</v>
      </c>
      <c r="BO1505" s="95" t="s">
        <v>353</v>
      </c>
      <c r="BP1505" s="96">
        <v>12.68</v>
      </c>
    </row>
    <row r="1506" spans="60:68" ht="15">
      <c r="BH1506" s="187">
        <v>44222</v>
      </c>
      <c r="BI1506" s="180">
        <v>-0.52800000000000002</v>
      </c>
      <c r="BJ1506" s="191">
        <v>44222</v>
      </c>
      <c r="BK1506" s="192" t="s">
        <v>320</v>
      </c>
      <c r="BN1506" s="94">
        <v>44279</v>
      </c>
      <c r="BO1506" s="95" t="s">
        <v>279</v>
      </c>
      <c r="BP1506" s="96">
        <v>12.67</v>
      </c>
    </row>
    <row r="1507" spans="60:68" ht="15">
      <c r="BH1507" s="187">
        <v>44223</v>
      </c>
      <c r="BI1507" s="180">
        <v>-0.52600000000000002</v>
      </c>
      <c r="BJ1507" s="191">
        <v>44223</v>
      </c>
      <c r="BK1507" s="192" t="s">
        <v>171</v>
      </c>
      <c r="BN1507" s="94">
        <v>44280</v>
      </c>
      <c r="BO1507" s="95" t="s">
        <v>354</v>
      </c>
      <c r="BP1507" s="96">
        <v>12.67</v>
      </c>
    </row>
    <row r="1508" spans="60:68" ht="15">
      <c r="BH1508" s="187">
        <v>44224</v>
      </c>
      <c r="BI1508" s="180">
        <v>-0.53400000000000003</v>
      </c>
      <c r="BJ1508" s="191">
        <v>44224</v>
      </c>
      <c r="BK1508" s="192" t="s">
        <v>338</v>
      </c>
      <c r="BN1508" s="94">
        <v>44281</v>
      </c>
      <c r="BO1508" s="95" t="s">
        <v>281</v>
      </c>
      <c r="BP1508" s="96">
        <v>12.67</v>
      </c>
    </row>
    <row r="1509" spans="60:68" ht="15">
      <c r="BH1509" s="187">
        <v>44225</v>
      </c>
      <c r="BI1509" s="180">
        <v>-0.53100000000000003</v>
      </c>
      <c r="BJ1509" s="191">
        <v>44225</v>
      </c>
      <c r="BK1509" s="192" t="s">
        <v>339</v>
      </c>
      <c r="BN1509" s="94">
        <v>44284</v>
      </c>
      <c r="BO1509" s="95" t="s">
        <v>230</v>
      </c>
      <c r="BP1509" s="96">
        <v>12.66</v>
      </c>
    </row>
    <row r="1510" spans="60:68" ht="15">
      <c r="BH1510" s="187">
        <v>44228</v>
      </c>
      <c r="BI1510" s="180">
        <v>-0.52800000000000002</v>
      </c>
      <c r="BJ1510" s="191">
        <v>44228</v>
      </c>
      <c r="BK1510" s="192" t="s">
        <v>319</v>
      </c>
      <c r="BN1510" s="94">
        <v>44285</v>
      </c>
      <c r="BO1510" s="95" t="s">
        <v>355</v>
      </c>
      <c r="BP1510" s="96">
        <v>12.65</v>
      </c>
    </row>
    <row r="1511" spans="60:68" ht="15">
      <c r="BH1511" s="187">
        <v>44229</v>
      </c>
      <c r="BI1511" s="180">
        <v>-0.52600000000000002</v>
      </c>
      <c r="BJ1511" s="191">
        <v>44229</v>
      </c>
      <c r="BK1511" s="192" t="s">
        <v>340</v>
      </c>
      <c r="BN1511" s="94">
        <v>44286</v>
      </c>
      <c r="BO1511" s="95" t="s">
        <v>281</v>
      </c>
      <c r="BP1511" s="96">
        <v>12.64</v>
      </c>
    </row>
    <row r="1512" spans="60:68" ht="15">
      <c r="BH1512" s="187">
        <v>44230</v>
      </c>
      <c r="BI1512" s="180">
        <v>-0.52100000000000002</v>
      </c>
      <c r="BJ1512" s="191">
        <v>44230</v>
      </c>
      <c r="BK1512" s="192" t="s">
        <v>341</v>
      </c>
      <c r="BN1512" s="94">
        <v>44287</v>
      </c>
      <c r="BO1512" s="95" t="s">
        <v>355</v>
      </c>
      <c r="BP1512" s="96">
        <v>12.64</v>
      </c>
    </row>
    <row r="1513" spans="60:68" ht="15">
      <c r="BH1513" s="187">
        <v>44231</v>
      </c>
      <c r="BI1513" s="180">
        <v>-0.52500000000000002</v>
      </c>
      <c r="BJ1513" s="191">
        <v>44231</v>
      </c>
      <c r="BK1513" s="192" t="s">
        <v>181</v>
      </c>
      <c r="BN1513" s="94">
        <v>44288</v>
      </c>
      <c r="BO1513" s="95" t="s">
        <v>230</v>
      </c>
      <c r="BP1513" s="96">
        <v>12.64</v>
      </c>
    </row>
    <row r="1514" spans="60:68" ht="15">
      <c r="BH1514" s="187">
        <v>44232</v>
      </c>
      <c r="BI1514" s="180">
        <v>-0.51900000000000002</v>
      </c>
      <c r="BJ1514" s="191">
        <v>44232</v>
      </c>
      <c r="BK1514" s="192" t="s">
        <v>169</v>
      </c>
      <c r="BN1514" s="94">
        <v>44292</v>
      </c>
      <c r="BO1514" s="95" t="s">
        <v>356</v>
      </c>
      <c r="BP1514" s="96">
        <v>12.63</v>
      </c>
    </row>
    <row r="1515" spans="60:68" ht="15">
      <c r="BH1515" s="187">
        <v>44235</v>
      </c>
      <c r="BI1515" s="180">
        <v>-0.52100000000000002</v>
      </c>
      <c r="BJ1515" s="191">
        <v>44235</v>
      </c>
      <c r="BK1515" s="192" t="s">
        <v>182</v>
      </c>
      <c r="BN1515" s="94">
        <v>44293</v>
      </c>
      <c r="BO1515" s="95" t="s">
        <v>250</v>
      </c>
      <c r="BP1515" s="96">
        <v>12.62</v>
      </c>
    </row>
    <row r="1516" spans="60:68" ht="15">
      <c r="BH1516" s="187">
        <v>44236</v>
      </c>
      <c r="BI1516" s="180">
        <v>-0.52300000000000002</v>
      </c>
      <c r="BJ1516" s="191">
        <v>44236</v>
      </c>
      <c r="BK1516" s="192" t="s">
        <v>342</v>
      </c>
      <c r="BN1516" s="94">
        <v>44294</v>
      </c>
      <c r="BO1516" s="95" t="s">
        <v>357</v>
      </c>
      <c r="BP1516" s="96">
        <v>12.65</v>
      </c>
    </row>
    <row r="1517" spans="60:68" ht="15">
      <c r="BH1517" s="187">
        <v>44237</v>
      </c>
      <c r="BI1517" s="180">
        <v>-0.52200000000000002</v>
      </c>
      <c r="BJ1517" s="191">
        <v>44237</v>
      </c>
      <c r="BK1517" s="192" t="s">
        <v>343</v>
      </c>
      <c r="BN1517" s="94">
        <v>44295</v>
      </c>
      <c r="BO1517" s="95" t="s">
        <v>357</v>
      </c>
      <c r="BP1517" s="96">
        <v>12.65</v>
      </c>
    </row>
    <row r="1518" spans="60:68" ht="15">
      <c r="BH1518" s="187">
        <v>44238</v>
      </c>
      <c r="BI1518" s="180">
        <v>-0.52100000000000002</v>
      </c>
      <c r="BJ1518" s="191">
        <v>44238</v>
      </c>
      <c r="BK1518" s="192" t="s">
        <v>344</v>
      </c>
      <c r="BN1518" s="94">
        <v>44298</v>
      </c>
      <c r="BO1518" s="95" t="s">
        <v>357</v>
      </c>
      <c r="BP1518" s="96">
        <v>12.64</v>
      </c>
    </row>
    <row r="1519" spans="60:68" ht="15">
      <c r="BH1519" s="187">
        <v>44239</v>
      </c>
      <c r="BI1519" s="180">
        <v>-0.52200000000000002</v>
      </c>
      <c r="BJ1519" s="191">
        <v>44239</v>
      </c>
      <c r="BK1519" s="192" t="s">
        <v>183</v>
      </c>
      <c r="BN1519" s="94">
        <v>44299</v>
      </c>
      <c r="BO1519" s="95" t="s">
        <v>230</v>
      </c>
      <c r="BP1519" s="96">
        <v>12.64</v>
      </c>
    </row>
    <row r="1520" spans="60:68" ht="15">
      <c r="BH1520" s="187">
        <v>44242</v>
      </c>
      <c r="BI1520" s="180">
        <v>-0.52100000000000002</v>
      </c>
      <c r="BJ1520" s="191">
        <v>44242</v>
      </c>
      <c r="BK1520" s="192" t="s">
        <v>167</v>
      </c>
      <c r="BN1520" s="94">
        <v>44300</v>
      </c>
      <c r="BO1520" s="95" t="s">
        <v>281</v>
      </c>
      <c r="BP1520" s="96">
        <v>12.62</v>
      </c>
    </row>
    <row r="1521" spans="60:68" ht="15">
      <c r="BH1521" s="187">
        <v>44243</v>
      </c>
      <c r="BI1521" s="180">
        <v>-0.52</v>
      </c>
      <c r="BJ1521" s="191">
        <v>44243</v>
      </c>
      <c r="BK1521" s="192" t="s">
        <v>184</v>
      </c>
      <c r="BN1521" s="94">
        <v>44301</v>
      </c>
      <c r="BO1521" s="95" t="s">
        <v>358</v>
      </c>
      <c r="BP1521" s="96">
        <v>12.62</v>
      </c>
    </row>
    <row r="1522" spans="60:68" ht="15">
      <c r="BH1522" s="187">
        <v>44244</v>
      </c>
      <c r="BI1522" s="180">
        <v>-0.52100000000000002</v>
      </c>
      <c r="BJ1522" s="191">
        <v>44244</v>
      </c>
      <c r="BK1522" s="192" t="s">
        <v>185</v>
      </c>
      <c r="BN1522" s="94">
        <v>44302</v>
      </c>
      <c r="BO1522" s="95" t="s">
        <v>203</v>
      </c>
      <c r="BP1522" s="96">
        <v>12.62</v>
      </c>
    </row>
    <row r="1523" spans="60:68" ht="15">
      <c r="BH1523" s="187">
        <v>44245</v>
      </c>
      <c r="BI1523" s="180">
        <v>-0.51800000000000002</v>
      </c>
      <c r="BJ1523" s="191">
        <v>44245</v>
      </c>
      <c r="BK1523" s="192" t="s">
        <v>165</v>
      </c>
      <c r="BN1523" s="94">
        <v>44305</v>
      </c>
      <c r="BO1523" s="95" t="s">
        <v>358</v>
      </c>
      <c r="BP1523" s="96">
        <v>12.61</v>
      </c>
    </row>
    <row r="1524" spans="60:68" ht="15">
      <c r="BH1524" s="187">
        <v>44246</v>
      </c>
      <c r="BI1524" s="180">
        <v>-0.51700000000000002</v>
      </c>
      <c r="BJ1524" s="191">
        <v>44246</v>
      </c>
      <c r="BK1524" s="192" t="s">
        <v>303</v>
      </c>
      <c r="BN1524" s="94">
        <v>44306</v>
      </c>
      <c r="BO1524" s="95" t="s">
        <v>359</v>
      </c>
      <c r="BP1524" s="96">
        <v>13.21</v>
      </c>
    </row>
    <row r="1525" spans="60:68" ht="15">
      <c r="BH1525" s="187">
        <v>44249</v>
      </c>
      <c r="BI1525" s="180">
        <v>-0.51600000000000001</v>
      </c>
      <c r="BJ1525" s="191">
        <v>44249</v>
      </c>
      <c r="BK1525" s="192" t="s">
        <v>189</v>
      </c>
      <c r="BN1525" s="94">
        <v>44307</v>
      </c>
      <c r="BO1525" s="95" t="s">
        <v>360</v>
      </c>
      <c r="BP1525" s="96">
        <v>13.24</v>
      </c>
    </row>
    <row r="1526" spans="60:68" ht="15">
      <c r="BH1526" s="187">
        <v>44250</v>
      </c>
      <c r="BI1526" s="180">
        <v>-0.51700000000000002</v>
      </c>
      <c r="BJ1526" s="191">
        <v>44250</v>
      </c>
      <c r="BK1526" s="192" t="s">
        <v>245</v>
      </c>
      <c r="BN1526" s="94">
        <v>44308</v>
      </c>
      <c r="BO1526" s="95" t="s">
        <v>271</v>
      </c>
      <c r="BP1526" s="96">
        <v>13.23</v>
      </c>
    </row>
    <row r="1527" spans="60:68" ht="15">
      <c r="BH1527" s="187">
        <v>44251</v>
      </c>
      <c r="BI1527" s="180">
        <v>-0.51800000000000002</v>
      </c>
      <c r="BJ1527" s="191">
        <v>44251</v>
      </c>
      <c r="BK1527" s="192" t="s">
        <v>162</v>
      </c>
      <c r="BN1527" s="94">
        <v>44309</v>
      </c>
      <c r="BO1527" s="95" t="s">
        <v>361</v>
      </c>
      <c r="BP1527" s="96">
        <v>13.23</v>
      </c>
    </row>
    <row r="1528" spans="60:68" ht="15">
      <c r="BH1528" s="187">
        <v>44252</v>
      </c>
      <c r="BI1528" s="180">
        <v>-0.51800000000000002</v>
      </c>
      <c r="BJ1528" s="191">
        <v>44252</v>
      </c>
      <c r="BK1528" s="192" t="s">
        <v>345</v>
      </c>
      <c r="BN1528" s="94">
        <v>44312</v>
      </c>
      <c r="BO1528" s="95" t="s">
        <v>252</v>
      </c>
      <c r="BP1528" s="96">
        <v>13.22</v>
      </c>
    </row>
    <row r="1529" spans="60:68" ht="15">
      <c r="BH1529" s="187">
        <v>44253</v>
      </c>
      <c r="BI1529" s="180">
        <v>-0.51600000000000001</v>
      </c>
      <c r="BJ1529" s="191">
        <v>44253</v>
      </c>
      <c r="BK1529" s="192" t="s">
        <v>197</v>
      </c>
      <c r="BN1529" s="94">
        <v>44313</v>
      </c>
      <c r="BO1529" s="95" t="s">
        <v>273</v>
      </c>
      <c r="BP1529" s="96">
        <v>13.22</v>
      </c>
    </row>
    <row r="1530" spans="60:68" ht="15">
      <c r="BH1530" s="187">
        <v>44256</v>
      </c>
      <c r="BI1530" s="180">
        <v>-0.50800000000000001</v>
      </c>
      <c r="BJ1530" s="191">
        <v>44256</v>
      </c>
      <c r="BK1530" s="192" t="s">
        <v>235</v>
      </c>
      <c r="BN1530" s="94">
        <v>44314</v>
      </c>
      <c r="BO1530" s="95" t="s">
        <v>275</v>
      </c>
      <c r="BP1530" s="96">
        <v>13.22</v>
      </c>
    </row>
    <row r="1531" spans="60:68" ht="15">
      <c r="BH1531" s="187">
        <v>44257</v>
      </c>
      <c r="BI1531" s="180">
        <v>-0.51600000000000001</v>
      </c>
      <c r="BJ1531" s="191">
        <v>44257</v>
      </c>
      <c r="BK1531" s="192" t="s">
        <v>234</v>
      </c>
      <c r="BN1531" s="94">
        <v>44315</v>
      </c>
      <c r="BO1531" s="95" t="s">
        <v>152</v>
      </c>
      <c r="BP1531" s="96">
        <v>13.2</v>
      </c>
    </row>
    <row r="1532" spans="60:68" ht="15">
      <c r="BH1532" s="187">
        <v>44258</v>
      </c>
      <c r="BI1532" s="180">
        <v>-0.51700000000000002</v>
      </c>
      <c r="BJ1532" s="191">
        <v>44258</v>
      </c>
      <c r="BK1532" s="192" t="s">
        <v>346</v>
      </c>
      <c r="BN1532" s="94">
        <v>44316</v>
      </c>
      <c r="BO1532" s="95" t="s">
        <v>362</v>
      </c>
      <c r="BP1532" s="96">
        <v>13.2</v>
      </c>
    </row>
    <row r="1533" spans="60:68" ht="15">
      <c r="BH1533" s="187">
        <v>44259</v>
      </c>
      <c r="BI1533" s="180">
        <v>-0.51800000000000002</v>
      </c>
      <c r="BJ1533" s="191">
        <v>44259</v>
      </c>
      <c r="BK1533" s="192" t="s">
        <v>347</v>
      </c>
      <c r="BN1533" s="94">
        <v>44319</v>
      </c>
      <c r="BO1533" s="95" t="s">
        <v>150</v>
      </c>
      <c r="BP1533" s="96">
        <v>13.19</v>
      </c>
    </row>
    <row r="1534" spans="60:68" ht="15">
      <c r="BH1534" s="187">
        <v>44260</v>
      </c>
      <c r="BI1534" s="180">
        <v>-0.51400000000000001</v>
      </c>
      <c r="BJ1534" s="191">
        <v>44260</v>
      </c>
      <c r="BK1534" s="192" t="s">
        <v>201</v>
      </c>
      <c r="BN1534" s="94">
        <v>44320</v>
      </c>
      <c r="BO1534" s="95" t="s">
        <v>149</v>
      </c>
      <c r="BP1534" s="96">
        <v>13.19</v>
      </c>
    </row>
    <row r="1535" spans="60:68" ht="15">
      <c r="BH1535" s="187">
        <v>44263</v>
      </c>
      <c r="BI1535" s="180">
        <v>-0.51500000000000001</v>
      </c>
      <c r="BJ1535" s="191">
        <v>44263</v>
      </c>
      <c r="BK1535" s="192" t="s">
        <v>348</v>
      </c>
      <c r="BN1535" s="94">
        <v>44321</v>
      </c>
      <c r="BO1535" s="95" t="s">
        <v>148</v>
      </c>
      <c r="BP1535" s="96">
        <v>13.18</v>
      </c>
    </row>
    <row r="1536" spans="60:68" ht="15">
      <c r="BH1536" s="187">
        <v>44264</v>
      </c>
      <c r="BI1536" s="180">
        <v>-0.51800000000000002</v>
      </c>
      <c r="BJ1536" s="191">
        <v>44264</v>
      </c>
      <c r="BK1536" s="192" t="s">
        <v>349</v>
      </c>
      <c r="BN1536" s="94">
        <v>44322</v>
      </c>
      <c r="BO1536" s="95" t="s">
        <v>225</v>
      </c>
      <c r="BP1536" s="96">
        <v>13.21</v>
      </c>
    </row>
    <row r="1537" spans="60:68" ht="15">
      <c r="BH1537" s="187">
        <v>44265</v>
      </c>
      <c r="BI1537" s="180">
        <v>-0.52</v>
      </c>
      <c r="BJ1537" s="191">
        <v>44265</v>
      </c>
      <c r="BK1537" s="192" t="s">
        <v>350</v>
      </c>
      <c r="BN1537" s="94">
        <v>44323</v>
      </c>
      <c r="BO1537" s="95" t="s">
        <v>224</v>
      </c>
      <c r="BP1537" s="96">
        <v>13.25</v>
      </c>
    </row>
    <row r="1538" spans="60:68" ht="15">
      <c r="BH1538" s="187">
        <v>44266</v>
      </c>
      <c r="BI1538" s="180">
        <v>-0.51800000000000002</v>
      </c>
      <c r="BJ1538" s="191">
        <v>44266</v>
      </c>
      <c r="BK1538" s="192" t="s">
        <v>281</v>
      </c>
      <c r="BN1538" s="94">
        <v>44326</v>
      </c>
      <c r="BO1538" s="95" t="s">
        <v>93</v>
      </c>
      <c r="BP1538" s="96">
        <v>13.23</v>
      </c>
    </row>
    <row r="1539" spans="60:68" ht="15">
      <c r="BH1539" s="187">
        <v>44267</v>
      </c>
      <c r="BI1539" s="180">
        <v>-0.51400000000000001</v>
      </c>
      <c r="BJ1539" s="191">
        <v>44267</v>
      </c>
      <c r="BK1539" s="192" t="s">
        <v>351</v>
      </c>
      <c r="BN1539" s="94">
        <v>44327</v>
      </c>
      <c r="BO1539" s="95" t="s">
        <v>89</v>
      </c>
      <c r="BP1539" s="96">
        <v>13.23</v>
      </c>
    </row>
    <row r="1540" spans="60:68" ht="15">
      <c r="BH1540" s="187">
        <v>44270</v>
      </c>
      <c r="BI1540" s="180">
        <v>-0.51500000000000001</v>
      </c>
      <c r="BJ1540" s="191">
        <v>44270</v>
      </c>
      <c r="BK1540" s="192" t="s">
        <v>280</v>
      </c>
      <c r="BN1540" s="94">
        <v>44328</v>
      </c>
      <c r="BO1540" s="95" t="s">
        <v>216</v>
      </c>
      <c r="BP1540" s="96">
        <v>13.23</v>
      </c>
    </row>
    <row r="1541" spans="60:68" ht="15">
      <c r="BH1541" s="187">
        <v>44271</v>
      </c>
      <c r="BI1541" s="180">
        <v>-0.52</v>
      </c>
      <c r="BJ1541" s="191">
        <v>44271</v>
      </c>
      <c r="BK1541" s="192" t="s">
        <v>251</v>
      </c>
      <c r="BN1541" s="94">
        <v>44330</v>
      </c>
      <c r="BO1541" s="95" t="s">
        <v>86</v>
      </c>
      <c r="BP1541" s="96">
        <v>13.26</v>
      </c>
    </row>
    <row r="1542" spans="60:68" ht="15">
      <c r="BH1542" s="187">
        <v>44272</v>
      </c>
      <c r="BI1542" s="180">
        <v>-0.52</v>
      </c>
      <c r="BJ1542" s="191">
        <v>44272</v>
      </c>
      <c r="BK1542" s="192" t="s">
        <v>352</v>
      </c>
      <c r="BN1542" s="94">
        <v>44333</v>
      </c>
      <c r="BO1542" s="95" t="s">
        <v>217</v>
      </c>
      <c r="BP1542" s="96">
        <v>13.25</v>
      </c>
    </row>
    <row r="1543" spans="60:68" ht="15">
      <c r="BH1543" s="187">
        <v>44273</v>
      </c>
      <c r="BI1543" s="180">
        <v>-0.51900000000000002</v>
      </c>
      <c r="BJ1543" s="191">
        <v>44273</v>
      </c>
      <c r="BK1543" s="192" t="s">
        <v>204</v>
      </c>
      <c r="BN1543" s="94">
        <v>44334</v>
      </c>
      <c r="BO1543" s="95" t="s">
        <v>80</v>
      </c>
      <c r="BP1543" s="96">
        <v>13.24</v>
      </c>
    </row>
    <row r="1544" spans="60:68" ht="15">
      <c r="BH1544" s="187">
        <v>44274</v>
      </c>
      <c r="BI1544" s="180">
        <v>-0.51500000000000001</v>
      </c>
      <c r="BJ1544" s="191">
        <v>44274</v>
      </c>
      <c r="BK1544" s="192" t="s">
        <v>204</v>
      </c>
      <c r="BN1544" s="94">
        <v>44335</v>
      </c>
      <c r="BO1544" s="95" t="s">
        <v>103</v>
      </c>
      <c r="BP1544" s="96">
        <v>13.24</v>
      </c>
    </row>
    <row r="1545" spans="60:68" ht="15">
      <c r="BH1545" s="187">
        <v>44277</v>
      </c>
      <c r="BI1545" s="180">
        <v>-0.51800000000000002</v>
      </c>
      <c r="BJ1545" s="191">
        <v>44277</v>
      </c>
      <c r="BK1545" s="192" t="s">
        <v>204</v>
      </c>
      <c r="BN1545" s="94">
        <v>44336</v>
      </c>
      <c r="BO1545" s="95" t="s">
        <v>97</v>
      </c>
      <c r="BP1545" s="96">
        <v>13.24</v>
      </c>
    </row>
    <row r="1546" spans="60:68" ht="15">
      <c r="BH1546" s="187">
        <v>44278</v>
      </c>
      <c r="BI1546" s="180">
        <v>-0.51800000000000002</v>
      </c>
      <c r="BJ1546" s="191">
        <v>44278</v>
      </c>
      <c r="BK1546" s="192" t="s">
        <v>353</v>
      </c>
      <c r="BN1546" s="94">
        <v>44337</v>
      </c>
      <c r="BO1546" s="95" t="s">
        <v>99</v>
      </c>
      <c r="BP1546" s="96">
        <v>13.23</v>
      </c>
    </row>
    <row r="1547" spans="60:68" ht="15">
      <c r="BH1547" s="187">
        <v>44279</v>
      </c>
      <c r="BI1547" s="180">
        <v>-0.51600000000000001</v>
      </c>
      <c r="BJ1547" s="191">
        <v>44279</v>
      </c>
      <c r="BK1547" s="192" t="s">
        <v>279</v>
      </c>
      <c r="BN1547" s="94">
        <v>44341</v>
      </c>
      <c r="BO1547" s="95" t="s">
        <v>101</v>
      </c>
      <c r="BP1547" s="96">
        <v>13.22</v>
      </c>
    </row>
    <row r="1548" spans="60:68" ht="15">
      <c r="BH1548" s="187">
        <v>44280</v>
      </c>
      <c r="BI1548" s="180">
        <v>-0.51400000000000001</v>
      </c>
      <c r="BJ1548" s="191">
        <v>44280</v>
      </c>
      <c r="BK1548" s="192" t="s">
        <v>354</v>
      </c>
      <c r="BN1548" s="94">
        <v>44342</v>
      </c>
      <c r="BO1548" s="95" t="s">
        <v>108</v>
      </c>
      <c r="BP1548" s="96">
        <v>13.22</v>
      </c>
    </row>
    <row r="1549" spans="60:68" ht="15">
      <c r="BH1549" s="187">
        <v>44281</v>
      </c>
      <c r="BI1549" s="180">
        <v>-0.51400000000000001</v>
      </c>
      <c r="BJ1549" s="191">
        <v>44281</v>
      </c>
      <c r="BK1549" s="192" t="s">
        <v>281</v>
      </c>
      <c r="BN1549" s="94">
        <v>44343</v>
      </c>
      <c r="BO1549" s="95" t="s">
        <v>142</v>
      </c>
      <c r="BP1549" s="96">
        <v>13.21</v>
      </c>
    </row>
    <row r="1550" spans="60:68" ht="15">
      <c r="BH1550" s="187">
        <v>44284</v>
      </c>
      <c r="BI1550" s="180">
        <v>-0.51300000000000001</v>
      </c>
      <c r="BJ1550" s="191">
        <v>44284</v>
      </c>
      <c r="BK1550" s="192" t="s">
        <v>230</v>
      </c>
      <c r="BN1550" s="94">
        <v>44344</v>
      </c>
      <c r="BO1550" s="95" t="s">
        <v>363</v>
      </c>
      <c r="BP1550" s="96">
        <v>13.21</v>
      </c>
    </row>
    <row r="1551" spans="60:68" ht="15">
      <c r="BH1551" s="187">
        <v>44285</v>
      </c>
      <c r="BI1551" s="180">
        <v>-0.51900000000000002</v>
      </c>
      <c r="BJ1551" s="191">
        <v>44285</v>
      </c>
      <c r="BK1551" s="192" t="s">
        <v>355</v>
      </c>
      <c r="BN1551" s="94">
        <v>44347</v>
      </c>
      <c r="BO1551" s="95" t="s">
        <v>364</v>
      </c>
      <c r="BP1551" s="96">
        <v>13.29</v>
      </c>
    </row>
    <row r="1552" spans="60:68" ht="15">
      <c r="BH1552" s="187">
        <v>44286</v>
      </c>
      <c r="BI1552" s="180">
        <v>-0.50900000000000001</v>
      </c>
      <c r="BJ1552" s="191">
        <v>44286</v>
      </c>
      <c r="BK1552" s="192" t="s">
        <v>281</v>
      </c>
      <c r="BN1552" s="94">
        <v>44348</v>
      </c>
      <c r="BO1552" s="95" t="s">
        <v>365</v>
      </c>
      <c r="BP1552" s="96">
        <v>13.29</v>
      </c>
    </row>
    <row r="1553" spans="60:68" ht="15">
      <c r="BH1553" s="187">
        <v>44287</v>
      </c>
      <c r="BI1553" s="180">
        <v>-0.51200000000000001</v>
      </c>
      <c r="BJ1553" s="191">
        <v>44287</v>
      </c>
      <c r="BK1553" s="192" t="s">
        <v>355</v>
      </c>
      <c r="BN1553" s="94">
        <v>44349</v>
      </c>
      <c r="BO1553" s="95" t="s">
        <v>364</v>
      </c>
      <c r="BP1553" s="96">
        <v>13.28</v>
      </c>
    </row>
    <row r="1554" spans="60:68" ht="15">
      <c r="BH1554" s="187">
        <v>44288</v>
      </c>
      <c r="BI1554" s="180">
        <v>-0.51200000000000001</v>
      </c>
      <c r="BJ1554" s="191">
        <v>44288</v>
      </c>
      <c r="BK1554" s="192" t="s">
        <v>230</v>
      </c>
      <c r="BN1554" s="94">
        <v>44351</v>
      </c>
      <c r="BO1554" s="95" t="s">
        <v>111</v>
      </c>
      <c r="BP1554" s="96">
        <v>13.28</v>
      </c>
    </row>
    <row r="1555" spans="60:68" ht="15">
      <c r="BH1555" s="187">
        <v>44291</v>
      </c>
      <c r="BI1555" s="180">
        <v>-0.51200000000000001</v>
      </c>
      <c r="BJ1555" s="191"/>
      <c r="BK1555" s="193" t="str">
        <f>+BK1554</f>
        <v>−0,265</v>
      </c>
      <c r="BN1555" s="94">
        <v>44354</v>
      </c>
      <c r="BO1555" s="95" t="s">
        <v>141</v>
      </c>
      <c r="BP1555" s="96">
        <v>13.27</v>
      </c>
    </row>
    <row r="1556" spans="60:68" ht="15">
      <c r="BH1556" s="187">
        <v>44292</v>
      </c>
      <c r="BI1556" s="180">
        <v>-0.51700000000000002</v>
      </c>
      <c r="BJ1556" s="191">
        <v>44292</v>
      </c>
      <c r="BK1556" s="192" t="s">
        <v>356</v>
      </c>
      <c r="BN1556" s="94">
        <v>44355</v>
      </c>
      <c r="BO1556" s="95" t="s">
        <v>366</v>
      </c>
      <c r="BP1556" s="96">
        <v>13.27</v>
      </c>
    </row>
    <row r="1557" spans="60:68" ht="15">
      <c r="BH1557" s="187">
        <v>44293</v>
      </c>
      <c r="BI1557" s="180">
        <v>-0.51700000000000002</v>
      </c>
      <c r="BJ1557" s="191">
        <v>44293</v>
      </c>
      <c r="BK1557" s="192" t="s">
        <v>250</v>
      </c>
      <c r="BN1557" s="94">
        <v>44356</v>
      </c>
      <c r="BO1557" s="95" t="s">
        <v>141</v>
      </c>
      <c r="BP1557" s="96">
        <v>13.25</v>
      </c>
    </row>
    <row r="1558" spans="60:68" ht="15">
      <c r="BH1558" s="187">
        <v>44294</v>
      </c>
      <c r="BI1558" s="180">
        <v>-0.51800000000000002</v>
      </c>
      <c r="BJ1558" s="191">
        <v>44294</v>
      </c>
      <c r="BK1558" s="192" t="s">
        <v>357</v>
      </c>
      <c r="BN1558" s="94">
        <v>44357</v>
      </c>
      <c r="BO1558" s="95" t="s">
        <v>365</v>
      </c>
      <c r="BP1558" s="96">
        <v>13.21</v>
      </c>
    </row>
    <row r="1559" spans="60:68" ht="15">
      <c r="BH1559" s="187">
        <v>44295</v>
      </c>
      <c r="BI1559" s="180">
        <v>-0.52200000000000002</v>
      </c>
      <c r="BJ1559" s="191">
        <v>44295</v>
      </c>
      <c r="BK1559" s="192" t="s">
        <v>357</v>
      </c>
      <c r="BN1559" s="94">
        <v>44358</v>
      </c>
      <c r="BO1559" s="95" t="s">
        <v>72</v>
      </c>
      <c r="BP1559" s="96">
        <v>13.21</v>
      </c>
    </row>
    <row r="1560" spans="60:68" ht="15">
      <c r="BH1560" s="187">
        <v>44298</v>
      </c>
      <c r="BI1560" s="180">
        <v>-0.51700000000000002</v>
      </c>
      <c r="BJ1560" s="191">
        <v>44298</v>
      </c>
      <c r="BK1560" s="192" t="s">
        <v>357</v>
      </c>
      <c r="BN1560" s="94">
        <v>44361</v>
      </c>
      <c r="BO1560" s="95" t="s">
        <v>108</v>
      </c>
      <c r="BP1560" s="96">
        <v>13.2</v>
      </c>
    </row>
    <row r="1561" spans="60:68" ht="15">
      <c r="BH1561" s="187">
        <v>44299</v>
      </c>
      <c r="BI1561" s="180">
        <v>-0.52300000000000002</v>
      </c>
      <c r="BJ1561" s="191">
        <v>44299</v>
      </c>
      <c r="BK1561" s="192" t="s">
        <v>230</v>
      </c>
      <c r="BN1561" s="94">
        <v>44362</v>
      </c>
      <c r="BO1561" s="95" t="s">
        <v>74</v>
      </c>
      <c r="BP1561" s="96">
        <v>13.2</v>
      </c>
    </row>
    <row r="1562" spans="60:68" ht="15">
      <c r="BH1562" s="187">
        <v>44300</v>
      </c>
      <c r="BI1562" s="180">
        <v>-0.50900000000000001</v>
      </c>
      <c r="BJ1562" s="191">
        <v>44300</v>
      </c>
      <c r="BK1562" s="192" t="s">
        <v>281</v>
      </c>
      <c r="BN1562" s="94">
        <v>44363</v>
      </c>
      <c r="BO1562" s="95" t="s">
        <v>98</v>
      </c>
      <c r="BP1562" s="96">
        <v>13.19</v>
      </c>
    </row>
    <row r="1563" spans="60:68" ht="15">
      <c r="BH1563" s="187">
        <v>44301</v>
      </c>
      <c r="BI1563" s="180">
        <v>-0.51200000000000001</v>
      </c>
      <c r="BJ1563" s="191">
        <v>44301</v>
      </c>
      <c r="BK1563" s="192" t="s">
        <v>358</v>
      </c>
      <c r="BN1563" s="94">
        <v>44364</v>
      </c>
      <c r="BO1563" s="95" t="s">
        <v>77</v>
      </c>
      <c r="BP1563" s="96">
        <v>13.18</v>
      </c>
    </row>
    <row r="1564" spans="60:68" ht="15">
      <c r="BH1564" s="187">
        <v>44302</v>
      </c>
      <c r="BI1564" s="180">
        <v>-0.51100000000000001</v>
      </c>
      <c r="BJ1564" s="191">
        <v>44302</v>
      </c>
      <c r="BK1564" s="192" t="s">
        <v>203</v>
      </c>
      <c r="BN1564" s="94">
        <v>44365</v>
      </c>
      <c r="BO1564" s="95" t="s">
        <v>103</v>
      </c>
      <c r="BP1564" s="96">
        <v>13.18</v>
      </c>
    </row>
    <row r="1565" spans="60:68" ht="15">
      <c r="BH1565" s="187">
        <v>44305</v>
      </c>
      <c r="BI1565" s="180">
        <v>-0.51300000000000001</v>
      </c>
      <c r="BJ1565" s="191">
        <v>44305</v>
      </c>
      <c r="BK1565" s="192" t="s">
        <v>358</v>
      </c>
      <c r="BN1565" s="94">
        <v>44368</v>
      </c>
      <c r="BO1565" s="95" t="s">
        <v>367</v>
      </c>
      <c r="BP1565" s="96">
        <v>13.17</v>
      </c>
    </row>
    <row r="1566" spans="60:68" ht="15">
      <c r="BH1566" s="187">
        <v>44306</v>
      </c>
      <c r="BI1566" s="180">
        <v>-0.51300000000000001</v>
      </c>
      <c r="BJ1566" s="191">
        <v>44306</v>
      </c>
      <c r="BK1566" s="192" t="s">
        <v>359</v>
      </c>
      <c r="BN1566" s="94">
        <v>44369</v>
      </c>
      <c r="BO1566" s="95" t="s">
        <v>219</v>
      </c>
      <c r="BP1566" s="96">
        <v>13.16</v>
      </c>
    </row>
    <row r="1567" spans="60:68" ht="15">
      <c r="BH1567" s="187">
        <v>44307</v>
      </c>
      <c r="BI1567" s="180">
        <v>-0.51300000000000001</v>
      </c>
      <c r="BJ1567" s="191">
        <v>44307</v>
      </c>
      <c r="BK1567" s="192" t="s">
        <v>360</v>
      </c>
      <c r="BN1567" s="94">
        <v>44370</v>
      </c>
      <c r="BO1567" s="95" t="s">
        <v>82</v>
      </c>
      <c r="BP1567" s="96">
        <v>13.16</v>
      </c>
    </row>
    <row r="1568" spans="60:68" ht="15">
      <c r="BH1568" s="187">
        <v>44308</v>
      </c>
      <c r="BI1568" s="180">
        <v>-0.51500000000000001</v>
      </c>
      <c r="BJ1568" s="191">
        <v>44308</v>
      </c>
      <c r="BK1568" s="192" t="s">
        <v>271</v>
      </c>
      <c r="BN1568" s="94">
        <v>44371</v>
      </c>
      <c r="BO1568" s="95" t="s">
        <v>82</v>
      </c>
      <c r="BP1568" s="96">
        <v>13.16</v>
      </c>
    </row>
    <row r="1569" spans="60:68" ht="15">
      <c r="BH1569" s="187">
        <v>44309</v>
      </c>
      <c r="BI1569" s="180">
        <v>-0.51500000000000001</v>
      </c>
      <c r="BJ1569" s="191">
        <v>44309</v>
      </c>
      <c r="BK1569" s="192" t="s">
        <v>361</v>
      </c>
      <c r="BN1569" s="94">
        <v>44372</v>
      </c>
      <c r="BO1569" s="95" t="s">
        <v>82</v>
      </c>
      <c r="BP1569" s="96">
        <v>13.16</v>
      </c>
    </row>
    <row r="1570" spans="60:68" ht="15">
      <c r="BH1570" s="187">
        <v>44312</v>
      </c>
      <c r="BI1570" s="180">
        <v>-0.51400000000000001</v>
      </c>
      <c r="BJ1570" s="191">
        <v>44312</v>
      </c>
      <c r="BK1570" s="192" t="s">
        <v>252</v>
      </c>
      <c r="BN1570" s="94">
        <v>44375</v>
      </c>
      <c r="BO1570" s="95" t="s">
        <v>82</v>
      </c>
      <c r="BP1570" s="96">
        <v>13.15</v>
      </c>
    </row>
    <row r="1571" spans="60:68" ht="15">
      <c r="BH1571" s="187">
        <v>44313</v>
      </c>
      <c r="BI1571" s="180">
        <v>-0.51800000000000002</v>
      </c>
      <c r="BJ1571" s="191">
        <v>44313</v>
      </c>
      <c r="BK1571" s="192" t="s">
        <v>273</v>
      </c>
      <c r="BN1571" s="94">
        <v>44376</v>
      </c>
      <c r="BO1571" s="95" t="s">
        <v>82</v>
      </c>
      <c r="BP1571" s="96">
        <v>13.15</v>
      </c>
    </row>
    <row r="1572" spans="60:68" ht="15">
      <c r="BH1572" s="187">
        <v>44314</v>
      </c>
      <c r="BI1572" s="180">
        <v>-0.51800000000000002</v>
      </c>
      <c r="BJ1572" s="191">
        <v>44314</v>
      </c>
      <c r="BK1572" s="192" t="s">
        <v>275</v>
      </c>
      <c r="BN1572" s="94">
        <v>44377</v>
      </c>
      <c r="BO1572" s="95" t="s">
        <v>368</v>
      </c>
      <c r="BP1572" s="96">
        <v>13.14</v>
      </c>
    </row>
    <row r="1573" spans="60:68" ht="15">
      <c r="BH1573" s="187">
        <v>44315</v>
      </c>
      <c r="BI1573" s="180">
        <v>-0.51800000000000002</v>
      </c>
      <c r="BJ1573" s="191">
        <v>44315</v>
      </c>
      <c r="BK1573" s="192" t="s">
        <v>152</v>
      </c>
      <c r="BN1573" s="94">
        <v>44378</v>
      </c>
      <c r="BO1573" s="95" t="s">
        <v>83</v>
      </c>
      <c r="BP1573" s="96">
        <v>13.14</v>
      </c>
    </row>
    <row r="1574" spans="60:68" ht="15">
      <c r="BH1574" s="187">
        <v>44316</v>
      </c>
      <c r="BI1574" s="180">
        <v>-0.52100000000000002</v>
      </c>
      <c r="BJ1574" s="191">
        <v>44316</v>
      </c>
      <c r="BK1574" s="192" t="s">
        <v>362</v>
      </c>
      <c r="BN1574" s="94">
        <v>44379</v>
      </c>
      <c r="BO1574" s="95" t="s">
        <v>223</v>
      </c>
      <c r="BP1574" s="96">
        <v>13.14</v>
      </c>
    </row>
    <row r="1575" spans="60:68" ht="15">
      <c r="BH1575" s="187">
        <v>44319</v>
      </c>
      <c r="BI1575" s="180">
        <v>-0.51800000000000002</v>
      </c>
      <c r="BJ1575" s="191">
        <v>44319</v>
      </c>
      <c r="BK1575" s="192">
        <v>-0.217</v>
      </c>
      <c r="BL1575" s="111">
        <f>+(BI1575+BK1575)/2+0.37</f>
        <v>2.5000000000000022E-3</v>
      </c>
      <c r="BN1575" s="94">
        <v>44382</v>
      </c>
      <c r="BO1575" s="95" t="s">
        <v>84</v>
      </c>
      <c r="BP1575" s="96">
        <v>13.13</v>
      </c>
    </row>
    <row r="1576" spans="60:68" ht="15">
      <c r="BH1576" s="187">
        <v>44320</v>
      </c>
      <c r="BI1576" s="180">
        <v>-0.51600000000000001</v>
      </c>
      <c r="BJ1576" s="191">
        <v>44320</v>
      </c>
      <c r="BK1576" s="192" t="s">
        <v>149</v>
      </c>
      <c r="BN1576" s="94">
        <v>44383</v>
      </c>
      <c r="BO1576" s="95" t="s">
        <v>369</v>
      </c>
      <c r="BP1576" s="96">
        <v>13.13</v>
      </c>
    </row>
    <row r="1577" spans="60:68" ht="15">
      <c r="BH1577" s="187">
        <v>44321</v>
      </c>
      <c r="BI1577" s="180">
        <v>-0.51500000000000001</v>
      </c>
      <c r="BJ1577" s="191">
        <v>44321</v>
      </c>
      <c r="BK1577" s="192" t="s">
        <v>148</v>
      </c>
      <c r="BN1577" s="94">
        <v>44384</v>
      </c>
      <c r="BO1577" s="95" t="s">
        <v>86</v>
      </c>
      <c r="BP1577" s="96">
        <v>13.12</v>
      </c>
    </row>
    <row r="1578" spans="60:68" ht="15">
      <c r="BH1578" s="187">
        <v>44322</v>
      </c>
      <c r="BI1578" s="180">
        <v>-0.51300000000000001</v>
      </c>
      <c r="BJ1578" s="191">
        <v>44322</v>
      </c>
      <c r="BK1578" s="192" t="s">
        <v>225</v>
      </c>
      <c r="BN1578" s="94">
        <v>44385</v>
      </c>
      <c r="BO1578" s="95" t="s">
        <v>215</v>
      </c>
      <c r="BP1578" s="96">
        <v>13.08</v>
      </c>
    </row>
    <row r="1579" spans="60:68" ht="15">
      <c r="BH1579" s="187">
        <v>44323</v>
      </c>
      <c r="BI1579" s="180">
        <v>-0.51400000000000001</v>
      </c>
      <c r="BJ1579" s="191">
        <v>44323</v>
      </c>
      <c r="BK1579" s="192" t="s">
        <v>224</v>
      </c>
      <c r="BN1579" s="94">
        <v>44386</v>
      </c>
      <c r="BO1579" s="95" t="s">
        <v>88</v>
      </c>
      <c r="BP1579" s="96">
        <v>13.08</v>
      </c>
    </row>
    <row r="1580" spans="60:68" ht="15">
      <c r="BH1580" s="187">
        <v>44326</v>
      </c>
      <c r="BI1580" s="180">
        <v>-0.51300000000000001</v>
      </c>
      <c r="BJ1580" s="191">
        <v>44326</v>
      </c>
      <c r="BK1580" s="192" t="s">
        <v>93</v>
      </c>
      <c r="BN1580" s="94">
        <v>44389</v>
      </c>
      <c r="BO1580" s="95" t="s">
        <v>214</v>
      </c>
      <c r="BP1580" s="96">
        <v>13.07</v>
      </c>
    </row>
    <row r="1581" spans="60:68" ht="15">
      <c r="BH1581" s="187">
        <v>44327</v>
      </c>
      <c r="BI1581" s="180">
        <v>-0.51300000000000001</v>
      </c>
      <c r="BJ1581" s="191">
        <v>44327</v>
      </c>
      <c r="BK1581" s="192" t="s">
        <v>89</v>
      </c>
      <c r="BN1581" s="94">
        <v>44390</v>
      </c>
      <c r="BO1581" s="95" t="s">
        <v>213</v>
      </c>
      <c r="BP1581" s="96">
        <v>13.2</v>
      </c>
    </row>
    <row r="1582" spans="60:68" ht="15">
      <c r="BH1582" s="187">
        <v>44328</v>
      </c>
      <c r="BI1582" s="180">
        <v>-0.51300000000000001</v>
      </c>
      <c r="BJ1582" s="191">
        <v>44328</v>
      </c>
      <c r="BK1582" s="192" t="s">
        <v>216</v>
      </c>
      <c r="BN1582" s="94">
        <v>44391</v>
      </c>
      <c r="BO1582" s="95" t="s">
        <v>95</v>
      </c>
      <c r="BP1582" s="96">
        <v>13.2</v>
      </c>
    </row>
    <row r="1583" spans="60:68" ht="15">
      <c r="BH1583" s="187">
        <v>44329</v>
      </c>
      <c r="BI1583" s="180">
        <v>-0.51500000000000001</v>
      </c>
      <c r="BJ1583" s="191"/>
      <c r="BK1583" s="193" t="str">
        <f>+BK1582</f>
        <v>−0,186</v>
      </c>
      <c r="BN1583" s="94">
        <v>44392</v>
      </c>
      <c r="BO1583" s="95" t="s">
        <v>92</v>
      </c>
      <c r="BP1583" s="96">
        <v>13.19</v>
      </c>
    </row>
    <row r="1584" spans="60:68" ht="15">
      <c r="BH1584" s="187">
        <v>44330</v>
      </c>
      <c r="BI1584" s="180">
        <v>-0.51300000000000001</v>
      </c>
      <c r="BJ1584" s="191">
        <v>44330</v>
      </c>
      <c r="BK1584" s="192" t="s">
        <v>86</v>
      </c>
      <c r="BN1584" s="94">
        <v>44393</v>
      </c>
      <c r="BO1584" s="95" t="s">
        <v>145</v>
      </c>
      <c r="BP1584" s="96">
        <v>13.19</v>
      </c>
    </row>
    <row r="1585" spans="60:68" ht="15">
      <c r="BH1585" s="187">
        <v>44333</v>
      </c>
      <c r="BI1585" s="180">
        <v>-0.51500000000000001</v>
      </c>
      <c r="BJ1585" s="191">
        <v>44333</v>
      </c>
      <c r="BK1585" s="192" t="s">
        <v>217</v>
      </c>
      <c r="BN1585" s="94">
        <v>44396</v>
      </c>
      <c r="BO1585" s="95" t="s">
        <v>226</v>
      </c>
      <c r="BP1585" s="96">
        <v>13.18</v>
      </c>
    </row>
    <row r="1586" spans="60:68" ht="15">
      <c r="BH1586" s="187">
        <v>44334</v>
      </c>
      <c r="BI1586" s="180">
        <v>-0.51500000000000001</v>
      </c>
      <c r="BJ1586" s="191">
        <v>44334</v>
      </c>
      <c r="BK1586" s="192" t="s">
        <v>80</v>
      </c>
      <c r="BN1586" s="94">
        <v>44397</v>
      </c>
      <c r="BO1586" s="95" t="s">
        <v>208</v>
      </c>
      <c r="BP1586" s="96">
        <v>13.18</v>
      </c>
    </row>
    <row r="1587" spans="60:68" ht="15">
      <c r="BH1587" s="187">
        <v>44335</v>
      </c>
      <c r="BI1587" s="180">
        <v>-0.51500000000000001</v>
      </c>
      <c r="BJ1587" s="191">
        <v>44335</v>
      </c>
      <c r="BK1587" s="192" t="s">
        <v>103</v>
      </c>
      <c r="BN1587" s="94">
        <v>44398</v>
      </c>
      <c r="BO1587" s="95" t="s">
        <v>227</v>
      </c>
      <c r="BP1587" s="96">
        <v>13.17</v>
      </c>
    </row>
    <row r="1588" spans="60:68" ht="15">
      <c r="BH1588" s="187">
        <v>44336</v>
      </c>
      <c r="BI1588" s="180">
        <v>-0.51700000000000002</v>
      </c>
      <c r="BJ1588" s="191">
        <v>44336</v>
      </c>
      <c r="BK1588" s="192" t="s">
        <v>97</v>
      </c>
      <c r="BN1588" s="94">
        <v>44399</v>
      </c>
      <c r="BO1588" s="95" t="s">
        <v>153</v>
      </c>
      <c r="BP1588" s="96">
        <v>13.17</v>
      </c>
    </row>
    <row r="1589" spans="60:68" ht="15">
      <c r="BH1589" s="187">
        <v>44337</v>
      </c>
      <c r="BI1589" s="180">
        <v>-0.51300000000000001</v>
      </c>
      <c r="BJ1589" s="191">
        <v>44337</v>
      </c>
      <c r="BK1589" s="192" t="s">
        <v>99</v>
      </c>
      <c r="BN1589" s="94">
        <v>44400</v>
      </c>
      <c r="BO1589" s="95" t="s">
        <v>269</v>
      </c>
      <c r="BP1589" s="96">
        <v>13.17</v>
      </c>
    </row>
    <row r="1590" spans="60:68" ht="15">
      <c r="BH1590" s="187">
        <v>44340</v>
      </c>
      <c r="BI1590" s="180">
        <v>-0.50900000000000001</v>
      </c>
      <c r="BJ1590" s="191"/>
      <c r="BK1590" s="193" t="str">
        <f>+BK1589</f>
        <v>−0,148</v>
      </c>
      <c r="BN1590" s="94">
        <v>44403</v>
      </c>
      <c r="BO1590" s="95" t="s">
        <v>370</v>
      </c>
      <c r="BP1590" s="96">
        <v>13.16</v>
      </c>
    </row>
    <row r="1591" spans="60:68" ht="15">
      <c r="BH1591" s="187">
        <v>44341</v>
      </c>
      <c r="BI1591" s="180">
        <v>-0.505</v>
      </c>
      <c r="BJ1591" s="191">
        <v>44341</v>
      </c>
      <c r="BK1591" s="192" t="s">
        <v>101</v>
      </c>
      <c r="BN1591" s="94">
        <v>44404</v>
      </c>
      <c r="BO1591" s="95" t="s">
        <v>280</v>
      </c>
      <c r="BP1591" s="96">
        <v>13.16</v>
      </c>
    </row>
    <row r="1592" spans="60:68" ht="15">
      <c r="BH1592" s="187">
        <v>44342</v>
      </c>
      <c r="BI1592" s="180">
        <v>-0.50700000000000001</v>
      </c>
      <c r="BJ1592" s="191">
        <v>44342</v>
      </c>
      <c r="BK1592" s="192" t="s">
        <v>108</v>
      </c>
      <c r="BN1592" s="94">
        <v>44405</v>
      </c>
      <c r="BO1592" s="95" t="s">
        <v>357</v>
      </c>
      <c r="BP1592" s="96">
        <v>13.15</v>
      </c>
    </row>
    <row r="1593" spans="60:68" ht="15">
      <c r="BH1593" s="187">
        <v>44343</v>
      </c>
      <c r="BI1593" s="180">
        <v>-0.50900000000000001</v>
      </c>
      <c r="BJ1593" s="191">
        <v>44343</v>
      </c>
      <c r="BK1593" s="192" t="s">
        <v>142</v>
      </c>
      <c r="BN1593" s="94">
        <v>44406</v>
      </c>
      <c r="BO1593" s="95" t="s">
        <v>349</v>
      </c>
      <c r="BP1593" s="96">
        <v>13.15</v>
      </c>
    </row>
    <row r="1594" spans="60:68" ht="15">
      <c r="BH1594" s="187">
        <v>44344</v>
      </c>
      <c r="BI1594" s="180">
        <v>-0.51200000000000001</v>
      </c>
      <c r="BJ1594" s="191">
        <v>44344</v>
      </c>
      <c r="BK1594" s="192" t="s">
        <v>363</v>
      </c>
      <c r="BN1594" s="94">
        <v>44407</v>
      </c>
      <c r="BO1594" s="95" t="s">
        <v>232</v>
      </c>
      <c r="BP1594" s="96">
        <v>13.15</v>
      </c>
    </row>
    <row r="1595" spans="60:68" ht="15">
      <c r="BH1595" s="187">
        <v>44347</v>
      </c>
      <c r="BI1595" s="180">
        <v>-0.51300000000000001</v>
      </c>
      <c r="BJ1595" s="191">
        <v>44347</v>
      </c>
      <c r="BK1595" s="192" t="s">
        <v>364</v>
      </c>
      <c r="BN1595" s="94">
        <v>44410</v>
      </c>
      <c r="BO1595" s="95" t="s">
        <v>347</v>
      </c>
      <c r="BP1595" s="96">
        <v>13.14</v>
      </c>
    </row>
    <row r="1596" spans="60:68" ht="15">
      <c r="BH1596" s="187">
        <v>44348</v>
      </c>
      <c r="BI1596" s="180">
        <v>-0.51700000000000002</v>
      </c>
      <c r="BJ1596" s="191">
        <v>44348</v>
      </c>
      <c r="BK1596" s="192" t="s">
        <v>365</v>
      </c>
      <c r="BN1596" s="94">
        <v>44411</v>
      </c>
      <c r="BO1596" s="95" t="s">
        <v>371</v>
      </c>
      <c r="BP1596" s="96">
        <v>13.14</v>
      </c>
    </row>
    <row r="1597" spans="60:68" ht="15">
      <c r="BH1597" s="187">
        <v>44349</v>
      </c>
      <c r="BI1597" s="180">
        <v>-0.51600000000000001</v>
      </c>
      <c r="BJ1597" s="191">
        <v>44349</v>
      </c>
      <c r="BK1597" s="192" t="s">
        <v>364</v>
      </c>
      <c r="BN1597" s="94">
        <v>44412</v>
      </c>
      <c r="BO1597" s="95" t="s">
        <v>372</v>
      </c>
      <c r="BP1597" s="96">
        <v>13.13</v>
      </c>
    </row>
    <row r="1598" spans="60:68" ht="15">
      <c r="BH1598" s="187">
        <v>44350</v>
      </c>
      <c r="BI1598" s="180">
        <v>-0.51700000000000002</v>
      </c>
      <c r="BJ1598" s="191"/>
      <c r="BK1598" s="193" t="str">
        <f>+BK1597</f>
        <v>−0,135</v>
      </c>
      <c r="BN1598" s="94">
        <v>44413</v>
      </c>
      <c r="BO1598" s="95" t="s">
        <v>373</v>
      </c>
      <c r="BP1598" s="96">
        <v>13.09</v>
      </c>
    </row>
    <row r="1599" spans="60:68" ht="15">
      <c r="BH1599" s="187">
        <v>44351</v>
      </c>
      <c r="BI1599" s="180">
        <v>-0.51300000000000001</v>
      </c>
      <c r="BJ1599" s="191">
        <v>44351</v>
      </c>
      <c r="BK1599" s="192" t="s">
        <v>111</v>
      </c>
      <c r="BN1599" s="94">
        <v>44414</v>
      </c>
      <c r="BO1599" s="95" t="s">
        <v>291</v>
      </c>
      <c r="BP1599" s="96">
        <v>13.09</v>
      </c>
    </row>
    <row r="1600" spans="60:68" ht="15">
      <c r="BH1600" s="187">
        <v>44354</v>
      </c>
      <c r="BI1600" s="180">
        <v>-0.51300000000000001</v>
      </c>
      <c r="BJ1600" s="191">
        <v>44354</v>
      </c>
      <c r="BK1600" s="192" t="s">
        <v>141</v>
      </c>
      <c r="BN1600" s="94">
        <v>44417</v>
      </c>
      <c r="BO1600" s="95" t="s">
        <v>161</v>
      </c>
      <c r="BP1600" s="96">
        <v>13.08</v>
      </c>
    </row>
    <row r="1601" spans="60:68" ht="15">
      <c r="BH1601" s="187">
        <v>44355</v>
      </c>
      <c r="BI1601" s="180">
        <v>-0.51600000000000001</v>
      </c>
      <c r="BJ1601" s="191">
        <v>44355</v>
      </c>
      <c r="BK1601" s="192" t="s">
        <v>366</v>
      </c>
      <c r="BN1601" s="94">
        <v>44418</v>
      </c>
      <c r="BO1601" s="95" t="s">
        <v>374</v>
      </c>
      <c r="BP1601" s="96">
        <v>13.08</v>
      </c>
    </row>
    <row r="1602" spans="60:68" ht="15">
      <c r="BH1602" s="187">
        <v>44356</v>
      </c>
      <c r="BI1602" s="180">
        <v>-0.51800000000000002</v>
      </c>
      <c r="BJ1602" s="191">
        <v>44356</v>
      </c>
      <c r="BK1602" s="192" t="s">
        <v>141</v>
      </c>
      <c r="BN1602" s="94">
        <v>44419</v>
      </c>
      <c r="BO1602" s="95" t="s">
        <v>246</v>
      </c>
      <c r="BP1602" s="96">
        <v>13.08</v>
      </c>
    </row>
    <row r="1603" spans="60:68" ht="15">
      <c r="BH1603" s="187">
        <v>44357</v>
      </c>
      <c r="BI1603" s="180">
        <v>-0.51900000000000002</v>
      </c>
      <c r="BJ1603" s="191">
        <v>44357</v>
      </c>
      <c r="BK1603" s="192" t="s">
        <v>365</v>
      </c>
      <c r="BN1603" s="94">
        <v>44420</v>
      </c>
      <c r="BO1603" s="95" t="s">
        <v>295</v>
      </c>
      <c r="BP1603" s="96">
        <v>13.08</v>
      </c>
    </row>
    <row r="1604" spans="60:68" ht="15">
      <c r="BH1604" s="187">
        <v>44358</v>
      </c>
      <c r="BI1604" s="180">
        <v>-0.52100000000000002</v>
      </c>
      <c r="BJ1604" s="191">
        <v>44358</v>
      </c>
      <c r="BK1604" s="192" t="s">
        <v>72</v>
      </c>
      <c r="BN1604" s="94">
        <v>44421</v>
      </c>
      <c r="BO1604" s="95" t="s">
        <v>193</v>
      </c>
      <c r="BP1604" s="96">
        <v>13.07</v>
      </c>
    </row>
    <row r="1605" spans="60:68" ht="15">
      <c r="BH1605" s="187">
        <v>44361</v>
      </c>
      <c r="BI1605" s="180">
        <v>-0.52200000000000002</v>
      </c>
      <c r="BJ1605" s="191">
        <v>44361</v>
      </c>
      <c r="BK1605" s="192" t="s">
        <v>108</v>
      </c>
      <c r="BN1605" s="94">
        <v>44424</v>
      </c>
      <c r="BO1605" s="95" t="s">
        <v>192</v>
      </c>
      <c r="BP1605" s="96">
        <v>13.07</v>
      </c>
    </row>
    <row r="1606" spans="60:68" ht="15">
      <c r="BH1606" s="187">
        <v>44362</v>
      </c>
      <c r="BI1606" s="180">
        <v>-0.52200000000000002</v>
      </c>
      <c r="BJ1606" s="191">
        <v>44362</v>
      </c>
      <c r="BK1606" s="192" t="s">
        <v>74</v>
      </c>
      <c r="BN1606" s="94">
        <v>44425</v>
      </c>
      <c r="BO1606" s="95" t="s">
        <v>307</v>
      </c>
      <c r="BP1606" s="96">
        <v>13.06</v>
      </c>
    </row>
    <row r="1607" spans="60:68" ht="15">
      <c r="BH1607" s="187">
        <v>44363</v>
      </c>
      <c r="BI1607" s="180">
        <v>-0.51900000000000002</v>
      </c>
      <c r="BJ1607" s="191">
        <v>44363</v>
      </c>
      <c r="BK1607" s="192" t="s">
        <v>98</v>
      </c>
      <c r="BN1607" s="94">
        <v>44426</v>
      </c>
      <c r="BO1607" s="95" t="s">
        <v>191</v>
      </c>
      <c r="BP1607" s="96">
        <v>13.06</v>
      </c>
    </row>
    <row r="1608" spans="60:68" ht="15">
      <c r="BH1608" s="187">
        <v>44364</v>
      </c>
      <c r="BI1608" s="180">
        <v>-0.51300000000000001</v>
      </c>
      <c r="BJ1608" s="191">
        <v>44364</v>
      </c>
      <c r="BK1608" s="192" t="s">
        <v>77</v>
      </c>
      <c r="BN1608" s="94">
        <v>44427</v>
      </c>
      <c r="BO1608" s="95" t="s">
        <v>189</v>
      </c>
      <c r="BP1608" s="96">
        <v>13.06</v>
      </c>
    </row>
    <row r="1609" spans="60:68" ht="15">
      <c r="BH1609" s="187">
        <v>44365</v>
      </c>
      <c r="BI1609" s="180">
        <v>-0.51300000000000001</v>
      </c>
      <c r="BJ1609" s="191">
        <v>44365</v>
      </c>
      <c r="BK1609" s="192" t="s">
        <v>103</v>
      </c>
      <c r="BN1609" s="94">
        <v>44428</v>
      </c>
      <c r="BO1609" s="95" t="s">
        <v>297</v>
      </c>
      <c r="BP1609" s="96">
        <v>13.05</v>
      </c>
    </row>
    <row r="1610" spans="60:68" ht="15">
      <c r="BH1610" s="187">
        <v>44368</v>
      </c>
      <c r="BI1610" s="180">
        <v>-0.51100000000000001</v>
      </c>
      <c r="BJ1610" s="191">
        <v>44368</v>
      </c>
      <c r="BK1610" s="192" t="s">
        <v>367</v>
      </c>
      <c r="BN1610" s="94">
        <v>44431</v>
      </c>
      <c r="BO1610" s="95" t="s">
        <v>375</v>
      </c>
      <c r="BP1610" s="96">
        <v>13.05</v>
      </c>
    </row>
    <row r="1611" spans="60:68" ht="15">
      <c r="BH1611" s="187">
        <v>44369</v>
      </c>
      <c r="BI1611" s="180">
        <v>-0.50800000000000001</v>
      </c>
      <c r="BJ1611" s="191">
        <v>44369</v>
      </c>
      <c r="BK1611" s="192" t="s">
        <v>219</v>
      </c>
      <c r="BN1611" s="94">
        <v>44432</v>
      </c>
      <c r="BO1611" s="95" t="s">
        <v>306</v>
      </c>
      <c r="BP1611" s="96">
        <v>13.04</v>
      </c>
    </row>
    <row r="1612" spans="60:68" ht="15">
      <c r="BH1612" s="187">
        <v>44370</v>
      </c>
      <c r="BI1612" s="180">
        <v>-0.50900000000000001</v>
      </c>
      <c r="BJ1612" s="191">
        <v>44370</v>
      </c>
      <c r="BK1612" s="192" t="s">
        <v>82</v>
      </c>
      <c r="BN1612" s="94">
        <v>44433</v>
      </c>
      <c r="BO1612" s="95" t="s">
        <v>305</v>
      </c>
      <c r="BP1612" s="96">
        <v>13.04</v>
      </c>
    </row>
    <row r="1613" spans="60:68" ht="15">
      <c r="BH1613" s="187">
        <v>44371</v>
      </c>
      <c r="BI1613" s="180">
        <v>-0.50800000000000001</v>
      </c>
      <c r="BJ1613" s="191">
        <v>44371</v>
      </c>
      <c r="BK1613" s="192" t="s">
        <v>82</v>
      </c>
      <c r="BN1613" s="94">
        <v>44434</v>
      </c>
      <c r="BO1613" s="95" t="s">
        <v>306</v>
      </c>
      <c r="BP1613" s="96">
        <v>13.04</v>
      </c>
    </row>
    <row r="1614" spans="60:68" ht="15">
      <c r="BH1614" s="187">
        <v>44372</v>
      </c>
      <c r="BI1614" s="180">
        <v>-0.51300000000000001</v>
      </c>
      <c r="BJ1614" s="191">
        <v>44372</v>
      </c>
      <c r="BK1614" s="192" t="s">
        <v>82</v>
      </c>
      <c r="BN1614" s="94">
        <v>44435</v>
      </c>
      <c r="BO1614" s="95" t="s">
        <v>189</v>
      </c>
      <c r="BP1614" s="96">
        <v>13.04</v>
      </c>
    </row>
    <row r="1615" spans="60:68" ht="15">
      <c r="BH1615" s="187">
        <v>44375</v>
      </c>
      <c r="BI1615" s="180">
        <v>-0.51300000000000001</v>
      </c>
      <c r="BJ1615" s="191">
        <v>44375</v>
      </c>
      <c r="BK1615" s="192" t="s">
        <v>82</v>
      </c>
      <c r="BN1615" s="94">
        <v>44438</v>
      </c>
      <c r="BO1615" s="95" t="s">
        <v>375</v>
      </c>
      <c r="BP1615" s="96">
        <v>13.03</v>
      </c>
    </row>
    <row r="1616" spans="60:68" ht="15">
      <c r="BH1616" s="187">
        <v>44376</v>
      </c>
      <c r="BI1616" s="180">
        <v>-0.51300000000000001</v>
      </c>
      <c r="BJ1616" s="191">
        <v>44376</v>
      </c>
      <c r="BK1616" s="192" t="s">
        <v>82</v>
      </c>
      <c r="BN1616" s="94">
        <v>44439</v>
      </c>
      <c r="BO1616" s="95" t="s">
        <v>191</v>
      </c>
      <c r="BP1616" s="96">
        <v>13.02</v>
      </c>
    </row>
    <row r="1617" spans="60:68" ht="15">
      <c r="BH1617" s="187">
        <v>44377</v>
      </c>
      <c r="BI1617" s="180">
        <v>-0.51500000000000001</v>
      </c>
      <c r="BJ1617" s="191">
        <v>44377</v>
      </c>
      <c r="BK1617" s="192" t="s">
        <v>368</v>
      </c>
      <c r="BN1617" s="94">
        <v>44440</v>
      </c>
      <c r="BO1617" s="95" t="s">
        <v>163</v>
      </c>
      <c r="BP1617" s="96">
        <v>13.02</v>
      </c>
    </row>
    <row r="1618" spans="60:68" ht="15">
      <c r="BH1618" s="187">
        <v>44378</v>
      </c>
      <c r="BI1618" s="180">
        <v>-0.51300000000000001</v>
      </c>
      <c r="BJ1618" s="191">
        <v>44378</v>
      </c>
      <c r="BK1618" s="192" t="s">
        <v>83</v>
      </c>
      <c r="BN1618" s="94">
        <v>44441</v>
      </c>
      <c r="BO1618" s="95" t="s">
        <v>192</v>
      </c>
      <c r="BP1618" s="96">
        <v>13.02</v>
      </c>
    </row>
    <row r="1619" spans="60:68" ht="15">
      <c r="BH1619" s="187">
        <v>44379</v>
      </c>
      <c r="BI1619" s="180">
        <v>-0.51200000000000001</v>
      </c>
      <c r="BJ1619" s="191">
        <v>44379</v>
      </c>
      <c r="BK1619" s="192" t="s">
        <v>223</v>
      </c>
      <c r="BN1619" s="94">
        <v>44442</v>
      </c>
      <c r="BO1619" s="95" t="s">
        <v>376</v>
      </c>
      <c r="BP1619" s="96">
        <v>13.02</v>
      </c>
    </row>
    <row r="1620" spans="60:68" ht="15">
      <c r="BH1620" s="187">
        <v>44382</v>
      </c>
      <c r="BI1620" s="180">
        <v>-0.51300000000000001</v>
      </c>
      <c r="BJ1620" s="191">
        <v>44382</v>
      </c>
      <c r="BK1620" s="192" t="s">
        <v>84</v>
      </c>
      <c r="BN1620" s="94">
        <v>44445</v>
      </c>
      <c r="BO1620" s="95" t="s">
        <v>237</v>
      </c>
      <c r="BP1620" s="96">
        <v>13.01</v>
      </c>
    </row>
    <row r="1621" spans="60:68" ht="15">
      <c r="BH1621" s="187">
        <v>44383</v>
      </c>
      <c r="BI1621" s="180">
        <v>-0.51300000000000001</v>
      </c>
      <c r="BJ1621" s="191">
        <v>44383</v>
      </c>
      <c r="BK1621" s="192" t="s">
        <v>369</v>
      </c>
      <c r="BN1621" s="94">
        <v>44446</v>
      </c>
      <c r="BO1621" s="95" t="s">
        <v>162</v>
      </c>
      <c r="BP1621" s="96">
        <v>13.01</v>
      </c>
    </row>
    <row r="1622" spans="60:68" ht="15">
      <c r="BH1622" s="187">
        <v>44384</v>
      </c>
      <c r="BI1622" s="180">
        <v>-0.51100000000000001</v>
      </c>
      <c r="BJ1622" s="191">
        <v>44384</v>
      </c>
      <c r="BK1622" s="192" t="s">
        <v>86</v>
      </c>
      <c r="BN1622" s="94">
        <v>44447</v>
      </c>
      <c r="BO1622" s="95" t="s">
        <v>246</v>
      </c>
      <c r="BP1622" s="96">
        <v>13</v>
      </c>
    </row>
    <row r="1623" spans="60:68" ht="15">
      <c r="BH1623" s="187">
        <v>44385</v>
      </c>
      <c r="BI1623" s="180">
        <v>-0.51500000000000001</v>
      </c>
      <c r="BJ1623" s="191">
        <v>44385</v>
      </c>
      <c r="BK1623" s="192" t="s">
        <v>215</v>
      </c>
      <c r="BN1623" s="94">
        <v>44448</v>
      </c>
      <c r="BO1623" s="95" t="s">
        <v>374</v>
      </c>
      <c r="BP1623" s="96">
        <v>13</v>
      </c>
    </row>
    <row r="1624" spans="60:68" ht="15">
      <c r="BH1624" s="187">
        <v>44386</v>
      </c>
      <c r="BI1624" s="180">
        <v>-0.51400000000000001</v>
      </c>
      <c r="BJ1624" s="191">
        <v>44386</v>
      </c>
      <c r="BK1624" s="192" t="s">
        <v>88</v>
      </c>
      <c r="BN1624" s="94">
        <v>44449</v>
      </c>
      <c r="BO1624" s="95" t="s">
        <v>292</v>
      </c>
      <c r="BP1624" s="96">
        <v>13</v>
      </c>
    </row>
    <row r="1625" spans="60:68" ht="15">
      <c r="BH1625" s="187">
        <v>44389</v>
      </c>
      <c r="BI1625" s="180">
        <v>-0.51100000000000001</v>
      </c>
      <c r="BJ1625" s="191">
        <v>44389</v>
      </c>
      <c r="BK1625" s="192" t="s">
        <v>214</v>
      </c>
      <c r="BN1625" s="94">
        <v>44452</v>
      </c>
      <c r="BO1625" s="95" t="s">
        <v>377</v>
      </c>
      <c r="BP1625" s="96">
        <v>12.99</v>
      </c>
    </row>
    <row r="1626" spans="60:68" ht="15">
      <c r="BH1626" s="187">
        <v>44390</v>
      </c>
      <c r="BI1626" s="180">
        <v>-0.51300000000000001</v>
      </c>
      <c r="BJ1626" s="191">
        <v>44390</v>
      </c>
      <c r="BK1626" s="192" t="s">
        <v>213</v>
      </c>
      <c r="BN1626" s="94">
        <v>44453</v>
      </c>
      <c r="BO1626" s="95" t="s">
        <v>291</v>
      </c>
      <c r="BP1626" s="96">
        <v>12.99</v>
      </c>
    </row>
    <row r="1627" spans="60:68" ht="15">
      <c r="BH1627" s="187">
        <v>44391</v>
      </c>
      <c r="BI1627" s="180">
        <v>-0.51300000000000001</v>
      </c>
      <c r="BJ1627" s="191">
        <v>44391</v>
      </c>
      <c r="BK1627" s="192" t="s">
        <v>95</v>
      </c>
      <c r="BN1627" s="94">
        <v>44454</v>
      </c>
      <c r="BO1627" s="95" t="s">
        <v>373</v>
      </c>
      <c r="BP1627" s="96">
        <v>12.98</v>
      </c>
    </row>
    <row r="1628" spans="60:68" ht="15">
      <c r="BH1628" s="187">
        <v>44392</v>
      </c>
      <c r="BI1628" s="180">
        <v>-0.51300000000000001</v>
      </c>
      <c r="BJ1628" s="191">
        <v>44392</v>
      </c>
      <c r="BK1628" s="192" t="s">
        <v>92</v>
      </c>
      <c r="BN1628" s="94">
        <v>44455</v>
      </c>
      <c r="BO1628" s="95" t="s">
        <v>289</v>
      </c>
      <c r="BP1628" s="96">
        <v>12.98</v>
      </c>
    </row>
    <row r="1629" spans="60:68" ht="15">
      <c r="BH1629" s="187">
        <v>44393</v>
      </c>
      <c r="BI1629" s="180">
        <v>-0.51500000000000001</v>
      </c>
      <c r="BJ1629" s="191">
        <v>44393</v>
      </c>
      <c r="BK1629" s="192" t="s">
        <v>145</v>
      </c>
      <c r="BN1629" s="94">
        <v>44456</v>
      </c>
      <c r="BO1629" s="95" t="s">
        <v>289</v>
      </c>
      <c r="BP1629" s="96">
        <v>12.97</v>
      </c>
    </row>
    <row r="1630" spans="60:68" ht="15">
      <c r="BH1630" s="187">
        <v>44396</v>
      </c>
      <c r="BI1630" s="180">
        <v>-0.51500000000000001</v>
      </c>
      <c r="BJ1630" s="191">
        <v>44396</v>
      </c>
      <c r="BK1630" s="192" t="s">
        <v>226</v>
      </c>
      <c r="BN1630" s="94">
        <v>44459</v>
      </c>
      <c r="BO1630" s="95" t="s">
        <v>347</v>
      </c>
      <c r="BP1630" s="96">
        <v>13.32</v>
      </c>
    </row>
    <row r="1631" spans="60:68" ht="15">
      <c r="BH1631" s="187">
        <v>44397</v>
      </c>
      <c r="BI1631" s="180">
        <v>-0.51800000000000002</v>
      </c>
      <c r="BJ1631" s="191">
        <v>44397</v>
      </c>
      <c r="BK1631" s="192" t="s">
        <v>208</v>
      </c>
      <c r="BN1631" s="94">
        <v>44460</v>
      </c>
      <c r="BO1631" s="95" t="s">
        <v>249</v>
      </c>
      <c r="BP1631" s="96">
        <v>13.32</v>
      </c>
    </row>
    <row r="1632" spans="60:68" ht="15">
      <c r="BH1632" s="187">
        <v>44398</v>
      </c>
      <c r="BI1632" s="180">
        <v>-0.51300000000000001</v>
      </c>
      <c r="BJ1632" s="191">
        <v>44398</v>
      </c>
      <c r="BK1632" s="192" t="s">
        <v>227</v>
      </c>
      <c r="BN1632" s="94">
        <v>44461</v>
      </c>
      <c r="BO1632" s="95" t="s">
        <v>232</v>
      </c>
      <c r="BP1632" s="96">
        <v>13.32</v>
      </c>
    </row>
    <row r="1633" spans="60:68" ht="15">
      <c r="BH1633" s="187">
        <v>44399</v>
      </c>
      <c r="BI1633" s="180">
        <v>-0.51700000000000002</v>
      </c>
      <c r="BJ1633" s="191">
        <v>44399</v>
      </c>
      <c r="BK1633" s="192" t="s">
        <v>153</v>
      </c>
      <c r="BN1633" s="94">
        <v>44462</v>
      </c>
      <c r="BO1633" s="95" t="s">
        <v>250</v>
      </c>
      <c r="BP1633" s="96">
        <v>13.35</v>
      </c>
    </row>
    <row r="1634" spans="60:68" ht="15">
      <c r="BH1634" s="187">
        <v>44400</v>
      </c>
      <c r="BI1634" s="180">
        <v>-0.51900000000000002</v>
      </c>
      <c r="BJ1634" s="191">
        <v>44400</v>
      </c>
      <c r="BK1634" s="192" t="s">
        <v>269</v>
      </c>
      <c r="BN1634" s="94">
        <v>44463</v>
      </c>
      <c r="BO1634" s="95" t="s">
        <v>281</v>
      </c>
      <c r="BP1634" s="96">
        <v>13.35</v>
      </c>
    </row>
    <row r="1635" spans="60:68" ht="15">
      <c r="BH1635" s="187">
        <v>44403</v>
      </c>
      <c r="BI1635" s="180">
        <v>-0.51900000000000002</v>
      </c>
      <c r="BJ1635" s="191">
        <v>44403</v>
      </c>
      <c r="BK1635" s="192" t="s">
        <v>370</v>
      </c>
      <c r="BN1635" s="94">
        <v>44466</v>
      </c>
      <c r="BO1635" s="95" t="s">
        <v>280</v>
      </c>
      <c r="BP1635" s="96">
        <v>13.34</v>
      </c>
    </row>
    <row r="1636" spans="60:68" ht="15">
      <c r="BH1636" s="187">
        <v>44404</v>
      </c>
      <c r="BI1636" s="180">
        <v>-0.52300000000000002</v>
      </c>
      <c r="BJ1636" s="191">
        <v>44404</v>
      </c>
      <c r="BK1636" s="192" t="s">
        <v>280</v>
      </c>
      <c r="BN1636" s="94">
        <v>44467</v>
      </c>
      <c r="BO1636" s="95" t="s">
        <v>378</v>
      </c>
      <c r="BP1636" s="96">
        <v>13.34</v>
      </c>
    </row>
    <row r="1637" spans="60:68" ht="15">
      <c r="BH1637" s="187">
        <v>44405</v>
      </c>
      <c r="BI1637" s="180">
        <v>-0.52400000000000002</v>
      </c>
      <c r="BJ1637" s="191">
        <v>44405</v>
      </c>
      <c r="BK1637" s="192" t="s">
        <v>357</v>
      </c>
      <c r="BN1637" s="94">
        <v>44468</v>
      </c>
      <c r="BO1637" s="95" t="s">
        <v>228</v>
      </c>
      <c r="BP1637" s="96">
        <v>13.34</v>
      </c>
    </row>
    <row r="1638" spans="60:68" ht="15">
      <c r="BH1638" s="187">
        <v>44406</v>
      </c>
      <c r="BI1638" s="180">
        <v>-0.52400000000000002</v>
      </c>
      <c r="BJ1638" s="191">
        <v>44406</v>
      </c>
      <c r="BK1638" s="192" t="s">
        <v>349</v>
      </c>
      <c r="BN1638" s="94">
        <v>44469</v>
      </c>
      <c r="BO1638" s="95" t="s">
        <v>271</v>
      </c>
      <c r="BP1638" s="96">
        <v>13.33</v>
      </c>
    </row>
    <row r="1639" spans="60:68" ht="15">
      <c r="BH1639" s="187">
        <v>44407</v>
      </c>
      <c r="BI1639" s="180">
        <v>-0.52300000000000002</v>
      </c>
      <c r="BJ1639" s="191">
        <v>44407</v>
      </c>
      <c r="BK1639" s="192" t="s">
        <v>232</v>
      </c>
      <c r="BN1639" s="94">
        <v>44470</v>
      </c>
      <c r="BO1639" s="95" t="s">
        <v>272</v>
      </c>
      <c r="BP1639" s="96">
        <v>13.33</v>
      </c>
    </row>
    <row r="1640" spans="60:68" ht="15">
      <c r="BH1640" s="187">
        <v>44410</v>
      </c>
      <c r="BI1640" s="180">
        <v>-0.52300000000000002</v>
      </c>
      <c r="BJ1640" s="191">
        <v>44410</v>
      </c>
      <c r="BK1640" s="192" t="s">
        <v>347</v>
      </c>
      <c r="BN1640" s="94">
        <v>44473</v>
      </c>
      <c r="BO1640" s="95" t="s">
        <v>273</v>
      </c>
      <c r="BP1640" s="96">
        <v>13.32</v>
      </c>
    </row>
    <row r="1641" spans="60:68" ht="15">
      <c r="BH1641" s="187">
        <v>44411</v>
      </c>
      <c r="BI1641" s="180">
        <v>-0.52500000000000002</v>
      </c>
      <c r="BJ1641" s="191">
        <v>44411</v>
      </c>
      <c r="BK1641" s="192" t="s">
        <v>371</v>
      </c>
      <c r="BN1641" s="94">
        <v>44474</v>
      </c>
      <c r="BO1641" s="95" t="s">
        <v>274</v>
      </c>
      <c r="BP1641" s="96">
        <v>13.32</v>
      </c>
    </row>
    <row r="1642" spans="60:68" ht="15">
      <c r="BH1642" s="187">
        <v>44412</v>
      </c>
      <c r="BI1642" s="180">
        <v>-0.53100000000000003</v>
      </c>
      <c r="BJ1642" s="191">
        <v>44412</v>
      </c>
      <c r="BK1642" s="192" t="s">
        <v>372</v>
      </c>
      <c r="BN1642" s="94">
        <v>44475</v>
      </c>
      <c r="BO1642" s="95" t="s">
        <v>362</v>
      </c>
      <c r="BP1642" s="96">
        <v>13.32</v>
      </c>
    </row>
    <row r="1643" spans="60:68" ht="15">
      <c r="BH1643" s="187">
        <v>44413</v>
      </c>
      <c r="BI1643" s="180">
        <v>-0.52700000000000002</v>
      </c>
      <c r="BJ1643" s="191">
        <v>44413</v>
      </c>
      <c r="BK1643" s="192" t="s">
        <v>373</v>
      </c>
      <c r="BN1643" s="94">
        <v>44476</v>
      </c>
      <c r="BO1643" s="95" t="s">
        <v>253</v>
      </c>
      <c r="BP1643" s="96">
        <v>13.28</v>
      </c>
    </row>
    <row r="1644" spans="60:68" ht="15">
      <c r="BH1644" s="187">
        <v>44414</v>
      </c>
      <c r="BI1644" s="180">
        <v>-0.52400000000000002</v>
      </c>
      <c r="BJ1644" s="191">
        <v>44414</v>
      </c>
      <c r="BK1644" s="192" t="s">
        <v>291</v>
      </c>
      <c r="BN1644" s="94">
        <v>44477</v>
      </c>
      <c r="BO1644" s="95" t="s">
        <v>148</v>
      </c>
      <c r="BP1644" s="96">
        <v>13.27</v>
      </c>
    </row>
    <row r="1645" spans="60:68" ht="15">
      <c r="BH1645" s="187">
        <v>44417</v>
      </c>
      <c r="BI1645" s="180">
        <v>-0.52700000000000002</v>
      </c>
      <c r="BJ1645" s="191">
        <v>44417</v>
      </c>
      <c r="BK1645" s="192" t="s">
        <v>161</v>
      </c>
      <c r="BN1645" s="94">
        <v>44480</v>
      </c>
      <c r="BO1645" s="95" t="s">
        <v>379</v>
      </c>
      <c r="BP1645" s="96">
        <v>13.27</v>
      </c>
    </row>
    <row r="1646" spans="60:68" ht="15">
      <c r="BH1646" s="187">
        <v>44418</v>
      </c>
      <c r="BI1646" s="180">
        <v>-0.52800000000000002</v>
      </c>
      <c r="BJ1646" s="191">
        <v>44418</v>
      </c>
      <c r="BK1646" s="192" t="s">
        <v>374</v>
      </c>
      <c r="BN1646" s="94">
        <v>44481</v>
      </c>
      <c r="BO1646" s="95" t="s">
        <v>92</v>
      </c>
      <c r="BP1646" s="96">
        <v>13.26</v>
      </c>
    </row>
    <row r="1647" spans="60:68" ht="15">
      <c r="BH1647" s="187">
        <v>44419</v>
      </c>
      <c r="BI1647" s="180">
        <v>-0.53</v>
      </c>
      <c r="BJ1647" s="191">
        <v>44419</v>
      </c>
      <c r="BK1647" s="192" t="s">
        <v>246</v>
      </c>
      <c r="BN1647" s="94">
        <v>44482</v>
      </c>
      <c r="BO1647" s="95" t="s">
        <v>214</v>
      </c>
      <c r="BP1647" s="96">
        <v>13.28</v>
      </c>
    </row>
    <row r="1648" spans="60:68" ht="15">
      <c r="BH1648" s="187">
        <v>44420</v>
      </c>
      <c r="BI1648" s="180">
        <v>-0.52700000000000002</v>
      </c>
      <c r="BJ1648" s="191">
        <v>44420</v>
      </c>
      <c r="BK1648" s="192" t="s">
        <v>295</v>
      </c>
      <c r="BN1648" s="94">
        <v>44483</v>
      </c>
      <c r="BO1648" s="95" t="s">
        <v>266</v>
      </c>
      <c r="BP1648" s="96">
        <v>13.28</v>
      </c>
    </row>
    <row r="1649" spans="60:68" ht="15">
      <c r="BH1649" s="187">
        <v>44421</v>
      </c>
      <c r="BI1649" s="180">
        <v>-0.52800000000000002</v>
      </c>
      <c r="BJ1649" s="191">
        <v>44421</v>
      </c>
      <c r="BK1649" s="192" t="s">
        <v>193</v>
      </c>
      <c r="BN1649" s="94">
        <v>44484</v>
      </c>
      <c r="BO1649" s="95" t="s">
        <v>86</v>
      </c>
      <c r="BP1649" s="96">
        <v>13.28</v>
      </c>
    </row>
    <row r="1650" spans="60:68" ht="15">
      <c r="BH1650" s="187">
        <v>44424</v>
      </c>
      <c r="BI1650" s="180">
        <v>-0.52700000000000002</v>
      </c>
      <c r="BJ1650" s="191">
        <v>44424</v>
      </c>
      <c r="BK1650" s="192" t="s">
        <v>192</v>
      </c>
      <c r="BN1650" s="94">
        <v>44487</v>
      </c>
      <c r="BO1650" s="95" t="s">
        <v>223</v>
      </c>
      <c r="BP1650" s="96">
        <v>13.27</v>
      </c>
    </row>
    <row r="1651" spans="60:68" ht="15">
      <c r="BH1651" s="187">
        <v>44425</v>
      </c>
      <c r="BI1651" s="180">
        <v>-0.52700000000000002</v>
      </c>
      <c r="BJ1651" s="191">
        <v>44425</v>
      </c>
      <c r="BK1651" s="192" t="s">
        <v>307</v>
      </c>
      <c r="BN1651" s="94">
        <v>44488</v>
      </c>
      <c r="BO1651" s="95" t="s">
        <v>80</v>
      </c>
      <c r="BP1651" s="96">
        <v>13.26</v>
      </c>
    </row>
    <row r="1652" spans="60:68" ht="15">
      <c r="BH1652" s="187">
        <v>44426</v>
      </c>
      <c r="BI1652" s="180">
        <v>-0.52700000000000002</v>
      </c>
      <c r="BJ1652" s="191">
        <v>44426</v>
      </c>
      <c r="BK1652" s="192" t="s">
        <v>191</v>
      </c>
      <c r="BN1652" s="94">
        <v>44489</v>
      </c>
      <c r="BO1652" s="95" t="s">
        <v>102</v>
      </c>
      <c r="BP1652" s="96">
        <v>13.26</v>
      </c>
    </row>
    <row r="1653" spans="60:68" ht="15">
      <c r="BH1653" s="187">
        <v>44427</v>
      </c>
      <c r="BI1653" s="180">
        <v>-0.52900000000000003</v>
      </c>
      <c r="BJ1653" s="191">
        <v>44427</v>
      </c>
      <c r="BK1653" s="192" t="s">
        <v>189</v>
      </c>
      <c r="BN1653" s="94">
        <v>44490</v>
      </c>
      <c r="BO1653" s="95" t="s">
        <v>76</v>
      </c>
      <c r="BP1653" s="96">
        <v>13.26</v>
      </c>
    </row>
    <row r="1654" spans="60:68" ht="15">
      <c r="BH1654" s="187">
        <v>44428</v>
      </c>
      <c r="BI1654" s="180">
        <v>-0.52800000000000002</v>
      </c>
      <c r="BJ1654" s="191">
        <v>44428</v>
      </c>
      <c r="BK1654" s="192" t="s">
        <v>297</v>
      </c>
      <c r="BN1654" s="94">
        <v>44491</v>
      </c>
      <c r="BO1654" s="95" t="s">
        <v>99</v>
      </c>
      <c r="BP1654" s="96">
        <v>13.26</v>
      </c>
    </row>
    <row r="1655" spans="60:68" ht="15">
      <c r="BH1655" s="187">
        <v>44431</v>
      </c>
      <c r="BI1655" s="180">
        <v>-0.52900000000000003</v>
      </c>
      <c r="BJ1655" s="191">
        <v>44431</v>
      </c>
      <c r="BK1655" s="192" t="s">
        <v>375</v>
      </c>
      <c r="BN1655" s="94">
        <v>44494</v>
      </c>
      <c r="BO1655" s="95" t="s">
        <v>101</v>
      </c>
      <c r="BP1655" s="96">
        <v>13.25</v>
      </c>
    </row>
    <row r="1656" spans="60:68" ht="15">
      <c r="BH1656" s="187">
        <v>44432</v>
      </c>
      <c r="BI1656" s="180">
        <v>-0.52700000000000002</v>
      </c>
      <c r="BJ1656" s="191">
        <v>44432</v>
      </c>
      <c r="BK1656" s="192" t="s">
        <v>306</v>
      </c>
      <c r="BN1656" s="94">
        <v>44496</v>
      </c>
      <c r="BO1656" s="95" t="s">
        <v>108</v>
      </c>
      <c r="BP1656" s="96">
        <v>13.24</v>
      </c>
    </row>
    <row r="1657" spans="60:68" ht="15">
      <c r="BH1657" s="187">
        <v>44433</v>
      </c>
      <c r="BI1657" s="180">
        <v>-0.52800000000000002</v>
      </c>
      <c r="BJ1657" s="191">
        <v>44433</v>
      </c>
      <c r="BK1657" s="192" t="s">
        <v>305</v>
      </c>
      <c r="BN1657" s="94">
        <v>44497</v>
      </c>
      <c r="BO1657" s="95" t="s">
        <v>109</v>
      </c>
      <c r="BP1657" s="96">
        <v>13.24</v>
      </c>
    </row>
    <row r="1658" spans="60:68" ht="15">
      <c r="BH1658" s="187">
        <v>44434</v>
      </c>
      <c r="BI1658" s="180">
        <v>-0.53</v>
      </c>
      <c r="BJ1658" s="191">
        <v>44434</v>
      </c>
      <c r="BK1658" s="192" t="s">
        <v>306</v>
      </c>
      <c r="BN1658" s="94">
        <v>44498</v>
      </c>
      <c r="BO1658" s="95" t="s">
        <v>365</v>
      </c>
      <c r="BP1658" s="96">
        <v>13.24</v>
      </c>
    </row>
    <row r="1659" spans="60:68" ht="15">
      <c r="BH1659" s="187">
        <v>44435</v>
      </c>
      <c r="BI1659" s="180">
        <v>-0.52900000000000003</v>
      </c>
      <c r="BJ1659" s="191">
        <v>44435</v>
      </c>
      <c r="BK1659" s="192" t="s">
        <v>189</v>
      </c>
      <c r="BN1659" s="94">
        <v>44502</v>
      </c>
      <c r="BO1659" s="95" t="s">
        <v>366</v>
      </c>
      <c r="BP1659" s="96">
        <v>13.23</v>
      </c>
    </row>
    <row r="1660" spans="60:68" ht="15">
      <c r="BH1660" s="187">
        <v>44438</v>
      </c>
      <c r="BI1660" s="180">
        <v>-0.52900000000000003</v>
      </c>
      <c r="BJ1660" s="191">
        <v>44438</v>
      </c>
      <c r="BK1660" s="192" t="s">
        <v>375</v>
      </c>
      <c r="BN1660" s="94">
        <v>44503</v>
      </c>
      <c r="BO1660" s="95" t="s">
        <v>71</v>
      </c>
      <c r="BP1660" s="96">
        <v>13.22</v>
      </c>
    </row>
    <row r="1661" spans="60:68" ht="15">
      <c r="BH1661" s="187">
        <v>44439</v>
      </c>
      <c r="BI1661" s="180">
        <v>-0.52200000000000002</v>
      </c>
      <c r="BJ1661" s="191">
        <v>44439</v>
      </c>
      <c r="BK1661" s="192" t="s">
        <v>191</v>
      </c>
      <c r="BN1661" s="94">
        <v>44504</v>
      </c>
      <c r="BO1661" s="95" t="s">
        <v>380</v>
      </c>
      <c r="BP1661" s="96">
        <v>13.23</v>
      </c>
    </row>
    <row r="1662" spans="60:68" ht="15">
      <c r="BH1662" s="187">
        <v>44440</v>
      </c>
      <c r="BI1662" s="180">
        <v>-0.52100000000000002</v>
      </c>
      <c r="BJ1662" s="191">
        <v>44440</v>
      </c>
      <c r="BK1662" s="192" t="s">
        <v>163</v>
      </c>
      <c r="BN1662" s="94">
        <v>44505</v>
      </c>
      <c r="BO1662" s="95" t="s">
        <v>112</v>
      </c>
      <c r="BP1662" s="96">
        <v>13.22</v>
      </c>
    </row>
    <row r="1663" spans="60:68" ht="15">
      <c r="BH1663" s="187">
        <v>44441</v>
      </c>
      <c r="BI1663" s="180">
        <v>-0.52</v>
      </c>
      <c r="BJ1663" s="191">
        <v>44441</v>
      </c>
      <c r="BK1663" s="192" t="s">
        <v>192</v>
      </c>
      <c r="BN1663" s="94">
        <v>44508</v>
      </c>
      <c r="BO1663" s="95" t="s">
        <v>366</v>
      </c>
      <c r="BP1663" s="96">
        <v>13.22</v>
      </c>
    </row>
    <row r="1664" spans="60:68" ht="15">
      <c r="BH1664" s="187">
        <v>44442</v>
      </c>
      <c r="BI1664" s="180">
        <v>-0.51900000000000002</v>
      </c>
      <c r="BJ1664" s="191">
        <v>44442</v>
      </c>
      <c r="BK1664" s="192" t="s">
        <v>376</v>
      </c>
      <c r="BN1664" s="94">
        <v>44509</v>
      </c>
      <c r="BO1664" s="95" t="s">
        <v>364</v>
      </c>
      <c r="BP1664" s="96">
        <v>13.21</v>
      </c>
    </row>
    <row r="1665" spans="60:68" ht="15">
      <c r="BH1665" s="187">
        <v>44445</v>
      </c>
      <c r="BI1665" s="180">
        <v>-0.52</v>
      </c>
      <c r="BJ1665" s="191">
        <v>44445</v>
      </c>
      <c r="BK1665" s="192" t="s">
        <v>237</v>
      </c>
      <c r="BN1665" s="94">
        <v>44510</v>
      </c>
      <c r="BO1665" s="95" t="s">
        <v>142</v>
      </c>
      <c r="BP1665" s="96">
        <v>13.21</v>
      </c>
    </row>
    <row r="1666" spans="60:68" ht="15">
      <c r="BH1666" s="187">
        <v>44446</v>
      </c>
      <c r="BI1666" s="180">
        <v>-0.51800000000000002</v>
      </c>
      <c r="BJ1666" s="191">
        <v>44446</v>
      </c>
      <c r="BK1666" s="192" t="s">
        <v>162</v>
      </c>
      <c r="BN1666" s="94">
        <v>44511</v>
      </c>
      <c r="BO1666" s="95" t="s">
        <v>73</v>
      </c>
      <c r="BP1666" s="96">
        <v>13.21</v>
      </c>
    </row>
    <row r="1667" spans="60:68" ht="15">
      <c r="BH1667" s="187">
        <v>44447</v>
      </c>
      <c r="BI1667" s="180">
        <v>-0.51700000000000002</v>
      </c>
      <c r="BJ1667" s="191">
        <v>44447</v>
      </c>
      <c r="BK1667" s="192" t="s">
        <v>246</v>
      </c>
      <c r="BN1667" s="94">
        <v>44512</v>
      </c>
      <c r="BO1667" s="95" t="s">
        <v>75</v>
      </c>
      <c r="BP1667" s="96">
        <v>13.2</v>
      </c>
    </row>
    <row r="1668" spans="60:68" ht="15">
      <c r="BH1668" s="187">
        <v>44448</v>
      </c>
      <c r="BI1668" s="180">
        <v>-0.52200000000000002</v>
      </c>
      <c r="BJ1668" s="191">
        <v>44448</v>
      </c>
      <c r="BK1668" s="192" t="s">
        <v>374</v>
      </c>
      <c r="BN1668" s="94">
        <v>44515</v>
      </c>
      <c r="BO1668" s="95" t="s">
        <v>97</v>
      </c>
      <c r="BP1668" s="96">
        <v>13.2</v>
      </c>
    </row>
    <row r="1669" spans="60:68" ht="15">
      <c r="BH1669" s="187">
        <v>44449</v>
      </c>
      <c r="BI1669" s="180">
        <v>-0.51900000000000002</v>
      </c>
      <c r="BJ1669" s="191">
        <v>44449</v>
      </c>
      <c r="BK1669" s="192" t="s">
        <v>292</v>
      </c>
      <c r="BN1669" s="94">
        <v>44516</v>
      </c>
      <c r="BO1669" s="95" t="s">
        <v>221</v>
      </c>
      <c r="BP1669" s="96">
        <v>13.19</v>
      </c>
    </row>
    <row r="1670" spans="60:68" ht="15">
      <c r="BH1670" s="187">
        <v>44452</v>
      </c>
      <c r="BI1670" s="180">
        <v>-0.52</v>
      </c>
      <c r="BJ1670" s="191">
        <v>44452</v>
      </c>
      <c r="BK1670" s="192" t="s">
        <v>377</v>
      </c>
      <c r="BN1670" s="94">
        <v>44517</v>
      </c>
      <c r="BO1670" s="95" t="s">
        <v>103</v>
      </c>
      <c r="BP1670" s="96">
        <v>13.19</v>
      </c>
    </row>
    <row r="1671" spans="60:68" ht="15">
      <c r="BH1671" s="187">
        <v>44453</v>
      </c>
      <c r="BI1671" s="180">
        <v>-0.52200000000000002</v>
      </c>
      <c r="BJ1671" s="191">
        <v>44453</v>
      </c>
      <c r="BK1671" s="192" t="s">
        <v>291</v>
      </c>
      <c r="BN1671" s="94">
        <v>44518</v>
      </c>
      <c r="BO1671" s="95" t="s">
        <v>80</v>
      </c>
      <c r="BP1671" s="96">
        <v>13.19</v>
      </c>
    </row>
    <row r="1672" spans="60:68" ht="15">
      <c r="BH1672" s="187">
        <v>44454</v>
      </c>
      <c r="BI1672" s="180">
        <v>-0.52400000000000002</v>
      </c>
      <c r="BJ1672" s="191">
        <v>44454</v>
      </c>
      <c r="BK1672" s="192" t="s">
        <v>373</v>
      </c>
      <c r="BN1672" s="94">
        <v>44519</v>
      </c>
      <c r="BO1672" s="95" t="s">
        <v>223</v>
      </c>
      <c r="BP1672" s="96">
        <v>13.19</v>
      </c>
    </row>
    <row r="1673" spans="60:68" ht="15">
      <c r="BH1673" s="187">
        <v>44455</v>
      </c>
      <c r="BI1673" s="180">
        <v>-0.52200000000000002</v>
      </c>
      <c r="BJ1673" s="191">
        <v>44455</v>
      </c>
      <c r="BK1673" s="192" t="s">
        <v>289</v>
      </c>
      <c r="BN1673" s="94">
        <v>44522</v>
      </c>
      <c r="BO1673" s="95" t="s">
        <v>78</v>
      </c>
      <c r="BP1673" s="96">
        <v>13.74</v>
      </c>
    </row>
    <row r="1674" spans="60:68" ht="15">
      <c r="BH1674" s="187">
        <v>44456</v>
      </c>
      <c r="BI1674" s="180">
        <v>-0.52600000000000002</v>
      </c>
      <c r="BJ1674" s="191">
        <v>44456</v>
      </c>
      <c r="BK1674" s="192" t="s">
        <v>289</v>
      </c>
      <c r="BN1674" s="94">
        <v>44523</v>
      </c>
      <c r="BO1674" s="95" t="s">
        <v>367</v>
      </c>
      <c r="BP1674" s="96">
        <v>13.73</v>
      </c>
    </row>
    <row r="1675" spans="60:68" ht="15">
      <c r="BH1675" s="187">
        <v>44459</v>
      </c>
      <c r="BI1675" s="180">
        <v>-0.52800000000000002</v>
      </c>
      <c r="BJ1675" s="191">
        <v>44459</v>
      </c>
      <c r="BK1675" s="192" t="s">
        <v>347</v>
      </c>
      <c r="BN1675" s="94">
        <v>44524</v>
      </c>
      <c r="BO1675" s="95" t="s">
        <v>219</v>
      </c>
      <c r="BP1675" s="96">
        <v>13.73</v>
      </c>
    </row>
    <row r="1676" spans="60:68" ht="15">
      <c r="BH1676" s="187">
        <v>44460</v>
      </c>
      <c r="BI1676" s="180">
        <v>-0.53</v>
      </c>
      <c r="BJ1676" s="191">
        <v>44460</v>
      </c>
      <c r="BK1676" s="192" t="s">
        <v>249</v>
      </c>
      <c r="BN1676" s="94">
        <v>44525</v>
      </c>
      <c r="BO1676" s="95" t="s">
        <v>368</v>
      </c>
      <c r="BP1676" s="96">
        <v>13.73</v>
      </c>
    </row>
    <row r="1677" spans="60:68" ht="15">
      <c r="BH1677" s="187">
        <v>44461</v>
      </c>
      <c r="BI1677" s="180">
        <v>-0.52300000000000002</v>
      </c>
      <c r="BJ1677" s="191">
        <v>44461</v>
      </c>
      <c r="BK1677" s="192" t="s">
        <v>232</v>
      </c>
      <c r="BN1677" s="94">
        <v>44526</v>
      </c>
      <c r="BO1677" s="95" t="s">
        <v>381</v>
      </c>
      <c r="BP1677" s="96">
        <v>13.73</v>
      </c>
    </row>
    <row r="1678" spans="60:68" ht="15">
      <c r="BH1678" s="187">
        <v>44462</v>
      </c>
      <c r="BI1678" s="180">
        <v>-0.52800000000000002</v>
      </c>
      <c r="BJ1678" s="191">
        <v>44462</v>
      </c>
      <c r="BK1678" s="192" t="s">
        <v>250</v>
      </c>
      <c r="BN1678" s="94">
        <v>44529</v>
      </c>
      <c r="BO1678" s="95" t="s">
        <v>266</v>
      </c>
      <c r="BP1678" s="96">
        <v>13.72</v>
      </c>
    </row>
    <row r="1679" spans="60:68" ht="15">
      <c r="BH1679" s="187">
        <v>44463</v>
      </c>
      <c r="BI1679" s="180">
        <v>-0.52300000000000002</v>
      </c>
      <c r="BJ1679" s="191">
        <v>44463</v>
      </c>
      <c r="BK1679" s="192" t="s">
        <v>281</v>
      </c>
      <c r="BN1679" s="94">
        <v>44530</v>
      </c>
      <c r="BO1679" s="95" t="s">
        <v>89</v>
      </c>
      <c r="BP1679" s="96">
        <v>13.72</v>
      </c>
    </row>
    <row r="1680" spans="60:68" ht="15">
      <c r="BH1680" s="187">
        <v>44466</v>
      </c>
      <c r="BI1680" s="180">
        <v>-0.51700000000000002</v>
      </c>
      <c r="BJ1680" s="191">
        <v>44466</v>
      </c>
      <c r="BK1680" s="192" t="s">
        <v>280</v>
      </c>
      <c r="BN1680" s="94">
        <v>44531</v>
      </c>
      <c r="BO1680" s="95" t="s">
        <v>93</v>
      </c>
      <c r="BP1680" s="96">
        <v>13.71</v>
      </c>
    </row>
    <row r="1681" spans="60:68" ht="15">
      <c r="BH1681" s="187">
        <v>44467</v>
      </c>
      <c r="BI1681" s="180">
        <v>-0.52300000000000002</v>
      </c>
      <c r="BJ1681" s="191">
        <v>44467</v>
      </c>
      <c r="BK1681" s="192" t="s">
        <v>378</v>
      </c>
      <c r="BN1681" s="94">
        <v>44532</v>
      </c>
      <c r="BO1681" s="95" t="s">
        <v>144</v>
      </c>
      <c r="BP1681" s="96">
        <v>13.71</v>
      </c>
    </row>
    <row r="1682" spans="60:68" ht="15">
      <c r="BH1682" s="187">
        <v>44468</v>
      </c>
      <c r="BI1682" s="180">
        <v>-0.52300000000000002</v>
      </c>
      <c r="BJ1682" s="191">
        <v>44468</v>
      </c>
      <c r="BK1682" s="192" t="s">
        <v>228</v>
      </c>
      <c r="BN1682" s="94">
        <v>44533</v>
      </c>
      <c r="BO1682" s="95" t="s">
        <v>225</v>
      </c>
      <c r="BP1682" s="96">
        <v>13.71</v>
      </c>
    </row>
    <row r="1683" spans="60:68" ht="15">
      <c r="BH1683" s="187">
        <v>44469</v>
      </c>
      <c r="BI1683" s="180">
        <v>-0.52800000000000002</v>
      </c>
      <c r="BJ1683" s="191">
        <v>44469</v>
      </c>
      <c r="BK1683" s="192" t="s">
        <v>271</v>
      </c>
      <c r="BN1683" s="94">
        <v>44536</v>
      </c>
      <c r="BO1683" s="95" t="s">
        <v>147</v>
      </c>
      <c r="BP1683" s="96">
        <v>13.7</v>
      </c>
    </row>
    <row r="1684" spans="60:68" ht="15">
      <c r="BH1684" s="187">
        <v>44470</v>
      </c>
      <c r="BI1684" s="180">
        <v>-0.52600000000000002</v>
      </c>
      <c r="BJ1684" s="191">
        <v>44470</v>
      </c>
      <c r="BK1684" s="192" t="s">
        <v>272</v>
      </c>
      <c r="BN1684" s="94">
        <v>44537</v>
      </c>
      <c r="BO1684" s="95" t="s">
        <v>226</v>
      </c>
      <c r="BP1684" s="96">
        <v>13.7</v>
      </c>
    </row>
    <row r="1685" spans="60:68" ht="15">
      <c r="BH1685" s="187">
        <v>44473</v>
      </c>
      <c r="BI1685" s="180">
        <v>-0.52700000000000002</v>
      </c>
      <c r="BJ1685" s="191">
        <v>44473</v>
      </c>
      <c r="BK1685" s="192" t="s">
        <v>273</v>
      </c>
      <c r="BN1685" s="94">
        <v>44539</v>
      </c>
      <c r="BO1685" s="95" t="s">
        <v>226</v>
      </c>
      <c r="BP1685" s="96">
        <v>13.69</v>
      </c>
    </row>
    <row r="1686" spans="60:68" ht="15">
      <c r="BH1686" s="187">
        <v>44474</v>
      </c>
      <c r="BI1686" s="180">
        <v>-0.52500000000000002</v>
      </c>
      <c r="BJ1686" s="191">
        <v>44474</v>
      </c>
      <c r="BK1686" s="192" t="s">
        <v>274</v>
      </c>
      <c r="BN1686" s="94">
        <v>44540</v>
      </c>
      <c r="BO1686" s="95" t="s">
        <v>148</v>
      </c>
      <c r="BP1686" s="96">
        <v>13.69</v>
      </c>
    </row>
    <row r="1687" spans="60:68" ht="15">
      <c r="BH1687" s="187">
        <v>44475</v>
      </c>
      <c r="BI1687" s="180">
        <v>-0.53</v>
      </c>
      <c r="BJ1687" s="191">
        <v>44475</v>
      </c>
      <c r="BK1687" s="192" t="s">
        <v>362</v>
      </c>
      <c r="BN1687" s="94">
        <v>44543</v>
      </c>
      <c r="BO1687" s="95" t="s">
        <v>382</v>
      </c>
      <c r="BP1687" s="96">
        <v>13.68</v>
      </c>
    </row>
    <row r="1688" spans="60:68" ht="15">
      <c r="BH1688" s="187">
        <v>44476</v>
      </c>
      <c r="BI1688" s="180">
        <v>-0.52600000000000002</v>
      </c>
      <c r="BJ1688" s="191">
        <v>44476</v>
      </c>
      <c r="BK1688" s="192" t="s">
        <v>253</v>
      </c>
      <c r="BN1688" s="94">
        <v>44544</v>
      </c>
      <c r="BO1688" s="95" t="s">
        <v>149</v>
      </c>
      <c r="BP1688" s="96">
        <v>13.68</v>
      </c>
    </row>
    <row r="1689" spans="60:68" ht="15">
      <c r="BH1689" s="187">
        <v>44477</v>
      </c>
      <c r="BI1689" s="180">
        <v>-0.51800000000000002</v>
      </c>
      <c r="BJ1689" s="191">
        <v>44477</v>
      </c>
      <c r="BK1689" s="192" t="s">
        <v>148</v>
      </c>
      <c r="BN1689" s="94">
        <v>44545</v>
      </c>
      <c r="BO1689" s="95" t="s">
        <v>253</v>
      </c>
      <c r="BP1689" s="96">
        <v>13.67</v>
      </c>
    </row>
    <row r="1690" spans="60:68" ht="15">
      <c r="BH1690" s="187">
        <v>44480</v>
      </c>
      <c r="BI1690" s="180">
        <v>-0.52100000000000002</v>
      </c>
      <c r="BJ1690" s="191">
        <v>44480</v>
      </c>
      <c r="BK1690" s="192" t="s">
        <v>379</v>
      </c>
      <c r="BN1690" s="94">
        <v>44546</v>
      </c>
      <c r="BO1690" s="95" t="s">
        <v>150</v>
      </c>
      <c r="BP1690" s="96">
        <v>13.66</v>
      </c>
    </row>
    <row r="1691" spans="60:68" ht="15">
      <c r="BH1691" s="187">
        <v>44481</v>
      </c>
      <c r="BI1691" s="180">
        <v>-0.52300000000000002</v>
      </c>
      <c r="BJ1691" s="191">
        <v>44481</v>
      </c>
      <c r="BK1691" s="192" t="s">
        <v>92</v>
      </c>
      <c r="BN1691" s="94">
        <v>44547</v>
      </c>
      <c r="BO1691" s="95" t="s">
        <v>383</v>
      </c>
      <c r="BP1691" s="96">
        <v>13.65</v>
      </c>
    </row>
    <row r="1692" spans="60:68" ht="15">
      <c r="BH1692" s="187">
        <v>44482</v>
      </c>
      <c r="BI1692" s="180">
        <v>-0.52400000000000002</v>
      </c>
      <c r="BJ1692" s="191">
        <v>44482</v>
      </c>
      <c r="BK1692" s="192" t="s">
        <v>214</v>
      </c>
      <c r="BN1692" s="94">
        <v>44550</v>
      </c>
      <c r="BO1692" s="95" t="s">
        <v>362</v>
      </c>
      <c r="BP1692" s="96">
        <v>13.64</v>
      </c>
    </row>
    <row r="1693" spans="60:68" ht="15">
      <c r="BH1693" s="187">
        <v>44483</v>
      </c>
      <c r="BI1693" s="180">
        <v>-0.52300000000000002</v>
      </c>
      <c r="BJ1693" s="191">
        <v>44483</v>
      </c>
      <c r="BK1693" s="192" t="s">
        <v>266</v>
      </c>
      <c r="BN1693" s="94">
        <v>44551</v>
      </c>
      <c r="BO1693" s="95" t="s">
        <v>383</v>
      </c>
      <c r="BP1693" s="96">
        <v>13.65</v>
      </c>
    </row>
    <row r="1694" spans="60:68" ht="15">
      <c r="BH1694" s="187">
        <v>44484</v>
      </c>
      <c r="BI1694" s="180">
        <v>-0.52800000000000002</v>
      </c>
      <c r="BJ1694" s="191">
        <v>44484</v>
      </c>
      <c r="BK1694" s="192" t="s">
        <v>86</v>
      </c>
      <c r="BN1694" s="94">
        <v>44552</v>
      </c>
      <c r="BO1694" s="95" t="s">
        <v>268</v>
      </c>
      <c r="BP1694" s="96">
        <v>13.65</v>
      </c>
    </row>
    <row r="1695" spans="60:68" ht="15">
      <c r="BH1695" s="187">
        <v>44487</v>
      </c>
      <c r="BI1695" s="180">
        <v>-0.52700000000000002</v>
      </c>
      <c r="BJ1695" s="191">
        <v>44487</v>
      </c>
      <c r="BK1695" s="192" t="s">
        <v>223</v>
      </c>
      <c r="BN1695" s="94">
        <v>44553</v>
      </c>
      <c r="BO1695" s="95" t="s">
        <v>383</v>
      </c>
      <c r="BP1695" s="96">
        <v>13.65</v>
      </c>
    </row>
    <row r="1696" spans="60:68" ht="15">
      <c r="BH1696" s="187">
        <v>44488</v>
      </c>
      <c r="BI1696" s="180">
        <v>-0.52400000000000002</v>
      </c>
      <c r="BJ1696" s="191">
        <v>44488</v>
      </c>
      <c r="BK1696" s="192" t="s">
        <v>80</v>
      </c>
      <c r="BN1696" s="94">
        <v>44557</v>
      </c>
      <c r="BO1696" s="95" t="s">
        <v>383</v>
      </c>
      <c r="BP1696" s="96">
        <v>13.63</v>
      </c>
    </row>
    <row r="1697" spans="60:68" ht="15">
      <c r="BH1697" s="187">
        <v>44489</v>
      </c>
      <c r="BI1697" s="180">
        <v>-0.52700000000000002</v>
      </c>
      <c r="BJ1697" s="191">
        <v>44489</v>
      </c>
      <c r="BK1697" s="192" t="s">
        <v>102</v>
      </c>
      <c r="BN1697" s="94">
        <v>44558</v>
      </c>
      <c r="BO1697" s="95" t="s">
        <v>208</v>
      </c>
      <c r="BP1697" s="96">
        <v>13.63</v>
      </c>
    </row>
    <row r="1698" spans="60:68" ht="15">
      <c r="BH1698" s="187">
        <v>44490</v>
      </c>
      <c r="BI1698" s="180">
        <v>-0.53200000000000003</v>
      </c>
      <c r="BJ1698" s="191">
        <v>44490</v>
      </c>
      <c r="BK1698" s="192" t="s">
        <v>76</v>
      </c>
      <c r="BN1698" s="94">
        <v>44559</v>
      </c>
      <c r="BO1698" s="95" t="s">
        <v>384</v>
      </c>
      <c r="BP1698" s="96">
        <v>13.63</v>
      </c>
    </row>
    <row r="1699" spans="60:68" ht="15">
      <c r="BH1699" s="187">
        <v>44491</v>
      </c>
      <c r="BI1699" s="180">
        <v>-0.53400000000000003</v>
      </c>
      <c r="BJ1699" s="191">
        <v>44491</v>
      </c>
      <c r="BK1699" s="192" t="s">
        <v>99</v>
      </c>
      <c r="BN1699" s="94">
        <v>44560</v>
      </c>
      <c r="BO1699" s="95" t="s">
        <v>379</v>
      </c>
      <c r="BP1699" s="96">
        <v>13.63</v>
      </c>
    </row>
    <row r="1700" spans="60:68" ht="15">
      <c r="BH1700" s="187">
        <v>44494</v>
      </c>
      <c r="BI1700" s="180">
        <v>-0.52800000000000002</v>
      </c>
      <c r="BJ1700" s="191">
        <v>44494</v>
      </c>
      <c r="BK1700" s="192" t="s">
        <v>101</v>
      </c>
      <c r="BN1700" s="94">
        <v>44561</v>
      </c>
      <c r="BO1700" s="95" t="s">
        <v>211</v>
      </c>
      <c r="BP1700" s="96">
        <v>13.62</v>
      </c>
    </row>
    <row r="1701" spans="60:68" ht="15">
      <c r="BH1701" s="187">
        <v>44495</v>
      </c>
      <c r="BI1701" s="180">
        <v>-0.53300000000000003</v>
      </c>
      <c r="BJ1701" s="191"/>
      <c r="BK1701" s="193" t="str">
        <f>+BK1700</f>
        <v>−0,144</v>
      </c>
      <c r="BN1701" s="94">
        <v>44564</v>
      </c>
      <c r="BO1701" s="95" t="s">
        <v>212</v>
      </c>
      <c r="BP1701" s="96">
        <v>13.62</v>
      </c>
    </row>
    <row r="1702" spans="60:68" ht="15">
      <c r="BH1702" s="187">
        <v>44496</v>
      </c>
      <c r="BI1702" s="180">
        <v>-0.53600000000000003</v>
      </c>
      <c r="BJ1702" s="191">
        <v>44496</v>
      </c>
      <c r="BK1702" s="192" t="s">
        <v>108</v>
      </c>
      <c r="BN1702" s="94">
        <v>44565</v>
      </c>
      <c r="BO1702" s="95" t="s">
        <v>86</v>
      </c>
      <c r="BP1702" s="96">
        <v>13.61</v>
      </c>
    </row>
    <row r="1703" spans="60:68" ht="15">
      <c r="BH1703" s="187">
        <v>44497</v>
      </c>
      <c r="BI1703" s="180">
        <v>-0.53300000000000003</v>
      </c>
      <c r="BJ1703" s="191">
        <v>44497</v>
      </c>
      <c r="BK1703" s="192" t="s">
        <v>109</v>
      </c>
      <c r="BN1703" s="94">
        <v>44566</v>
      </c>
      <c r="BO1703" s="95" t="s">
        <v>368</v>
      </c>
      <c r="BP1703" s="96">
        <v>13.61</v>
      </c>
    </row>
    <row r="1704" spans="60:68" ht="15">
      <c r="BH1704" s="187">
        <v>44498</v>
      </c>
      <c r="BI1704" s="180">
        <v>-0.52700000000000002</v>
      </c>
      <c r="BJ1704" s="191">
        <v>44498</v>
      </c>
      <c r="BK1704" s="192" t="s">
        <v>365</v>
      </c>
      <c r="BN1704" s="94">
        <v>44568</v>
      </c>
      <c r="BO1704" s="95" t="s">
        <v>78</v>
      </c>
      <c r="BP1704" s="96">
        <v>13.6</v>
      </c>
    </row>
    <row r="1705" spans="60:68" ht="15">
      <c r="BH1705" s="187">
        <v>44501</v>
      </c>
      <c r="BI1705" s="180">
        <v>-0.52900000000000003</v>
      </c>
      <c r="BJ1705" s="191"/>
      <c r="BK1705" s="193">
        <v>-0.13400000000000001</v>
      </c>
      <c r="BL1705" s="111">
        <f>+(BI1705+BK1705)/2+0.37</f>
        <v>3.8499999999999979E-2</v>
      </c>
      <c r="BN1705" s="94">
        <v>44571</v>
      </c>
      <c r="BO1705" s="95" t="s">
        <v>143</v>
      </c>
      <c r="BP1705" s="96">
        <v>13.6</v>
      </c>
    </row>
    <row r="1706" spans="60:68" ht="15">
      <c r="BH1706" s="187">
        <v>44502</v>
      </c>
      <c r="BI1706" s="180">
        <v>-0.53400000000000003</v>
      </c>
      <c r="BJ1706" s="191">
        <v>44502</v>
      </c>
      <c r="BK1706" s="192" t="s">
        <v>366</v>
      </c>
      <c r="BN1706" s="94">
        <v>44572</v>
      </c>
      <c r="BO1706" s="95" t="s">
        <v>363</v>
      </c>
      <c r="BP1706" s="96">
        <v>13.59</v>
      </c>
    </row>
    <row r="1707" spans="60:68" ht="15">
      <c r="BH1707" s="187">
        <v>44503</v>
      </c>
      <c r="BI1707" s="180">
        <v>-0.53800000000000003</v>
      </c>
      <c r="BJ1707" s="191">
        <v>44503</v>
      </c>
      <c r="BK1707" s="192" t="s">
        <v>71</v>
      </c>
      <c r="BN1707" s="94">
        <v>44573</v>
      </c>
      <c r="BO1707" s="95" t="s">
        <v>265</v>
      </c>
      <c r="BP1707" s="96">
        <v>13.59</v>
      </c>
    </row>
    <row r="1708" spans="60:68" ht="15">
      <c r="BH1708" s="187">
        <v>44504</v>
      </c>
      <c r="BI1708" s="180">
        <v>-0.53800000000000003</v>
      </c>
      <c r="BJ1708" s="191">
        <v>44504</v>
      </c>
      <c r="BK1708" s="192" t="s">
        <v>380</v>
      </c>
      <c r="BN1708" s="94">
        <v>44574</v>
      </c>
      <c r="BO1708" s="95" t="s">
        <v>385</v>
      </c>
      <c r="BP1708" s="96">
        <v>13.62</v>
      </c>
    </row>
    <row r="1709" spans="60:68" ht="15">
      <c r="BH1709" s="187">
        <v>44505</v>
      </c>
      <c r="BI1709" s="180">
        <v>-0.53600000000000003</v>
      </c>
      <c r="BJ1709" s="191">
        <v>44505</v>
      </c>
      <c r="BK1709" s="192" t="s">
        <v>112</v>
      </c>
      <c r="BN1709" s="94">
        <v>44575</v>
      </c>
      <c r="BO1709" s="95" t="s">
        <v>386</v>
      </c>
      <c r="BP1709" s="96">
        <v>13.62</v>
      </c>
    </row>
    <row r="1710" spans="60:68" ht="15">
      <c r="BH1710" s="187">
        <v>44508</v>
      </c>
      <c r="BI1710" s="180">
        <v>-0.53700000000000003</v>
      </c>
      <c r="BJ1710" s="191">
        <v>44508</v>
      </c>
      <c r="BK1710" s="192" t="s">
        <v>366</v>
      </c>
      <c r="BN1710" s="94">
        <v>44578</v>
      </c>
      <c r="BO1710" s="95" t="s">
        <v>387</v>
      </c>
      <c r="BP1710" s="96">
        <v>13.61</v>
      </c>
    </row>
    <row r="1711" spans="60:68" ht="15">
      <c r="BH1711" s="187">
        <v>44509</v>
      </c>
      <c r="BI1711" s="180">
        <v>-0.53300000000000003</v>
      </c>
      <c r="BJ1711" s="191">
        <v>44509</v>
      </c>
      <c r="BK1711" s="192" t="s">
        <v>364</v>
      </c>
      <c r="BN1711" s="94">
        <v>44579</v>
      </c>
      <c r="BO1711" s="95" t="s">
        <v>256</v>
      </c>
      <c r="BP1711" s="96">
        <v>13.6</v>
      </c>
    </row>
    <row r="1712" spans="60:68" ht="15">
      <c r="BH1712" s="187">
        <v>44510</v>
      </c>
      <c r="BI1712" s="180">
        <v>-0.53200000000000003</v>
      </c>
      <c r="BJ1712" s="191">
        <v>44510</v>
      </c>
      <c r="BK1712" s="192" t="s">
        <v>142</v>
      </c>
      <c r="BN1712" s="94">
        <v>44580</v>
      </c>
      <c r="BO1712" s="95" t="s">
        <v>388</v>
      </c>
      <c r="BP1712" s="96">
        <v>13.6</v>
      </c>
    </row>
    <row r="1713" spans="60:68" ht="15">
      <c r="BH1713" s="187">
        <v>44511</v>
      </c>
      <c r="BI1713" s="180">
        <v>-0.52700000000000002</v>
      </c>
      <c r="BJ1713" s="191">
        <v>44511</v>
      </c>
      <c r="BK1713" s="192" t="s">
        <v>73</v>
      </c>
      <c r="BN1713" s="94">
        <v>44581</v>
      </c>
      <c r="BO1713" s="95" t="s">
        <v>389</v>
      </c>
      <c r="BP1713" s="96">
        <v>13.6</v>
      </c>
    </row>
    <row r="1714" spans="60:68" ht="15">
      <c r="BH1714" s="187">
        <v>44512</v>
      </c>
      <c r="BI1714" s="180">
        <v>-0.53300000000000003</v>
      </c>
      <c r="BJ1714" s="191">
        <v>44512</v>
      </c>
      <c r="BK1714" s="192" t="s">
        <v>75</v>
      </c>
      <c r="BN1714" s="94">
        <v>44582</v>
      </c>
      <c r="BO1714" s="95" t="s">
        <v>390</v>
      </c>
      <c r="BP1714" s="96">
        <v>13.6</v>
      </c>
    </row>
    <row r="1715" spans="60:68" ht="15">
      <c r="BH1715" s="187">
        <v>44515</v>
      </c>
      <c r="BI1715" s="180">
        <v>-0.52800000000000002</v>
      </c>
      <c r="BJ1715" s="191">
        <v>44515</v>
      </c>
      <c r="BK1715" s="192" t="s">
        <v>97</v>
      </c>
      <c r="BN1715" s="94">
        <v>44585</v>
      </c>
      <c r="BO1715" s="95" t="s">
        <v>122</v>
      </c>
      <c r="BP1715" s="96">
        <v>13.59</v>
      </c>
    </row>
    <row r="1716" spans="60:68" ht="15">
      <c r="BH1716" s="187">
        <v>44516</v>
      </c>
      <c r="BI1716" s="180">
        <v>-0.53</v>
      </c>
      <c r="BJ1716" s="191">
        <v>44516</v>
      </c>
      <c r="BK1716" s="192" t="s">
        <v>221</v>
      </c>
      <c r="BN1716" s="94">
        <v>44586</v>
      </c>
      <c r="BO1716" s="95" t="s">
        <v>391</v>
      </c>
      <c r="BP1716" s="96">
        <v>13.59</v>
      </c>
    </row>
    <row r="1717" spans="60:68" ht="15">
      <c r="BH1717" s="187">
        <v>44517</v>
      </c>
      <c r="BI1717" s="180">
        <v>-0.53800000000000003</v>
      </c>
      <c r="BJ1717" s="191">
        <v>44517</v>
      </c>
      <c r="BK1717" s="192" t="s">
        <v>103</v>
      </c>
      <c r="BN1717" s="94">
        <v>44587</v>
      </c>
      <c r="BO1717" s="95" t="s">
        <v>392</v>
      </c>
      <c r="BP1717" s="96">
        <v>13.7</v>
      </c>
    </row>
    <row r="1718" spans="60:68" ht="15">
      <c r="BH1718" s="187">
        <v>44518</v>
      </c>
      <c r="BI1718" s="180">
        <v>-0.53300000000000003</v>
      </c>
      <c r="BJ1718" s="191">
        <v>44518</v>
      </c>
      <c r="BK1718" s="192" t="s">
        <v>80</v>
      </c>
      <c r="BN1718" s="94">
        <v>44588</v>
      </c>
      <c r="BO1718" s="95" t="s">
        <v>124</v>
      </c>
      <c r="BP1718" s="96">
        <v>13.7</v>
      </c>
    </row>
    <row r="1719" spans="60:68" ht="15">
      <c r="BH1719" s="187">
        <v>44519</v>
      </c>
      <c r="BI1719" s="180">
        <v>-0.52800000000000002</v>
      </c>
      <c r="BJ1719" s="191">
        <v>44519</v>
      </c>
      <c r="BK1719" s="192" t="s">
        <v>223</v>
      </c>
      <c r="BN1719" s="94">
        <v>44589</v>
      </c>
      <c r="BO1719" s="95" t="s">
        <v>393</v>
      </c>
      <c r="BP1719" s="96">
        <v>13.7</v>
      </c>
    </row>
    <row r="1720" spans="60:68" ht="15">
      <c r="BH1720" s="187">
        <v>44522</v>
      </c>
      <c r="BI1720" s="180">
        <v>-0.52800000000000002</v>
      </c>
      <c r="BJ1720" s="191">
        <v>44522</v>
      </c>
      <c r="BK1720" s="192" t="s">
        <v>78</v>
      </c>
      <c r="BN1720" s="94">
        <v>44592</v>
      </c>
      <c r="BO1720" s="95" t="s">
        <v>394</v>
      </c>
      <c r="BP1720" s="96">
        <v>13.69</v>
      </c>
    </row>
    <row r="1721" spans="60:68" ht="15">
      <c r="BH1721" s="187">
        <v>44523</v>
      </c>
      <c r="BI1721" s="180">
        <v>-0.53300000000000003</v>
      </c>
      <c r="BJ1721" s="191">
        <v>44523</v>
      </c>
      <c r="BK1721" s="192" t="s">
        <v>367</v>
      </c>
      <c r="BN1721" s="94">
        <v>44593</v>
      </c>
      <c r="BO1721" s="95">
        <v>0</v>
      </c>
      <c r="BP1721" s="96">
        <v>13.77</v>
      </c>
    </row>
    <row r="1722" spans="60:68" ht="15">
      <c r="BH1722" s="187">
        <v>44524</v>
      </c>
      <c r="BI1722" s="180">
        <v>-0.54</v>
      </c>
      <c r="BJ1722" s="191">
        <v>44524</v>
      </c>
      <c r="BK1722" s="192" t="s">
        <v>219</v>
      </c>
      <c r="BN1722" s="94">
        <v>44594</v>
      </c>
      <c r="BO1722" s="95">
        <v>7.0000000000000001E-3</v>
      </c>
      <c r="BP1722" s="96">
        <v>13.77</v>
      </c>
    </row>
    <row r="1723" spans="60:68" ht="15">
      <c r="BH1723" s="187">
        <v>44525</v>
      </c>
      <c r="BI1723" s="180">
        <v>-0.54200000000000004</v>
      </c>
      <c r="BJ1723" s="191">
        <v>44525</v>
      </c>
      <c r="BK1723" s="192" t="s">
        <v>368</v>
      </c>
      <c r="BN1723" s="94">
        <v>44595</v>
      </c>
      <c r="BO1723" s="95">
        <v>1.6E-2</v>
      </c>
      <c r="BP1723" s="96">
        <v>13.77</v>
      </c>
    </row>
    <row r="1724" spans="60:68" ht="15">
      <c r="BH1724" s="187">
        <v>44526</v>
      </c>
      <c r="BI1724" s="180">
        <v>-0.53700000000000003</v>
      </c>
      <c r="BJ1724" s="191">
        <v>44526</v>
      </c>
      <c r="BK1724" s="192" t="s">
        <v>381</v>
      </c>
      <c r="BN1724" s="94">
        <v>44596</v>
      </c>
      <c r="BO1724" s="95">
        <v>0.03</v>
      </c>
      <c r="BP1724" s="96">
        <v>13.76</v>
      </c>
    </row>
    <row r="1725" spans="60:68" ht="15">
      <c r="BH1725" s="187">
        <v>44529</v>
      </c>
      <c r="BI1725" s="180">
        <v>-0.53600000000000003</v>
      </c>
      <c r="BJ1725" s="191">
        <v>44529</v>
      </c>
      <c r="BK1725" s="192" t="s">
        <v>266</v>
      </c>
      <c r="BN1725" s="94">
        <v>44599</v>
      </c>
      <c r="BO1725" s="95">
        <v>4.5999999999999999E-2</v>
      </c>
      <c r="BP1725" s="96">
        <v>13.75</v>
      </c>
    </row>
    <row r="1726" spans="60:68" ht="15">
      <c r="BH1726" s="187">
        <v>44530</v>
      </c>
      <c r="BI1726" s="180">
        <v>-0.53800000000000003</v>
      </c>
      <c r="BJ1726" s="191">
        <v>44530</v>
      </c>
      <c r="BK1726" s="192" t="s">
        <v>89</v>
      </c>
      <c r="BN1726" s="94">
        <v>44600</v>
      </c>
      <c r="BO1726" s="95">
        <v>6.2E-2</v>
      </c>
      <c r="BP1726" s="96">
        <v>13.74</v>
      </c>
    </row>
    <row r="1727" spans="60:68" ht="15">
      <c r="BH1727" s="187">
        <v>44531</v>
      </c>
      <c r="BI1727" s="180">
        <v>-0.54100000000000004</v>
      </c>
      <c r="BJ1727" s="191">
        <v>44531</v>
      </c>
      <c r="BK1727" s="192" t="s">
        <v>93</v>
      </c>
      <c r="BN1727" s="94">
        <v>44601</v>
      </c>
      <c r="BO1727" s="95">
        <v>7.6999999999999999E-2</v>
      </c>
      <c r="BP1727" s="96">
        <v>13.74</v>
      </c>
    </row>
    <row r="1728" spans="60:68" ht="15">
      <c r="BH1728" s="187">
        <v>44532</v>
      </c>
      <c r="BI1728" s="180">
        <v>-0.54100000000000004</v>
      </c>
      <c r="BJ1728" s="191">
        <v>44532</v>
      </c>
      <c r="BK1728" s="192" t="s">
        <v>144</v>
      </c>
      <c r="BN1728" s="94">
        <v>44602</v>
      </c>
      <c r="BO1728" s="95">
        <v>9.4E-2</v>
      </c>
      <c r="BP1728" s="96">
        <v>13.74</v>
      </c>
    </row>
    <row r="1729" spans="60:68" ht="15">
      <c r="BH1729" s="187">
        <v>44533</v>
      </c>
      <c r="BI1729" s="180">
        <v>-0.53700000000000003</v>
      </c>
      <c r="BJ1729" s="191">
        <v>44533</v>
      </c>
      <c r="BK1729" s="192" t="s">
        <v>225</v>
      </c>
      <c r="BN1729" s="94">
        <v>44603</v>
      </c>
      <c r="BO1729" s="95">
        <v>0.114</v>
      </c>
      <c r="BP1729" s="96">
        <v>13.74</v>
      </c>
    </row>
    <row r="1730" spans="60:68" ht="15">
      <c r="BH1730" s="187">
        <v>44536</v>
      </c>
      <c r="BI1730" s="180">
        <v>-0.54300000000000004</v>
      </c>
      <c r="BJ1730" s="191">
        <v>44536</v>
      </c>
      <c r="BK1730" s="192" t="s">
        <v>147</v>
      </c>
      <c r="BN1730" s="94">
        <v>44606</v>
      </c>
      <c r="BO1730" s="95">
        <v>0.13</v>
      </c>
      <c r="BP1730" s="96">
        <v>13.73</v>
      </c>
    </row>
    <row r="1731" spans="60:68" ht="15">
      <c r="BH1731" s="187">
        <v>44537</v>
      </c>
      <c r="BI1731" s="180">
        <v>-0.53800000000000003</v>
      </c>
      <c r="BJ1731" s="191">
        <v>44537</v>
      </c>
      <c r="BK1731" s="192" t="s">
        <v>226</v>
      </c>
      <c r="BN1731" s="94">
        <v>44607</v>
      </c>
      <c r="BO1731" s="95">
        <v>0.14699999999999999</v>
      </c>
      <c r="BP1731" s="96">
        <v>13.73</v>
      </c>
    </row>
    <row r="1732" spans="60:68" ht="15">
      <c r="BH1732" s="187">
        <v>44538</v>
      </c>
      <c r="BI1732" s="180">
        <v>-0.54</v>
      </c>
      <c r="BJ1732" s="191"/>
      <c r="BK1732" s="193" t="str">
        <f>+BK1731</f>
        <v>−0,208</v>
      </c>
      <c r="BN1732" s="94">
        <v>44608</v>
      </c>
      <c r="BO1732" s="95">
        <v>0.16300000000000001</v>
      </c>
      <c r="BP1732" s="96">
        <v>13.72</v>
      </c>
    </row>
    <row r="1733" spans="60:68" ht="15">
      <c r="BH1733" s="187">
        <v>44539</v>
      </c>
      <c r="BI1733" s="180">
        <v>-0.54600000000000004</v>
      </c>
      <c r="BJ1733" s="191">
        <v>44539</v>
      </c>
      <c r="BK1733" s="192" t="s">
        <v>226</v>
      </c>
      <c r="BN1733" s="94">
        <v>44609</v>
      </c>
      <c r="BO1733" s="95">
        <v>0.17899999999999999</v>
      </c>
      <c r="BP1733" s="96">
        <v>13.72</v>
      </c>
    </row>
    <row r="1734" spans="60:68" ht="15">
      <c r="BH1734" s="187">
        <v>44540</v>
      </c>
      <c r="BI1734" s="180">
        <v>-0.54300000000000004</v>
      </c>
      <c r="BJ1734" s="191">
        <v>44540</v>
      </c>
      <c r="BK1734" s="192" t="s">
        <v>148</v>
      </c>
      <c r="BN1734" s="94">
        <v>44610</v>
      </c>
      <c r="BO1734" s="95">
        <v>0.193</v>
      </c>
      <c r="BP1734" s="96">
        <v>13.72</v>
      </c>
    </row>
    <row r="1735" spans="60:68" ht="15">
      <c r="BH1735" s="187">
        <v>44543</v>
      </c>
      <c r="BI1735" s="180">
        <v>-0.54700000000000004</v>
      </c>
      <c r="BJ1735" s="191">
        <v>44543</v>
      </c>
      <c r="BK1735" s="192" t="s">
        <v>382</v>
      </c>
      <c r="BN1735" s="94">
        <v>44613</v>
      </c>
      <c r="BO1735" s="95">
        <v>0.21</v>
      </c>
      <c r="BP1735" s="96">
        <v>13.71</v>
      </c>
    </row>
    <row r="1736" spans="60:68" ht="15">
      <c r="BH1736" s="187">
        <v>44544</v>
      </c>
      <c r="BI1736" s="180">
        <v>-0.54500000000000004</v>
      </c>
      <c r="BJ1736" s="191">
        <v>44544</v>
      </c>
      <c r="BK1736" s="192" t="s">
        <v>149</v>
      </c>
      <c r="BN1736" s="94">
        <v>44614</v>
      </c>
      <c r="BO1736" s="95">
        <v>0.22700000000000001</v>
      </c>
      <c r="BP1736" s="96">
        <v>13.71</v>
      </c>
    </row>
    <row r="1737" spans="60:68" ht="15">
      <c r="BH1737" s="187">
        <v>44545</v>
      </c>
      <c r="BI1737" s="180">
        <v>-0.54700000000000004</v>
      </c>
      <c r="BJ1737" s="191">
        <v>44545</v>
      </c>
      <c r="BK1737" s="192" t="s">
        <v>253</v>
      </c>
      <c r="BN1737" s="94">
        <v>44615</v>
      </c>
      <c r="BO1737" s="95">
        <v>0.24399999999999999</v>
      </c>
      <c r="BP1737" s="96">
        <v>13.7</v>
      </c>
    </row>
    <row r="1738" spans="60:68" ht="15">
      <c r="BH1738" s="187">
        <v>44546</v>
      </c>
      <c r="BI1738" s="180">
        <v>-0.54800000000000004</v>
      </c>
      <c r="BJ1738" s="191">
        <v>44546</v>
      </c>
      <c r="BK1738" s="192" t="s">
        <v>150</v>
      </c>
      <c r="BN1738" s="94">
        <v>44616</v>
      </c>
      <c r="BO1738" s="95">
        <v>0.25700000000000001</v>
      </c>
      <c r="BP1738" s="96">
        <v>13.69</v>
      </c>
    </row>
    <row r="1739" spans="60:68" ht="15">
      <c r="BH1739" s="187">
        <v>44547</v>
      </c>
      <c r="BI1739" s="180">
        <v>-0.55100000000000005</v>
      </c>
      <c r="BJ1739" s="191">
        <v>44547</v>
      </c>
      <c r="BK1739" s="192" t="s">
        <v>383</v>
      </c>
      <c r="BN1739" s="94">
        <v>44617</v>
      </c>
      <c r="BO1739" s="95">
        <v>0.27100000000000002</v>
      </c>
      <c r="BP1739" s="96">
        <v>13.68</v>
      </c>
    </row>
    <row r="1740" spans="60:68" ht="15">
      <c r="BH1740" s="187">
        <v>44550</v>
      </c>
      <c r="BI1740" s="180">
        <v>-0.55400000000000005</v>
      </c>
      <c r="BJ1740" s="191">
        <v>44550</v>
      </c>
      <c r="BK1740" s="192" t="s">
        <v>362</v>
      </c>
      <c r="BN1740" s="94">
        <v>44620</v>
      </c>
      <c r="BO1740" s="95">
        <v>0.28199999999999997</v>
      </c>
      <c r="BP1740" s="96">
        <v>13.67</v>
      </c>
    </row>
    <row r="1741" spans="60:68" ht="15">
      <c r="BH1741" s="187">
        <v>44551</v>
      </c>
      <c r="BI1741" s="180">
        <v>-0.55100000000000005</v>
      </c>
      <c r="BJ1741" s="191">
        <v>44551</v>
      </c>
      <c r="BK1741" s="192" t="s">
        <v>383</v>
      </c>
      <c r="BN1741" s="94">
        <v>44621</v>
      </c>
      <c r="BO1741" s="95">
        <v>0.28499999999999998</v>
      </c>
      <c r="BP1741" s="96">
        <v>13.67</v>
      </c>
    </row>
    <row r="1742" spans="60:68" ht="15">
      <c r="BH1742" s="187">
        <v>44552</v>
      </c>
      <c r="BI1742" s="180">
        <v>-0.54500000000000004</v>
      </c>
      <c r="BJ1742" s="191">
        <v>44552</v>
      </c>
      <c r="BK1742" s="192" t="s">
        <v>268</v>
      </c>
      <c r="BN1742" s="94">
        <v>44622</v>
      </c>
      <c r="BO1742" s="95">
        <v>0.28599999999999998</v>
      </c>
      <c r="BP1742" s="96">
        <v>13.67</v>
      </c>
    </row>
    <row r="1743" spans="60:68" ht="15">
      <c r="BH1743" s="187">
        <v>44553</v>
      </c>
      <c r="BI1743" s="180">
        <v>-0.53700000000000003</v>
      </c>
      <c r="BJ1743" s="191">
        <v>44553</v>
      </c>
      <c r="BK1743" s="192" t="s">
        <v>383</v>
      </c>
      <c r="BN1743" s="94">
        <v>44623</v>
      </c>
      <c r="BO1743" s="95">
        <v>0.28899999999999998</v>
      </c>
      <c r="BP1743" s="96">
        <v>13.67</v>
      </c>
    </row>
    <row r="1744" spans="60:68" ht="15">
      <c r="BH1744" s="187">
        <v>44554</v>
      </c>
      <c r="BI1744" s="180">
        <v>-0.54400000000000004</v>
      </c>
      <c r="BJ1744" s="191"/>
      <c r="BK1744" s="193" t="str">
        <f>+BK1743</f>
        <v>−0,219</v>
      </c>
      <c r="BN1744" s="94">
        <v>44624</v>
      </c>
      <c r="BO1744" s="95">
        <v>0.28100000000000003</v>
      </c>
      <c r="BP1744" s="96">
        <v>13.66</v>
      </c>
    </row>
    <row r="1745" spans="60:68" ht="15">
      <c r="BH1745" s="187">
        <v>44557</v>
      </c>
      <c r="BI1745" s="180">
        <v>-0.54400000000000004</v>
      </c>
      <c r="BJ1745" s="191">
        <v>44557</v>
      </c>
      <c r="BK1745" s="192" t="s">
        <v>383</v>
      </c>
      <c r="BN1745" s="94">
        <v>44627</v>
      </c>
      <c r="BO1745" s="95">
        <v>0.27200000000000002</v>
      </c>
      <c r="BP1745" s="96">
        <v>13.66</v>
      </c>
    </row>
    <row r="1746" spans="60:68" ht="15">
      <c r="BH1746" s="187">
        <v>44558</v>
      </c>
      <c r="BI1746" s="180">
        <v>-0.54800000000000004</v>
      </c>
      <c r="BJ1746" s="191">
        <v>44558</v>
      </c>
      <c r="BK1746" s="192" t="s">
        <v>208</v>
      </c>
      <c r="BN1746" s="94">
        <v>44628</v>
      </c>
      <c r="BO1746" s="95">
        <v>0.26600000000000001</v>
      </c>
      <c r="BP1746" s="96">
        <v>13.72</v>
      </c>
    </row>
    <row r="1747" spans="60:68" ht="15">
      <c r="BH1747" s="187">
        <v>44559</v>
      </c>
      <c r="BI1747" s="180">
        <v>-0.54400000000000004</v>
      </c>
      <c r="BJ1747" s="191">
        <v>44559</v>
      </c>
      <c r="BK1747" s="192" t="s">
        <v>384</v>
      </c>
      <c r="BN1747" s="94">
        <v>44629</v>
      </c>
      <c r="BO1747" s="95">
        <v>0.26500000000000001</v>
      </c>
      <c r="BP1747" s="96">
        <v>13.72</v>
      </c>
    </row>
    <row r="1748" spans="60:68" ht="15">
      <c r="BH1748" s="187">
        <v>44560</v>
      </c>
      <c r="BI1748" s="180">
        <v>-0.54600000000000004</v>
      </c>
      <c r="BJ1748" s="191">
        <v>44560</v>
      </c>
      <c r="BK1748" s="192" t="s">
        <v>379</v>
      </c>
      <c r="BN1748" s="94">
        <v>44630</v>
      </c>
      <c r="BO1748" s="95">
        <v>0.26300000000000001</v>
      </c>
      <c r="BP1748" s="96">
        <v>13.67</v>
      </c>
    </row>
    <row r="1749" spans="60:68" ht="15">
      <c r="BH1749" s="187">
        <v>44561</v>
      </c>
      <c r="BI1749" s="180">
        <v>-0.54600000000000004</v>
      </c>
      <c r="BJ1749" s="191">
        <v>44561</v>
      </c>
      <c r="BK1749" s="192" t="s">
        <v>211</v>
      </c>
      <c r="BN1749" s="94">
        <v>44631</v>
      </c>
      <c r="BO1749" s="95">
        <v>0.26500000000000001</v>
      </c>
      <c r="BP1749" s="96">
        <v>13.67</v>
      </c>
    </row>
    <row r="1750" spans="60:68" ht="15">
      <c r="BH1750" s="187">
        <v>44564</v>
      </c>
      <c r="BI1750" s="180">
        <v>-0.53900000000000003</v>
      </c>
      <c r="BJ1750" s="191">
        <v>44564</v>
      </c>
      <c r="BK1750" s="192" t="s">
        <v>212</v>
      </c>
      <c r="BN1750" s="94">
        <v>44634</v>
      </c>
      <c r="BO1750" s="95">
        <v>0.27200000000000002</v>
      </c>
      <c r="BP1750" s="96">
        <v>13.66</v>
      </c>
    </row>
    <row r="1751" spans="60:68" ht="15">
      <c r="BH1751" s="187">
        <v>44565</v>
      </c>
      <c r="BI1751" s="180">
        <v>-0.53500000000000003</v>
      </c>
      <c r="BJ1751" s="191">
        <v>44565</v>
      </c>
      <c r="BK1751" s="192" t="s">
        <v>86</v>
      </c>
      <c r="BN1751" s="94">
        <v>44635</v>
      </c>
      <c r="BO1751" s="95">
        <v>0.27400000000000002</v>
      </c>
      <c r="BP1751" s="96">
        <v>13.66</v>
      </c>
    </row>
    <row r="1752" spans="60:68" ht="15">
      <c r="BH1752" s="187">
        <v>44566</v>
      </c>
      <c r="BI1752" s="180">
        <v>-0.54100000000000004</v>
      </c>
      <c r="BJ1752" s="191">
        <v>44566</v>
      </c>
      <c r="BK1752" s="192" t="s">
        <v>368</v>
      </c>
      <c r="BN1752" s="94">
        <v>44636</v>
      </c>
      <c r="BO1752" s="95">
        <v>0.27800000000000002</v>
      </c>
      <c r="BP1752" s="96">
        <v>13.64</v>
      </c>
    </row>
    <row r="1753" spans="60:68" ht="15">
      <c r="BH1753" s="187">
        <v>44567</v>
      </c>
      <c r="BI1753" s="180">
        <v>-0.53400000000000003</v>
      </c>
      <c r="BJ1753" s="191"/>
      <c r="BK1753" s="193" t="str">
        <f>+BK1752</f>
        <v>−0,171</v>
      </c>
      <c r="BN1753" s="94">
        <v>44637</v>
      </c>
      <c r="BO1753" s="95">
        <v>0.28399999999999997</v>
      </c>
      <c r="BP1753" s="96">
        <v>13.63</v>
      </c>
    </row>
    <row r="1754" spans="60:68" ht="15">
      <c r="BH1754" s="187">
        <v>44568</v>
      </c>
      <c r="BI1754" s="180">
        <v>-0.53600000000000003</v>
      </c>
      <c r="BJ1754" s="191">
        <v>44568</v>
      </c>
      <c r="BK1754" s="192" t="s">
        <v>78</v>
      </c>
      <c r="BN1754" s="94">
        <v>44638</v>
      </c>
      <c r="BO1754" s="95">
        <v>0.28999999999999998</v>
      </c>
      <c r="BP1754" s="96">
        <v>13.63</v>
      </c>
    </row>
    <row r="1755" spans="60:68" ht="15">
      <c r="BH1755" s="187">
        <v>44571</v>
      </c>
      <c r="BI1755" s="180">
        <v>-0.53100000000000003</v>
      </c>
      <c r="BJ1755" s="191">
        <v>44571</v>
      </c>
      <c r="BK1755" s="192" t="s">
        <v>143</v>
      </c>
      <c r="BN1755" s="94">
        <v>44641</v>
      </c>
      <c r="BO1755" s="95">
        <v>0.29899999999999999</v>
      </c>
      <c r="BP1755" s="96">
        <v>13.62</v>
      </c>
    </row>
    <row r="1756" spans="60:68" ht="15">
      <c r="BH1756" s="187">
        <v>44572</v>
      </c>
      <c r="BI1756" s="180">
        <v>-0.52800000000000002</v>
      </c>
      <c r="BJ1756" s="191">
        <v>44572</v>
      </c>
      <c r="BK1756" s="192" t="s">
        <v>363</v>
      </c>
      <c r="BN1756" s="94">
        <v>44642</v>
      </c>
      <c r="BO1756" s="95">
        <v>0.31</v>
      </c>
      <c r="BP1756" s="96">
        <v>13.62</v>
      </c>
    </row>
    <row r="1757" spans="60:68" ht="15">
      <c r="BH1757" s="187">
        <v>44573</v>
      </c>
      <c r="BI1757" s="180">
        <v>-0.52900000000000003</v>
      </c>
      <c r="BJ1757" s="191">
        <v>44573</v>
      </c>
      <c r="BK1757" s="192" t="s">
        <v>265</v>
      </c>
      <c r="BN1757" s="94">
        <v>44643</v>
      </c>
      <c r="BO1757" s="95">
        <v>0.31900000000000001</v>
      </c>
      <c r="BP1757" s="96">
        <v>13.62</v>
      </c>
    </row>
    <row r="1758" spans="60:68" ht="15">
      <c r="BH1758" s="187">
        <v>44574</v>
      </c>
      <c r="BI1758" s="180">
        <v>-0.53400000000000003</v>
      </c>
      <c r="BJ1758" s="191">
        <v>44574</v>
      </c>
      <c r="BK1758" s="192" t="s">
        <v>385</v>
      </c>
      <c r="BN1758" s="94">
        <v>44644</v>
      </c>
      <c r="BO1758" s="95">
        <v>0.33200000000000002</v>
      </c>
      <c r="BP1758" s="96">
        <v>13.61</v>
      </c>
    </row>
    <row r="1759" spans="60:68" ht="15">
      <c r="BH1759" s="187">
        <v>44575</v>
      </c>
      <c r="BI1759" s="180">
        <v>-0.53300000000000003</v>
      </c>
      <c r="BJ1759" s="191">
        <v>44575</v>
      </c>
      <c r="BK1759" s="192" t="s">
        <v>386</v>
      </c>
      <c r="BN1759" s="94">
        <v>44645</v>
      </c>
      <c r="BO1759" s="95">
        <v>0.34399999999999997</v>
      </c>
      <c r="BP1759" s="96">
        <v>13.61</v>
      </c>
    </row>
    <row r="1760" spans="60:68" ht="15">
      <c r="BH1760" s="187">
        <v>44578</v>
      </c>
      <c r="BI1760" s="180">
        <v>-0.52300000000000002</v>
      </c>
      <c r="BJ1760" s="191">
        <v>44578</v>
      </c>
      <c r="BK1760" s="192" t="s">
        <v>387</v>
      </c>
      <c r="BN1760" s="94">
        <v>44648</v>
      </c>
      <c r="BO1760" s="95">
        <v>0.36</v>
      </c>
      <c r="BP1760" s="96">
        <v>13.6</v>
      </c>
    </row>
    <row r="1761" spans="60:68" ht="15">
      <c r="BH1761" s="187">
        <v>44579</v>
      </c>
      <c r="BI1761" s="180">
        <v>-0.52400000000000002</v>
      </c>
      <c r="BJ1761" s="191">
        <v>44579</v>
      </c>
      <c r="BK1761" s="192" t="s">
        <v>256</v>
      </c>
      <c r="BN1761" s="94">
        <v>44649</v>
      </c>
      <c r="BO1761" s="95">
        <v>0.38700000000000001</v>
      </c>
      <c r="BP1761" s="96">
        <v>13.6</v>
      </c>
    </row>
    <row r="1762" spans="60:68" ht="15">
      <c r="BH1762" s="187">
        <v>44580</v>
      </c>
      <c r="BI1762" s="180">
        <v>-0.52400000000000002</v>
      </c>
      <c r="BJ1762" s="191">
        <v>44580</v>
      </c>
      <c r="BK1762" s="192" t="s">
        <v>388</v>
      </c>
      <c r="BN1762" s="94">
        <v>44650</v>
      </c>
      <c r="BO1762" s="95">
        <v>0.42799999999999999</v>
      </c>
      <c r="BP1762" s="96">
        <v>13.53</v>
      </c>
    </row>
    <row r="1763" spans="60:68" ht="15">
      <c r="BH1763" s="187">
        <v>44581</v>
      </c>
      <c r="BI1763" s="180">
        <v>-0.52100000000000002</v>
      </c>
      <c r="BJ1763" s="191">
        <v>44581</v>
      </c>
      <c r="BK1763" s="192" t="s">
        <v>389</v>
      </c>
      <c r="BN1763" s="94">
        <v>44651</v>
      </c>
      <c r="BO1763" s="95">
        <v>0.44900000000000001</v>
      </c>
      <c r="BP1763" s="96">
        <v>13.53</v>
      </c>
    </row>
    <row r="1764" spans="60:68" ht="15">
      <c r="BH1764" s="187">
        <v>44582</v>
      </c>
      <c r="BI1764" s="180">
        <v>-0.52200000000000002</v>
      </c>
      <c r="BJ1764" s="191">
        <v>44582</v>
      </c>
      <c r="BK1764" s="192" t="s">
        <v>390</v>
      </c>
      <c r="BN1764" s="94">
        <v>44652</v>
      </c>
      <c r="BO1764" s="95">
        <v>0.47399999999999998</v>
      </c>
      <c r="BP1764" s="96">
        <v>13.53</v>
      </c>
    </row>
    <row r="1765" spans="60:68" ht="15">
      <c r="BH1765" s="187">
        <v>44585</v>
      </c>
      <c r="BI1765" s="180">
        <v>-0.52200000000000002</v>
      </c>
      <c r="BJ1765" s="191">
        <v>44585</v>
      </c>
      <c r="BK1765" s="192" t="s">
        <v>122</v>
      </c>
      <c r="BN1765" s="94">
        <v>44655</v>
      </c>
      <c r="BO1765" s="95">
        <v>0.497</v>
      </c>
      <c r="BP1765" s="96">
        <v>13.52</v>
      </c>
    </row>
    <row r="1766" spans="60:68" ht="15">
      <c r="BH1766" s="187">
        <v>44586</v>
      </c>
      <c r="BI1766" s="180">
        <v>-0.52300000000000002</v>
      </c>
      <c r="BJ1766" s="191">
        <v>44586</v>
      </c>
      <c r="BK1766" s="192" t="s">
        <v>391</v>
      </c>
      <c r="BN1766" s="94">
        <v>44656</v>
      </c>
      <c r="BO1766" s="95">
        <v>0.52200000000000002</v>
      </c>
      <c r="BP1766" s="96">
        <v>13.51</v>
      </c>
    </row>
    <row r="1767" spans="60:68" ht="15">
      <c r="BH1767" s="187">
        <v>44587</v>
      </c>
      <c r="BI1767" s="180">
        <v>-0.52400000000000002</v>
      </c>
      <c r="BJ1767" s="191">
        <v>44587</v>
      </c>
      <c r="BK1767" s="192" t="s">
        <v>392</v>
      </c>
      <c r="BN1767" s="94">
        <v>44657</v>
      </c>
      <c r="BO1767" s="95">
        <v>0.54600000000000004</v>
      </c>
      <c r="BP1767" s="96">
        <v>13.51</v>
      </c>
    </row>
    <row r="1768" spans="60:68" ht="15">
      <c r="BH1768" s="187">
        <v>44588</v>
      </c>
      <c r="BI1768" s="180">
        <v>-0.51800000000000002</v>
      </c>
      <c r="BJ1768" s="191">
        <v>44588</v>
      </c>
      <c r="BK1768" s="192" t="s">
        <v>124</v>
      </c>
      <c r="BN1768" s="94">
        <v>44658</v>
      </c>
      <c r="BO1768" s="95">
        <v>0.57099999999999995</v>
      </c>
      <c r="BP1768" s="96">
        <v>13.52</v>
      </c>
    </row>
    <row r="1769" spans="60:68" ht="15">
      <c r="BH1769" s="187">
        <v>44589</v>
      </c>
      <c r="BI1769" s="180">
        <v>-0.51900000000000002</v>
      </c>
      <c r="BJ1769" s="191">
        <v>44589</v>
      </c>
      <c r="BK1769" s="192" t="s">
        <v>393</v>
      </c>
      <c r="BN1769" s="94">
        <v>44659</v>
      </c>
      <c r="BO1769" s="95">
        <v>0.59099999999999997</v>
      </c>
      <c r="BP1769" s="96">
        <v>13.52</v>
      </c>
    </row>
    <row r="1770" spans="60:68" ht="15">
      <c r="BH1770" s="187">
        <v>44592</v>
      </c>
      <c r="BI1770" s="180">
        <v>-0.51400000000000001</v>
      </c>
      <c r="BJ1770" s="191">
        <v>44592</v>
      </c>
      <c r="BK1770" s="192" t="s">
        <v>394</v>
      </c>
      <c r="BN1770" s="94">
        <v>44662</v>
      </c>
      <c r="BO1770" s="95">
        <v>0.61199999999999999</v>
      </c>
      <c r="BP1770" s="96">
        <v>13.5</v>
      </c>
    </row>
    <row r="1771" spans="60:68" ht="15">
      <c r="BH1771" s="187">
        <v>44593</v>
      </c>
      <c r="BI1771" s="180">
        <v>-0.503</v>
      </c>
      <c r="BJ1771" s="191">
        <v>44593</v>
      </c>
      <c r="BK1771" s="192">
        <v>0</v>
      </c>
      <c r="BN1771" s="94">
        <v>44663</v>
      </c>
      <c r="BO1771" s="95">
        <v>0.63300000000000001</v>
      </c>
      <c r="BP1771" s="96">
        <v>13.5</v>
      </c>
    </row>
    <row r="1772" spans="60:68" ht="15">
      <c r="BH1772" s="187">
        <v>44594</v>
      </c>
      <c r="BI1772" s="180">
        <v>-0.502</v>
      </c>
      <c r="BJ1772" s="191">
        <v>44594</v>
      </c>
      <c r="BK1772" s="192">
        <v>7.0000000000000001E-3</v>
      </c>
      <c r="BN1772" s="94">
        <v>44664</v>
      </c>
      <c r="BO1772" s="95">
        <v>0.65300000000000002</v>
      </c>
      <c r="BP1772" s="96">
        <v>13.49</v>
      </c>
    </row>
    <row r="1773" spans="60:68" ht="15">
      <c r="BH1773" s="187">
        <v>44595</v>
      </c>
      <c r="BI1773" s="180">
        <v>-0.499</v>
      </c>
      <c r="BJ1773" s="191">
        <v>44595</v>
      </c>
      <c r="BK1773" s="192">
        <v>1.6E-2</v>
      </c>
      <c r="BN1773" s="94">
        <v>44665</v>
      </c>
      <c r="BO1773" s="95">
        <v>0.67100000000000004</v>
      </c>
      <c r="BP1773" s="96">
        <v>13.49</v>
      </c>
    </row>
    <row r="1774" spans="60:68" ht="15">
      <c r="BH1774" s="187">
        <v>44596</v>
      </c>
      <c r="BI1774" s="180">
        <v>-0.47299999999999998</v>
      </c>
      <c r="BJ1774" s="191">
        <v>44596</v>
      </c>
      <c r="BK1774" s="192">
        <v>0.03</v>
      </c>
      <c r="BN1774" s="94">
        <v>44666</v>
      </c>
      <c r="BO1774" s="95">
        <v>0.68400000000000005</v>
      </c>
      <c r="BP1774" s="96">
        <v>13.49</v>
      </c>
    </row>
    <row r="1775" spans="60:68" ht="15">
      <c r="BH1775" s="187">
        <v>44599</v>
      </c>
      <c r="BI1775" s="180">
        <v>-0.45600000000000002</v>
      </c>
      <c r="BJ1775" s="191">
        <v>44599</v>
      </c>
      <c r="BK1775" s="192">
        <v>4.5999999999999999E-2</v>
      </c>
      <c r="BN1775" s="94">
        <v>44670</v>
      </c>
      <c r="BO1775" s="95">
        <v>0.70699999999999996</v>
      </c>
      <c r="BP1775" s="96">
        <v>13.48</v>
      </c>
    </row>
    <row r="1776" spans="60:68" ht="15">
      <c r="BH1776" s="187">
        <v>44600</v>
      </c>
      <c r="BI1776" s="180">
        <v>-0.46300000000000002</v>
      </c>
      <c r="BJ1776" s="191">
        <v>44600</v>
      </c>
      <c r="BK1776" s="192">
        <v>6.2E-2</v>
      </c>
      <c r="BN1776" s="94">
        <v>44671</v>
      </c>
      <c r="BO1776" s="95">
        <v>0.754</v>
      </c>
      <c r="BP1776" s="96">
        <v>13.79</v>
      </c>
    </row>
    <row r="1777" spans="60:68" ht="15">
      <c r="BH1777" s="187">
        <v>44601</v>
      </c>
      <c r="BI1777" s="180">
        <v>-0.45700000000000002</v>
      </c>
      <c r="BJ1777" s="191">
        <v>44601</v>
      </c>
      <c r="BK1777" s="192">
        <v>7.6999999999999999E-2</v>
      </c>
      <c r="BN1777" s="94">
        <v>44672</v>
      </c>
      <c r="BO1777" s="95">
        <v>0.77300000000000002</v>
      </c>
      <c r="BP1777" s="96">
        <v>13.78</v>
      </c>
    </row>
    <row r="1778" spans="60:68" ht="15">
      <c r="BH1778" s="187">
        <v>44602</v>
      </c>
      <c r="BI1778" s="180">
        <v>-0.46700000000000003</v>
      </c>
      <c r="BJ1778" s="191">
        <v>44602</v>
      </c>
      <c r="BK1778" s="192">
        <v>9.4E-2</v>
      </c>
      <c r="BN1778" s="94">
        <v>44673</v>
      </c>
      <c r="BO1778" s="95">
        <v>0.79400000000000004</v>
      </c>
      <c r="BP1778" s="96">
        <v>13.78</v>
      </c>
    </row>
    <row r="1779" spans="60:68" ht="15">
      <c r="BH1779" s="187">
        <v>44603</v>
      </c>
      <c r="BI1779" s="180">
        <v>-0.45800000000000002</v>
      </c>
      <c r="BJ1779" s="191">
        <v>44603</v>
      </c>
      <c r="BK1779" s="192">
        <v>0.114</v>
      </c>
      <c r="BN1779" s="94">
        <v>44676</v>
      </c>
      <c r="BO1779" s="95">
        <v>0.81200000000000006</v>
      </c>
      <c r="BP1779" s="96">
        <v>13.77</v>
      </c>
    </row>
    <row r="1780" spans="60:68" ht="15">
      <c r="BH1780" s="187">
        <v>44606</v>
      </c>
      <c r="BI1780" s="180">
        <v>-0.44800000000000001</v>
      </c>
      <c r="BJ1780" s="191">
        <v>44606</v>
      </c>
      <c r="BK1780" s="192">
        <v>0.13</v>
      </c>
      <c r="BN1780" s="94">
        <v>44677</v>
      </c>
      <c r="BO1780" s="95">
        <v>0.82399999999999995</v>
      </c>
      <c r="BP1780" s="96">
        <v>13.76</v>
      </c>
    </row>
    <row r="1781" spans="60:68" ht="15">
      <c r="BH1781" s="187">
        <v>44607</v>
      </c>
      <c r="BI1781" s="180">
        <v>-0.45500000000000002</v>
      </c>
      <c r="BJ1781" s="191">
        <v>44607</v>
      </c>
      <c r="BK1781" s="192">
        <v>0.14699999999999999</v>
      </c>
      <c r="BN1781" s="94">
        <v>44678</v>
      </c>
      <c r="BO1781" s="95">
        <v>0.83299999999999996</v>
      </c>
      <c r="BP1781" s="96">
        <v>13.76</v>
      </c>
    </row>
    <row r="1782" spans="60:68" ht="15">
      <c r="BH1782" s="187">
        <v>44608</v>
      </c>
      <c r="BI1782" s="180">
        <v>-0.46100000000000002</v>
      </c>
      <c r="BJ1782" s="191">
        <v>44608</v>
      </c>
      <c r="BK1782" s="192">
        <v>0.16300000000000001</v>
      </c>
      <c r="BN1782" s="94">
        <v>44679</v>
      </c>
      <c r="BO1782" s="95">
        <v>0.84199999999999997</v>
      </c>
      <c r="BP1782" s="96">
        <v>13.76</v>
      </c>
    </row>
    <row r="1783" spans="60:68" ht="15">
      <c r="BH1783" s="187">
        <v>44609</v>
      </c>
      <c r="BI1783" s="180">
        <v>-0.47799999999999998</v>
      </c>
      <c r="BJ1783" s="191">
        <v>44609</v>
      </c>
      <c r="BK1783" s="192">
        <v>0.17899999999999999</v>
      </c>
      <c r="BN1783" s="94">
        <v>44680</v>
      </c>
      <c r="BO1783" s="95">
        <v>0.86</v>
      </c>
      <c r="BP1783" s="96">
        <v>13.74</v>
      </c>
    </row>
    <row r="1784" spans="60:68" ht="15">
      <c r="BH1784" s="187">
        <v>44610</v>
      </c>
      <c r="BI1784" s="180">
        <v>-0.48699999999999999</v>
      </c>
      <c r="BJ1784" s="191">
        <v>44610</v>
      </c>
      <c r="BK1784" s="192">
        <v>0.193</v>
      </c>
      <c r="BN1784" s="94">
        <v>44683</v>
      </c>
      <c r="BO1784" s="95">
        <v>0.877</v>
      </c>
      <c r="BP1784" s="96">
        <v>13.73</v>
      </c>
    </row>
    <row r="1785" spans="60:68" ht="15">
      <c r="BH1785" s="187">
        <v>44613</v>
      </c>
      <c r="BI1785" s="180">
        <v>-0.48199999999999998</v>
      </c>
      <c r="BJ1785" s="191">
        <v>44613</v>
      </c>
      <c r="BK1785" s="192">
        <v>0.21</v>
      </c>
      <c r="BN1785" s="94">
        <v>44684</v>
      </c>
      <c r="BO1785" s="95">
        <v>0.89800000000000002</v>
      </c>
      <c r="BP1785" s="96">
        <v>13.73</v>
      </c>
    </row>
    <row r="1786" spans="60:68" ht="15">
      <c r="BH1786" s="187">
        <v>44614</v>
      </c>
      <c r="BI1786" s="180">
        <v>-0.49</v>
      </c>
      <c r="BJ1786" s="191">
        <v>44614</v>
      </c>
      <c r="BK1786" s="192">
        <v>0.22700000000000001</v>
      </c>
      <c r="BN1786" s="94">
        <v>44685</v>
      </c>
      <c r="BO1786" s="95">
        <v>0.91700000000000004</v>
      </c>
      <c r="BP1786" s="96">
        <v>13.72</v>
      </c>
    </row>
    <row r="1787" spans="60:68" ht="15">
      <c r="BH1787" s="187">
        <v>44615</v>
      </c>
      <c r="BI1787" s="180">
        <v>-0.48299999999999998</v>
      </c>
      <c r="BJ1787" s="191">
        <v>44615</v>
      </c>
      <c r="BK1787" s="192">
        <v>0.24399999999999999</v>
      </c>
      <c r="BN1787" s="94">
        <v>44686</v>
      </c>
      <c r="BO1787" s="95">
        <v>0.92900000000000005</v>
      </c>
      <c r="BP1787" s="96">
        <v>13.71</v>
      </c>
    </row>
    <row r="1788" spans="60:68" ht="15">
      <c r="BH1788" s="187">
        <v>44616</v>
      </c>
      <c r="BI1788" s="180">
        <v>-0.48</v>
      </c>
      <c r="BJ1788" s="191">
        <v>44616</v>
      </c>
      <c r="BK1788" s="192">
        <v>0.25700000000000001</v>
      </c>
      <c r="BN1788" s="94">
        <v>44687</v>
      </c>
      <c r="BO1788" s="95">
        <v>0.94799999999999995</v>
      </c>
      <c r="BP1788" s="96">
        <v>13.71</v>
      </c>
    </row>
    <row r="1789" spans="60:68" ht="15">
      <c r="BH1789" s="187">
        <v>44617</v>
      </c>
      <c r="BI1789" s="180">
        <v>-0.48799999999999999</v>
      </c>
      <c r="BJ1789" s="191">
        <v>44617</v>
      </c>
      <c r="BK1789" s="192">
        <v>0.27100000000000002</v>
      </c>
      <c r="BN1789" s="94">
        <v>44690</v>
      </c>
      <c r="BO1789" s="95">
        <v>0.96599999999999997</v>
      </c>
      <c r="BP1789" s="96">
        <v>13.7</v>
      </c>
    </row>
    <row r="1790" spans="60:68" ht="15">
      <c r="BH1790" s="187">
        <v>44620</v>
      </c>
      <c r="BI1790" s="180">
        <v>-0.49299999999999999</v>
      </c>
      <c r="BJ1790" s="191">
        <v>44620</v>
      </c>
      <c r="BK1790" s="192">
        <v>0.28199999999999997</v>
      </c>
      <c r="BN1790" s="94">
        <v>44691</v>
      </c>
      <c r="BO1790" s="95">
        <v>0.97499999999999998</v>
      </c>
      <c r="BP1790" s="96">
        <v>13.7</v>
      </c>
    </row>
    <row r="1791" spans="60:68" ht="15">
      <c r="BH1791" s="187">
        <v>44621</v>
      </c>
      <c r="BI1791" s="180">
        <v>-0.496</v>
      </c>
      <c r="BJ1791" s="191">
        <v>44621</v>
      </c>
      <c r="BK1791" s="192">
        <v>0.28499999999999998</v>
      </c>
      <c r="BN1791" s="94">
        <v>44692</v>
      </c>
      <c r="BO1791" s="95">
        <v>0.98199999999999998</v>
      </c>
      <c r="BP1791" s="96">
        <v>13.69</v>
      </c>
    </row>
    <row r="1792" spans="60:68" ht="15">
      <c r="BH1792" s="187">
        <v>44622</v>
      </c>
      <c r="BI1792" s="180">
        <v>-0.502</v>
      </c>
      <c r="BJ1792" s="191">
        <v>44622</v>
      </c>
      <c r="BK1792" s="192">
        <v>0.28599999999999998</v>
      </c>
      <c r="BN1792" s="94">
        <v>44693</v>
      </c>
      <c r="BO1792" s="95">
        <v>0.98699999999999999</v>
      </c>
      <c r="BP1792" s="96">
        <v>13.65</v>
      </c>
    </row>
    <row r="1793" spans="60:68" ht="15">
      <c r="BH1793" s="187">
        <v>44623</v>
      </c>
      <c r="BI1793" s="180">
        <v>-0.48499999999999999</v>
      </c>
      <c r="BJ1793" s="191">
        <v>44623</v>
      </c>
      <c r="BK1793" s="192">
        <v>0.28899999999999998</v>
      </c>
      <c r="BN1793" s="94">
        <v>44694</v>
      </c>
      <c r="BO1793" s="95">
        <v>0.99299999999999999</v>
      </c>
      <c r="BP1793" s="96">
        <v>13.66</v>
      </c>
    </row>
    <row r="1794" spans="60:68" ht="15">
      <c r="BH1794" s="187">
        <v>44624</v>
      </c>
      <c r="BI1794" s="180">
        <v>-0.48199999999999998</v>
      </c>
      <c r="BJ1794" s="191">
        <v>44624</v>
      </c>
      <c r="BK1794" s="192">
        <v>0.28100000000000003</v>
      </c>
      <c r="BN1794" s="94">
        <v>44697</v>
      </c>
      <c r="BO1794" s="95">
        <v>0.995</v>
      </c>
      <c r="BP1794" s="96">
        <v>13.72</v>
      </c>
    </row>
    <row r="1795" spans="60:68" ht="15">
      <c r="BH1795" s="187">
        <v>44627</v>
      </c>
      <c r="BI1795" s="180">
        <v>-0.45300000000000001</v>
      </c>
      <c r="BJ1795" s="191">
        <v>44627</v>
      </c>
      <c r="BK1795" s="192">
        <v>0.27200000000000002</v>
      </c>
      <c r="BN1795" s="94">
        <v>44698</v>
      </c>
      <c r="BO1795" s="95">
        <v>1.0009999999999999</v>
      </c>
      <c r="BP1795" s="96">
        <v>13.72</v>
      </c>
    </row>
    <row r="1796" spans="60:68" ht="15">
      <c r="BH1796" s="187">
        <v>44628</v>
      </c>
      <c r="BI1796" s="180">
        <v>-0.443</v>
      </c>
      <c r="BJ1796" s="191">
        <v>44628</v>
      </c>
      <c r="BK1796" s="192">
        <v>0.26600000000000001</v>
      </c>
      <c r="BN1796" s="94">
        <v>44699</v>
      </c>
      <c r="BO1796" s="95">
        <v>1.0109999999999999</v>
      </c>
      <c r="BP1796" s="96">
        <v>13.7</v>
      </c>
    </row>
    <row r="1797" spans="60:68" ht="15">
      <c r="BH1797" s="187">
        <v>44629</v>
      </c>
      <c r="BI1797" s="180">
        <v>-0.42399999999999999</v>
      </c>
      <c r="BJ1797" s="191">
        <v>44629</v>
      </c>
      <c r="BK1797" s="192">
        <v>0.26500000000000001</v>
      </c>
      <c r="BN1797" s="94">
        <v>44700</v>
      </c>
      <c r="BO1797" s="95">
        <v>1.0169999999999999</v>
      </c>
      <c r="BP1797" s="96">
        <v>13.7</v>
      </c>
    </row>
    <row r="1798" spans="60:68" ht="15">
      <c r="BH1798" s="187">
        <v>44630</v>
      </c>
      <c r="BI1798" s="180">
        <v>-0.42699999999999999</v>
      </c>
      <c r="BJ1798" s="191">
        <v>44630</v>
      </c>
      <c r="BK1798" s="192">
        <v>0.26300000000000001</v>
      </c>
      <c r="BN1798" s="94">
        <v>44701</v>
      </c>
      <c r="BO1798" s="95">
        <v>1.0209999999999999</v>
      </c>
      <c r="BP1798" s="96">
        <v>13.7</v>
      </c>
    </row>
    <row r="1799" spans="60:68" ht="15">
      <c r="BH1799" s="187">
        <v>44631</v>
      </c>
      <c r="BI1799" s="180">
        <v>-0.41399999999999998</v>
      </c>
      <c r="BJ1799" s="191">
        <v>44631</v>
      </c>
      <c r="BK1799" s="192">
        <v>0.26500000000000001</v>
      </c>
      <c r="BN1799" s="94">
        <v>44704</v>
      </c>
      <c r="BO1799" s="95">
        <v>1.0289999999999999</v>
      </c>
      <c r="BP1799" s="96">
        <v>13.69</v>
      </c>
    </row>
    <row r="1800" spans="60:68" ht="15">
      <c r="BH1800" s="187">
        <v>44634</v>
      </c>
      <c r="BI1800" s="180">
        <v>-0.41299999999999998</v>
      </c>
      <c r="BJ1800" s="191">
        <v>44634</v>
      </c>
      <c r="BK1800" s="192">
        <v>0.27200000000000002</v>
      </c>
      <c r="BN1800" s="94">
        <v>44705</v>
      </c>
      <c r="BO1800" s="95">
        <v>1.0409999999999999</v>
      </c>
      <c r="BP1800" s="96">
        <v>13.69</v>
      </c>
    </row>
    <row r="1801" spans="60:68" ht="15">
      <c r="BH1801" s="187">
        <v>44635</v>
      </c>
      <c r="BI1801" s="180">
        <v>-0.40699999999999997</v>
      </c>
      <c r="BJ1801" s="191">
        <v>44635</v>
      </c>
      <c r="BK1801" s="192">
        <v>0.27400000000000002</v>
      </c>
      <c r="BN1801" s="94">
        <v>44706</v>
      </c>
      <c r="BO1801" s="95">
        <v>1.0509999999999999</v>
      </c>
      <c r="BP1801" s="96">
        <v>13.69</v>
      </c>
    </row>
    <row r="1802" spans="60:68" ht="15">
      <c r="BH1802" s="187">
        <v>44636</v>
      </c>
      <c r="BI1802" s="180">
        <v>-0.39300000000000002</v>
      </c>
      <c r="BJ1802" s="191">
        <v>44636</v>
      </c>
      <c r="BK1802" s="192">
        <v>0.27800000000000002</v>
      </c>
      <c r="BN1802" s="94">
        <v>44708</v>
      </c>
      <c r="BO1802" s="95">
        <v>1.0609999999999999</v>
      </c>
      <c r="BP1802" s="96">
        <v>13.67</v>
      </c>
    </row>
    <row r="1803" spans="60:68" ht="15">
      <c r="BH1803" s="187">
        <v>44637</v>
      </c>
      <c r="BI1803" s="180">
        <v>-0.40200000000000002</v>
      </c>
      <c r="BJ1803" s="191">
        <v>44637</v>
      </c>
      <c r="BK1803" s="192">
        <v>0.28399999999999997</v>
      </c>
      <c r="BN1803" s="94">
        <v>44711</v>
      </c>
      <c r="BO1803" s="95">
        <v>1.07</v>
      </c>
      <c r="BP1803" s="96">
        <v>13.66</v>
      </c>
    </row>
    <row r="1804" spans="60:68" ht="15">
      <c r="BH1804" s="187">
        <v>44638</v>
      </c>
      <c r="BI1804" s="180">
        <v>-0.39300000000000002</v>
      </c>
      <c r="BJ1804" s="191">
        <v>44638</v>
      </c>
      <c r="BK1804" s="192">
        <v>0.28999999999999998</v>
      </c>
      <c r="BN1804" s="94">
        <v>44712</v>
      </c>
      <c r="BO1804" s="95">
        <v>1.095</v>
      </c>
      <c r="BP1804" s="96">
        <v>13.87</v>
      </c>
    </row>
    <row r="1805" spans="60:68" ht="15">
      <c r="BH1805" s="187">
        <v>44641</v>
      </c>
      <c r="BI1805" s="180">
        <v>-0.39100000000000001</v>
      </c>
      <c r="BJ1805" s="191">
        <v>44641</v>
      </c>
      <c r="BK1805" s="192">
        <v>0.29899999999999999</v>
      </c>
      <c r="BN1805" s="94">
        <v>44713</v>
      </c>
      <c r="BO1805" s="95">
        <v>1.1060000000000001</v>
      </c>
      <c r="BP1805" s="96">
        <v>13.87</v>
      </c>
    </row>
    <row r="1806" spans="60:68" ht="15">
      <c r="BH1806" s="187">
        <v>44642</v>
      </c>
      <c r="BI1806" s="180">
        <v>-0.39300000000000002</v>
      </c>
      <c r="BJ1806" s="191">
        <v>44642</v>
      </c>
      <c r="BK1806" s="192">
        <v>0.31</v>
      </c>
      <c r="BN1806" s="94">
        <v>44714</v>
      </c>
      <c r="BO1806" s="95">
        <v>1.119</v>
      </c>
      <c r="BP1806" s="96">
        <v>13.86</v>
      </c>
    </row>
    <row r="1807" spans="60:68" ht="15">
      <c r="BH1807" s="187">
        <v>44643</v>
      </c>
      <c r="BI1807" s="180">
        <v>-0.39200000000000002</v>
      </c>
      <c r="BJ1807" s="191">
        <v>44643</v>
      </c>
      <c r="BK1807" s="192">
        <v>0.31900000000000001</v>
      </c>
      <c r="BN1807" s="94">
        <v>44715</v>
      </c>
      <c r="BO1807" s="95">
        <v>1.135</v>
      </c>
      <c r="BP1807" s="96">
        <v>13.86</v>
      </c>
    </row>
    <row r="1808" spans="60:68" ht="15">
      <c r="BH1808" s="187">
        <v>44644</v>
      </c>
      <c r="BI1808" s="180">
        <v>-0.39700000000000002</v>
      </c>
      <c r="BJ1808" s="191">
        <v>44644</v>
      </c>
      <c r="BK1808" s="192">
        <v>0.33200000000000002</v>
      </c>
      <c r="BN1808" s="94">
        <v>44719</v>
      </c>
      <c r="BO1808" s="95">
        <v>1.147</v>
      </c>
      <c r="BP1808" s="96">
        <v>13.85</v>
      </c>
    </row>
    <row r="1809" spans="60:68" ht="15">
      <c r="BH1809" s="187">
        <v>44645</v>
      </c>
      <c r="BI1809" s="180">
        <v>-0.39200000000000002</v>
      </c>
      <c r="BJ1809" s="191">
        <v>44645</v>
      </c>
      <c r="BK1809" s="192">
        <v>0.34399999999999997</v>
      </c>
      <c r="BN1809" s="94">
        <v>44720</v>
      </c>
      <c r="BO1809" s="95">
        <v>1.161</v>
      </c>
      <c r="BP1809" s="96">
        <v>13.84</v>
      </c>
    </row>
    <row r="1810" spans="60:68" ht="15">
      <c r="BH1810" s="187">
        <v>44648</v>
      </c>
      <c r="BI1810" s="180">
        <v>-0.38800000000000001</v>
      </c>
      <c r="BJ1810" s="191">
        <v>44648</v>
      </c>
      <c r="BK1810" s="192">
        <v>0.36</v>
      </c>
      <c r="BN1810" s="94">
        <v>44721</v>
      </c>
      <c r="BO1810" s="95">
        <v>1.1819999999999999</v>
      </c>
      <c r="BP1810" s="96">
        <v>13.81</v>
      </c>
    </row>
    <row r="1811" spans="60:68" ht="15">
      <c r="BH1811" s="187">
        <v>44649</v>
      </c>
      <c r="BI1811" s="180">
        <v>-0.38100000000000001</v>
      </c>
      <c r="BJ1811" s="191">
        <v>44649</v>
      </c>
      <c r="BK1811" s="192">
        <v>0.38700000000000001</v>
      </c>
      <c r="BN1811" s="94">
        <v>44722</v>
      </c>
      <c r="BO1811" s="95">
        <v>1.2090000000000001</v>
      </c>
      <c r="BP1811" s="96">
        <v>13.8</v>
      </c>
    </row>
    <row r="1812" spans="60:68" ht="15">
      <c r="BH1812" s="187">
        <v>44650</v>
      </c>
      <c r="BI1812" s="180">
        <v>-0.371</v>
      </c>
      <c r="BJ1812" s="191">
        <v>44650</v>
      </c>
      <c r="BK1812" s="192">
        <v>0.42799999999999999</v>
      </c>
      <c r="BN1812" s="94">
        <v>44725</v>
      </c>
      <c r="BO1812" s="95">
        <v>1.2490000000000001</v>
      </c>
      <c r="BP1812" s="96">
        <v>13.79</v>
      </c>
    </row>
    <row r="1813" spans="60:68" ht="15">
      <c r="BH1813" s="187">
        <v>44651</v>
      </c>
      <c r="BI1813" s="180">
        <v>-0.36699999999999999</v>
      </c>
      <c r="BJ1813" s="191">
        <v>44651</v>
      </c>
      <c r="BK1813" s="192">
        <v>0.44900000000000001</v>
      </c>
      <c r="BN1813" s="94">
        <v>44726</v>
      </c>
      <c r="BO1813" s="95">
        <v>1.2929999999999999</v>
      </c>
      <c r="BP1813" s="96">
        <v>13.79</v>
      </c>
    </row>
    <row r="1814" spans="60:68" ht="15">
      <c r="BH1814" s="187">
        <v>44652</v>
      </c>
      <c r="BI1814" s="180">
        <v>-0.36199999999999999</v>
      </c>
      <c r="BJ1814" s="191">
        <v>44652</v>
      </c>
      <c r="BK1814" s="192">
        <v>0.47399999999999998</v>
      </c>
      <c r="BN1814" s="94">
        <v>44727</v>
      </c>
      <c r="BO1814" s="95">
        <v>1.333</v>
      </c>
      <c r="BP1814" s="96">
        <v>13.79</v>
      </c>
    </row>
    <row r="1815" spans="60:68" ht="15">
      <c r="BH1815" s="187">
        <v>44655</v>
      </c>
      <c r="BI1815" s="180">
        <v>-0.35799999999999998</v>
      </c>
      <c r="BJ1815" s="191">
        <v>44655</v>
      </c>
      <c r="BK1815" s="192">
        <v>0.497</v>
      </c>
      <c r="BN1815" s="94">
        <v>44729</v>
      </c>
      <c r="BO1815" s="95">
        <v>1.371</v>
      </c>
      <c r="BP1815" s="96">
        <v>13.78</v>
      </c>
    </row>
    <row r="1816" spans="60:68" ht="15">
      <c r="BH1816" s="187">
        <v>44656</v>
      </c>
      <c r="BI1816" s="180">
        <v>-0.375</v>
      </c>
      <c r="BJ1816" s="191">
        <v>44656</v>
      </c>
      <c r="BK1816" s="192">
        <v>0.52200000000000002</v>
      </c>
      <c r="BN1816" s="94">
        <v>44732</v>
      </c>
      <c r="BO1816" s="95">
        <v>1.405</v>
      </c>
      <c r="BP1816" s="96">
        <v>13.78</v>
      </c>
    </row>
    <row r="1817" spans="60:68" ht="15">
      <c r="BH1817" s="187">
        <v>44657</v>
      </c>
      <c r="BI1817" s="180">
        <v>-0.36099999999999999</v>
      </c>
      <c r="BJ1817" s="191">
        <v>44657</v>
      </c>
      <c r="BK1817" s="192">
        <v>0.54600000000000004</v>
      </c>
      <c r="BN1817" s="94">
        <v>44733</v>
      </c>
      <c r="BO1817" s="95">
        <v>1.448</v>
      </c>
      <c r="BP1817" s="96">
        <v>13.77</v>
      </c>
    </row>
    <row r="1818" spans="60:68" ht="15">
      <c r="BH1818" s="187">
        <v>44658</v>
      </c>
      <c r="BI1818" s="180">
        <v>-0.35499999999999998</v>
      </c>
      <c r="BJ1818" s="191">
        <v>44658</v>
      </c>
      <c r="BK1818" s="192">
        <v>0.57099999999999995</v>
      </c>
      <c r="BN1818" s="94">
        <v>44734</v>
      </c>
      <c r="BO1818" s="95">
        <v>1.4850000000000001</v>
      </c>
      <c r="BP1818" s="96">
        <v>13.77</v>
      </c>
    </row>
    <row r="1819" spans="60:68" ht="15">
      <c r="BH1819" s="187">
        <v>44659</v>
      </c>
      <c r="BI1819" s="180">
        <v>-0.35</v>
      </c>
      <c r="BJ1819" s="191">
        <v>44659</v>
      </c>
      <c r="BK1819" s="192">
        <v>0.59099999999999997</v>
      </c>
      <c r="BN1819" s="94">
        <v>44735</v>
      </c>
      <c r="BO1819" s="95">
        <v>1.5089999999999999</v>
      </c>
      <c r="BP1819" s="96">
        <v>13.77</v>
      </c>
    </row>
    <row r="1820" spans="60:68" ht="15">
      <c r="BH1820" s="187">
        <v>44662</v>
      </c>
      <c r="BI1820" s="180">
        <v>-0.33400000000000002</v>
      </c>
      <c r="BJ1820" s="191">
        <v>44662</v>
      </c>
      <c r="BK1820" s="192">
        <v>0.61199999999999999</v>
      </c>
      <c r="BN1820" s="94">
        <v>44736</v>
      </c>
      <c r="BO1820" s="95">
        <v>1.532</v>
      </c>
      <c r="BP1820" s="96">
        <v>13.76</v>
      </c>
    </row>
    <row r="1821" spans="60:68" ht="15">
      <c r="BH1821" s="187">
        <v>44663</v>
      </c>
      <c r="BI1821" s="180">
        <v>-0.32</v>
      </c>
      <c r="BJ1821" s="191">
        <v>44663</v>
      </c>
      <c r="BK1821" s="192">
        <v>0.63300000000000001</v>
      </c>
      <c r="BN1821" s="94">
        <v>44739</v>
      </c>
      <c r="BO1821" s="95">
        <v>1.5609999999999999</v>
      </c>
      <c r="BP1821" s="96">
        <v>13.76</v>
      </c>
    </row>
    <row r="1822" spans="60:68" ht="15">
      <c r="BH1822" s="187">
        <v>44664</v>
      </c>
      <c r="BI1822" s="180">
        <v>-0.32800000000000001</v>
      </c>
      <c r="BJ1822" s="191">
        <v>44664</v>
      </c>
      <c r="BK1822" s="192">
        <v>0.65300000000000002</v>
      </c>
      <c r="BN1822" s="94">
        <v>44740</v>
      </c>
      <c r="BO1822" s="95">
        <v>1.593</v>
      </c>
      <c r="BP1822" s="96">
        <v>13.76</v>
      </c>
    </row>
    <row r="1823" spans="60:68" ht="15">
      <c r="BH1823" s="187">
        <v>44665</v>
      </c>
      <c r="BI1823" s="180">
        <v>-0.317</v>
      </c>
      <c r="BJ1823" s="191">
        <v>44665</v>
      </c>
      <c r="BK1823" s="192">
        <v>0.67100000000000004</v>
      </c>
      <c r="BN1823" s="94">
        <v>44741</v>
      </c>
      <c r="BO1823" s="95">
        <v>1.6180000000000001</v>
      </c>
      <c r="BP1823" s="96">
        <v>13.72</v>
      </c>
    </row>
    <row r="1824" spans="60:68" ht="15">
      <c r="BH1824" s="187">
        <v>44666</v>
      </c>
      <c r="BI1824" s="180">
        <v>-0.317</v>
      </c>
      <c r="BJ1824" s="191">
        <v>44666</v>
      </c>
      <c r="BK1824" s="192">
        <v>0.68400000000000005</v>
      </c>
      <c r="BN1824" s="94">
        <v>44742</v>
      </c>
      <c r="BO1824" s="95">
        <v>1.633</v>
      </c>
      <c r="BP1824" s="96">
        <v>13.72</v>
      </c>
    </row>
    <row r="1825" spans="60:68" ht="15">
      <c r="BH1825" s="187">
        <v>44669</v>
      </c>
      <c r="BI1825" s="180">
        <v>-0.317</v>
      </c>
      <c r="BJ1825" s="191"/>
      <c r="BK1825" s="193">
        <f>+BK1824</f>
        <v>0.68400000000000005</v>
      </c>
      <c r="BN1825" s="94">
        <v>44743</v>
      </c>
      <c r="BO1825" s="95">
        <v>1.641</v>
      </c>
      <c r="BP1825" s="96">
        <v>13.72</v>
      </c>
    </row>
    <row r="1826" spans="60:68" ht="15">
      <c r="BH1826" s="187">
        <v>44670</v>
      </c>
      <c r="BI1826" s="180">
        <v>-0.33300000000000002</v>
      </c>
      <c r="BJ1826" s="191">
        <v>44670</v>
      </c>
      <c r="BK1826" s="192">
        <v>0.70699999999999996</v>
      </c>
      <c r="BN1826" s="94">
        <v>44746</v>
      </c>
      <c r="BO1826" s="95">
        <v>1.645</v>
      </c>
      <c r="BP1826" s="96">
        <v>13.71</v>
      </c>
    </row>
    <row r="1827" spans="60:68" ht="15">
      <c r="BH1827" s="187">
        <v>44671</v>
      </c>
      <c r="BI1827" s="180">
        <v>-0.33200000000000002</v>
      </c>
      <c r="BJ1827" s="191">
        <v>44671</v>
      </c>
      <c r="BK1827" s="192">
        <v>0.754</v>
      </c>
      <c r="BN1827" s="94">
        <v>44747</v>
      </c>
      <c r="BO1827" s="95">
        <v>1.6459999999999999</v>
      </c>
      <c r="BP1827" s="96">
        <v>13.71</v>
      </c>
    </row>
    <row r="1828" spans="60:68" ht="15">
      <c r="BH1828" s="187">
        <v>44672</v>
      </c>
      <c r="BI1828" s="180">
        <v>-0.31</v>
      </c>
      <c r="BJ1828" s="191">
        <v>44672</v>
      </c>
      <c r="BK1828" s="192">
        <v>0.77300000000000002</v>
      </c>
      <c r="BN1828" s="94">
        <v>44748</v>
      </c>
      <c r="BO1828" s="95">
        <v>1.641</v>
      </c>
      <c r="BP1828" s="96">
        <v>13.7</v>
      </c>
    </row>
    <row r="1829" spans="60:68" ht="15">
      <c r="BH1829" s="187">
        <v>44673</v>
      </c>
      <c r="BI1829" s="180">
        <v>-0.26800000000000002</v>
      </c>
      <c r="BJ1829" s="191">
        <v>44673</v>
      </c>
      <c r="BK1829" s="192">
        <v>0.79400000000000004</v>
      </c>
      <c r="BN1829" s="94">
        <v>44749</v>
      </c>
      <c r="BO1829" s="95">
        <v>1.641</v>
      </c>
      <c r="BP1829" s="96">
        <v>13.66</v>
      </c>
    </row>
    <row r="1830" spans="60:68" ht="15">
      <c r="BH1830" s="187">
        <v>44676</v>
      </c>
      <c r="BI1830" s="180">
        <v>-0.23899999999999999</v>
      </c>
      <c r="BJ1830" s="191">
        <v>44676</v>
      </c>
      <c r="BK1830" s="192">
        <v>0.81200000000000006</v>
      </c>
      <c r="BN1830" s="94">
        <v>44750</v>
      </c>
      <c r="BO1830" s="95">
        <v>1.637</v>
      </c>
      <c r="BP1830" s="96">
        <v>13.66</v>
      </c>
    </row>
    <row r="1831" spans="60:68" ht="15">
      <c r="BH1831" s="187">
        <v>44677</v>
      </c>
      <c r="BI1831" s="180">
        <v>-0.246</v>
      </c>
      <c r="BJ1831" s="191">
        <v>44677</v>
      </c>
      <c r="BK1831" s="192">
        <v>0.82399999999999995</v>
      </c>
      <c r="BN1831" s="94">
        <v>44753</v>
      </c>
      <c r="BO1831" s="95">
        <v>1.6259999999999999</v>
      </c>
      <c r="BP1831" s="96">
        <v>13.65</v>
      </c>
    </row>
    <row r="1832" spans="60:68" ht="15">
      <c r="BH1832" s="187">
        <v>44678</v>
      </c>
      <c r="BI1832" s="180">
        <v>-0.251</v>
      </c>
      <c r="BJ1832" s="191">
        <v>44678</v>
      </c>
      <c r="BK1832" s="192">
        <v>0.83299999999999996</v>
      </c>
      <c r="BN1832" s="94">
        <v>44754</v>
      </c>
      <c r="BO1832" s="95">
        <v>1.6020000000000001</v>
      </c>
      <c r="BP1832" s="96">
        <v>13.65</v>
      </c>
    </row>
    <row r="1833" spans="60:68" ht="15">
      <c r="BH1833" s="187">
        <v>44679</v>
      </c>
      <c r="BI1833" s="180">
        <v>-0.24199999999999999</v>
      </c>
      <c r="BJ1833" s="191">
        <v>44679</v>
      </c>
      <c r="BK1833" s="192">
        <v>0.84199999999999997</v>
      </c>
      <c r="BN1833" s="94">
        <v>44755</v>
      </c>
      <c r="BO1833" s="95">
        <v>1.573</v>
      </c>
      <c r="BP1833" s="96">
        <v>13.65</v>
      </c>
    </row>
    <row r="1834" spans="60:68" ht="15">
      <c r="BH1834" s="187">
        <v>44680</v>
      </c>
      <c r="BI1834" s="180">
        <v>-0.22600000000000001</v>
      </c>
      <c r="BJ1834" s="191">
        <v>44680</v>
      </c>
      <c r="BK1834" s="192">
        <v>0.86</v>
      </c>
      <c r="BN1834" s="94">
        <v>44756</v>
      </c>
      <c r="BO1834" s="95">
        <v>1.55</v>
      </c>
      <c r="BP1834" s="96">
        <v>13.65</v>
      </c>
    </row>
    <row r="1835" spans="60:68" ht="15">
      <c r="BH1835" s="187">
        <v>44683</v>
      </c>
      <c r="BI1835" s="180">
        <v>-0.20399999999999999</v>
      </c>
      <c r="BJ1835" s="191">
        <v>44683</v>
      </c>
      <c r="BK1835" s="192">
        <v>0.877</v>
      </c>
      <c r="BL1835" s="111">
        <f>+(BI1835+BK1835)/2+0.37</f>
        <v>0.70650000000000002</v>
      </c>
      <c r="BN1835" s="94">
        <v>44757</v>
      </c>
      <c r="BO1835" s="95">
        <v>1.5629999999999999</v>
      </c>
      <c r="BP1835" s="96">
        <v>14.15</v>
      </c>
    </row>
    <row r="1836" spans="60:68" ht="15">
      <c r="BH1836" s="187">
        <v>44684</v>
      </c>
      <c r="BI1836" s="180">
        <v>-0.19800000000000001</v>
      </c>
      <c r="BJ1836" s="191">
        <v>44684</v>
      </c>
      <c r="BK1836" s="192">
        <v>0.89800000000000002</v>
      </c>
      <c r="BN1836" s="94">
        <v>44760</v>
      </c>
      <c r="BO1836" s="95">
        <v>1.54</v>
      </c>
      <c r="BP1836" s="96">
        <v>14.14</v>
      </c>
    </row>
    <row r="1837" spans="60:68" ht="15">
      <c r="BH1837" s="187">
        <v>44685</v>
      </c>
      <c r="BI1837" s="180">
        <v>-0.20499999999999999</v>
      </c>
      <c r="BJ1837" s="191">
        <v>44685</v>
      </c>
      <c r="BK1837" s="192">
        <v>0.91700000000000004</v>
      </c>
      <c r="BN1837" s="94">
        <v>44761</v>
      </c>
      <c r="BO1837" s="95">
        <v>1.514</v>
      </c>
      <c r="BP1837" s="96">
        <v>14.14</v>
      </c>
    </row>
    <row r="1838" spans="60:68" ht="15">
      <c r="BH1838" s="187">
        <v>44686</v>
      </c>
      <c r="BI1838" s="180">
        <v>-0.20599999999999999</v>
      </c>
      <c r="BJ1838" s="191">
        <v>44686</v>
      </c>
      <c r="BK1838" s="192">
        <v>0.92900000000000005</v>
      </c>
      <c r="BN1838" s="94">
        <v>44762</v>
      </c>
      <c r="BO1838" s="95">
        <v>1.4930000000000001</v>
      </c>
      <c r="BP1838" s="96">
        <v>14.14</v>
      </c>
    </row>
    <row r="1839" spans="60:68" ht="15">
      <c r="BH1839" s="187">
        <v>44687</v>
      </c>
      <c r="BI1839" s="180">
        <v>-0.20599999999999999</v>
      </c>
      <c r="BJ1839" s="191">
        <v>44687</v>
      </c>
      <c r="BK1839" s="192">
        <v>0.94799999999999995</v>
      </c>
      <c r="BN1839" s="94">
        <v>44763</v>
      </c>
      <c r="BO1839" s="95">
        <v>1.4830000000000001</v>
      </c>
      <c r="BP1839" s="96">
        <v>14.13</v>
      </c>
    </row>
    <row r="1840" spans="60:68" ht="15">
      <c r="BH1840" s="187">
        <v>44690</v>
      </c>
      <c r="BI1840" s="180">
        <v>-0.183</v>
      </c>
      <c r="BJ1840" s="191">
        <v>44690</v>
      </c>
      <c r="BK1840" s="192">
        <v>0.96599999999999997</v>
      </c>
      <c r="BN1840" s="94">
        <v>44764</v>
      </c>
      <c r="BO1840" s="95">
        <v>1.4650000000000001</v>
      </c>
      <c r="BP1840" s="96">
        <v>14.13</v>
      </c>
    </row>
    <row r="1841" spans="60:68" ht="15">
      <c r="BH1841" s="187">
        <v>44691</v>
      </c>
      <c r="BI1841" s="180">
        <v>-0.20200000000000001</v>
      </c>
      <c r="BJ1841" s="191">
        <v>44691</v>
      </c>
      <c r="BK1841" s="192">
        <v>0.97499999999999998</v>
      </c>
      <c r="BN1841" s="94">
        <v>44767</v>
      </c>
      <c r="BO1841" s="95">
        <v>1.4419999999999999</v>
      </c>
      <c r="BP1841" s="96">
        <v>14.12</v>
      </c>
    </row>
    <row r="1842" spans="60:68" ht="15">
      <c r="BH1842" s="187">
        <v>44692</v>
      </c>
      <c r="BI1842" s="180">
        <v>-0.20799999999999999</v>
      </c>
      <c r="BJ1842" s="191">
        <v>44692</v>
      </c>
      <c r="BK1842" s="192">
        <v>0.98199999999999998</v>
      </c>
      <c r="BN1842" s="94">
        <v>44768</v>
      </c>
      <c r="BO1842" s="95">
        <v>1.411</v>
      </c>
      <c r="BP1842" s="96">
        <v>14.12</v>
      </c>
    </row>
    <row r="1843" spans="60:68" ht="15">
      <c r="BH1843" s="187">
        <v>44693</v>
      </c>
      <c r="BI1843" s="180">
        <v>-0.21099999999999999</v>
      </c>
      <c r="BJ1843" s="191">
        <v>44693</v>
      </c>
      <c r="BK1843" s="192">
        <v>0.98699999999999999</v>
      </c>
      <c r="BN1843" s="94">
        <v>44769</v>
      </c>
      <c r="BO1843" s="95">
        <v>1.383</v>
      </c>
      <c r="BP1843" s="96">
        <v>14.12</v>
      </c>
    </row>
    <row r="1844" spans="60:68" ht="15">
      <c r="BH1844" s="187">
        <v>44694</v>
      </c>
      <c r="BI1844" s="180">
        <v>-0.20899999999999999</v>
      </c>
      <c r="BJ1844" s="191">
        <v>44694</v>
      </c>
      <c r="BK1844" s="192">
        <v>0.99299999999999999</v>
      </c>
      <c r="BN1844" s="94">
        <v>44770</v>
      </c>
      <c r="BO1844" s="95">
        <v>1.36</v>
      </c>
      <c r="BP1844" s="96">
        <v>14.11</v>
      </c>
    </row>
    <row r="1845" spans="60:68" ht="15">
      <c r="BH1845" s="187">
        <v>44697</v>
      </c>
      <c r="BI1845" s="180">
        <v>-0.192</v>
      </c>
      <c r="BJ1845" s="191">
        <v>44697</v>
      </c>
      <c r="BK1845" s="192">
        <v>0.995</v>
      </c>
      <c r="BN1845" s="94">
        <v>44771</v>
      </c>
      <c r="BO1845" s="95">
        <v>1.341</v>
      </c>
      <c r="BP1845" s="96">
        <v>14.11</v>
      </c>
    </row>
    <row r="1846" spans="60:68" ht="15">
      <c r="BH1846" s="187">
        <v>44698</v>
      </c>
      <c r="BI1846" s="180">
        <v>-0.16600000000000001</v>
      </c>
      <c r="BJ1846" s="191">
        <v>44698</v>
      </c>
      <c r="BK1846" s="192">
        <v>1.0009999999999999</v>
      </c>
      <c r="BN1846" s="94">
        <v>44774</v>
      </c>
      <c r="BO1846" s="95">
        <v>1.319</v>
      </c>
      <c r="BP1846" s="96">
        <v>14.1</v>
      </c>
    </row>
    <row r="1847" spans="60:68" ht="15">
      <c r="BH1847" s="187">
        <v>44699</v>
      </c>
      <c r="BI1847" s="180">
        <v>-0.126</v>
      </c>
      <c r="BJ1847" s="191">
        <v>44699</v>
      </c>
      <c r="BK1847" s="192">
        <v>1.0109999999999999</v>
      </c>
      <c r="BN1847" s="94">
        <v>44775</v>
      </c>
      <c r="BO1847" s="95">
        <v>1.296</v>
      </c>
      <c r="BP1847" s="96">
        <v>14.1</v>
      </c>
    </row>
    <row r="1848" spans="60:68" ht="15">
      <c r="BH1848" s="187">
        <v>44700</v>
      </c>
      <c r="BI1848" s="180">
        <v>-9.6000000000000002E-2</v>
      </c>
      <c r="BJ1848" s="191">
        <v>44700</v>
      </c>
      <c r="BK1848" s="192">
        <v>1.0169999999999999</v>
      </c>
      <c r="BN1848" s="94">
        <v>44776</v>
      </c>
      <c r="BO1848" s="95">
        <v>1.284</v>
      </c>
      <c r="BP1848" s="96">
        <v>14.1</v>
      </c>
    </row>
    <row r="1849" spans="60:68" ht="15">
      <c r="BH1849" s="187">
        <v>44701</v>
      </c>
      <c r="BI1849" s="180">
        <v>-7.8E-2</v>
      </c>
      <c r="BJ1849" s="191">
        <v>44701</v>
      </c>
      <c r="BK1849" s="192">
        <v>1.0209999999999999</v>
      </c>
      <c r="BN1849" s="94">
        <v>44777</v>
      </c>
      <c r="BO1849" s="95">
        <v>1.266</v>
      </c>
      <c r="BP1849" s="96">
        <v>14.09</v>
      </c>
    </row>
    <row r="1850" spans="60:68" ht="15">
      <c r="BH1850" s="187">
        <v>44704</v>
      </c>
      <c r="BI1850" s="180">
        <v>-8.5000000000000006E-2</v>
      </c>
      <c r="BJ1850" s="191">
        <v>44704</v>
      </c>
      <c r="BK1850" s="192">
        <v>1.0289999999999999</v>
      </c>
      <c r="BN1850" s="94">
        <v>44778</v>
      </c>
      <c r="BO1850" s="95">
        <v>1.248</v>
      </c>
      <c r="BP1850" s="96">
        <v>14.09</v>
      </c>
    </row>
    <row r="1851" spans="60:68" ht="15">
      <c r="BH1851" s="187">
        <v>44705</v>
      </c>
      <c r="BI1851" s="180">
        <v>-7.2999999999999995E-2</v>
      </c>
      <c r="BJ1851" s="191">
        <v>44705</v>
      </c>
      <c r="BK1851" s="192">
        <v>1.0409999999999999</v>
      </c>
      <c r="BN1851" s="94">
        <v>44781</v>
      </c>
      <c r="BO1851" s="95">
        <v>1.234</v>
      </c>
      <c r="BP1851" s="96">
        <v>14.08</v>
      </c>
    </row>
    <row r="1852" spans="60:68" ht="15">
      <c r="BH1852" s="187">
        <v>44706</v>
      </c>
      <c r="BI1852" s="180">
        <v>-6.2E-2</v>
      </c>
      <c r="BJ1852" s="191">
        <v>44706</v>
      </c>
      <c r="BK1852" s="192">
        <v>1.0509999999999999</v>
      </c>
      <c r="BN1852" s="94">
        <v>44782</v>
      </c>
      <c r="BO1852" s="95">
        <v>1.2290000000000001</v>
      </c>
      <c r="BP1852" s="96">
        <v>14.08</v>
      </c>
    </row>
    <row r="1853" spans="60:68" ht="15">
      <c r="BH1853" s="187">
        <v>44707</v>
      </c>
      <c r="BI1853" s="180">
        <v>-6.0999999999999999E-2</v>
      </c>
      <c r="BJ1853" s="191"/>
      <c r="BK1853" s="193">
        <f>+BK1852</f>
        <v>1.0509999999999999</v>
      </c>
      <c r="BN1853" s="94">
        <v>44783</v>
      </c>
      <c r="BO1853" s="95">
        <v>1.2190000000000001</v>
      </c>
      <c r="BP1853" s="96">
        <v>14.08</v>
      </c>
    </row>
    <row r="1854" spans="60:68" ht="15">
      <c r="BH1854" s="187">
        <v>44708</v>
      </c>
      <c r="BI1854" s="180">
        <v>-7.5999999999999998E-2</v>
      </c>
      <c r="BJ1854" s="191">
        <v>44708</v>
      </c>
      <c r="BK1854" s="192">
        <v>1.0609999999999999</v>
      </c>
      <c r="BN1854" s="94">
        <v>44784</v>
      </c>
      <c r="BO1854" s="95">
        <v>1.21</v>
      </c>
      <c r="BP1854" s="96">
        <v>14.08</v>
      </c>
    </row>
    <row r="1855" spans="60:68" ht="15">
      <c r="BH1855" s="187">
        <v>44711</v>
      </c>
      <c r="BI1855" s="180">
        <v>-6.8000000000000005E-2</v>
      </c>
      <c r="BJ1855" s="191">
        <v>44711</v>
      </c>
      <c r="BK1855" s="192">
        <v>1.07</v>
      </c>
      <c r="BN1855" s="94">
        <v>44785</v>
      </c>
      <c r="BO1855" s="95">
        <v>1.206</v>
      </c>
      <c r="BP1855" s="96">
        <v>14.08</v>
      </c>
    </row>
    <row r="1856" spans="60:68" ht="15">
      <c r="BH1856" s="187">
        <v>44712</v>
      </c>
      <c r="BI1856" s="180">
        <v>-4.4999999999999998E-2</v>
      </c>
      <c r="BJ1856" s="191">
        <v>44712</v>
      </c>
      <c r="BK1856" s="192">
        <v>1.095</v>
      </c>
      <c r="BN1856" s="94">
        <v>44789</v>
      </c>
      <c r="BO1856" s="95">
        <v>1.198</v>
      </c>
      <c r="BP1856" s="96">
        <v>14.06</v>
      </c>
    </row>
    <row r="1857" spans="60:68" ht="15">
      <c r="BH1857" s="187">
        <v>44713</v>
      </c>
      <c r="BI1857" s="180">
        <v>-3.4000000000000002E-2</v>
      </c>
      <c r="BJ1857" s="191">
        <v>44713</v>
      </c>
      <c r="BK1857" s="192">
        <v>1.1060000000000001</v>
      </c>
      <c r="BN1857" s="94">
        <v>44790</v>
      </c>
      <c r="BO1857" s="95">
        <v>1.1919999999999999</v>
      </c>
      <c r="BP1857" s="96">
        <v>14.06</v>
      </c>
    </row>
    <row r="1858" spans="60:68" ht="15">
      <c r="BH1858" s="187">
        <v>44714</v>
      </c>
      <c r="BI1858" s="180">
        <v>-1.7000000000000001E-2</v>
      </c>
      <c r="BJ1858" s="191">
        <v>44714</v>
      </c>
      <c r="BK1858" s="192">
        <v>1.119</v>
      </c>
      <c r="BN1858" s="94">
        <v>44791</v>
      </c>
      <c r="BO1858" s="95">
        <v>1.1870000000000001</v>
      </c>
      <c r="BP1858" s="96">
        <v>14.02</v>
      </c>
    </row>
    <row r="1859" spans="60:68" ht="15">
      <c r="BH1859" s="187">
        <v>44715</v>
      </c>
      <c r="BI1859" s="180">
        <v>-8.0000000000000002E-3</v>
      </c>
      <c r="BJ1859" s="191">
        <v>44715</v>
      </c>
      <c r="BK1859" s="192">
        <v>1.135</v>
      </c>
      <c r="BN1859" s="94">
        <v>44792</v>
      </c>
      <c r="BO1859" s="95">
        <v>1.1879999999999999</v>
      </c>
      <c r="BP1859" s="96">
        <v>14.01</v>
      </c>
    </row>
    <row r="1860" spans="60:68" ht="15">
      <c r="BH1860" s="187">
        <v>44718</v>
      </c>
      <c r="BI1860" s="180">
        <v>8.9999999999999993E-3</v>
      </c>
      <c r="BJ1860" s="191"/>
      <c r="BK1860" s="193">
        <f>+BK1859</f>
        <v>1.135</v>
      </c>
      <c r="BN1860" s="94">
        <v>44795</v>
      </c>
      <c r="BO1860" s="95">
        <v>1.2</v>
      </c>
      <c r="BP1860" s="96">
        <v>14.01</v>
      </c>
    </row>
    <row r="1861" spans="60:68" ht="15">
      <c r="BH1861" s="187">
        <v>44719</v>
      </c>
      <c r="BI1861" s="180">
        <v>2.9000000000000001E-2</v>
      </c>
      <c r="BJ1861" s="191">
        <v>44719</v>
      </c>
      <c r="BK1861" s="192">
        <v>1.147</v>
      </c>
      <c r="BN1861" s="94">
        <v>44796</v>
      </c>
      <c r="BO1861" s="95">
        <v>1.216</v>
      </c>
      <c r="BP1861" s="96">
        <v>14</v>
      </c>
    </row>
    <row r="1862" spans="60:68" ht="15">
      <c r="BH1862" s="187">
        <v>44720</v>
      </c>
      <c r="BI1862" s="180">
        <v>3.4000000000000002E-2</v>
      </c>
      <c r="BJ1862" s="191">
        <v>44720</v>
      </c>
      <c r="BK1862" s="192">
        <v>1.161</v>
      </c>
      <c r="BN1862" s="94">
        <v>44797</v>
      </c>
      <c r="BO1862" s="95">
        <v>1.238</v>
      </c>
      <c r="BP1862" s="96">
        <v>14</v>
      </c>
    </row>
    <row r="1863" spans="60:68" ht="15">
      <c r="BH1863" s="187">
        <v>44721</v>
      </c>
      <c r="BI1863" s="180">
        <v>6.3E-2</v>
      </c>
      <c r="BJ1863" s="191">
        <v>44721</v>
      </c>
      <c r="BK1863" s="192">
        <v>1.1819999999999999</v>
      </c>
      <c r="BN1863" s="94">
        <v>44798</v>
      </c>
      <c r="BO1863" s="95">
        <v>1.2589999999999999</v>
      </c>
      <c r="BP1863" s="96">
        <v>14</v>
      </c>
    </row>
    <row r="1864" spans="60:68" ht="15">
      <c r="BH1864" s="187">
        <v>44722</v>
      </c>
      <c r="BI1864" s="180">
        <v>8.3000000000000004E-2</v>
      </c>
      <c r="BJ1864" s="191">
        <v>44722</v>
      </c>
      <c r="BK1864" s="192">
        <v>1.2090000000000001</v>
      </c>
      <c r="BN1864" s="94">
        <v>44799</v>
      </c>
      <c r="BO1864" s="95">
        <v>1.286</v>
      </c>
      <c r="BP1864" s="96">
        <v>13.99</v>
      </c>
    </row>
    <row r="1865" spans="60:68" ht="15">
      <c r="BH1865" s="187">
        <v>44725</v>
      </c>
      <c r="BI1865" s="180">
        <v>0.108</v>
      </c>
      <c r="BJ1865" s="191">
        <v>44725</v>
      </c>
      <c r="BK1865" s="192">
        <v>1.2490000000000001</v>
      </c>
      <c r="BN1865" s="94">
        <v>44802</v>
      </c>
      <c r="BO1865" s="95">
        <v>1.3220000000000001</v>
      </c>
      <c r="BP1865" s="96">
        <v>13.99</v>
      </c>
    </row>
    <row r="1866" spans="60:68" ht="15">
      <c r="BH1866" s="187">
        <v>44726</v>
      </c>
      <c r="BI1866" s="180">
        <v>0.17499999999999999</v>
      </c>
      <c r="BJ1866" s="191">
        <v>44726</v>
      </c>
      <c r="BK1866" s="192">
        <v>1.2929999999999999</v>
      </c>
      <c r="BN1866" s="94">
        <v>44803</v>
      </c>
      <c r="BO1866" s="95">
        <v>1.361</v>
      </c>
      <c r="BP1866" s="96">
        <v>13.98</v>
      </c>
    </row>
    <row r="1867" spans="60:68" ht="15">
      <c r="BH1867" s="187">
        <v>44727</v>
      </c>
      <c r="BI1867" s="180">
        <v>0.23699999999999999</v>
      </c>
      <c r="BJ1867" s="191">
        <v>44727</v>
      </c>
      <c r="BK1867" s="192">
        <v>1.333</v>
      </c>
      <c r="BN1867" s="94">
        <v>44804</v>
      </c>
      <c r="BO1867" s="95">
        <v>1.4039999999999999</v>
      </c>
      <c r="BP1867" s="96">
        <v>13.98</v>
      </c>
    </row>
    <row r="1868" spans="60:68" ht="15">
      <c r="BH1868" s="187">
        <v>44728</v>
      </c>
      <c r="BI1868" s="180">
        <v>0.249</v>
      </c>
      <c r="BJ1868" s="191"/>
      <c r="BK1868" s="193">
        <f>+BK1867</f>
        <v>1.333</v>
      </c>
      <c r="BN1868" s="94">
        <v>44805</v>
      </c>
      <c r="BO1868" s="95">
        <v>1.4430000000000001</v>
      </c>
      <c r="BP1868" s="96">
        <v>13.98</v>
      </c>
    </row>
    <row r="1869" spans="60:68" ht="15">
      <c r="BH1869" s="187">
        <v>44729</v>
      </c>
      <c r="BI1869" s="180">
        <v>0.29099999999999998</v>
      </c>
      <c r="BJ1869" s="191">
        <v>44729</v>
      </c>
      <c r="BK1869" s="192">
        <v>1.371</v>
      </c>
      <c r="BN1869" s="94">
        <v>44806</v>
      </c>
      <c r="BO1869" s="95">
        <v>1.4810000000000001</v>
      </c>
      <c r="BP1869" s="96">
        <v>13.98</v>
      </c>
    </row>
    <row r="1870" spans="60:68" ht="15">
      <c r="BH1870" s="187">
        <v>44732</v>
      </c>
      <c r="BI1870" s="180">
        <v>0.27300000000000002</v>
      </c>
      <c r="BJ1870" s="191">
        <v>44732</v>
      </c>
      <c r="BK1870" s="192">
        <v>1.405</v>
      </c>
      <c r="BN1870" s="94">
        <v>44809</v>
      </c>
      <c r="BO1870" s="95">
        <v>1.5189999999999999</v>
      </c>
      <c r="BP1870" s="96">
        <v>13.97</v>
      </c>
    </row>
    <row r="1871" spans="60:68" ht="15">
      <c r="BH1871" s="187">
        <v>44733</v>
      </c>
      <c r="BI1871" s="180">
        <v>0.28899999999999998</v>
      </c>
      <c r="BJ1871" s="191">
        <v>44733</v>
      </c>
      <c r="BK1871" s="192">
        <v>1.448</v>
      </c>
      <c r="BN1871" s="94">
        <v>44810</v>
      </c>
      <c r="BO1871" s="95">
        <v>1.5529999999999999</v>
      </c>
      <c r="BP1871" s="96">
        <v>13.96</v>
      </c>
    </row>
    <row r="1872" spans="60:68" ht="15">
      <c r="BH1872" s="187">
        <v>44734</v>
      </c>
      <c r="BI1872" s="180">
        <v>0.29099999999999998</v>
      </c>
      <c r="BJ1872" s="191">
        <v>44734</v>
      </c>
      <c r="BK1872" s="192">
        <v>1.4850000000000001</v>
      </c>
      <c r="BN1872" s="94">
        <v>44811</v>
      </c>
      <c r="BO1872" s="95">
        <v>1.585</v>
      </c>
      <c r="BP1872" s="96">
        <v>13.96</v>
      </c>
    </row>
    <row r="1873" spans="60:68" ht="15">
      <c r="BH1873" s="187">
        <v>44735</v>
      </c>
      <c r="BI1873" s="180">
        <v>0.27300000000000002</v>
      </c>
      <c r="BJ1873" s="191">
        <v>44735</v>
      </c>
      <c r="BK1873" s="192">
        <v>1.5089999999999999</v>
      </c>
      <c r="BN1873" s="94">
        <v>44812</v>
      </c>
      <c r="BO1873" s="95">
        <v>1.6240000000000001</v>
      </c>
      <c r="BP1873" s="96">
        <v>13.91</v>
      </c>
    </row>
    <row r="1874" spans="60:68" ht="15">
      <c r="BH1874" s="187">
        <v>44736</v>
      </c>
      <c r="BI1874" s="180">
        <v>0.223</v>
      </c>
      <c r="BJ1874" s="191">
        <v>44736</v>
      </c>
      <c r="BK1874" s="192">
        <v>1.532</v>
      </c>
      <c r="BN1874" s="94">
        <v>44813</v>
      </c>
      <c r="BO1874" s="95">
        <v>1.663</v>
      </c>
      <c r="BP1874" s="96">
        <v>13.9</v>
      </c>
    </row>
    <row r="1875" spans="60:68" ht="15">
      <c r="BH1875" s="187">
        <v>44739</v>
      </c>
      <c r="BI1875" s="180">
        <v>0.223</v>
      </c>
      <c r="BJ1875" s="191">
        <v>44739</v>
      </c>
      <c r="BK1875" s="192">
        <v>1.5609999999999999</v>
      </c>
      <c r="BN1875" s="94">
        <v>44816</v>
      </c>
      <c r="BO1875" s="95">
        <v>1.7</v>
      </c>
      <c r="BP1875" s="96">
        <v>13.9</v>
      </c>
    </row>
    <row r="1876" spans="60:68" ht="15">
      <c r="BH1876" s="187">
        <v>44740</v>
      </c>
      <c r="BI1876" s="180">
        <v>0.22500000000000001</v>
      </c>
      <c r="BJ1876" s="191">
        <v>44740</v>
      </c>
      <c r="BK1876" s="192">
        <v>1.593</v>
      </c>
      <c r="BN1876" s="94">
        <v>44817</v>
      </c>
      <c r="BO1876" s="95">
        <v>1.738</v>
      </c>
      <c r="BP1876" s="96">
        <v>13.89</v>
      </c>
    </row>
    <row r="1877" spans="60:68" ht="15">
      <c r="BH1877" s="187">
        <v>44741</v>
      </c>
      <c r="BI1877" s="180">
        <v>0.27800000000000002</v>
      </c>
      <c r="BJ1877" s="191">
        <v>44741</v>
      </c>
      <c r="BK1877" s="192">
        <v>1.6180000000000001</v>
      </c>
      <c r="BN1877" s="94">
        <v>44818</v>
      </c>
      <c r="BO1877" s="95">
        <v>1.7729999999999999</v>
      </c>
      <c r="BP1877" s="96">
        <v>13.89</v>
      </c>
    </row>
    <row r="1878" spans="60:68" ht="15">
      <c r="BH1878" s="187">
        <v>44742</v>
      </c>
      <c r="BI1878" s="180">
        <v>0.26300000000000001</v>
      </c>
      <c r="BJ1878" s="191">
        <v>44742</v>
      </c>
      <c r="BK1878" s="192">
        <v>1.633</v>
      </c>
      <c r="BN1878" s="94">
        <v>44819</v>
      </c>
      <c r="BO1878" s="95">
        <v>1.8069999999999999</v>
      </c>
      <c r="BP1878" s="96">
        <v>13.89</v>
      </c>
    </row>
    <row r="1879" spans="60:68" ht="15">
      <c r="BH1879" s="187">
        <v>44743</v>
      </c>
      <c r="BI1879" s="180">
        <v>0.23799999999999999</v>
      </c>
      <c r="BJ1879" s="191">
        <v>44743</v>
      </c>
      <c r="BK1879" s="192">
        <v>1.641</v>
      </c>
      <c r="BN1879" s="94">
        <v>44820</v>
      </c>
      <c r="BO1879" s="95">
        <v>1.8380000000000001</v>
      </c>
      <c r="BP1879" s="96">
        <v>13.89</v>
      </c>
    </row>
    <row r="1880" spans="60:68" ht="15">
      <c r="BH1880" s="187">
        <v>44746</v>
      </c>
      <c r="BI1880" s="180">
        <v>0.24099999999999999</v>
      </c>
      <c r="BJ1880" s="191">
        <v>44746</v>
      </c>
      <c r="BK1880" s="192">
        <v>1.645</v>
      </c>
      <c r="BN1880" s="94">
        <v>44823</v>
      </c>
      <c r="BO1880" s="95">
        <v>1.869</v>
      </c>
      <c r="BP1880" s="96">
        <v>13.88</v>
      </c>
    </row>
    <row r="1881" spans="60:68" ht="15">
      <c r="BH1881" s="187">
        <v>44747</v>
      </c>
      <c r="BI1881" s="180">
        <v>0.23400000000000001</v>
      </c>
      <c r="BJ1881" s="191">
        <v>44747</v>
      </c>
      <c r="BK1881" s="192">
        <v>1.6459999999999999</v>
      </c>
      <c r="BN1881" s="94">
        <v>44824</v>
      </c>
      <c r="BO1881" s="95">
        <v>1.9019999999999999</v>
      </c>
      <c r="BP1881" s="96">
        <v>13.87</v>
      </c>
    </row>
    <row r="1882" spans="60:68" ht="15">
      <c r="BH1882" s="187">
        <v>44748</v>
      </c>
      <c r="BI1882" s="180">
        <v>0.22600000000000001</v>
      </c>
      <c r="BJ1882" s="191">
        <v>44748</v>
      </c>
      <c r="BK1882" s="192">
        <v>1.641</v>
      </c>
      <c r="BN1882" s="94">
        <v>44825</v>
      </c>
      <c r="BO1882" s="95">
        <v>1.9330000000000001</v>
      </c>
      <c r="BP1882" s="96">
        <v>13.87</v>
      </c>
    </row>
    <row r="1883" spans="60:68" ht="15">
      <c r="BH1883" s="187">
        <v>44749</v>
      </c>
      <c r="BI1883" s="180">
        <v>0.23799999999999999</v>
      </c>
      <c r="BJ1883" s="191">
        <v>44749</v>
      </c>
      <c r="BK1883" s="192">
        <v>1.641</v>
      </c>
      <c r="BN1883" s="94">
        <v>44826</v>
      </c>
      <c r="BO1883" s="95">
        <v>1.9670000000000001</v>
      </c>
      <c r="BP1883" s="96">
        <v>13.87</v>
      </c>
    </row>
    <row r="1884" spans="60:68" ht="15">
      <c r="BH1884" s="187">
        <v>44750</v>
      </c>
      <c r="BI1884" s="180">
        <v>0.32200000000000001</v>
      </c>
      <c r="BJ1884" s="191">
        <v>44750</v>
      </c>
      <c r="BK1884" s="192">
        <v>1.637</v>
      </c>
      <c r="BN1884" s="94">
        <v>44827</v>
      </c>
      <c r="BO1884" s="95">
        <v>2.0009999999999999</v>
      </c>
      <c r="BP1884" s="96">
        <v>13.87</v>
      </c>
    </row>
    <row r="1885" spans="60:68" ht="15">
      <c r="BH1885" s="187">
        <v>44753</v>
      </c>
      <c r="BI1885" s="180">
        <v>0.36499999999999999</v>
      </c>
      <c r="BJ1885" s="191">
        <v>44753</v>
      </c>
      <c r="BK1885" s="192">
        <v>1.6259999999999999</v>
      </c>
      <c r="BN1885" s="94">
        <v>44830</v>
      </c>
      <c r="BO1885" s="95">
        <v>2.0329999999999999</v>
      </c>
      <c r="BP1885" s="96">
        <v>13.83</v>
      </c>
    </row>
    <row r="1886" spans="60:68" ht="15">
      <c r="BH1886" s="187">
        <v>44754</v>
      </c>
      <c r="BI1886" s="180">
        <v>0.379</v>
      </c>
      <c r="BJ1886" s="191">
        <v>44754</v>
      </c>
      <c r="BK1886" s="192">
        <v>1.6020000000000001</v>
      </c>
      <c r="BN1886" s="94">
        <v>44831</v>
      </c>
      <c r="BO1886" s="95">
        <v>2.0659999999999998</v>
      </c>
      <c r="BP1886" s="96">
        <v>13.82</v>
      </c>
    </row>
    <row r="1887" spans="60:68" ht="15">
      <c r="BH1887" s="187">
        <v>44755</v>
      </c>
      <c r="BI1887" s="180">
        <v>0.36299999999999999</v>
      </c>
      <c r="BJ1887" s="191">
        <v>44755</v>
      </c>
      <c r="BK1887" s="192">
        <v>1.573</v>
      </c>
      <c r="BN1887" s="94">
        <v>44832</v>
      </c>
      <c r="BO1887" s="95">
        <v>2.1030000000000002</v>
      </c>
      <c r="BP1887" s="96">
        <v>13.68</v>
      </c>
    </row>
    <row r="1888" spans="60:68" ht="15">
      <c r="BH1888" s="187">
        <v>44756</v>
      </c>
      <c r="BI1888" s="180">
        <v>0.44800000000000001</v>
      </c>
      <c r="BJ1888" s="191">
        <v>44756</v>
      </c>
      <c r="BK1888" s="192">
        <v>1.55</v>
      </c>
      <c r="BN1888" s="94">
        <v>44833</v>
      </c>
      <c r="BO1888" s="95">
        <v>2.1349999999999998</v>
      </c>
      <c r="BP1888" s="96">
        <v>13.68</v>
      </c>
    </row>
    <row r="1889" spans="60:68" ht="15">
      <c r="BH1889" s="187">
        <v>44757</v>
      </c>
      <c r="BI1889" s="180">
        <v>0.53200000000000003</v>
      </c>
      <c r="BJ1889" s="191">
        <v>44757</v>
      </c>
      <c r="BK1889" s="192">
        <v>1.5629999999999999</v>
      </c>
      <c r="BN1889" s="94">
        <v>44834</v>
      </c>
      <c r="BO1889" s="95">
        <v>2.1629999999999998</v>
      </c>
      <c r="BP1889" s="96">
        <v>13.68</v>
      </c>
    </row>
    <row r="1890" spans="60:68" ht="15">
      <c r="BH1890" s="187">
        <v>44760</v>
      </c>
      <c r="BI1890" s="180">
        <v>0.503</v>
      </c>
      <c r="BJ1890" s="191">
        <v>44760</v>
      </c>
      <c r="BK1890" s="192">
        <v>1.54</v>
      </c>
      <c r="BN1890" s="94">
        <v>44837</v>
      </c>
      <c r="BO1890" s="95">
        <v>2.1869999999999998</v>
      </c>
      <c r="BP1890" s="96">
        <v>13.67</v>
      </c>
    </row>
    <row r="1891" spans="60:68" ht="15">
      <c r="BH1891" s="187">
        <v>44761</v>
      </c>
      <c r="BI1891" s="180">
        <v>0.53400000000000003</v>
      </c>
      <c r="BJ1891" s="191">
        <v>44761</v>
      </c>
      <c r="BK1891" s="192">
        <v>1.514</v>
      </c>
      <c r="BN1891" s="94">
        <v>44838</v>
      </c>
      <c r="BO1891" s="95">
        <v>2.2040000000000002</v>
      </c>
      <c r="BP1891" s="96">
        <v>13.67</v>
      </c>
    </row>
    <row r="1892" spans="60:68" ht="15">
      <c r="BH1892" s="187">
        <v>44762</v>
      </c>
      <c r="BI1892" s="180">
        <v>0.63500000000000001</v>
      </c>
      <c r="BJ1892" s="191">
        <v>44762</v>
      </c>
      <c r="BK1892" s="192">
        <v>1.4930000000000001</v>
      </c>
      <c r="BN1892" s="94">
        <v>44839</v>
      </c>
      <c r="BO1892" s="95">
        <v>2.2269999999999999</v>
      </c>
      <c r="BP1892" s="96">
        <v>13.66</v>
      </c>
    </row>
    <row r="1893" spans="60:68" ht="15">
      <c r="BH1893" s="187">
        <v>44763</v>
      </c>
      <c r="BI1893" s="180">
        <v>0.63200000000000001</v>
      </c>
      <c r="BJ1893" s="191">
        <v>44763</v>
      </c>
      <c r="BK1893" s="192">
        <v>1.4830000000000001</v>
      </c>
      <c r="BN1893" s="94">
        <v>44840</v>
      </c>
      <c r="BO1893" s="95">
        <v>2.2519999999999998</v>
      </c>
      <c r="BP1893" s="96">
        <v>13.7</v>
      </c>
    </row>
    <row r="1894" spans="60:68" ht="15">
      <c r="BH1894" s="187">
        <v>44764</v>
      </c>
      <c r="BI1894" s="180">
        <v>0.70599999999999996</v>
      </c>
      <c r="BJ1894" s="191">
        <v>44764</v>
      </c>
      <c r="BK1894" s="192">
        <v>1.4650000000000001</v>
      </c>
      <c r="BN1894" s="94">
        <v>44841</v>
      </c>
      <c r="BO1894" s="95">
        <v>2.2770000000000001</v>
      </c>
      <c r="BP1894" s="96">
        <v>13.7</v>
      </c>
    </row>
    <row r="1895" spans="60:68" ht="15">
      <c r="BH1895" s="187">
        <v>44767</v>
      </c>
      <c r="BI1895" s="180">
        <v>0.63300000000000001</v>
      </c>
      <c r="BJ1895" s="191">
        <v>44767</v>
      </c>
      <c r="BK1895" s="192">
        <v>1.4419999999999999</v>
      </c>
      <c r="BN1895" s="94">
        <v>44844</v>
      </c>
      <c r="BO1895" s="95">
        <v>2.3050000000000002</v>
      </c>
      <c r="BP1895" s="96">
        <v>13.69</v>
      </c>
    </row>
    <row r="1896" spans="60:68" ht="15">
      <c r="BH1896" s="187">
        <v>44768</v>
      </c>
      <c r="BI1896" s="180">
        <v>0.623</v>
      </c>
      <c r="BJ1896" s="191">
        <v>44768</v>
      </c>
      <c r="BK1896" s="192">
        <v>1.411</v>
      </c>
      <c r="BN1896" s="94">
        <v>44845</v>
      </c>
      <c r="BO1896" s="95">
        <v>2.3359999999999999</v>
      </c>
      <c r="BP1896" s="96">
        <v>13.69</v>
      </c>
    </row>
    <row r="1897" spans="60:68" ht="15">
      <c r="BH1897" s="187">
        <v>44769</v>
      </c>
      <c r="BI1897" s="180">
        <v>0.63100000000000001</v>
      </c>
      <c r="BJ1897" s="191">
        <v>44769</v>
      </c>
      <c r="BK1897" s="192">
        <v>1.383</v>
      </c>
      <c r="BN1897" s="94">
        <v>44846</v>
      </c>
      <c r="BO1897" s="95">
        <v>2.367</v>
      </c>
      <c r="BP1897" s="96">
        <v>13.69</v>
      </c>
    </row>
    <row r="1898" spans="60:68" ht="15">
      <c r="BH1898" s="187">
        <v>44770</v>
      </c>
      <c r="BI1898" s="180">
        <v>0.66</v>
      </c>
      <c r="BJ1898" s="191">
        <v>44770</v>
      </c>
      <c r="BK1898" s="192">
        <v>1.36</v>
      </c>
      <c r="BN1898" s="94">
        <v>44847</v>
      </c>
      <c r="BO1898" s="95">
        <v>2.3959999999999999</v>
      </c>
      <c r="BP1898" s="96">
        <v>13.68</v>
      </c>
    </row>
    <row r="1899" spans="60:68" ht="15">
      <c r="BH1899" s="187">
        <v>44771</v>
      </c>
      <c r="BI1899" s="180">
        <v>0.65300000000000002</v>
      </c>
      <c r="BJ1899" s="191">
        <v>44771</v>
      </c>
      <c r="BK1899" s="192">
        <v>1.341</v>
      </c>
      <c r="BN1899" s="94">
        <v>44848</v>
      </c>
      <c r="BO1899" s="95">
        <v>2.42</v>
      </c>
      <c r="BP1899" s="96">
        <v>13.68</v>
      </c>
    </row>
    <row r="1900" spans="60:68" ht="15">
      <c r="BH1900" s="187">
        <v>44774</v>
      </c>
      <c r="BI1900" s="180">
        <v>0.65400000000000003</v>
      </c>
      <c r="BJ1900" s="191">
        <v>44774</v>
      </c>
      <c r="BK1900" s="192">
        <v>1.319</v>
      </c>
      <c r="BN1900" s="94">
        <v>44851</v>
      </c>
      <c r="BO1900" s="95">
        <v>2.444</v>
      </c>
      <c r="BP1900" s="96">
        <v>13.67</v>
      </c>
    </row>
    <row r="1901" spans="60:68" ht="15">
      <c r="BH1901" s="187">
        <v>44775</v>
      </c>
      <c r="BI1901" s="180">
        <v>0.65200000000000002</v>
      </c>
      <c r="BJ1901" s="191">
        <v>44775</v>
      </c>
      <c r="BK1901" s="192">
        <v>1.296</v>
      </c>
      <c r="BN1901" s="94">
        <v>44852</v>
      </c>
      <c r="BO1901" s="95">
        <v>2.4649999999999999</v>
      </c>
      <c r="BP1901" s="96">
        <v>13.67</v>
      </c>
    </row>
    <row r="1902" spans="60:68" ht="15">
      <c r="BH1902" s="187">
        <v>44776</v>
      </c>
      <c r="BI1902" s="180">
        <v>0.66700000000000004</v>
      </c>
      <c r="BJ1902" s="191">
        <v>44776</v>
      </c>
      <c r="BK1902" s="192">
        <v>1.284</v>
      </c>
      <c r="BN1902" s="94">
        <v>44853</v>
      </c>
      <c r="BO1902" s="95">
        <v>2.488</v>
      </c>
      <c r="BP1902" s="96">
        <v>13.67</v>
      </c>
    </row>
    <row r="1903" spans="60:68" ht="15">
      <c r="BH1903" s="187">
        <v>44777</v>
      </c>
      <c r="BI1903" s="180">
        <v>0.68899999999999995</v>
      </c>
      <c r="BJ1903" s="191">
        <v>44777</v>
      </c>
      <c r="BK1903" s="192">
        <v>1.266</v>
      </c>
      <c r="BN1903" s="94">
        <v>44854</v>
      </c>
      <c r="BO1903" s="95">
        <v>2.552</v>
      </c>
      <c r="BP1903" s="96">
        <v>14.29</v>
      </c>
    </row>
    <row r="1904" spans="60:68" ht="15">
      <c r="BH1904" s="187">
        <v>44778</v>
      </c>
      <c r="BI1904" s="180">
        <v>0.67800000000000005</v>
      </c>
      <c r="BJ1904" s="191">
        <v>44778</v>
      </c>
      <c r="BK1904" s="192">
        <v>1.248</v>
      </c>
      <c r="BN1904" s="94">
        <v>44855</v>
      </c>
      <c r="BO1904" s="95">
        <v>2.5750000000000002</v>
      </c>
      <c r="BP1904" s="96">
        <v>14.29</v>
      </c>
    </row>
    <row r="1905" spans="60:68" ht="15">
      <c r="BH1905" s="187">
        <v>44781</v>
      </c>
      <c r="BI1905" s="180">
        <v>0.72899999999999998</v>
      </c>
      <c r="BJ1905" s="191">
        <v>44781</v>
      </c>
      <c r="BK1905" s="192">
        <v>1.234</v>
      </c>
      <c r="BN1905" s="94">
        <v>44858</v>
      </c>
      <c r="BO1905" s="95">
        <v>2.5859999999999999</v>
      </c>
      <c r="BP1905" s="96">
        <v>14.23</v>
      </c>
    </row>
    <row r="1906" spans="60:68" ht="15">
      <c r="BH1906" s="187">
        <v>44782</v>
      </c>
      <c r="BI1906" s="180">
        <v>0.73699999999999999</v>
      </c>
      <c r="BJ1906" s="191">
        <v>44782</v>
      </c>
      <c r="BK1906" s="192">
        <v>1.2290000000000001</v>
      </c>
      <c r="BN1906" s="94">
        <v>44859</v>
      </c>
      <c r="BO1906" s="95">
        <v>2.593</v>
      </c>
      <c r="BP1906" s="96">
        <v>14.22</v>
      </c>
    </row>
    <row r="1907" spans="60:68" ht="15">
      <c r="BH1907" s="187">
        <v>44783</v>
      </c>
      <c r="BI1907" s="180">
        <v>0.77400000000000002</v>
      </c>
      <c r="BJ1907" s="191">
        <v>44783</v>
      </c>
      <c r="BK1907" s="192">
        <v>1.2190000000000001</v>
      </c>
      <c r="BN1907" s="94">
        <v>44861</v>
      </c>
      <c r="BO1907" s="95">
        <v>2.593</v>
      </c>
      <c r="BP1907" s="96">
        <v>14.22</v>
      </c>
    </row>
    <row r="1908" spans="60:68" ht="15">
      <c r="BH1908" s="187">
        <v>44784</v>
      </c>
      <c r="BI1908" s="180">
        <v>0.76400000000000001</v>
      </c>
      <c r="BJ1908" s="191">
        <v>44784</v>
      </c>
      <c r="BK1908" s="192">
        <v>1.21</v>
      </c>
      <c r="BN1908" s="94">
        <v>44862</v>
      </c>
      <c r="BO1908" s="95">
        <v>2.5880000000000001</v>
      </c>
      <c r="BP1908" s="96">
        <v>14.22</v>
      </c>
    </row>
    <row r="1909" spans="60:68" ht="15">
      <c r="BH1909" s="187">
        <v>44785</v>
      </c>
      <c r="BI1909" s="180">
        <v>0.76600000000000001</v>
      </c>
      <c r="BJ1909" s="191">
        <v>44785</v>
      </c>
      <c r="BK1909" s="192">
        <v>1.206</v>
      </c>
      <c r="BN1909" s="94">
        <v>44865</v>
      </c>
      <c r="BO1909" s="95">
        <v>2.5910000000000002</v>
      </c>
      <c r="BP1909" s="96">
        <v>14.21</v>
      </c>
    </row>
    <row r="1910" spans="60:68" ht="15">
      <c r="BH1910" s="187">
        <v>44788</v>
      </c>
      <c r="BI1910" s="180">
        <v>0.745</v>
      </c>
      <c r="BJ1910" s="191"/>
      <c r="BK1910" s="193">
        <f>+BK1909</f>
        <v>1.206</v>
      </c>
      <c r="BN1910" s="94">
        <v>44867</v>
      </c>
      <c r="BO1910" s="95">
        <v>2.5990000000000002</v>
      </c>
      <c r="BP1910" s="96">
        <v>14.2</v>
      </c>
    </row>
    <row r="1911" spans="60:68" ht="15">
      <c r="BH1911" s="187">
        <v>44789</v>
      </c>
      <c r="BI1911" s="180">
        <v>0.73499999999999999</v>
      </c>
      <c r="BJ1911" s="191">
        <v>44789</v>
      </c>
      <c r="BK1911" s="192">
        <v>1.198</v>
      </c>
      <c r="BN1911" s="94">
        <v>44868</v>
      </c>
      <c r="BO1911" s="95">
        <v>2.6190000000000002</v>
      </c>
      <c r="BP1911" s="96">
        <v>14.2</v>
      </c>
    </row>
    <row r="1912" spans="60:68" ht="15">
      <c r="BH1912" s="187">
        <v>44790</v>
      </c>
      <c r="BI1912" s="180">
        <v>0.753</v>
      </c>
      <c r="BJ1912" s="191">
        <v>44790</v>
      </c>
      <c r="BK1912" s="192">
        <v>1.1919999999999999</v>
      </c>
      <c r="BN1912" s="94">
        <v>44869</v>
      </c>
      <c r="BO1912" s="95">
        <v>2.6339999999999999</v>
      </c>
      <c r="BP1912" s="96">
        <v>14.2</v>
      </c>
    </row>
    <row r="1913" spans="60:68" ht="15">
      <c r="BH1913" s="187">
        <v>44791</v>
      </c>
      <c r="BI1913" s="180">
        <v>0.82599999999999996</v>
      </c>
      <c r="BJ1913" s="191">
        <v>44791</v>
      </c>
      <c r="BK1913" s="192">
        <v>1.1870000000000001</v>
      </c>
      <c r="BN1913" s="94">
        <v>44872</v>
      </c>
      <c r="BO1913" s="95">
        <v>2.6469999999999998</v>
      </c>
      <c r="BP1913" s="96">
        <v>14.19</v>
      </c>
    </row>
    <row r="1914" spans="60:68" ht="15">
      <c r="BH1914" s="187">
        <v>44792</v>
      </c>
      <c r="BI1914" s="180">
        <v>0.86199999999999999</v>
      </c>
      <c r="BJ1914" s="191">
        <v>44792</v>
      </c>
      <c r="BK1914" s="192">
        <v>1.1879999999999999</v>
      </c>
      <c r="BN1914" s="94">
        <v>44873</v>
      </c>
      <c r="BO1914" s="95">
        <v>2.6549999999999998</v>
      </c>
      <c r="BP1914" s="96">
        <v>14.19</v>
      </c>
    </row>
    <row r="1915" spans="60:68" ht="15">
      <c r="BH1915" s="187">
        <v>44795</v>
      </c>
      <c r="BI1915" s="180">
        <v>0.90800000000000003</v>
      </c>
      <c r="BJ1915" s="191">
        <v>44795</v>
      </c>
      <c r="BK1915" s="192">
        <v>1.2</v>
      </c>
      <c r="BN1915" s="94">
        <v>44874</v>
      </c>
      <c r="BO1915" s="95">
        <v>2.6579999999999999</v>
      </c>
      <c r="BP1915" s="96">
        <v>14.18</v>
      </c>
    </row>
    <row r="1916" spans="60:68" ht="15">
      <c r="BH1916" s="187">
        <v>44796</v>
      </c>
      <c r="BI1916" s="180">
        <v>0.92600000000000005</v>
      </c>
      <c r="BJ1916" s="191">
        <v>44796</v>
      </c>
      <c r="BK1916" s="192">
        <v>1.216</v>
      </c>
      <c r="BN1916" s="94">
        <v>44875</v>
      </c>
      <c r="BO1916" s="95">
        <v>2.6509999999999998</v>
      </c>
      <c r="BP1916" s="96">
        <v>14.14</v>
      </c>
    </row>
    <row r="1917" spans="60:68" ht="15">
      <c r="BH1917" s="187">
        <v>44797</v>
      </c>
      <c r="BI1917" s="180">
        <v>0.94699999999999995</v>
      </c>
      <c r="BJ1917" s="191">
        <v>44797</v>
      </c>
      <c r="BK1917" s="192">
        <v>1.238</v>
      </c>
      <c r="BN1917" s="94">
        <v>44876</v>
      </c>
      <c r="BO1917" s="95">
        <v>2.6419999999999999</v>
      </c>
      <c r="BP1917" s="96">
        <v>14.13</v>
      </c>
    </row>
    <row r="1918" spans="60:68" ht="15">
      <c r="BH1918" s="187">
        <v>44798</v>
      </c>
      <c r="BI1918" s="180">
        <v>0.98399999999999999</v>
      </c>
      <c r="BJ1918" s="191">
        <v>44798</v>
      </c>
      <c r="BK1918" s="192">
        <v>1.2589999999999999</v>
      </c>
      <c r="BN1918" s="94">
        <v>44879</v>
      </c>
      <c r="BO1918" s="95">
        <v>2.6349999999999998</v>
      </c>
      <c r="BP1918" s="96">
        <v>14.13</v>
      </c>
    </row>
    <row r="1919" spans="60:68" ht="15">
      <c r="BH1919" s="187">
        <v>44799</v>
      </c>
      <c r="BI1919" s="180">
        <v>0.98299999999999998</v>
      </c>
      <c r="BJ1919" s="191">
        <v>44799</v>
      </c>
      <c r="BK1919" s="192">
        <v>1.286</v>
      </c>
      <c r="BN1919" s="94">
        <v>44880</v>
      </c>
      <c r="BO1919" s="95">
        <v>2.63</v>
      </c>
      <c r="BP1919" s="96">
        <v>14.12</v>
      </c>
    </row>
    <row r="1920" spans="60:68" ht="15">
      <c r="BH1920" s="187">
        <v>44802</v>
      </c>
      <c r="BI1920" s="180">
        <v>1.077</v>
      </c>
      <c r="BJ1920" s="191">
        <v>44802</v>
      </c>
      <c r="BK1920" s="192">
        <v>1.3220000000000001</v>
      </c>
      <c r="BN1920" s="94">
        <v>44881</v>
      </c>
      <c r="BO1920" s="95">
        <v>2.62</v>
      </c>
      <c r="BP1920" s="96">
        <v>14.12</v>
      </c>
    </row>
    <row r="1921" spans="60:70" ht="15">
      <c r="BH1921" s="187">
        <v>44803</v>
      </c>
      <c r="BI1921" s="180">
        <v>1.1930000000000001</v>
      </c>
      <c r="BJ1921" s="191">
        <v>44803</v>
      </c>
      <c r="BK1921" s="192">
        <v>1.361</v>
      </c>
      <c r="BN1921" s="94">
        <v>44882</v>
      </c>
      <c r="BO1921" s="95">
        <v>2.6070000000000002</v>
      </c>
      <c r="BP1921" s="96">
        <v>14.12</v>
      </c>
    </row>
    <row r="1922" spans="60:70" ht="15">
      <c r="BH1922" s="187">
        <v>44804</v>
      </c>
      <c r="BI1922" s="180">
        <v>1.2030000000000001</v>
      </c>
      <c r="BJ1922" s="191">
        <v>44804</v>
      </c>
      <c r="BK1922" s="192">
        <v>1.4039999999999999</v>
      </c>
      <c r="BN1922" s="94">
        <v>44883</v>
      </c>
      <c r="BO1922" s="95">
        <v>2.5920000000000001</v>
      </c>
      <c r="BP1922" s="96">
        <v>14.12</v>
      </c>
    </row>
    <row r="1923" spans="60:70" ht="15">
      <c r="BH1923" s="187">
        <v>44805</v>
      </c>
      <c r="BI1923" s="180">
        <v>1.24</v>
      </c>
      <c r="BJ1923" s="191">
        <v>44805</v>
      </c>
      <c r="BK1923" s="192">
        <v>1.4430000000000001</v>
      </c>
      <c r="BN1923" s="94">
        <v>44886</v>
      </c>
      <c r="BO1923" s="95">
        <v>2.5720000000000001</v>
      </c>
      <c r="BP1923" s="96">
        <v>14.11</v>
      </c>
    </row>
    <row r="1924" spans="60:70" ht="15">
      <c r="BH1924" s="187">
        <v>44806</v>
      </c>
      <c r="BI1924" s="180">
        <v>1.29</v>
      </c>
      <c r="BJ1924" s="191">
        <v>44806</v>
      </c>
      <c r="BK1924" s="192">
        <v>1.4810000000000001</v>
      </c>
      <c r="BN1924" s="94">
        <v>44887</v>
      </c>
      <c r="BO1924" s="95">
        <v>2.5499999999999998</v>
      </c>
      <c r="BP1924" s="96">
        <v>14.1</v>
      </c>
    </row>
    <row r="1925" spans="60:70" ht="15">
      <c r="BH1925" s="187">
        <v>44809</v>
      </c>
      <c r="BI1925" s="180">
        <v>1.298</v>
      </c>
      <c r="BJ1925" s="191">
        <v>44809</v>
      </c>
      <c r="BK1925" s="192">
        <v>1.5189999999999999</v>
      </c>
      <c r="BN1925" s="94">
        <v>44888</v>
      </c>
      <c r="BO1925" s="95">
        <v>2.5329999999999999</v>
      </c>
      <c r="BP1925" s="96">
        <v>14.11</v>
      </c>
    </row>
    <row r="1926" spans="60:70" ht="15">
      <c r="BH1926" s="187">
        <v>44810</v>
      </c>
      <c r="BI1926" s="180">
        <v>1.337</v>
      </c>
      <c r="BJ1926" s="191">
        <v>44810</v>
      </c>
      <c r="BK1926" s="192">
        <v>1.5529999999999999</v>
      </c>
      <c r="BN1926" s="94">
        <v>44889</v>
      </c>
      <c r="BO1926" s="95">
        <v>2.5139999999999998</v>
      </c>
      <c r="BP1926" s="96">
        <v>14.11</v>
      </c>
    </row>
    <row r="1927" spans="60:70" ht="15">
      <c r="BH1927" s="187">
        <v>44811</v>
      </c>
      <c r="BI1927" s="180">
        <v>1.363</v>
      </c>
      <c r="BJ1927" s="191">
        <v>44811</v>
      </c>
      <c r="BK1927" s="192">
        <v>1.585</v>
      </c>
      <c r="BN1927" s="94">
        <v>44890</v>
      </c>
      <c r="BO1927" s="95">
        <v>2.504</v>
      </c>
      <c r="BP1927" s="96">
        <v>14.1</v>
      </c>
    </row>
    <row r="1928" spans="60:70" ht="15">
      <c r="BH1928" s="187">
        <v>44812</v>
      </c>
      <c r="BI1928" s="180">
        <v>1.3540000000000001</v>
      </c>
      <c r="BJ1928" s="191">
        <v>44812</v>
      </c>
      <c r="BK1928" s="192">
        <v>1.6240000000000001</v>
      </c>
      <c r="BN1928" s="94">
        <v>44893</v>
      </c>
      <c r="BO1928" s="95">
        <v>2.4990000000000001</v>
      </c>
      <c r="BP1928" s="96">
        <v>14.13</v>
      </c>
    </row>
    <row r="1929" spans="60:70" ht="15">
      <c r="BH1929" s="187">
        <v>44813</v>
      </c>
      <c r="BI1929" s="180">
        <v>1.4419999999999999</v>
      </c>
      <c r="BJ1929" s="191">
        <v>44813</v>
      </c>
      <c r="BK1929" s="192">
        <v>1.663</v>
      </c>
      <c r="BN1929" s="94">
        <v>44894</v>
      </c>
      <c r="BO1929" s="95">
        <v>2.4870000000000001</v>
      </c>
      <c r="BP1929" s="96">
        <v>14.13</v>
      </c>
    </row>
    <row r="1930" spans="60:70" ht="15">
      <c r="BH1930" s="187">
        <v>44816</v>
      </c>
      <c r="BI1930" s="180">
        <v>1.494</v>
      </c>
      <c r="BJ1930" s="191">
        <v>44816</v>
      </c>
      <c r="BK1930" s="192">
        <v>1.7</v>
      </c>
      <c r="BN1930" s="94">
        <v>44895</v>
      </c>
      <c r="BO1930" s="95">
        <v>2.476</v>
      </c>
      <c r="BP1930" s="96">
        <v>14.13</v>
      </c>
    </row>
    <row r="1931" spans="60:70" ht="15">
      <c r="BH1931" s="187">
        <v>44817</v>
      </c>
      <c r="BI1931" s="180">
        <v>1.538</v>
      </c>
      <c r="BJ1931" s="191">
        <v>44817</v>
      </c>
      <c r="BK1931" s="192">
        <v>1.738</v>
      </c>
      <c r="BN1931" s="94">
        <v>44896</v>
      </c>
      <c r="BO1931" s="95">
        <v>2.456</v>
      </c>
      <c r="BP1931" s="96">
        <v>14.13</v>
      </c>
    </row>
    <row r="1932" spans="60:70" ht="15">
      <c r="BH1932" s="187">
        <v>44818</v>
      </c>
      <c r="BI1932" s="180">
        <v>1.548</v>
      </c>
      <c r="BJ1932" s="191">
        <v>44818</v>
      </c>
      <c r="BK1932" s="192">
        <v>1.7729999999999999</v>
      </c>
      <c r="BN1932" s="94">
        <v>44897</v>
      </c>
      <c r="BO1932" s="95">
        <v>2.4329999999999998</v>
      </c>
      <c r="BP1932" s="96">
        <v>14.12</v>
      </c>
    </row>
    <row r="1933" spans="60:70" ht="15">
      <c r="BH1933" s="187">
        <v>44819</v>
      </c>
      <c r="BI1933" s="180">
        <v>1.6080000000000001</v>
      </c>
      <c r="BJ1933" s="191">
        <v>44819</v>
      </c>
      <c r="BK1933" s="192">
        <v>1.8069999999999999</v>
      </c>
      <c r="BN1933" s="645"/>
      <c r="BO1933" s="645"/>
      <c r="BP1933" s="645"/>
    </row>
    <row r="1934" spans="60:70" ht="12.75" customHeight="1">
      <c r="BH1934" s="187">
        <v>44820</v>
      </c>
      <c r="BI1934" s="180">
        <v>1.6719999999999999</v>
      </c>
      <c r="BJ1934" s="191">
        <v>44820</v>
      </c>
      <c r="BK1934" s="192">
        <v>1.8380000000000001</v>
      </c>
      <c r="BN1934" s="643" t="s">
        <v>395</v>
      </c>
      <c r="BO1934" s="643"/>
      <c r="BP1934" s="643"/>
    </row>
    <row r="1935" spans="60:70" ht="15.75" thickBot="1">
      <c r="BH1935" s="187">
        <v>44823</v>
      </c>
      <c r="BI1935" s="180">
        <v>1.7370000000000001</v>
      </c>
      <c r="BJ1935" s="191">
        <v>44823</v>
      </c>
      <c r="BK1935" s="192">
        <v>1.869</v>
      </c>
    </row>
    <row r="1936" spans="60:70" ht="17.25" thickTop="1" thickBot="1">
      <c r="BH1936" s="187">
        <v>44824</v>
      </c>
      <c r="BI1936" s="180">
        <v>1.74</v>
      </c>
      <c r="BJ1936" s="191">
        <v>44824</v>
      </c>
      <c r="BK1936" s="192">
        <v>1.9019999999999999</v>
      </c>
      <c r="BN1936" s="98" t="s">
        <v>396</v>
      </c>
      <c r="BO1936" s="99" t="s">
        <v>397</v>
      </c>
      <c r="BP1936" s="99" t="s">
        <v>398</v>
      </c>
      <c r="BQ1936" s="100" t="s">
        <v>399</v>
      </c>
      <c r="BR1936" s="101" t="s">
        <v>400</v>
      </c>
    </row>
    <row r="1937" spans="60:63" ht="15.75" thickTop="1">
      <c r="BH1937" s="187">
        <v>44825</v>
      </c>
      <c r="BI1937" s="180">
        <v>1.766</v>
      </c>
      <c r="BJ1937" s="191">
        <v>44825</v>
      </c>
      <c r="BK1937" s="192">
        <v>1.9330000000000001</v>
      </c>
    </row>
    <row r="1938" spans="60:63" ht="15">
      <c r="BH1938" s="187">
        <v>44826</v>
      </c>
      <c r="BI1938" s="180">
        <v>1.7629999999999999</v>
      </c>
      <c r="BJ1938" s="191">
        <v>44826</v>
      </c>
      <c r="BK1938" s="192">
        <v>1.9670000000000001</v>
      </c>
    </row>
    <row r="1939" spans="60:63" ht="15">
      <c r="BH1939" s="187">
        <v>44827</v>
      </c>
      <c r="BI1939" s="180">
        <v>1.8029999999999999</v>
      </c>
      <c r="BJ1939" s="191">
        <v>44827</v>
      </c>
      <c r="BK1939" s="192">
        <v>2.0009999999999999</v>
      </c>
    </row>
    <row r="1940" spans="60:63" ht="15">
      <c r="BH1940" s="187">
        <v>44830</v>
      </c>
      <c r="BI1940" s="180">
        <v>1.8029999999999999</v>
      </c>
      <c r="BJ1940" s="191">
        <v>44830</v>
      </c>
      <c r="BK1940" s="192">
        <v>2.0329999999999999</v>
      </c>
    </row>
    <row r="1941" spans="60:63" ht="15">
      <c r="BH1941" s="187">
        <v>44831</v>
      </c>
      <c r="BI1941" s="180">
        <v>1.851</v>
      </c>
      <c r="BJ1941" s="191">
        <v>44831</v>
      </c>
      <c r="BK1941" s="192">
        <v>2.0659999999999998</v>
      </c>
    </row>
    <row r="1942" spans="60:63" ht="15">
      <c r="BH1942" s="187">
        <v>44832</v>
      </c>
      <c r="BI1942" s="180">
        <v>1.8580000000000001</v>
      </c>
      <c r="BJ1942" s="191">
        <v>44832</v>
      </c>
      <c r="BK1942" s="192">
        <v>2.1030000000000002</v>
      </c>
    </row>
    <row r="1943" spans="60:63" ht="15">
      <c r="BH1943" s="187">
        <v>44833</v>
      </c>
      <c r="BI1943" s="180">
        <v>1.8</v>
      </c>
      <c r="BJ1943" s="191">
        <v>44833</v>
      </c>
      <c r="BK1943" s="192">
        <v>2.1349999999999998</v>
      </c>
    </row>
    <row r="1944" spans="60:63" ht="15">
      <c r="BH1944" s="187">
        <v>44834</v>
      </c>
      <c r="BI1944" s="180">
        <v>1.8089999999999999</v>
      </c>
      <c r="BJ1944" s="191">
        <v>44834</v>
      </c>
      <c r="BK1944" s="192">
        <v>2.1629999999999998</v>
      </c>
    </row>
    <row r="1945" spans="60:63" ht="15">
      <c r="BH1945" s="187">
        <v>44837</v>
      </c>
      <c r="BI1945" s="180">
        <v>1.7749999999999999</v>
      </c>
      <c r="BJ1945" s="191">
        <v>44837</v>
      </c>
      <c r="BK1945" s="192">
        <v>2.1869999999999998</v>
      </c>
    </row>
    <row r="1946" spans="60:63" ht="15">
      <c r="BH1946" s="187">
        <v>44838</v>
      </c>
      <c r="BI1946" s="180">
        <v>1.762</v>
      </c>
      <c r="BJ1946" s="191">
        <v>44838</v>
      </c>
      <c r="BK1946" s="192">
        <v>2.2040000000000002</v>
      </c>
    </row>
    <row r="1947" spans="60:63" ht="15">
      <c r="BH1947" s="187">
        <v>44839</v>
      </c>
      <c r="BI1947" s="180">
        <v>1.7310000000000001</v>
      </c>
      <c r="BJ1947" s="191">
        <v>44839</v>
      </c>
      <c r="BK1947" s="192">
        <v>2.2269999999999999</v>
      </c>
    </row>
    <row r="1948" spans="60:63" ht="15">
      <c r="BH1948" s="187">
        <v>44840</v>
      </c>
      <c r="BI1948" s="180">
        <v>1.8380000000000001</v>
      </c>
      <c r="BJ1948" s="191">
        <v>44840</v>
      </c>
      <c r="BK1948" s="192">
        <v>2.2519999999999998</v>
      </c>
    </row>
    <row r="1949" spans="60:63" ht="15">
      <c r="BH1949" s="187">
        <v>44841</v>
      </c>
      <c r="BI1949" s="180">
        <v>1.897</v>
      </c>
      <c r="BJ1949" s="191">
        <v>44841</v>
      </c>
      <c r="BK1949" s="192">
        <v>2.2770000000000001</v>
      </c>
    </row>
    <row r="1950" spans="60:63" ht="15">
      <c r="BH1950" s="187">
        <v>44844</v>
      </c>
      <c r="BI1950" s="180">
        <v>1.962</v>
      </c>
      <c r="BJ1950" s="191">
        <v>44844</v>
      </c>
      <c r="BK1950" s="192">
        <v>2.3050000000000002</v>
      </c>
    </row>
    <row r="1951" spans="60:63" ht="15">
      <c r="BH1951" s="187">
        <v>44845</v>
      </c>
      <c r="BI1951" s="180">
        <v>2.0030000000000001</v>
      </c>
      <c r="BJ1951" s="191">
        <v>44845</v>
      </c>
      <c r="BK1951" s="192">
        <v>2.3359999999999999</v>
      </c>
    </row>
    <row r="1952" spans="60:63" ht="15">
      <c r="BH1952" s="187">
        <v>44846</v>
      </c>
      <c r="BI1952" s="180">
        <v>1.998</v>
      </c>
      <c r="BJ1952" s="191">
        <v>44846</v>
      </c>
      <c r="BK1952" s="192">
        <v>2.367</v>
      </c>
    </row>
    <row r="1953" spans="60:64" ht="15">
      <c r="BH1953" s="187">
        <v>44847</v>
      </c>
      <c r="BI1953" s="180">
        <v>2.012</v>
      </c>
      <c r="BJ1953" s="191">
        <v>44847</v>
      </c>
      <c r="BK1953" s="192">
        <v>2.3959999999999999</v>
      </c>
    </row>
    <row r="1954" spans="60:64" ht="15">
      <c r="BH1954" s="187">
        <v>44848</v>
      </c>
      <c r="BI1954" s="180">
        <v>2.0270000000000001</v>
      </c>
      <c r="BJ1954" s="191">
        <v>44848</v>
      </c>
      <c r="BK1954" s="192">
        <v>2.42</v>
      </c>
    </row>
    <row r="1955" spans="60:64" ht="15">
      <c r="BH1955" s="187">
        <v>44851</v>
      </c>
      <c r="BI1955" s="180">
        <v>2.032</v>
      </c>
      <c r="BJ1955" s="191">
        <v>44851</v>
      </c>
      <c r="BK1955" s="192">
        <v>2.444</v>
      </c>
    </row>
    <row r="1956" spans="60:64" ht="15">
      <c r="BH1956" s="187">
        <v>44852</v>
      </c>
      <c r="BI1956" s="180">
        <v>2.0379999999999998</v>
      </c>
      <c r="BJ1956" s="191">
        <v>44852</v>
      </c>
      <c r="BK1956" s="192">
        <v>2.4649999999999999</v>
      </c>
    </row>
    <row r="1957" spans="60:64" ht="15">
      <c r="BH1957" s="187">
        <v>44853</v>
      </c>
      <c r="BI1957" s="180">
        <v>2.0569999999999999</v>
      </c>
      <c r="BJ1957" s="191">
        <v>44853</v>
      </c>
      <c r="BK1957" s="192">
        <v>2.488</v>
      </c>
    </row>
    <row r="1958" spans="60:64" ht="15">
      <c r="BH1958" s="187">
        <v>44854</v>
      </c>
      <c r="BI1958" s="180">
        <v>2.0830000000000002</v>
      </c>
      <c r="BJ1958" s="191">
        <v>44854</v>
      </c>
      <c r="BK1958" s="192">
        <v>2.552</v>
      </c>
    </row>
    <row r="1959" spans="60:64" ht="15">
      <c r="BH1959" s="187">
        <v>44855</v>
      </c>
      <c r="BI1959" s="180">
        <v>2.1070000000000002</v>
      </c>
      <c r="BJ1959" s="191">
        <v>44855</v>
      </c>
      <c r="BK1959" s="192">
        <v>2.5750000000000002</v>
      </c>
    </row>
    <row r="1960" spans="60:64" ht="15">
      <c r="BH1960" s="187">
        <v>44858</v>
      </c>
      <c r="BI1960" s="180">
        <v>2.1320000000000001</v>
      </c>
      <c r="BJ1960" s="191">
        <v>44858</v>
      </c>
      <c r="BK1960" s="192">
        <v>2.5859999999999999</v>
      </c>
    </row>
    <row r="1961" spans="60:64" ht="15">
      <c r="BH1961" s="187">
        <v>44859</v>
      </c>
      <c r="BI1961" s="180">
        <v>2.1059999999999999</v>
      </c>
      <c r="BJ1961" s="191">
        <v>44859</v>
      </c>
      <c r="BK1961" s="192">
        <v>2.593</v>
      </c>
    </row>
    <row r="1962" spans="60:64" ht="15">
      <c r="BH1962" s="187">
        <v>44860</v>
      </c>
      <c r="BI1962" s="180">
        <v>2.1030000000000002</v>
      </c>
      <c r="BJ1962" s="191"/>
      <c r="BK1962" s="193">
        <f>+BK1961</f>
        <v>2.593</v>
      </c>
    </row>
    <row r="1963" spans="60:64" ht="15">
      <c r="BH1963" s="187">
        <v>44861</v>
      </c>
      <c r="BI1963" s="180">
        <v>2.1179999999999999</v>
      </c>
      <c r="BJ1963" s="191">
        <v>44861</v>
      </c>
      <c r="BK1963" s="192">
        <v>2.593</v>
      </c>
    </row>
    <row r="1964" spans="60:64" ht="15">
      <c r="BH1964" s="187">
        <v>44862</v>
      </c>
      <c r="BI1964" s="180">
        <v>2.0339999999999998</v>
      </c>
      <c r="BJ1964" s="191">
        <v>44862</v>
      </c>
      <c r="BK1964" s="192">
        <v>2.5880000000000001</v>
      </c>
    </row>
    <row r="1965" spans="60:64" ht="15">
      <c r="BH1965" s="187">
        <v>44865</v>
      </c>
      <c r="BI1965" s="180">
        <v>2.13</v>
      </c>
      <c r="BJ1965" s="191">
        <v>44865</v>
      </c>
      <c r="BK1965" s="192">
        <v>2.5910000000000002</v>
      </c>
    </row>
    <row r="1966" spans="60:64" ht="15">
      <c r="BH1966" s="187">
        <v>44866</v>
      </c>
      <c r="BI1966" s="180">
        <v>2.1680000000000001</v>
      </c>
      <c r="BJ1966" s="191"/>
      <c r="BK1966" s="193">
        <f>+BK1965</f>
        <v>2.5910000000000002</v>
      </c>
      <c r="BL1966" s="111">
        <f>+(BI1966+BK1966)/2+0.37</f>
        <v>2.7495000000000003</v>
      </c>
    </row>
    <row r="1967" spans="60:64" ht="15">
      <c r="BH1967" s="187">
        <v>44867</v>
      </c>
      <c r="BI1967" s="180">
        <v>2.198</v>
      </c>
      <c r="BJ1967" s="191">
        <v>44867</v>
      </c>
      <c r="BK1967" s="192">
        <v>2.5990000000000002</v>
      </c>
    </row>
    <row r="1968" spans="60:64" ht="15">
      <c r="BH1968" s="187">
        <v>44868</v>
      </c>
      <c r="BI1968" s="180">
        <v>2.2250000000000001</v>
      </c>
      <c r="BJ1968" s="191">
        <v>44868</v>
      </c>
      <c r="BK1968" s="192">
        <v>2.6190000000000002</v>
      </c>
    </row>
    <row r="1969" spans="60:63" ht="15">
      <c r="BH1969" s="187">
        <v>44869</v>
      </c>
      <c r="BI1969" s="180">
        <v>2.278</v>
      </c>
      <c r="BJ1969" s="191">
        <v>44869</v>
      </c>
      <c r="BK1969" s="192">
        <v>2.6339999999999999</v>
      </c>
    </row>
    <row r="1970" spans="60:63" ht="15">
      <c r="BH1970" s="187">
        <v>44872</v>
      </c>
      <c r="BI1970" s="180">
        <v>2.2959999999999998</v>
      </c>
      <c r="BJ1970" s="191">
        <v>44872</v>
      </c>
      <c r="BK1970" s="192">
        <v>2.6469999999999998</v>
      </c>
    </row>
    <row r="1971" spans="60:63" ht="15">
      <c r="BH1971" s="187">
        <v>44873</v>
      </c>
      <c r="BI1971" s="180">
        <v>2.3159999999999998</v>
      </c>
      <c r="BJ1971" s="191">
        <v>44873</v>
      </c>
      <c r="BK1971" s="192">
        <v>2.6549999999999998</v>
      </c>
    </row>
    <row r="1972" spans="60:63" ht="15">
      <c r="BH1972" s="187">
        <v>44874</v>
      </c>
      <c r="BI1972" s="180">
        <v>2.3330000000000002</v>
      </c>
      <c r="BJ1972" s="191">
        <v>44874</v>
      </c>
      <c r="BK1972" s="192">
        <v>2.6579999999999999</v>
      </c>
    </row>
    <row r="1973" spans="60:63" ht="15">
      <c r="BH1973" s="187">
        <v>44875</v>
      </c>
      <c r="BI1973" s="180">
        <v>2.319</v>
      </c>
      <c r="BJ1973" s="191">
        <v>44875</v>
      </c>
      <c r="BK1973" s="192">
        <v>2.6509999999999998</v>
      </c>
    </row>
    <row r="1974" spans="60:63" ht="15">
      <c r="BH1974" s="187">
        <v>44876</v>
      </c>
      <c r="BI1974" s="180">
        <v>2.2909999999999999</v>
      </c>
      <c r="BJ1974" s="191">
        <v>44876</v>
      </c>
      <c r="BK1974" s="192">
        <v>2.6419999999999999</v>
      </c>
    </row>
    <row r="1975" spans="60:63" ht="15">
      <c r="BH1975" s="187">
        <v>44879</v>
      </c>
      <c r="BI1975" s="180">
        <v>2.3370000000000002</v>
      </c>
      <c r="BJ1975" s="191">
        <v>44879</v>
      </c>
      <c r="BK1975" s="192">
        <v>2.6349999999999998</v>
      </c>
    </row>
    <row r="1976" spans="60:63" ht="15">
      <c r="BH1976" s="187">
        <v>44880</v>
      </c>
      <c r="BI1976" s="180">
        <v>2.2999999999999998</v>
      </c>
      <c r="BJ1976" s="191">
        <v>44880</v>
      </c>
      <c r="BK1976" s="192">
        <v>2.63</v>
      </c>
    </row>
    <row r="1977" spans="60:63" ht="15">
      <c r="BH1977" s="187">
        <v>44881</v>
      </c>
      <c r="BI1977" s="180">
        <v>2.3109999999999999</v>
      </c>
      <c r="BJ1977" s="191">
        <v>44881</v>
      </c>
      <c r="BK1977" s="192">
        <v>2.62</v>
      </c>
    </row>
    <row r="1978" spans="60:63" ht="15">
      <c r="BH1978" s="187">
        <v>44882</v>
      </c>
      <c r="BI1978" s="180">
        <v>2.294</v>
      </c>
      <c r="BJ1978" s="191">
        <v>44882</v>
      </c>
      <c r="BK1978" s="192">
        <v>2.6070000000000002</v>
      </c>
    </row>
    <row r="1979" spans="60:63" ht="15">
      <c r="BH1979" s="187">
        <v>44883</v>
      </c>
      <c r="BI1979" s="180">
        <v>2.3420000000000001</v>
      </c>
      <c r="BJ1979" s="191">
        <v>44883</v>
      </c>
      <c r="BK1979" s="192">
        <v>2.5920000000000001</v>
      </c>
    </row>
    <row r="1980" spans="60:63" ht="15">
      <c r="BH1980" s="187">
        <v>44886</v>
      </c>
      <c r="BI1980" s="180">
        <v>2.327</v>
      </c>
      <c r="BJ1980" s="191">
        <v>44886</v>
      </c>
      <c r="BK1980" s="192">
        <v>2.5720000000000001</v>
      </c>
    </row>
    <row r="1981" spans="60:63" ht="15">
      <c r="BH1981" s="187">
        <v>44887</v>
      </c>
      <c r="BI1981" s="180">
        <v>2.3380000000000001</v>
      </c>
      <c r="BJ1981" s="191">
        <v>44887</v>
      </c>
      <c r="BK1981" s="192">
        <v>2.5499999999999998</v>
      </c>
    </row>
    <row r="1982" spans="60:63" ht="15">
      <c r="BH1982" s="187">
        <v>44888</v>
      </c>
      <c r="BI1982" s="180">
        <v>2.36</v>
      </c>
      <c r="BJ1982" s="191">
        <v>44888</v>
      </c>
      <c r="BK1982" s="192">
        <v>2.5329999999999999</v>
      </c>
    </row>
    <row r="1983" spans="60:63" ht="15">
      <c r="BH1983" s="187">
        <v>44889</v>
      </c>
      <c r="BI1983" s="180">
        <v>2.3679999999999999</v>
      </c>
      <c r="BJ1983" s="191">
        <v>44889</v>
      </c>
      <c r="BK1983" s="192">
        <v>2.5139999999999998</v>
      </c>
    </row>
    <row r="1984" spans="60:63" ht="15">
      <c r="BH1984" s="187">
        <v>44890</v>
      </c>
      <c r="BI1984" s="180">
        <v>2.3740000000000001</v>
      </c>
      <c r="BJ1984" s="191">
        <v>44890</v>
      </c>
      <c r="BK1984" s="192">
        <v>2.504</v>
      </c>
    </row>
    <row r="1985" spans="60:63" ht="15">
      <c r="BH1985" s="187">
        <v>44893</v>
      </c>
      <c r="BI1985" s="180">
        <v>2.4359999999999999</v>
      </c>
      <c r="BJ1985" s="191">
        <v>44893</v>
      </c>
      <c r="BK1985" s="192">
        <v>2.4990000000000001</v>
      </c>
    </row>
    <row r="1986" spans="60:63" ht="15">
      <c r="BH1986" s="187">
        <v>44894</v>
      </c>
      <c r="BI1986" s="180">
        <v>2.4420000000000002</v>
      </c>
      <c r="BJ1986" s="191">
        <v>44894</v>
      </c>
      <c r="BK1986" s="192">
        <v>2.4870000000000001</v>
      </c>
    </row>
    <row r="1987" spans="60:63" ht="15">
      <c r="BH1987" s="187">
        <v>44895</v>
      </c>
      <c r="BI1987" s="180">
        <v>2.4140000000000001</v>
      </c>
      <c r="BJ1987" s="191">
        <v>44895</v>
      </c>
      <c r="BK1987" s="192">
        <v>2.476</v>
      </c>
    </row>
    <row r="1988" spans="60:63" ht="15">
      <c r="BH1988" s="187">
        <v>44896</v>
      </c>
      <c r="BI1988" s="180">
        <v>2.4049999999999998</v>
      </c>
      <c r="BJ1988" s="191">
        <v>44896</v>
      </c>
      <c r="BK1988" s="192">
        <v>2.456</v>
      </c>
    </row>
    <row r="1989" spans="60:63" ht="15">
      <c r="BH1989" s="187">
        <v>44897</v>
      </c>
      <c r="BI1989" s="180">
        <v>2.4060000000000001</v>
      </c>
      <c r="BJ1989" s="191">
        <v>44897</v>
      </c>
      <c r="BK1989" s="192">
        <v>2.4329999999999998</v>
      </c>
    </row>
    <row r="1990" spans="60:63">
      <c r="BH1990" s="187">
        <v>44900</v>
      </c>
      <c r="BI1990" s="180">
        <v>2.4359999999999999</v>
      </c>
    </row>
    <row r="1991" spans="60:63">
      <c r="BH1991" s="187">
        <v>44901</v>
      </c>
      <c r="BI1991" s="180">
        <v>2.4430000000000001</v>
      </c>
    </row>
    <row r="1992" spans="60:63">
      <c r="BH1992" s="187">
        <v>44902</v>
      </c>
      <c r="BI1992" s="180">
        <v>2.4420000000000002</v>
      </c>
    </row>
    <row r="1993" spans="60:63">
      <c r="BH1993" s="187">
        <v>44903</v>
      </c>
      <c r="BI1993" s="180">
        <v>2.456</v>
      </c>
    </row>
    <row r="1994" spans="60:63">
      <c r="BH1994" s="187">
        <v>44904</v>
      </c>
      <c r="BI1994" s="180">
        <v>2.4660000000000002</v>
      </c>
    </row>
    <row r="1995" spans="60:63">
      <c r="BH1995" s="187">
        <v>44907</v>
      </c>
      <c r="BI1995" s="180">
        <v>2.5270000000000001</v>
      </c>
    </row>
    <row r="1996" spans="60:63">
      <c r="BH1996" s="187">
        <v>44908</v>
      </c>
      <c r="BI1996" s="180">
        <v>2.4790000000000001</v>
      </c>
    </row>
    <row r="1997" spans="60:63">
      <c r="BH1997" s="187">
        <v>44909</v>
      </c>
      <c r="BI1997" s="180">
        <v>2.5190000000000001</v>
      </c>
    </row>
    <row r="1998" spans="60:63">
      <c r="BH1998" s="102"/>
    </row>
    <row r="1999" spans="60:63">
      <c r="BH1999" s="102"/>
    </row>
    <row r="2000" spans="60:63">
      <c r="BH2000" s="102"/>
    </row>
    <row r="2001" spans="60:60">
      <c r="BH2001" s="102"/>
    </row>
    <row r="2002" spans="60:60">
      <c r="BH2002" s="102"/>
    </row>
    <row r="2003" spans="60:60">
      <c r="BH2003" s="102"/>
    </row>
    <row r="2004" spans="60:60">
      <c r="BH2004" s="102"/>
    </row>
    <row r="2005" spans="60:60">
      <c r="BH2005" s="102"/>
    </row>
    <row r="2006" spans="60:60">
      <c r="BH2006" s="102"/>
    </row>
    <row r="2007" spans="60:60">
      <c r="BH2007" s="102"/>
    </row>
    <row r="2008" spans="60:60">
      <c r="BH2008" s="102"/>
    </row>
    <row r="2009" spans="60:60">
      <c r="BH2009" s="102"/>
    </row>
    <row r="2010" spans="60:60">
      <c r="BH2010" s="102"/>
    </row>
    <row r="2011" spans="60:60">
      <c r="BH2011" s="102"/>
    </row>
    <row r="2012" spans="60:60">
      <c r="BH2012" s="102"/>
    </row>
    <row r="2013" spans="60:60">
      <c r="BH2013" s="102"/>
    </row>
    <row r="2014" spans="60:60">
      <c r="BH2014" s="102"/>
    </row>
    <row r="2015" spans="60:60">
      <c r="BH2015" s="102"/>
    </row>
    <row r="2016" spans="60:60">
      <c r="BH2016" s="102"/>
    </row>
    <row r="2017" spans="60:60">
      <c r="BH2017" s="102"/>
    </row>
    <row r="2018" spans="60:60">
      <c r="BH2018" s="102"/>
    </row>
    <row r="2019" spans="60:60">
      <c r="BH2019" s="102"/>
    </row>
    <row r="2020" spans="60:60">
      <c r="BH2020" s="102"/>
    </row>
    <row r="2021" spans="60:60">
      <c r="BH2021" s="102"/>
    </row>
    <row r="2022" spans="60:60">
      <c r="BH2022" s="102"/>
    </row>
    <row r="2023" spans="60:60">
      <c r="BH2023" s="102"/>
    </row>
    <row r="2024" spans="60:60">
      <c r="BH2024" s="102"/>
    </row>
    <row r="2025" spans="60:60">
      <c r="BH2025" s="102"/>
    </row>
    <row r="2026" spans="60:60">
      <c r="BH2026" s="102"/>
    </row>
    <row r="2027" spans="60:60">
      <c r="BH2027" s="102"/>
    </row>
    <row r="2028" spans="60:60">
      <c r="BH2028" s="102"/>
    </row>
    <row r="2029" spans="60:60">
      <c r="BH2029" s="102"/>
    </row>
    <row r="2030" spans="60:60">
      <c r="BH2030" s="102"/>
    </row>
    <row r="2031" spans="60:60">
      <c r="BH2031" s="102"/>
    </row>
  </sheetData>
  <autoFilter ref="BH8:BL1997" xr:uid="{00000000-0001-0000-0000-000000000000}"/>
  <mergeCells count="6">
    <mergeCell ref="BN1934:BP1934"/>
    <mergeCell ref="AA2:AD2"/>
    <mergeCell ref="AE2:AH2"/>
    <mergeCell ref="AI2:AL2"/>
    <mergeCell ref="BN14:BP14"/>
    <mergeCell ref="BN1933:BP1933"/>
  </mergeCells>
  <phoneticPr fontId="15" type="noConversion"/>
  <hyperlinks>
    <hyperlink ref="BN4" r:id="rId1" display="https://www.oenb.at/isaweb/report.do?report=2.11.1" xr:uid="{6E251284-0E63-4C18-A64E-FD20354F6D5A}"/>
    <hyperlink ref="BN8" r:id="rId2" display="https://www.oenb.at/isaweb/meta.jsp;jsessionid=21D02462B6829581EA2DC8549133B43A?lang=DE&amp;pos=VDBZIUDRB" xr:uid="{BA6A9098-A5CD-4235-848E-F25CC38EA3B0}"/>
    <hyperlink ref="BN9" r:id="rId3" display="https://www.oenb.at/isaweb/meta.jsp;jsessionid=21D02462B6829581EA2DC8549133B43A?lang=DE&amp;pos=VDBZIUDRB" xr:uid="{9ED2853B-10BD-430E-ACC7-0B842E4F162B}"/>
    <hyperlink ref="BO12" r:id="rId4" display="https://www.oenb.at/isaweb/meta.jsp;jsessionid=21D02462B6829581EA2DC8549133B43A?lang=DE&amp;pos=VDBZIUDRB" xr:uid="{13614344-8543-4A9D-AD59-A7AAC6291485}"/>
    <hyperlink ref="BO13" r:id="rId5" display="https://www.oenb.at/isaweb/meta.jsp;jsessionid=21D02462B6829581EA2DC8549133B43A?lang=DE&amp;pos=VDBZIUDRB" xr:uid="{721AA4A7-8599-497B-92EC-B057A1BB8D38}"/>
    <hyperlink ref="BP11" r:id="rId6" display="https://www.oenb.at/isaweb/meta.jsp;jsessionid=21D02462B6829581EA2DC8549133B43A?lang=DE&amp;pos=VDBZIUDRBRLZ" xr:uid="{EF7220AB-F21A-41B3-9C1B-11705E4F38AE}"/>
    <hyperlink ref="BP12" r:id="rId7" display="https://www.oenb.at/isaweb/meta.jsp;jsessionid=21D02462B6829581EA2DC8549133B43A?lang=DE&amp;pos=VDBZIUDRBRLZ" xr:uid="{7B86CA40-2277-49A0-8558-EA5D5FB0F335}"/>
    <hyperlink ref="BN1934" r:id="rId8" display="https://www.oenb.at/" xr:uid="{89A3921C-0890-43D6-860F-FF9C6510828F}"/>
    <hyperlink ref="BN2" r:id="rId9" display="https://www.oenb.at/Statistik/Standardisierte-Tabellen/zinssaetze-und-wechselkurse/renditen-oesterreichischer-bundesanleihen.html" xr:uid="{1F05AD0F-BF28-4585-AD96-131AB612030F}"/>
  </hyperlinks>
  <pageMargins left="0.70866141732283472" right="0.70866141732283472" top="0.78740157480314965" bottom="0.78740157480314965" header="0.31496062992125984" footer="0.31496062992125984"/>
  <pageSetup paperSize="9" scale="77" orientation="portrait" r:id="rId10"/>
  <drawing r:id="rId11"/>
  <legacyDrawing r:id="rId12"/>
  <controls>
    <mc:AlternateContent xmlns:mc="http://schemas.openxmlformats.org/markup-compatibility/2006">
      <mc:Choice Requires="x14">
        <control shapeId="3073" r:id="rId13" name="Control 1">
          <controlPr defaultSize="0" r:id="rId14">
            <anchor moveWithCells="1">
              <from>
                <xdr:col>65</xdr:col>
                <xdr:colOff>552450</xdr:colOff>
                <xdr:row>2564</xdr:row>
                <xdr:rowOff>76200</xdr:rowOff>
              </from>
              <to>
                <xdr:col>65</xdr:col>
                <xdr:colOff>762000</xdr:colOff>
                <xdr:row>2565</xdr:row>
                <xdr:rowOff>114300</xdr:rowOff>
              </to>
            </anchor>
          </controlPr>
        </control>
      </mc:Choice>
      <mc:Fallback>
        <control shapeId="3073" r:id="rId13" name="Control 1"/>
      </mc:Fallback>
    </mc:AlternateContent>
    <mc:AlternateContent xmlns:mc="http://schemas.openxmlformats.org/markup-compatibility/2006">
      <mc:Choice Requires="x14">
        <control shapeId="3074" r:id="rId15" name="Control 2">
          <controlPr defaultSize="0" r:id="rId16">
            <anchor moveWithCells="1">
              <from>
                <xdr:col>66</xdr:col>
                <xdr:colOff>600075</xdr:colOff>
                <xdr:row>2564</xdr:row>
                <xdr:rowOff>76200</xdr:rowOff>
              </from>
              <to>
                <xdr:col>67</xdr:col>
                <xdr:colOff>47625</xdr:colOff>
                <xdr:row>2565</xdr:row>
                <xdr:rowOff>114300</xdr:rowOff>
              </to>
            </anchor>
          </controlPr>
        </control>
      </mc:Choice>
      <mc:Fallback>
        <control shapeId="3074" r:id="rId15" name="Control 2"/>
      </mc:Fallback>
    </mc:AlternateContent>
    <mc:AlternateContent xmlns:mc="http://schemas.openxmlformats.org/markup-compatibility/2006">
      <mc:Choice Requires="x14">
        <control shapeId="3075" r:id="rId17" name="Control 3">
          <controlPr defaultSize="0" r:id="rId18">
            <anchor moveWithCells="1">
              <from>
                <xdr:col>68</xdr:col>
                <xdr:colOff>695325</xdr:colOff>
                <xdr:row>2564</xdr:row>
                <xdr:rowOff>76200</xdr:rowOff>
              </from>
              <to>
                <xdr:col>69</xdr:col>
                <xdr:colOff>142875</xdr:colOff>
                <xdr:row>2565</xdr:row>
                <xdr:rowOff>114300</xdr:rowOff>
              </to>
            </anchor>
          </controlPr>
        </control>
      </mc:Choice>
      <mc:Fallback>
        <control shapeId="3075" r:id="rId17" name="Control 3"/>
      </mc:Fallback>
    </mc:AlternateContent>
    <mc:AlternateContent xmlns:mc="http://schemas.openxmlformats.org/markup-compatibility/2006">
      <mc:Choice Requires="x14">
        <control shapeId="3082" r:id="rId19" name="Button 10">
          <controlPr defaultSize="0" print="0" autoFill="0" autoPict="0" macro="[0]!anui">
            <anchor moveWithCells="1" sizeWithCells="1">
              <from>
                <xdr:col>6</xdr:col>
                <xdr:colOff>219075</xdr:colOff>
                <xdr:row>37</xdr:row>
                <xdr:rowOff>123825</xdr:rowOff>
              </from>
              <to>
                <xdr:col>6</xdr:col>
                <xdr:colOff>1371600</xdr:colOff>
                <xdr:row>39</xdr:row>
                <xdr:rowOff>85725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L2100"/>
  <sheetViews>
    <sheetView topLeftCell="AZ1" workbookViewId="0">
      <pane ySplit="10" topLeftCell="A20" activePane="bottomLeft" state="frozen"/>
      <selection pane="bottomLeft" activeCell="BH4" sqref="BH4"/>
    </sheetView>
  </sheetViews>
  <sheetFormatPr baseColWidth="10" defaultRowHeight="12.75"/>
  <cols>
    <col min="1" max="1" width="20.42578125" style="225" customWidth="1"/>
    <col min="2" max="2" width="17.7109375" customWidth="1"/>
    <col min="3" max="3" width="26.28515625" style="1" customWidth="1"/>
    <col min="4" max="4" width="11.28515625" bestFit="1" customWidth="1"/>
    <col min="5" max="5" width="15.140625" customWidth="1"/>
    <col min="6" max="6" width="12.85546875" bestFit="1" customWidth="1"/>
    <col min="7" max="7" width="13.85546875" bestFit="1" customWidth="1"/>
    <col min="8" max="8" width="14.85546875" customWidth="1"/>
    <col min="9" max="9" width="20.140625" bestFit="1" customWidth="1"/>
    <col min="10" max="10" width="15.7109375" customWidth="1"/>
    <col min="11" max="11" width="16" customWidth="1"/>
    <col min="14" max="14" width="15" customWidth="1"/>
    <col min="17" max="17" width="13.140625" bestFit="1" customWidth="1"/>
    <col min="18" max="18" width="19.7109375" customWidth="1"/>
    <col min="19" max="19" width="17" customWidth="1"/>
    <col min="20" max="20" width="17.5703125" bestFit="1" customWidth="1"/>
    <col min="21" max="23" width="12" bestFit="1" customWidth="1"/>
    <col min="24" max="24" width="21.140625" customWidth="1"/>
    <col min="27" max="27" width="13.42578125" customWidth="1"/>
    <col min="28" max="28" width="13.140625" customWidth="1"/>
    <col min="32" max="32" width="12.85546875" customWidth="1"/>
    <col min="33" max="33" width="12.7109375" customWidth="1"/>
    <col min="34" max="34" width="10.7109375" customWidth="1"/>
    <col min="35" max="35" width="7.140625" bestFit="1" customWidth="1"/>
    <col min="36" max="36" width="5.140625" customWidth="1"/>
    <col min="37" max="37" width="8" customWidth="1"/>
    <col min="38" max="38" width="9.42578125" customWidth="1"/>
    <col min="39" max="48" width="5.140625" customWidth="1"/>
    <col min="49" max="49" width="22.42578125" bestFit="1" customWidth="1"/>
    <col min="50" max="50" width="19.7109375" bestFit="1" customWidth="1"/>
    <col min="56" max="57" width="11.42578125" style="104"/>
    <col min="58" max="58" width="20.140625" customWidth="1"/>
  </cols>
  <sheetData>
    <row r="1" spans="1:62">
      <c r="B1" s="1"/>
      <c r="C1" s="2"/>
      <c r="E1" s="7">
        <f>+E2+D2</f>
        <v>20104.919999999998</v>
      </c>
      <c r="F1" s="7">
        <f t="shared" ref="F1:K1" si="0">+F2+E2</f>
        <v>27546.36</v>
      </c>
      <c r="G1" s="7">
        <f t="shared" si="0"/>
        <v>28212</v>
      </c>
      <c r="H1" s="7">
        <f t="shared" si="0"/>
        <v>28407.72</v>
      </c>
      <c r="I1" s="7">
        <f t="shared" si="0"/>
        <v>28604.160000000003</v>
      </c>
      <c r="J1" s="7">
        <f t="shared" si="0"/>
        <v>27788.28</v>
      </c>
      <c r="K1" s="7">
        <f t="shared" si="0"/>
        <v>26394.239999999998</v>
      </c>
      <c r="N1">
        <f>+K7+K6</f>
        <v>685.53</v>
      </c>
      <c r="O1">
        <f>+N1*12</f>
        <v>8226.36</v>
      </c>
      <c r="T1" s="81" t="s">
        <v>37</v>
      </c>
      <c r="U1" s="82"/>
      <c r="V1" s="82" t="s">
        <v>41</v>
      </c>
      <c r="W1" s="82"/>
      <c r="X1" s="82"/>
      <c r="Y1" s="82"/>
      <c r="Z1" s="82"/>
      <c r="AA1" s="82"/>
      <c r="AB1" s="82"/>
      <c r="AC1" s="82"/>
      <c r="AD1" s="82"/>
      <c r="AE1" s="82"/>
      <c r="AF1" s="82"/>
    </row>
    <row r="2" spans="1:62">
      <c r="D2" s="7">
        <f>SUM(D5:D7)*6</f>
        <v>6664.92</v>
      </c>
      <c r="E2" s="7">
        <f>SUM(E5:E7)*12</f>
        <v>13440</v>
      </c>
      <c r="F2" s="7">
        <f t="shared" ref="F2:K2" si="1">SUM(F5:F7)*12</f>
        <v>14106.36</v>
      </c>
      <c r="G2" s="7">
        <f t="shared" si="1"/>
        <v>14105.64</v>
      </c>
      <c r="H2" s="7">
        <f t="shared" si="1"/>
        <v>14302.080000000002</v>
      </c>
      <c r="I2" s="7">
        <f t="shared" si="1"/>
        <v>14302.080000000002</v>
      </c>
      <c r="J2" s="7">
        <f t="shared" si="1"/>
        <v>13486.199999999999</v>
      </c>
      <c r="K2" s="7">
        <f t="shared" si="1"/>
        <v>12908.04</v>
      </c>
      <c r="T2" s="80"/>
      <c r="U2" s="646">
        <v>53196321573</v>
      </c>
      <c r="V2" s="647"/>
      <c r="W2" s="647"/>
      <c r="X2" s="648"/>
      <c r="Y2" s="652">
        <v>53713048642</v>
      </c>
      <c r="Z2" s="653"/>
      <c r="AA2" s="653"/>
      <c r="AB2" s="654"/>
      <c r="AC2" s="649">
        <v>53851926633</v>
      </c>
      <c r="AD2" s="650"/>
      <c r="AE2" s="650"/>
      <c r="AF2" s="651"/>
    </row>
    <row r="3" spans="1:62" s="5" customFormat="1" ht="25.5">
      <c r="A3" s="226"/>
      <c r="B3" s="44">
        <f>+B10*10*12</f>
        <v>109615.71428571429</v>
      </c>
      <c r="D3" s="15">
        <v>2015</v>
      </c>
      <c r="E3" s="74">
        <v>2016</v>
      </c>
      <c r="F3" s="15">
        <v>2017</v>
      </c>
      <c r="G3" s="74">
        <v>2018</v>
      </c>
      <c r="H3" s="15">
        <v>2019</v>
      </c>
      <c r="I3" s="74">
        <v>2020</v>
      </c>
      <c r="J3" s="15">
        <v>2021</v>
      </c>
      <c r="K3" s="74">
        <v>2022</v>
      </c>
      <c r="L3" s="15">
        <v>2023</v>
      </c>
      <c r="M3" s="75">
        <v>2024</v>
      </c>
      <c r="S3" s="5">
        <f>47/2</f>
        <v>23.5</v>
      </c>
      <c r="T3" s="76"/>
      <c r="U3" s="141" t="s">
        <v>39</v>
      </c>
      <c r="V3" s="142" t="s">
        <v>42</v>
      </c>
      <c r="W3" s="143" t="s">
        <v>40</v>
      </c>
      <c r="X3" s="144" t="s">
        <v>38</v>
      </c>
      <c r="Y3" s="143" t="s">
        <v>39</v>
      </c>
      <c r="Z3" s="142" t="s">
        <v>42</v>
      </c>
      <c r="AA3" s="143" t="s">
        <v>40</v>
      </c>
      <c r="AB3" s="144" t="s">
        <v>38</v>
      </c>
      <c r="AC3" s="143" t="s">
        <v>39</v>
      </c>
      <c r="AD3" s="142" t="s">
        <v>42</v>
      </c>
      <c r="AE3" s="143" t="s">
        <v>40</v>
      </c>
      <c r="AF3" s="144" t="s">
        <v>38</v>
      </c>
      <c r="BB3" s="180" t="s">
        <v>48</v>
      </c>
      <c r="BC3" s="181">
        <v>42125</v>
      </c>
      <c r="BD3" s="188"/>
      <c r="BE3" s="188"/>
    </row>
    <row r="4" spans="1:62">
      <c r="T4" s="137">
        <v>42125</v>
      </c>
      <c r="U4" s="138"/>
      <c r="V4" s="139"/>
      <c r="W4" s="139"/>
      <c r="X4" s="140"/>
      <c r="Y4" s="138"/>
      <c r="Z4" s="139"/>
      <c r="AA4" s="139"/>
      <c r="AB4" s="140"/>
      <c r="AC4" s="138"/>
      <c r="AD4" s="139"/>
      <c r="AE4" s="139"/>
      <c r="AF4" s="140"/>
      <c r="BB4" s="180" t="s">
        <v>49</v>
      </c>
      <c r="BC4" s="182">
        <f ca="1">+TODAY()</f>
        <v>45054</v>
      </c>
      <c r="BH4" s="89" t="s">
        <v>52</v>
      </c>
    </row>
    <row r="5" spans="1:62">
      <c r="B5" s="86">
        <f>+AC2</f>
        <v>53851926633</v>
      </c>
      <c r="C5" s="57" t="s">
        <v>0</v>
      </c>
      <c r="D5" s="58">
        <v>390.14</v>
      </c>
      <c r="E5" s="58">
        <v>390</v>
      </c>
      <c r="F5" s="58">
        <v>390.14</v>
      </c>
      <c r="G5" s="58">
        <v>390.14</v>
      </c>
      <c r="H5" s="58">
        <v>390.14</v>
      </c>
      <c r="I5" s="58">
        <v>390.14</v>
      </c>
      <c r="J5" s="58">
        <v>390.14</v>
      </c>
      <c r="K5" s="58">
        <v>390.14</v>
      </c>
      <c r="L5" s="58">
        <v>390.14</v>
      </c>
      <c r="M5" s="46">
        <f t="shared" ref="M5:M9" si="2">+L5/J5-1</f>
        <v>0</v>
      </c>
      <c r="S5" s="26"/>
      <c r="T5" s="79">
        <f>+EDATE(T4,6)</f>
        <v>42309</v>
      </c>
      <c r="U5" s="71"/>
      <c r="V5" s="72"/>
      <c r="W5" s="72"/>
      <c r="X5" s="73"/>
      <c r="Y5" s="71"/>
      <c r="Z5" s="72"/>
      <c r="AA5" s="72"/>
      <c r="AB5" s="73"/>
      <c r="AC5" s="71"/>
      <c r="AD5" s="72"/>
      <c r="AE5" s="72"/>
      <c r="AF5" s="73"/>
      <c r="BB5" s="180"/>
      <c r="BC5" s="180"/>
    </row>
    <row r="6" spans="1:62">
      <c r="B6" s="87">
        <f>+Y2</f>
        <v>53713048642</v>
      </c>
      <c r="C6" s="50" t="s">
        <v>1</v>
      </c>
      <c r="D6" s="47">
        <v>720.68</v>
      </c>
      <c r="E6" s="47">
        <v>730</v>
      </c>
      <c r="F6" s="47">
        <v>785.39</v>
      </c>
      <c r="G6" s="48">
        <v>785.33</v>
      </c>
      <c r="H6" s="47">
        <v>801.7</v>
      </c>
      <c r="I6" s="47">
        <v>801.7</v>
      </c>
      <c r="J6" s="47">
        <v>546.87</v>
      </c>
      <c r="K6" s="47">
        <v>529.09</v>
      </c>
      <c r="L6" s="47">
        <v>791.22</v>
      </c>
      <c r="M6" s="49">
        <f>+L6/K6-1</f>
        <v>0.49543555916762738</v>
      </c>
      <c r="S6" s="26"/>
      <c r="T6" s="145">
        <f t="shared" ref="T6:T26" si="3">+EDATE(T5,6)</f>
        <v>42491</v>
      </c>
      <c r="U6" s="146"/>
      <c r="V6" s="147"/>
      <c r="W6" s="147"/>
      <c r="X6" s="148"/>
      <c r="Y6" s="146"/>
      <c r="Z6" s="147"/>
      <c r="AA6" s="147"/>
      <c r="AB6" s="148"/>
      <c r="AC6" s="146"/>
      <c r="AD6" s="147"/>
      <c r="AE6" s="147"/>
      <c r="AF6" s="148"/>
      <c r="BB6" s="180"/>
      <c r="BC6" s="180"/>
    </row>
    <row r="7" spans="1:62">
      <c r="B7" s="88">
        <f>+U2</f>
        <v>53196321573</v>
      </c>
      <c r="C7" s="50" t="s">
        <v>34</v>
      </c>
      <c r="D7" s="47"/>
      <c r="E7" s="47"/>
      <c r="F7" s="47"/>
      <c r="G7" s="48"/>
      <c r="H7" s="47"/>
      <c r="I7" s="47"/>
      <c r="J7" s="47">
        <v>186.84</v>
      </c>
      <c r="K7" s="47">
        <v>156.44</v>
      </c>
      <c r="L7" s="47">
        <v>233.96</v>
      </c>
      <c r="M7" s="49">
        <f>+L7/K7-1</f>
        <v>0.49552544106366669</v>
      </c>
      <c r="S7" s="26"/>
      <c r="T7" s="126">
        <f t="shared" si="3"/>
        <v>42675</v>
      </c>
      <c r="U7" s="127"/>
      <c r="V7" s="128"/>
      <c r="W7" s="128"/>
      <c r="X7" s="129"/>
      <c r="Y7" s="127"/>
      <c r="Z7" s="128"/>
      <c r="AA7" s="128"/>
      <c r="AB7" s="129"/>
      <c r="AC7" s="127"/>
      <c r="AD7" s="128"/>
      <c r="AE7" s="128"/>
      <c r="AF7" s="129"/>
      <c r="BB7" s="180"/>
      <c r="BC7" s="183" t="s">
        <v>50</v>
      </c>
    </row>
    <row r="8" spans="1:62">
      <c r="C8" s="83" t="s">
        <v>2</v>
      </c>
      <c r="D8" s="84">
        <v>-390.14</v>
      </c>
      <c r="E8" s="84">
        <v>-390.14</v>
      </c>
      <c r="F8" s="84">
        <v>-390.14</v>
      </c>
      <c r="G8" s="84">
        <v>-390.14</v>
      </c>
      <c r="H8" s="84">
        <v>-390.14</v>
      </c>
      <c r="I8" s="84">
        <v>-390.14</v>
      </c>
      <c r="J8" s="84">
        <v>-390.14</v>
      </c>
      <c r="K8" s="84">
        <v>-390.14</v>
      </c>
      <c r="L8" s="84">
        <v>-390.14</v>
      </c>
      <c r="M8" s="85">
        <f t="shared" si="2"/>
        <v>0</v>
      </c>
      <c r="S8" s="26"/>
      <c r="T8" s="137">
        <f t="shared" si="3"/>
        <v>42856</v>
      </c>
      <c r="U8" s="138">
        <v>807.45</v>
      </c>
      <c r="V8" s="139"/>
      <c r="W8" s="149">
        <f>+U8/6</f>
        <v>134.57500000000002</v>
      </c>
      <c r="X8" s="140"/>
      <c r="Y8" s="138">
        <v>3203.96</v>
      </c>
      <c r="Z8" s="139"/>
      <c r="AA8" s="149">
        <f>+Y8/6</f>
        <v>533.99333333333334</v>
      </c>
      <c r="AB8" s="140"/>
      <c r="AC8" s="138">
        <v>1117.19</v>
      </c>
      <c r="AD8" s="139"/>
      <c r="AE8" s="139">
        <f>+AC8/5</f>
        <v>223.43800000000002</v>
      </c>
      <c r="AF8" s="140"/>
      <c r="BB8" s="184" t="s">
        <v>51</v>
      </c>
      <c r="BC8" s="184" t="s">
        <v>401</v>
      </c>
      <c r="BD8" s="103" t="s">
        <v>404</v>
      </c>
      <c r="BE8" s="103" t="s">
        <v>402</v>
      </c>
      <c r="BF8" s="106" t="s">
        <v>405</v>
      </c>
      <c r="BH8" s="89" t="s">
        <v>53</v>
      </c>
    </row>
    <row r="9" spans="1:62">
      <c r="C9" s="1" t="s">
        <v>3</v>
      </c>
      <c r="D9">
        <v>133.76</v>
      </c>
      <c r="E9">
        <v>133</v>
      </c>
      <c r="F9">
        <v>133.76</v>
      </c>
      <c r="G9">
        <v>133.76</v>
      </c>
      <c r="H9">
        <v>167.2</v>
      </c>
      <c r="I9">
        <v>167.2</v>
      </c>
      <c r="J9">
        <v>167.2</v>
      </c>
      <c r="K9">
        <v>167.2</v>
      </c>
      <c r="L9">
        <v>183.92</v>
      </c>
      <c r="M9" s="45">
        <f t="shared" si="2"/>
        <v>0.10000000000000009</v>
      </c>
      <c r="S9" s="26"/>
      <c r="T9" s="77">
        <v>42857</v>
      </c>
      <c r="U9" s="63"/>
      <c r="V9" s="64"/>
      <c r="W9" s="69"/>
      <c r="X9" s="65"/>
      <c r="Y9" s="63"/>
      <c r="Z9" s="64"/>
      <c r="AA9" s="69"/>
      <c r="AB9" s="65"/>
      <c r="AC9" s="63">
        <v>402.81</v>
      </c>
      <c r="AD9" s="64"/>
      <c r="AE9" s="64">
        <f>+AC9</f>
        <v>402.81</v>
      </c>
      <c r="AF9" s="65"/>
      <c r="BB9" s="185">
        <f ca="1">_xll.BDH(BC$7,BC$8,$BC3,$BC4,"Dir=V","CDR=5D","Days=A","Dts=S","cols=2;rows=2092")</f>
        <v>42125</v>
      </c>
      <c r="BC9" s="186">
        <v>6.4000000000000001E-2</v>
      </c>
      <c r="BE9" s="105">
        <v>0.12</v>
      </c>
      <c r="BF9" s="111">
        <f>+(BC9+BE9)/2+0.37</f>
        <v>0.46199999999999997</v>
      </c>
      <c r="BH9" s="89" t="s">
        <v>54</v>
      </c>
    </row>
    <row r="10" spans="1:62" ht="15">
      <c r="B10">
        <f>+AVERAGE(D10:J10)</f>
        <v>913.46428571428567</v>
      </c>
      <c r="C10" s="3" t="s">
        <v>4</v>
      </c>
      <c r="D10" s="4">
        <f t="shared" ref="D10:L10" si="4">SUM(D5:D9)</f>
        <v>854.43999999999994</v>
      </c>
      <c r="E10" s="4">
        <f t="shared" si="4"/>
        <v>862.86</v>
      </c>
      <c r="F10" s="4">
        <f t="shared" si="4"/>
        <v>919.15</v>
      </c>
      <c r="G10" s="4">
        <f t="shared" si="4"/>
        <v>919.09</v>
      </c>
      <c r="H10" s="4">
        <f t="shared" si="4"/>
        <v>968.90000000000009</v>
      </c>
      <c r="I10" s="4">
        <f t="shared" si="4"/>
        <v>968.90000000000009</v>
      </c>
      <c r="J10" s="4">
        <f t="shared" si="4"/>
        <v>900.90999999999985</v>
      </c>
      <c r="K10" s="4">
        <f t="shared" si="4"/>
        <v>852.73</v>
      </c>
      <c r="L10" s="4">
        <f t="shared" si="4"/>
        <v>1209.1000000000004</v>
      </c>
      <c r="M10" s="45">
        <f>+L10/J10-1</f>
        <v>0.34208744491680698</v>
      </c>
      <c r="S10" s="26"/>
      <c r="T10" s="77">
        <v>43040</v>
      </c>
      <c r="U10" s="63">
        <v>827.57</v>
      </c>
      <c r="V10" s="64"/>
      <c r="W10" s="69">
        <f>+U10/6</f>
        <v>137.92833333333334</v>
      </c>
      <c r="X10" s="70">
        <f>+SUMPRODUCT(U8:U10,W8:W10)/SUM(U8:U10)</f>
        <v>136.27229915638139</v>
      </c>
      <c r="Y10" s="63">
        <v>3283.81</v>
      </c>
      <c r="Z10" s="64"/>
      <c r="AA10" s="69">
        <f>+Y10/6</f>
        <v>547.30166666666662</v>
      </c>
      <c r="AB10" s="70">
        <f>+SUMPRODUCT(Y8:Y10,AA8:AA10)/SUM(Y8:Y10)</f>
        <v>540.72939797239007</v>
      </c>
      <c r="AC10" s="63">
        <v>1137.83</v>
      </c>
      <c r="AD10" s="64"/>
      <c r="AE10" s="64">
        <f>+AC10/5</f>
        <v>227.56599999999997</v>
      </c>
      <c r="AF10" s="65"/>
      <c r="BB10" s="185">
        <v>42128</v>
      </c>
      <c r="BC10" s="186">
        <v>6.4000000000000001E-2</v>
      </c>
      <c r="BD10" s="189">
        <v>42128</v>
      </c>
      <c r="BE10" s="190">
        <v>0.127</v>
      </c>
    </row>
    <row r="11" spans="1:62" ht="38.25">
      <c r="M11" s="45"/>
      <c r="O11" t="s">
        <v>47</v>
      </c>
      <c r="S11" s="26"/>
      <c r="T11" s="79">
        <v>43041</v>
      </c>
      <c r="U11" s="71"/>
      <c r="V11" s="150">
        <f>SUM(U8:U11)</f>
        <v>1635.02</v>
      </c>
      <c r="W11" s="72"/>
      <c r="X11" s="151"/>
      <c r="Y11" s="71"/>
      <c r="Z11" s="150">
        <f>SUM(Y8:Y11)</f>
        <v>6487.77</v>
      </c>
      <c r="AA11" s="72"/>
      <c r="AB11" s="151"/>
      <c r="AC11" s="71">
        <v>382.17</v>
      </c>
      <c r="AD11" s="150">
        <f>SUM(AC8:AC11)</f>
        <v>3040</v>
      </c>
      <c r="AE11" s="72">
        <f>+AC11</f>
        <v>382.17</v>
      </c>
      <c r="AF11" s="152">
        <f>+SUMPRODUCT(AC8:AC11,AE8:AE11)/SUM(AC8:AC11)</f>
        <v>268.70523881578953</v>
      </c>
      <c r="AG11" s="62">
        <f>+X10+AB10</f>
        <v>677.00169712877141</v>
      </c>
      <c r="AH11" s="61">
        <f>+F6</f>
        <v>785.39</v>
      </c>
      <c r="AI11" s="62">
        <f>+AH11-AG11</f>
        <v>108.38830287122857</v>
      </c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BB11" s="185">
        <v>42129</v>
      </c>
      <c r="BC11" s="186">
        <v>6.0999999999999999E-2</v>
      </c>
      <c r="BD11" s="189">
        <v>42129</v>
      </c>
      <c r="BE11" s="190">
        <v>0.13500000000000001</v>
      </c>
      <c r="BI11" s="92"/>
      <c r="BJ11" s="91" t="s">
        <v>55</v>
      </c>
    </row>
    <row r="12" spans="1:62" ht="25.5">
      <c r="C12" s="1" t="s">
        <v>5</v>
      </c>
      <c r="D12">
        <v>177.38</v>
      </c>
      <c r="E12">
        <v>177.38</v>
      </c>
      <c r="F12">
        <v>177.38</v>
      </c>
      <c r="G12">
        <v>91.85</v>
      </c>
      <c r="H12">
        <v>94.17</v>
      </c>
      <c r="I12">
        <v>95.65</v>
      </c>
      <c r="J12">
        <v>95.65</v>
      </c>
      <c r="K12">
        <v>104.29</v>
      </c>
      <c r="L12">
        <v>96.48</v>
      </c>
      <c r="M12" s="45"/>
      <c r="S12" s="26"/>
      <c r="T12" s="145">
        <f t="shared" si="3"/>
        <v>43222</v>
      </c>
      <c r="U12" s="146"/>
      <c r="V12" s="147"/>
      <c r="W12" s="153"/>
      <c r="X12" s="154"/>
      <c r="Y12" s="146"/>
      <c r="Z12" s="147"/>
      <c r="AA12" s="147"/>
      <c r="AB12" s="148"/>
      <c r="AC12" s="146"/>
      <c r="AD12" s="147"/>
      <c r="AE12" s="147"/>
      <c r="AF12" s="148"/>
      <c r="AH12" s="61"/>
      <c r="BB12" s="185">
        <v>42130</v>
      </c>
      <c r="BC12" s="186">
        <v>6.2E-2</v>
      </c>
      <c r="BD12" s="189">
        <v>42130</v>
      </c>
      <c r="BE12" s="190">
        <v>0.14699999999999999</v>
      </c>
      <c r="BI12" s="93" t="s">
        <v>53</v>
      </c>
      <c r="BJ12" s="91" t="s">
        <v>56</v>
      </c>
    </row>
    <row r="13" spans="1:62" ht="15">
      <c r="C13" s="1" t="s">
        <v>6</v>
      </c>
      <c r="D13">
        <v>20.239999999999998</v>
      </c>
      <c r="E13">
        <v>20.239999999999998</v>
      </c>
      <c r="F13">
        <v>20.46</v>
      </c>
      <c r="G13">
        <v>20.65</v>
      </c>
      <c r="H13">
        <v>21.08</v>
      </c>
      <c r="I13">
        <v>21.51</v>
      </c>
      <c r="J13">
        <v>21.84</v>
      </c>
      <c r="K13">
        <v>22.14</v>
      </c>
      <c r="L13">
        <v>22.75</v>
      </c>
      <c r="M13" s="45"/>
      <c r="T13" s="126">
        <f t="shared" si="3"/>
        <v>43406</v>
      </c>
      <c r="U13" s="127"/>
      <c r="V13" s="128"/>
      <c r="W13" s="155"/>
      <c r="X13" s="156"/>
      <c r="Y13" s="127"/>
      <c r="Z13" s="128"/>
      <c r="AA13" s="128"/>
      <c r="AB13" s="129"/>
      <c r="AC13" s="127"/>
      <c r="AD13" s="128"/>
      <c r="AE13" s="128"/>
      <c r="AF13" s="129"/>
      <c r="AH13" s="61"/>
      <c r="BB13" s="185">
        <v>42131</v>
      </c>
      <c r="BC13" s="186">
        <v>6.0999999999999999E-2</v>
      </c>
      <c r="BD13" s="189">
        <v>42131</v>
      </c>
      <c r="BE13" s="190">
        <v>0.16200000000000001</v>
      </c>
      <c r="BI13" s="93" t="s">
        <v>54</v>
      </c>
      <c r="BJ13" s="90"/>
    </row>
    <row r="14" spans="1:62" ht="15">
      <c r="C14" s="1" t="s">
        <v>7</v>
      </c>
      <c r="D14">
        <v>60.56</v>
      </c>
      <c r="E14">
        <v>60.56</v>
      </c>
      <c r="F14">
        <v>70.459999999999994</v>
      </c>
      <c r="G14">
        <v>70.41</v>
      </c>
      <c r="H14">
        <v>71.819999999999993</v>
      </c>
      <c r="I14">
        <v>71.819999999999993</v>
      </c>
      <c r="J14">
        <v>84.5</v>
      </c>
      <c r="K14">
        <v>92.95</v>
      </c>
      <c r="L14">
        <v>107.03</v>
      </c>
      <c r="M14" s="45"/>
      <c r="T14" s="137">
        <f t="shared" si="3"/>
        <v>43587</v>
      </c>
      <c r="U14" s="138"/>
      <c r="V14" s="139"/>
      <c r="W14" s="139"/>
      <c r="X14" s="140"/>
      <c r="Y14" s="138"/>
      <c r="Z14" s="139"/>
      <c r="AA14" s="139"/>
      <c r="AB14" s="140"/>
      <c r="AC14" s="138"/>
      <c r="AD14" s="139"/>
      <c r="AE14" s="139"/>
      <c r="AF14" s="140"/>
      <c r="AH14" s="61"/>
      <c r="BB14" s="185">
        <v>42132</v>
      </c>
      <c r="BC14" s="186">
        <v>6.0999999999999999E-2</v>
      </c>
      <c r="BD14" s="189">
        <v>42132</v>
      </c>
      <c r="BE14" s="190">
        <v>0.17399999999999999</v>
      </c>
      <c r="BH14" s="645"/>
      <c r="BI14" s="645"/>
      <c r="BJ14" s="645"/>
    </row>
    <row r="15" spans="1:62" ht="15">
      <c r="C15" s="1" t="s">
        <v>8</v>
      </c>
      <c r="D15">
        <v>18.3</v>
      </c>
      <c r="E15">
        <v>18.489999999999998</v>
      </c>
      <c r="F15">
        <v>19.79</v>
      </c>
      <c r="G15">
        <v>19.79</v>
      </c>
      <c r="H15">
        <v>20.81</v>
      </c>
      <c r="I15">
        <v>20.81</v>
      </c>
      <c r="J15">
        <v>19.71</v>
      </c>
      <c r="K15">
        <v>18.91</v>
      </c>
      <c r="L15">
        <v>26.32</v>
      </c>
      <c r="M15" s="45"/>
      <c r="T15" s="79">
        <f t="shared" si="3"/>
        <v>43771</v>
      </c>
      <c r="U15" s="71"/>
      <c r="V15" s="72"/>
      <c r="W15" s="72"/>
      <c r="X15" s="73"/>
      <c r="Y15" s="71"/>
      <c r="Z15" s="72"/>
      <c r="AA15" s="72"/>
      <c r="AB15" s="73"/>
      <c r="AC15" s="71"/>
      <c r="AD15" s="72"/>
      <c r="AE15" s="72"/>
      <c r="AF15" s="73"/>
      <c r="AH15" s="61"/>
      <c r="BB15" s="187">
        <v>42135</v>
      </c>
      <c r="BC15" s="180">
        <v>6.0999999999999999E-2</v>
      </c>
      <c r="BD15" s="191">
        <v>42135</v>
      </c>
      <c r="BE15" s="192">
        <v>0.187</v>
      </c>
      <c r="BH15" s="94">
        <v>42095</v>
      </c>
      <c r="BI15" s="95">
        <v>0.16400000000000001</v>
      </c>
      <c r="BJ15" s="96">
        <v>8.65</v>
      </c>
    </row>
    <row r="16" spans="1:62" ht="15.75" thickBot="1">
      <c r="C16" s="1" t="s">
        <v>9</v>
      </c>
      <c r="D16">
        <v>4.42</v>
      </c>
      <c r="E16">
        <v>4.42</v>
      </c>
      <c r="F16">
        <v>4.46</v>
      </c>
      <c r="G16">
        <v>4.5</v>
      </c>
      <c r="H16">
        <v>4.5999999999999996</v>
      </c>
      <c r="I16">
        <v>4.6900000000000004</v>
      </c>
      <c r="J16">
        <v>4.76</v>
      </c>
      <c r="K16">
        <v>4.84</v>
      </c>
      <c r="L16">
        <v>4.97</v>
      </c>
      <c r="M16" s="45"/>
      <c r="T16" s="78">
        <f t="shared" si="3"/>
        <v>43953</v>
      </c>
      <c r="U16" s="66"/>
      <c r="V16" s="67"/>
      <c r="W16" s="67"/>
      <c r="X16" s="68"/>
      <c r="Y16" s="66"/>
      <c r="Z16" s="67"/>
      <c r="AA16" s="67"/>
      <c r="AB16" s="68"/>
      <c r="AC16" s="66"/>
      <c r="AD16" s="67"/>
      <c r="AE16" s="67"/>
      <c r="AF16" s="68"/>
      <c r="AH16" s="61"/>
      <c r="BB16" s="187">
        <v>42136</v>
      </c>
      <c r="BC16" s="180">
        <v>6.0999999999999999E-2</v>
      </c>
      <c r="BD16" s="191">
        <v>42136</v>
      </c>
      <c r="BE16" s="192">
        <v>0.20399999999999999</v>
      </c>
      <c r="BH16" s="94">
        <v>42096</v>
      </c>
      <c r="BI16" s="95">
        <v>0.159</v>
      </c>
      <c r="BJ16" s="96">
        <v>8.65</v>
      </c>
    </row>
    <row r="17" spans="2:62" ht="15.75" thickBot="1">
      <c r="C17" s="1" t="s">
        <v>10</v>
      </c>
      <c r="D17">
        <v>12.1</v>
      </c>
      <c r="E17">
        <v>12.24</v>
      </c>
      <c r="F17">
        <v>12.31</v>
      </c>
      <c r="G17">
        <v>12.56</v>
      </c>
      <c r="H17">
        <v>12.83</v>
      </c>
      <c r="I17">
        <v>13.02</v>
      </c>
      <c r="J17">
        <v>13.24</v>
      </c>
      <c r="K17">
        <v>13.63</v>
      </c>
      <c r="L17">
        <v>14.9</v>
      </c>
      <c r="M17" s="45"/>
      <c r="R17" s="135"/>
      <c r="S17" s="136" t="s">
        <v>421</v>
      </c>
      <c r="T17" s="134">
        <f t="shared" si="3"/>
        <v>44137</v>
      </c>
      <c r="U17" s="127"/>
      <c r="V17" s="128"/>
      <c r="W17" s="128"/>
      <c r="X17" s="129"/>
      <c r="Y17" s="127"/>
      <c r="Z17" s="128"/>
      <c r="AA17" s="128"/>
      <c r="AB17" s="129"/>
      <c r="AC17" s="127"/>
      <c r="AD17" s="128"/>
      <c r="AE17" s="128"/>
      <c r="AF17" s="129"/>
      <c r="AG17" s="72"/>
      <c r="AH17" s="130"/>
      <c r="AI17" s="72"/>
      <c r="AJ17" s="72"/>
      <c r="AK17" s="72"/>
      <c r="BB17" s="187">
        <v>42137</v>
      </c>
      <c r="BC17" s="180">
        <v>0.06</v>
      </c>
      <c r="BD17" s="191">
        <v>42137</v>
      </c>
      <c r="BE17" s="192">
        <v>0.221</v>
      </c>
      <c r="BH17" s="94">
        <v>42097</v>
      </c>
      <c r="BI17" s="95">
        <v>0.156</v>
      </c>
      <c r="BJ17" s="96">
        <v>8.65</v>
      </c>
    </row>
    <row r="18" spans="2:62" ht="15">
      <c r="C18" s="1" t="s">
        <v>11</v>
      </c>
      <c r="D18">
        <v>6.88</v>
      </c>
      <c r="E18">
        <v>6.88</v>
      </c>
      <c r="F18">
        <v>6.88</v>
      </c>
      <c r="G18">
        <v>6.88</v>
      </c>
      <c r="H18">
        <v>6.88</v>
      </c>
      <c r="I18">
        <v>6.88</v>
      </c>
      <c r="J18">
        <v>6.88</v>
      </c>
      <c r="K18">
        <v>6.88</v>
      </c>
      <c r="L18">
        <v>6.88</v>
      </c>
      <c r="M18" s="45"/>
      <c r="T18" s="137">
        <f t="shared" si="3"/>
        <v>44318</v>
      </c>
      <c r="U18" s="138"/>
      <c r="V18" s="139"/>
      <c r="W18" s="139"/>
      <c r="X18" s="140"/>
      <c r="Y18" s="138"/>
      <c r="Z18" s="139"/>
      <c r="AA18" s="139"/>
      <c r="AB18" s="140"/>
      <c r="AC18" s="138"/>
      <c r="AD18" s="139"/>
      <c r="AE18" s="139"/>
      <c r="AF18" s="140"/>
      <c r="AH18" s="61"/>
      <c r="BB18" s="187">
        <v>42138</v>
      </c>
      <c r="BC18" s="180">
        <v>5.8999999999999997E-2</v>
      </c>
      <c r="BD18" s="191"/>
      <c r="BE18" s="193">
        <f>+BE17</f>
        <v>0.221</v>
      </c>
      <c r="BH18" s="94">
        <v>42101</v>
      </c>
      <c r="BI18" s="95">
        <v>0.153</v>
      </c>
      <c r="BJ18" s="96">
        <v>8.64</v>
      </c>
    </row>
    <row r="19" spans="2:62" ht="15">
      <c r="C19" s="1" t="s">
        <v>12</v>
      </c>
      <c r="D19" s="29">
        <f>SUM(D12:D18)</f>
        <v>299.88000000000005</v>
      </c>
      <c r="E19" s="29">
        <f>SUM(E12:E18)</f>
        <v>300.21000000000004</v>
      </c>
      <c r="F19" s="29">
        <f>SUM(F12:F18)</f>
        <v>311.74</v>
      </c>
      <c r="G19" s="29">
        <f>SUM(G12:G18)</f>
        <v>226.64</v>
      </c>
      <c r="H19" s="29">
        <f>SUM(H12:H18)</f>
        <v>232.19</v>
      </c>
      <c r="I19" s="29">
        <f t="shared" ref="I19:L19" si="5">SUM(I12:I18)</f>
        <v>234.38000000000002</v>
      </c>
      <c r="J19" s="29">
        <f t="shared" si="5"/>
        <v>246.58</v>
      </c>
      <c r="K19" s="29">
        <f t="shared" si="5"/>
        <v>263.64</v>
      </c>
      <c r="L19" s="29">
        <f t="shared" si="5"/>
        <v>279.33</v>
      </c>
      <c r="M19" s="45">
        <f t="shared" ref="M19" si="6">+L19/J19-1</f>
        <v>0.13281693568010366</v>
      </c>
      <c r="T19" s="79">
        <f t="shared" si="3"/>
        <v>44502</v>
      </c>
      <c r="U19" s="71"/>
      <c r="V19" s="72"/>
      <c r="W19" s="72"/>
      <c r="X19" s="73"/>
      <c r="Y19" s="71"/>
      <c r="Z19" s="72"/>
      <c r="AA19" s="72"/>
      <c r="AB19" s="73"/>
      <c r="AC19" s="71"/>
      <c r="AD19" s="72"/>
      <c r="AE19" s="72"/>
      <c r="AF19" s="73"/>
      <c r="AH19" s="61"/>
      <c r="BB19" s="187">
        <v>42139</v>
      </c>
      <c r="BC19" s="180">
        <v>5.8000000000000003E-2</v>
      </c>
      <c r="BD19" s="191">
        <v>42139</v>
      </c>
      <c r="BE19" s="192">
        <v>0.23799999999999999</v>
      </c>
      <c r="BH19" s="94">
        <v>42102</v>
      </c>
      <c r="BI19" s="95">
        <v>0.152</v>
      </c>
      <c r="BJ19" s="96">
        <v>8.6300000000000008</v>
      </c>
    </row>
    <row r="20" spans="2:62" ht="15">
      <c r="M20" s="45"/>
      <c r="T20" s="145">
        <f t="shared" si="3"/>
        <v>44683</v>
      </c>
      <c r="U20" s="157">
        <v>853.33</v>
      </c>
      <c r="V20" s="158"/>
      <c r="W20" s="153">
        <f>+U20/6</f>
        <v>142.22166666666666</v>
      </c>
      <c r="X20" s="154"/>
      <c r="Y20" s="157">
        <v>2885.96</v>
      </c>
      <c r="Z20" s="158"/>
      <c r="AA20" s="153">
        <f>+Y20/6</f>
        <v>480.99333333333334</v>
      </c>
      <c r="AB20" s="154"/>
      <c r="AC20" s="157">
        <v>1520</v>
      </c>
      <c r="AD20" s="158"/>
      <c r="AE20" s="153">
        <f>+AC20/6</f>
        <v>253.33333333333334</v>
      </c>
      <c r="AF20" s="154"/>
      <c r="AH20" s="61"/>
      <c r="BB20" s="187">
        <v>42142</v>
      </c>
      <c r="BC20" s="180">
        <v>5.6000000000000001E-2</v>
      </c>
      <c r="BD20" s="191">
        <v>42142</v>
      </c>
      <c r="BE20" s="192">
        <v>0.25600000000000001</v>
      </c>
      <c r="BH20" s="94">
        <v>42103</v>
      </c>
      <c r="BI20" s="95">
        <v>0.153</v>
      </c>
      <c r="BJ20" s="96">
        <v>8.6300000000000008</v>
      </c>
    </row>
    <row r="21" spans="2:62" ht="15">
      <c r="B21" s="16">
        <f>SUM(E21:K21)*12+D21*12</f>
        <v>112346.88000000002</v>
      </c>
      <c r="C21" s="10" t="s">
        <v>13</v>
      </c>
      <c r="D21" s="11">
        <f t="shared" ref="D21:L21" si="7">+D19+D10</f>
        <v>1154.32</v>
      </c>
      <c r="E21" s="11">
        <f t="shared" si="7"/>
        <v>1163.0700000000002</v>
      </c>
      <c r="F21" s="11">
        <f t="shared" si="7"/>
        <v>1230.8899999999999</v>
      </c>
      <c r="G21" s="11">
        <f t="shared" si="7"/>
        <v>1145.73</v>
      </c>
      <c r="H21" s="11">
        <f t="shared" si="7"/>
        <v>1201.0900000000001</v>
      </c>
      <c r="I21" s="11">
        <f t="shared" si="7"/>
        <v>1203.2800000000002</v>
      </c>
      <c r="J21" s="11">
        <f t="shared" si="7"/>
        <v>1147.4899999999998</v>
      </c>
      <c r="K21" s="11">
        <f t="shared" si="7"/>
        <v>1116.3699999999999</v>
      </c>
      <c r="L21" s="11">
        <f t="shared" si="7"/>
        <v>1488.4300000000003</v>
      </c>
      <c r="M21" s="53">
        <f>+L21/K21-1</f>
        <v>0.33327660184347518</v>
      </c>
      <c r="T21" s="126">
        <f t="shared" si="3"/>
        <v>44867</v>
      </c>
      <c r="U21" s="159">
        <v>979.31</v>
      </c>
      <c r="V21" s="160">
        <f>SUM(U20:U21)</f>
        <v>1832.6399999999999</v>
      </c>
      <c r="W21" s="155">
        <f>+U21/6</f>
        <v>163.21833333333333</v>
      </c>
      <c r="X21" s="156">
        <f>+SUMPRODUCT(U20:U21,W20:W21)/SUM(U20:U21)</f>
        <v>153.44168021724582</v>
      </c>
      <c r="Y21" s="159">
        <v>3311.98</v>
      </c>
      <c r="Z21" s="160">
        <f>SUM(Y20:Y21)</f>
        <v>6197.9400000000005</v>
      </c>
      <c r="AA21" s="155">
        <f>+Y21/6</f>
        <v>551.99666666666667</v>
      </c>
      <c r="AB21" s="156">
        <f>+SUMPRODUCT(Y20:Y21,AA20:AA21)/SUM(Y20:Y21)</f>
        <v>518.93523337323904</v>
      </c>
      <c r="AC21" s="159">
        <v>1520</v>
      </c>
      <c r="AD21" s="160">
        <f>SUM(AC20:AC21)</f>
        <v>3040</v>
      </c>
      <c r="AE21" s="155">
        <f>+AC21/6</f>
        <v>253.33333333333334</v>
      </c>
      <c r="AF21" s="156">
        <f>+SUMPRODUCT(AC20:AC21,AE20:AE21)/SUM(AC20:AC21)</f>
        <v>253.33333333333334</v>
      </c>
      <c r="AG21" s="62">
        <f>+X21+AB21</f>
        <v>672.37691359048483</v>
      </c>
      <c r="AH21" s="61">
        <f>+K6+K7</f>
        <v>685.53</v>
      </c>
      <c r="AI21" s="62">
        <f>+AH21-AG21</f>
        <v>13.15308640951514</v>
      </c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BB21" s="187">
        <v>42143</v>
      </c>
      <c r="BC21" s="180">
        <v>5.7000000000000002E-2</v>
      </c>
      <c r="BD21" s="191">
        <v>42143</v>
      </c>
      <c r="BE21" s="192">
        <v>0.27200000000000002</v>
      </c>
      <c r="BH21" s="94">
        <v>42104</v>
      </c>
      <c r="BI21" s="95">
        <v>0.152</v>
      </c>
      <c r="BJ21" s="96">
        <v>8.6300000000000008</v>
      </c>
    </row>
    <row r="22" spans="2:62" ht="15">
      <c r="C22" s="8">
        <f>SUM(D22:E22)</f>
        <v>23191.4</v>
      </c>
      <c r="D22" s="7">
        <f>+D21*8</f>
        <v>9234.56</v>
      </c>
      <c r="E22" s="7">
        <f t="shared" ref="E22:J22" si="8">+E21*12</f>
        <v>13956.840000000002</v>
      </c>
      <c r="F22" s="7">
        <f t="shared" si="8"/>
        <v>14770.679999999998</v>
      </c>
      <c r="G22" s="7">
        <f t="shared" si="8"/>
        <v>13748.76</v>
      </c>
      <c r="H22" s="7">
        <f t="shared" si="8"/>
        <v>14413.080000000002</v>
      </c>
      <c r="I22" s="7">
        <f t="shared" si="8"/>
        <v>14439.360000000002</v>
      </c>
      <c r="J22" s="7">
        <f t="shared" si="8"/>
        <v>13769.879999999997</v>
      </c>
      <c r="M22" s="54">
        <f>+L21-K21</f>
        <v>372.0600000000004</v>
      </c>
      <c r="T22" s="77">
        <f t="shared" si="3"/>
        <v>45048</v>
      </c>
      <c r="U22" s="63"/>
      <c r="V22" s="64"/>
      <c r="W22" s="64"/>
      <c r="X22" s="65"/>
      <c r="Y22" s="63"/>
      <c r="Z22" s="64"/>
      <c r="AA22" s="64"/>
      <c r="AB22" s="65"/>
      <c r="AC22" s="63"/>
      <c r="AD22" s="64"/>
      <c r="AE22" s="64"/>
      <c r="AF22" s="65"/>
      <c r="BB22" s="187">
        <v>42144</v>
      </c>
      <c r="BC22" s="180">
        <v>5.5E-2</v>
      </c>
      <c r="BD22" s="191">
        <v>42144</v>
      </c>
      <c r="BE22" s="192">
        <v>0.28699999999999998</v>
      </c>
      <c r="BH22" s="94">
        <v>42107</v>
      </c>
      <c r="BI22" s="95">
        <v>0.15</v>
      </c>
      <c r="BJ22" s="96">
        <v>8.6199999999999992</v>
      </c>
    </row>
    <row r="23" spans="2:62" ht="15">
      <c r="C23" s="9">
        <f>+C22/2</f>
        <v>11595.7</v>
      </c>
      <c r="T23" s="77">
        <f t="shared" si="3"/>
        <v>45232</v>
      </c>
      <c r="U23" s="63"/>
      <c r="V23" s="64"/>
      <c r="W23" s="64"/>
      <c r="X23" s="65"/>
      <c r="Y23" s="63"/>
      <c r="Z23" s="64"/>
      <c r="AA23" s="64"/>
      <c r="AB23" s="65"/>
      <c r="AC23" s="63"/>
      <c r="AD23" s="64"/>
      <c r="AE23" s="64"/>
      <c r="AF23" s="65"/>
      <c r="BB23" s="187">
        <v>42145</v>
      </c>
      <c r="BC23" s="180">
        <v>5.3999999999999999E-2</v>
      </c>
      <c r="BD23" s="191">
        <v>42145</v>
      </c>
      <c r="BE23" s="192">
        <v>0.30499999999999999</v>
      </c>
      <c r="BH23" s="94">
        <v>42108</v>
      </c>
      <c r="BI23" s="95">
        <v>0.14699999999999999</v>
      </c>
      <c r="BJ23" s="96">
        <v>8.6199999999999992</v>
      </c>
    </row>
    <row r="24" spans="2:62" ht="15">
      <c r="E24" s="16">
        <f>+E21-G21</f>
        <v>17.340000000000146</v>
      </c>
      <c r="F24" s="16">
        <f>+G21-F21</f>
        <v>-85.159999999999854</v>
      </c>
      <c r="G24" s="16">
        <f t="shared" ref="G24:H24" si="9">+H21-G21</f>
        <v>55.360000000000127</v>
      </c>
      <c r="H24" s="16">
        <f t="shared" si="9"/>
        <v>2.1900000000000546</v>
      </c>
      <c r="I24" s="16">
        <f t="shared" ref="I24" si="10">+J21-I21</f>
        <v>-55.790000000000418</v>
      </c>
      <c r="J24" s="7">
        <f t="shared" ref="J24" si="11">+K21-J21</f>
        <v>-31.119999999999891</v>
      </c>
      <c r="T24" s="78">
        <f t="shared" si="3"/>
        <v>45414</v>
      </c>
      <c r="U24" s="66"/>
      <c r="V24" s="67"/>
      <c r="W24" s="67"/>
      <c r="X24" s="68"/>
      <c r="Y24" s="66"/>
      <c r="Z24" s="67"/>
      <c r="AA24" s="67"/>
      <c r="AB24" s="68"/>
      <c r="AC24" s="66"/>
      <c r="AD24" s="67"/>
      <c r="AE24" s="67"/>
      <c r="AF24" s="68"/>
      <c r="BB24" s="187">
        <v>42146</v>
      </c>
      <c r="BC24" s="180">
        <v>5.3999999999999999E-2</v>
      </c>
      <c r="BD24" s="191">
        <v>42146</v>
      </c>
      <c r="BE24" s="192">
        <v>0.31900000000000001</v>
      </c>
      <c r="BH24" s="94">
        <v>42109</v>
      </c>
      <c r="BI24" s="95">
        <v>0.14299999999999999</v>
      </c>
      <c r="BJ24" s="96">
        <v>8.61</v>
      </c>
    </row>
    <row r="25" spans="2:62" ht="15">
      <c r="C25" s="1" t="s">
        <v>33</v>
      </c>
      <c r="E25" s="16">
        <f>+E24*F24</f>
        <v>-1476.6744000000099</v>
      </c>
      <c r="F25">
        <f>+F24*12</f>
        <v>-1021.9199999999983</v>
      </c>
      <c r="G25">
        <f t="shared" ref="G25:H25" si="12">+G24*12</f>
        <v>664.32000000000153</v>
      </c>
      <c r="H25">
        <f t="shared" si="12"/>
        <v>26.280000000000655</v>
      </c>
      <c r="I25">
        <f t="shared" ref="I25:J25" si="13">+I24*12</f>
        <v>-669.48000000000502</v>
      </c>
      <c r="J25" s="7">
        <f t="shared" si="13"/>
        <v>-373.43999999999869</v>
      </c>
      <c r="T25" s="78">
        <f t="shared" si="3"/>
        <v>45598</v>
      </c>
      <c r="U25" s="66"/>
      <c r="V25" s="67"/>
      <c r="W25" s="67"/>
      <c r="X25" s="68"/>
      <c r="Y25" s="66"/>
      <c r="Z25" s="67"/>
      <c r="AA25" s="67"/>
      <c r="AB25" s="68"/>
      <c r="AC25" s="66"/>
      <c r="AD25" s="67"/>
      <c r="AE25" s="67"/>
      <c r="AF25" s="68"/>
      <c r="BB25" s="187">
        <v>42149</v>
      </c>
      <c r="BC25" s="180">
        <v>5.3999999999999999E-2</v>
      </c>
      <c r="BD25" s="191"/>
      <c r="BE25" s="193">
        <f>+BE24</f>
        <v>0.31900000000000001</v>
      </c>
      <c r="BH25" s="94">
        <v>42110</v>
      </c>
      <c r="BI25" s="95">
        <v>0.13900000000000001</v>
      </c>
      <c r="BJ25" s="96">
        <v>8.61</v>
      </c>
    </row>
    <row r="26" spans="2:62" ht="15">
      <c r="T26" s="79">
        <f t="shared" si="3"/>
        <v>45779</v>
      </c>
      <c r="U26" s="71"/>
      <c r="V26" s="72"/>
      <c r="W26" s="72"/>
      <c r="X26" s="73"/>
      <c r="Y26" s="71"/>
      <c r="Z26" s="72"/>
      <c r="AA26" s="72"/>
      <c r="AB26" s="73"/>
      <c r="AC26" s="71"/>
      <c r="AD26" s="72"/>
      <c r="AE26" s="72"/>
      <c r="AF26" s="73"/>
      <c r="BB26" s="187">
        <v>42150</v>
      </c>
      <c r="BC26" s="180">
        <v>5.1999999999999998E-2</v>
      </c>
      <c r="BD26" s="191">
        <v>42150</v>
      </c>
      <c r="BE26" s="192">
        <v>0.33200000000000002</v>
      </c>
      <c r="BH26" s="94">
        <v>42111</v>
      </c>
      <c r="BI26" s="95">
        <v>0.13600000000000001</v>
      </c>
      <c r="BJ26" s="96">
        <v>8.61</v>
      </c>
    </row>
    <row r="27" spans="2:62" ht="15">
      <c r="AW27" s="113" t="s">
        <v>51</v>
      </c>
      <c r="AX27" t="s">
        <v>419</v>
      </c>
      <c r="BB27" s="187">
        <v>42151</v>
      </c>
      <c r="BC27" s="180">
        <v>0.05</v>
      </c>
      <c r="BD27" s="191">
        <v>42151</v>
      </c>
      <c r="BE27" s="192">
        <v>0.34399999999999997</v>
      </c>
      <c r="BH27" s="94">
        <v>42114</v>
      </c>
      <c r="BI27" s="95">
        <v>0.13300000000000001</v>
      </c>
      <c r="BJ27" s="96">
        <v>8.6</v>
      </c>
    </row>
    <row r="28" spans="2:62" ht="15">
      <c r="D28" s="6">
        <f>+G10*6</f>
        <v>5514.54</v>
      </c>
      <c r="E28" s="6">
        <f>+F10*6</f>
        <v>5514.9</v>
      </c>
      <c r="F28" s="6">
        <f>+E10*6</f>
        <v>5177.16</v>
      </c>
      <c r="G28" s="6">
        <f>+D10*6</f>
        <v>5126.6399999999994</v>
      </c>
      <c r="H28" s="6">
        <f t="shared" ref="H28:K28" si="14">+E10*6</f>
        <v>5177.16</v>
      </c>
      <c r="I28" s="6">
        <f t="shared" si="14"/>
        <v>5514.9</v>
      </c>
      <c r="J28" s="6">
        <f t="shared" si="14"/>
        <v>5514.54</v>
      </c>
      <c r="K28" s="6">
        <f t="shared" si="14"/>
        <v>5813.4000000000005</v>
      </c>
      <c r="BB28" s="187">
        <v>42152</v>
      </c>
      <c r="BC28" s="180">
        <v>4.9000000000000002E-2</v>
      </c>
      <c r="BD28" s="191">
        <v>42152</v>
      </c>
      <c r="BE28" s="192">
        <v>0.35599999999999998</v>
      </c>
      <c r="BH28" s="94">
        <v>42115</v>
      </c>
      <c r="BI28" s="95">
        <v>0.129</v>
      </c>
      <c r="BJ28" s="96">
        <v>8.6</v>
      </c>
    </row>
    <row r="29" spans="2:62" ht="15.75" thickBot="1">
      <c r="N29" s="37">
        <v>82579</v>
      </c>
      <c r="Y29" s="7">
        <f>+Y30/6</f>
        <v>1725.1933333333334</v>
      </c>
      <c r="AB29" s="107">
        <v>1.2500000000000001E-2</v>
      </c>
      <c r="AC29" s="108"/>
      <c r="AD29" s="108"/>
      <c r="AH29" s="52" t="s">
        <v>424</v>
      </c>
      <c r="AI29" s="52" t="s">
        <v>424</v>
      </c>
      <c r="AW29" s="113" t="s">
        <v>406</v>
      </c>
      <c r="AX29" t="s">
        <v>418</v>
      </c>
      <c r="BB29" s="187">
        <v>42153</v>
      </c>
      <c r="BC29" s="180">
        <v>4.9000000000000002E-2</v>
      </c>
      <c r="BD29" s="191">
        <v>42153</v>
      </c>
      <c r="BE29" s="192">
        <v>0.36699999999999999</v>
      </c>
      <c r="BH29" s="94">
        <v>42116</v>
      </c>
      <c r="BI29" s="95">
        <v>0.125</v>
      </c>
      <c r="BJ29" s="96">
        <v>8.59</v>
      </c>
    </row>
    <row r="30" spans="2:62" ht="15">
      <c r="C30" s="13" t="s">
        <v>16</v>
      </c>
      <c r="D30" s="14">
        <v>454816</v>
      </c>
      <c r="M30" s="36"/>
      <c r="N30" s="38">
        <v>348</v>
      </c>
      <c r="O30" s="36"/>
      <c r="P30" s="36"/>
      <c r="Q30" s="36"/>
      <c r="X30" s="56">
        <v>53851926633</v>
      </c>
      <c r="Y30" s="55">
        <v>10351.16</v>
      </c>
      <c r="Z30" s="51" t="s">
        <v>36</v>
      </c>
      <c r="AA30" s="176">
        <v>1.805E-3</v>
      </c>
      <c r="AB30" s="109" t="s">
        <v>403</v>
      </c>
      <c r="AC30" s="110"/>
      <c r="AD30" s="110"/>
      <c r="AH30" s="52" t="s">
        <v>422</v>
      </c>
      <c r="AI30" s="52" t="s">
        <v>423</v>
      </c>
      <c r="AW30" s="114" t="s">
        <v>408</v>
      </c>
      <c r="AX30" s="59">
        <v>1.0269999999999999</v>
      </c>
      <c r="BB30" s="187">
        <v>42156</v>
      </c>
      <c r="BC30" s="180">
        <v>4.9000000000000002E-2</v>
      </c>
      <c r="BD30" s="191">
        <v>42156</v>
      </c>
      <c r="BE30" s="192">
        <v>0.374</v>
      </c>
      <c r="BH30" s="94">
        <v>42117</v>
      </c>
      <c r="BI30" s="95">
        <v>0.122</v>
      </c>
      <c r="BJ30" s="96">
        <v>8.59</v>
      </c>
    </row>
    <row r="31" spans="2:62" ht="15">
      <c r="C31" s="20" t="s">
        <v>14</v>
      </c>
      <c r="D31" s="21">
        <v>79130</v>
      </c>
      <c r="M31" s="36"/>
      <c r="N31" s="37">
        <f>+N30*12*10</f>
        <v>41760</v>
      </c>
      <c r="O31" s="36"/>
      <c r="P31" s="36"/>
      <c r="Q31" s="36"/>
      <c r="AE31">
        <f>+GETPIVOTDATA("Zinssatz",$AW$29,"Quartale",2,"Jahre",2017)</f>
        <v>0.30149999999999999</v>
      </c>
      <c r="AF31" t="s">
        <v>422</v>
      </c>
      <c r="AG31" s="174" t="s">
        <v>408</v>
      </c>
      <c r="AH31" s="5"/>
      <c r="AW31" s="115" t="s">
        <v>409</v>
      </c>
      <c r="AX31" s="59">
        <v>0.46199999999999997</v>
      </c>
      <c r="BB31" s="187">
        <v>42157</v>
      </c>
      <c r="BC31" s="180">
        <v>4.8000000000000001E-2</v>
      </c>
      <c r="BD31" s="191">
        <v>42157</v>
      </c>
      <c r="BE31" s="192">
        <v>0.38200000000000001</v>
      </c>
      <c r="BH31" s="94">
        <v>42118</v>
      </c>
      <c r="BI31" s="95">
        <v>0.11899999999999999</v>
      </c>
      <c r="BJ31" s="96">
        <v>8.59</v>
      </c>
    </row>
    <row r="32" spans="2:62" ht="15">
      <c r="C32" s="20"/>
      <c r="D32" s="21">
        <v>3449</v>
      </c>
      <c r="I32" s="7">
        <v>463912</v>
      </c>
      <c r="K32" s="16">
        <f>+D30</f>
        <v>454816</v>
      </c>
      <c r="M32" s="36"/>
      <c r="N32" s="38">
        <f>+N29-N31</f>
        <v>40819</v>
      </c>
      <c r="O32" s="36"/>
      <c r="P32" s="36"/>
      <c r="Q32" s="36"/>
      <c r="X32" s="52" t="s">
        <v>30</v>
      </c>
      <c r="Y32" s="15" t="s">
        <v>31</v>
      </c>
      <c r="Z32" s="52" t="s">
        <v>27</v>
      </c>
      <c r="AA32" s="52" t="s">
        <v>26</v>
      </c>
      <c r="AB32" s="52" t="s">
        <v>32</v>
      </c>
      <c r="AC32" s="52" t="s">
        <v>35</v>
      </c>
      <c r="AE32">
        <f>+AE31/2</f>
        <v>0.15075</v>
      </c>
      <c r="AG32" t="s">
        <v>409</v>
      </c>
      <c r="AH32" s="5">
        <v>0.46199999999999997</v>
      </c>
      <c r="AI32" s="175">
        <f>+AH32/2</f>
        <v>0.23099999999999998</v>
      </c>
      <c r="AW32" s="115" t="s">
        <v>410</v>
      </c>
      <c r="AX32" s="59">
        <v>0.56499999999999995</v>
      </c>
      <c r="BB32" s="187">
        <v>42158</v>
      </c>
      <c r="BC32" s="180">
        <v>4.8000000000000001E-2</v>
      </c>
      <c r="BD32" s="191">
        <v>42158</v>
      </c>
      <c r="BE32" s="192">
        <v>0.39300000000000002</v>
      </c>
      <c r="BH32" s="94">
        <v>42121</v>
      </c>
      <c r="BI32" s="95">
        <v>0.11600000000000001</v>
      </c>
      <c r="BJ32" s="96">
        <v>8.58</v>
      </c>
    </row>
    <row r="33" spans="1:62" ht="15">
      <c r="C33" s="30" t="s">
        <v>15</v>
      </c>
      <c r="D33" s="31">
        <f>+D32+D31</f>
        <v>82579</v>
      </c>
      <c r="E33" t="s">
        <v>19</v>
      </c>
      <c r="G33" s="32" t="s">
        <v>28</v>
      </c>
      <c r="I33" s="7">
        <v>33812</v>
      </c>
      <c r="K33" s="16">
        <f>+I33</f>
        <v>33812</v>
      </c>
      <c r="M33" s="39">
        <v>45778</v>
      </c>
      <c r="O33" s="36" t="s">
        <v>29</v>
      </c>
      <c r="P33" s="36"/>
      <c r="Q33" s="36"/>
      <c r="X33" s="26">
        <v>42856</v>
      </c>
      <c r="Y33">
        <v>0</v>
      </c>
      <c r="Z33">
        <v>9919.2099999999991</v>
      </c>
      <c r="AB33" s="112">
        <v>466052.01</v>
      </c>
      <c r="AE33">
        <f>+AE31*(X34-X33)/360</f>
        <v>0.15409999999999999</v>
      </c>
      <c r="AG33" t="s">
        <v>410</v>
      </c>
      <c r="AH33" s="5">
        <v>0.56499999999999995</v>
      </c>
      <c r="AI33" s="175">
        <f t="shared" ref="AI33:AI54" si="15">+AH33/2</f>
        <v>0.28249999999999997</v>
      </c>
      <c r="AK33" s="60">
        <f>+AVERAGE(AI32:AI33)</f>
        <v>0.25674999999999998</v>
      </c>
      <c r="AW33" s="114" t="s">
        <v>411</v>
      </c>
      <c r="AX33" s="59">
        <v>0.56950000000000001</v>
      </c>
      <c r="BB33" s="187">
        <v>42159</v>
      </c>
      <c r="BC33" s="180">
        <v>4.9000000000000002E-2</v>
      </c>
      <c r="BD33" s="191"/>
      <c r="BE33" s="193">
        <f>+BE32</f>
        <v>0.39300000000000002</v>
      </c>
      <c r="BH33" s="94">
        <v>42122</v>
      </c>
      <c r="BI33" s="95">
        <v>0.113</v>
      </c>
      <c r="BJ33" s="96">
        <v>8.58</v>
      </c>
    </row>
    <row r="34" spans="1:62" ht="15">
      <c r="G34" s="33">
        <v>43187</v>
      </c>
      <c r="I34" s="7">
        <v>20454</v>
      </c>
      <c r="K34" s="16">
        <f>+I34</f>
        <v>20454</v>
      </c>
      <c r="X34" s="26">
        <v>43040</v>
      </c>
      <c r="Y34" s="7">
        <f t="shared" ref="Y34:Y79" si="16">+$Y$30</f>
        <v>10351.16</v>
      </c>
      <c r="Z34" s="7">
        <f>+Y34-AA34</f>
        <v>9921.2011289966667</v>
      </c>
      <c r="AA34" s="7">
        <f t="shared" ref="AA34:AA79" si="17">+AB33*$AA$30*(X34-X33)/360</f>
        <v>429.9588710033334</v>
      </c>
      <c r="AB34" s="7">
        <f>+AB33-Z34</f>
        <v>456130.80887100333</v>
      </c>
      <c r="AG34" s="174" t="s">
        <v>411</v>
      </c>
      <c r="AH34" s="5"/>
      <c r="AI34" s="60"/>
      <c r="AW34" s="115" t="s">
        <v>409</v>
      </c>
      <c r="AX34" s="59">
        <v>0.35499999999999998</v>
      </c>
      <c r="BB34" s="187">
        <v>42160</v>
      </c>
      <c r="BC34" s="180">
        <v>0.05</v>
      </c>
      <c r="BD34" s="191">
        <v>42160</v>
      </c>
      <c r="BE34" s="192">
        <v>0.40600000000000003</v>
      </c>
      <c r="BH34" s="94">
        <v>42123</v>
      </c>
      <c r="BI34" s="95">
        <v>0.114</v>
      </c>
      <c r="BJ34" s="96">
        <v>8.57</v>
      </c>
    </row>
    <row r="35" spans="1:62" ht="15">
      <c r="C35" s="17" t="s">
        <v>17</v>
      </c>
      <c r="D35" s="18">
        <f>+D30-D33</f>
        <v>372237</v>
      </c>
      <c r="G35" s="34">
        <v>373810.47</v>
      </c>
      <c r="I35" s="7">
        <v>1519</v>
      </c>
      <c r="K35" s="16">
        <f>+I35</f>
        <v>1519</v>
      </c>
      <c r="N35">
        <v>427.22</v>
      </c>
      <c r="X35" s="26">
        <v>43221</v>
      </c>
      <c r="Y35" s="7">
        <f t="shared" si="16"/>
        <v>10351.16</v>
      </c>
      <c r="Z35" s="7">
        <f>+Y35-AA35</f>
        <v>9937.2149557994417</v>
      </c>
      <c r="AA35" s="7">
        <f t="shared" si="17"/>
        <v>413.9450442005587</v>
      </c>
      <c r="AB35" s="7">
        <f>+AB34-Z35</f>
        <v>446193.59391520388</v>
      </c>
      <c r="AG35" t="s">
        <v>409</v>
      </c>
      <c r="AH35" s="5">
        <v>0.35499999999999998</v>
      </c>
      <c r="AI35" s="175">
        <f t="shared" si="15"/>
        <v>0.17749999999999999</v>
      </c>
      <c r="AW35" s="115" t="s">
        <v>410</v>
      </c>
      <c r="AX35" s="59">
        <v>0.2145</v>
      </c>
      <c r="BB35" s="187">
        <v>42163</v>
      </c>
      <c r="BC35" s="180">
        <v>4.9000000000000002E-2</v>
      </c>
      <c r="BD35" s="191">
        <v>42163</v>
      </c>
      <c r="BE35" s="192">
        <v>0.41499999999999998</v>
      </c>
      <c r="BH35" s="94">
        <v>42124</v>
      </c>
      <c r="BI35" s="95">
        <v>0.12</v>
      </c>
      <c r="BJ35" s="96">
        <v>8.57</v>
      </c>
    </row>
    <row r="36" spans="1:62" ht="15">
      <c r="G36" s="32"/>
      <c r="I36" s="7">
        <v>-297715</v>
      </c>
      <c r="J36" t="s">
        <v>24</v>
      </c>
      <c r="K36" s="16">
        <f>+I36</f>
        <v>-297715</v>
      </c>
      <c r="X36" s="26">
        <v>43405</v>
      </c>
      <c r="Y36" s="7">
        <f t="shared" si="16"/>
        <v>10351.16</v>
      </c>
      <c r="Z36" s="7">
        <f t="shared" ref="Z36:Z79" si="18">+Y36-AA36</f>
        <v>9939.5216210802282</v>
      </c>
      <c r="AA36" s="7">
        <f t="shared" si="17"/>
        <v>411.6383789197709</v>
      </c>
      <c r="AB36" s="7">
        <f t="shared" ref="AB36:AB51" si="19">+AB35-Z36</f>
        <v>436254.07229412365</v>
      </c>
      <c r="AG36" t="s">
        <v>410</v>
      </c>
      <c r="AH36" s="5">
        <v>0.2145</v>
      </c>
      <c r="AI36" s="175">
        <f t="shared" si="15"/>
        <v>0.10725</v>
      </c>
      <c r="AK36" s="60">
        <f>+AVERAGE(AI35:AI36)</f>
        <v>0.142375</v>
      </c>
      <c r="AW36" s="114" t="s">
        <v>412</v>
      </c>
      <c r="AX36" s="59">
        <v>0.64949999999999997</v>
      </c>
      <c r="BB36" s="187">
        <v>42164</v>
      </c>
      <c r="BC36" s="180">
        <v>4.9000000000000002E-2</v>
      </c>
      <c r="BD36" s="191">
        <v>42164</v>
      </c>
      <c r="BE36" s="192">
        <v>0.42399999999999999</v>
      </c>
      <c r="BH36" s="94">
        <v>42128</v>
      </c>
      <c r="BI36" s="95">
        <v>0.127</v>
      </c>
      <c r="BJ36" s="96">
        <v>8.56</v>
      </c>
    </row>
    <row r="37" spans="1:62" ht="15">
      <c r="C37" s="1" t="s">
        <v>23</v>
      </c>
      <c r="G37" s="32"/>
      <c r="I37" s="7">
        <v>-74321</v>
      </c>
      <c r="J37" t="s">
        <v>24</v>
      </c>
      <c r="K37" s="16">
        <f>-D33</f>
        <v>-82579</v>
      </c>
      <c r="N37" s="40">
        <f>+N35+N30</f>
        <v>775.22</v>
      </c>
      <c r="X37" s="26">
        <v>43586</v>
      </c>
      <c r="Y37" s="7">
        <f t="shared" si="16"/>
        <v>10351.16</v>
      </c>
      <c r="Z37" s="7">
        <f t="shared" si="18"/>
        <v>9955.2533703087447</v>
      </c>
      <c r="AA37" s="7">
        <f t="shared" si="17"/>
        <v>395.90662969125464</v>
      </c>
      <c r="AB37" s="7">
        <f t="shared" si="19"/>
        <v>426298.81892381492</v>
      </c>
      <c r="AG37" s="174" t="s">
        <v>412</v>
      </c>
      <c r="AH37" s="5"/>
      <c r="AI37" s="60"/>
      <c r="AW37" s="115" t="s">
        <v>409</v>
      </c>
      <c r="AX37" s="59">
        <v>0.30149999999999999</v>
      </c>
      <c r="BB37" s="187">
        <v>42165</v>
      </c>
      <c r="BC37" s="180">
        <v>4.9000000000000002E-2</v>
      </c>
      <c r="BD37" s="191">
        <v>42165</v>
      </c>
      <c r="BE37" s="192">
        <v>0.437</v>
      </c>
      <c r="BH37" s="94">
        <v>42129</v>
      </c>
      <c r="BI37" s="95">
        <v>0.13500000000000001</v>
      </c>
      <c r="BJ37" s="96">
        <v>8.56</v>
      </c>
    </row>
    <row r="38" spans="1:62" ht="15">
      <c r="C38" s="28" t="s">
        <v>18</v>
      </c>
      <c r="D38" s="19">
        <f>+B10*10*12</f>
        <v>109615.71428571429</v>
      </c>
      <c r="E38" t="s">
        <v>20</v>
      </c>
      <c r="G38" s="35">
        <f>+D38</f>
        <v>109615.71428571429</v>
      </c>
      <c r="I38" s="12">
        <f>SUM(I32:I37)</f>
        <v>147661</v>
      </c>
      <c r="K38" s="12">
        <f>SUM(K32:K37)</f>
        <v>130307</v>
      </c>
      <c r="X38" s="26">
        <v>43770</v>
      </c>
      <c r="Y38" s="7">
        <f t="shared" si="16"/>
        <v>10351.16</v>
      </c>
      <c r="Z38" s="7">
        <f t="shared" si="18"/>
        <v>9957.8756562750623</v>
      </c>
      <c r="AA38" s="7">
        <f t="shared" si="17"/>
        <v>393.28434372493723</v>
      </c>
      <c r="AB38" s="7">
        <f t="shared" si="19"/>
        <v>416340.94326753984</v>
      </c>
      <c r="AG38" t="s">
        <v>409</v>
      </c>
      <c r="AH38" s="5">
        <v>0.30149999999999999</v>
      </c>
      <c r="AI38" s="175">
        <f t="shared" si="15"/>
        <v>0.15075</v>
      </c>
      <c r="AW38" s="115" t="s">
        <v>410</v>
      </c>
      <c r="AX38" s="59">
        <v>0.34799999999999998</v>
      </c>
      <c r="BB38" s="187">
        <v>42166</v>
      </c>
      <c r="BC38" s="180">
        <v>4.9000000000000002E-2</v>
      </c>
      <c r="BD38" s="191">
        <v>42166</v>
      </c>
      <c r="BE38" s="192">
        <v>0.44900000000000001</v>
      </c>
      <c r="BH38" s="94">
        <v>42130</v>
      </c>
      <c r="BI38" s="95">
        <v>0.14699999999999999</v>
      </c>
      <c r="BJ38" s="96">
        <v>8.56</v>
      </c>
    </row>
    <row r="39" spans="1:62" ht="15.75" thickBot="1">
      <c r="G39" s="32"/>
      <c r="I39" s="7"/>
      <c r="X39" s="26">
        <v>43952</v>
      </c>
      <c r="Y39" s="7">
        <f t="shared" si="16"/>
        <v>10351.16</v>
      </c>
      <c r="Z39" s="7">
        <f t="shared" si="18"/>
        <v>9971.2373242421672</v>
      </c>
      <c r="AA39" s="7">
        <f t="shared" si="17"/>
        <v>379.922675757832</v>
      </c>
      <c r="AB39" s="7">
        <f t="shared" si="19"/>
        <v>406369.70594329765</v>
      </c>
      <c r="AG39" t="s">
        <v>410</v>
      </c>
      <c r="AH39" s="5">
        <v>0.34799999999999998</v>
      </c>
      <c r="AI39" s="177">
        <f t="shared" si="15"/>
        <v>0.17399999999999999</v>
      </c>
      <c r="AK39" s="60">
        <f>+AVERAGE(AI38:AI39)</f>
        <v>0.16237499999999999</v>
      </c>
      <c r="AW39" s="114" t="s">
        <v>413</v>
      </c>
      <c r="AX39" s="59">
        <v>0.84549999999999992</v>
      </c>
      <c r="BB39" s="187">
        <v>42167</v>
      </c>
      <c r="BC39" s="180">
        <v>0.05</v>
      </c>
      <c r="BD39" s="191">
        <v>42167</v>
      </c>
      <c r="BE39" s="192">
        <v>0.45600000000000002</v>
      </c>
      <c r="BH39" s="94">
        <v>42131</v>
      </c>
      <c r="BI39" s="95">
        <v>0.16200000000000001</v>
      </c>
      <c r="BJ39" s="96">
        <v>8.5399999999999991</v>
      </c>
    </row>
    <row r="40" spans="1:62" ht="15.75" thickBot="1">
      <c r="B40" s="27">
        <v>45778</v>
      </c>
      <c r="C40" s="22" t="s">
        <v>21</v>
      </c>
      <c r="D40" s="23">
        <f>+D35-D38</f>
        <v>262621.28571428568</v>
      </c>
      <c r="E40" s="24" t="s">
        <v>22</v>
      </c>
      <c r="F40" s="25"/>
      <c r="G40" s="35">
        <f>+G35-G38</f>
        <v>264194.75571428565</v>
      </c>
      <c r="X40" s="172">
        <v>44136</v>
      </c>
      <c r="Y40" s="173">
        <f t="shared" si="16"/>
        <v>10351.16</v>
      </c>
      <c r="Z40" s="173">
        <f t="shared" si="18"/>
        <v>9976.2613701725331</v>
      </c>
      <c r="AA40" s="173">
        <f t="shared" si="17"/>
        <v>374.89862982746666</v>
      </c>
      <c r="AB40" s="173">
        <f t="shared" si="19"/>
        <v>396393.4445731251</v>
      </c>
      <c r="AC40" s="72"/>
      <c r="AG40" s="174" t="s">
        <v>413</v>
      </c>
      <c r="AH40" s="5"/>
      <c r="AI40" s="60"/>
      <c r="AW40" s="115" t="s">
        <v>409</v>
      </c>
      <c r="AX40" s="59">
        <v>0.41699999999999998</v>
      </c>
      <c r="BB40" s="187">
        <v>42170</v>
      </c>
      <c r="BC40" s="180">
        <v>4.9000000000000002E-2</v>
      </c>
      <c r="BD40" s="191">
        <v>42170</v>
      </c>
      <c r="BE40" s="192">
        <v>0.46300000000000002</v>
      </c>
      <c r="BH40" s="94">
        <v>42132</v>
      </c>
      <c r="BI40" s="95">
        <v>0.17399999999999999</v>
      </c>
      <c r="BJ40" s="96">
        <v>8.5399999999999991</v>
      </c>
    </row>
    <row r="41" spans="1:62" ht="15">
      <c r="D41" s="12">
        <f>+D40/2</f>
        <v>131310.64285714284</v>
      </c>
      <c r="E41" s="2" t="s">
        <v>25</v>
      </c>
      <c r="X41" s="26">
        <v>44317</v>
      </c>
      <c r="Y41" s="7">
        <f t="shared" si="16"/>
        <v>10351.16</v>
      </c>
      <c r="Z41" s="7">
        <f t="shared" si="18"/>
        <v>9991.4274435853804</v>
      </c>
      <c r="AA41" s="7">
        <f t="shared" si="17"/>
        <v>359.73255641461895</v>
      </c>
      <c r="AB41" s="7">
        <f t="shared" si="19"/>
        <v>386402.01712953974</v>
      </c>
      <c r="AG41" t="s">
        <v>409</v>
      </c>
      <c r="AH41" s="5">
        <v>0.41699999999999998</v>
      </c>
      <c r="AI41" s="175">
        <f t="shared" si="15"/>
        <v>0.20849999999999999</v>
      </c>
      <c r="AW41" s="115" t="s">
        <v>410</v>
      </c>
      <c r="AX41" s="59">
        <v>0.42849999999999999</v>
      </c>
      <c r="BB41" s="187">
        <v>42171</v>
      </c>
      <c r="BC41" s="180">
        <v>5.0999999999999997E-2</v>
      </c>
      <c r="BD41" s="191">
        <v>42171</v>
      </c>
      <c r="BE41" s="192">
        <v>0.47</v>
      </c>
      <c r="BH41" s="94">
        <v>42135</v>
      </c>
      <c r="BI41" s="95">
        <v>0.187</v>
      </c>
      <c r="BJ41" s="96">
        <v>8.5299999999999994</v>
      </c>
    </row>
    <row r="42" spans="1:62" ht="15">
      <c r="D42" s="16">
        <f>+D40-D41</f>
        <v>131310.64285714284</v>
      </c>
      <c r="E42" s="2">
        <f>+D10/2</f>
        <v>427.21999999999997</v>
      </c>
      <c r="X42" s="26">
        <v>44501</v>
      </c>
      <c r="Y42" s="7">
        <f t="shared" si="16"/>
        <v>10351.16</v>
      </c>
      <c r="Z42" s="7">
        <f t="shared" si="18"/>
        <v>9994.6826724192706</v>
      </c>
      <c r="AA42" s="7">
        <f t="shared" si="17"/>
        <v>356.47732758072982</v>
      </c>
      <c r="AB42" s="7">
        <f t="shared" si="19"/>
        <v>376407.33445712045</v>
      </c>
      <c r="AG42" t="s">
        <v>410</v>
      </c>
      <c r="AH42" s="5">
        <v>0.42849999999999999</v>
      </c>
      <c r="AI42" s="175">
        <f t="shared" si="15"/>
        <v>0.21425</v>
      </c>
      <c r="AK42" s="60">
        <f>+AVERAGE(AI41:AI42)</f>
        <v>0.21137499999999998</v>
      </c>
      <c r="AW42" s="114" t="s">
        <v>414</v>
      </c>
      <c r="AX42" s="59">
        <v>0.34749999999999998</v>
      </c>
      <c r="BB42" s="187">
        <v>42172</v>
      </c>
      <c r="BC42" s="180">
        <v>4.9000000000000002E-2</v>
      </c>
      <c r="BD42" s="191">
        <v>42172</v>
      </c>
      <c r="BE42" s="192">
        <v>0.47799999999999998</v>
      </c>
      <c r="BH42" s="94">
        <v>42136</v>
      </c>
      <c r="BI42" s="95">
        <v>0.20399999999999999</v>
      </c>
      <c r="BJ42" s="96">
        <v>8.5299999999999994</v>
      </c>
    </row>
    <row r="43" spans="1:62" ht="15">
      <c r="B43" s="225"/>
      <c r="C43" s="228"/>
      <c r="D43" s="225"/>
      <c r="E43" s="225"/>
      <c r="F43" s="225"/>
      <c r="G43" s="225"/>
      <c r="H43" s="225"/>
      <c r="I43" s="225"/>
      <c r="J43" s="225"/>
      <c r="K43" s="225"/>
      <c r="L43" s="225"/>
      <c r="M43" s="225"/>
      <c r="N43" s="225"/>
      <c r="O43" s="225"/>
      <c r="P43" s="225"/>
      <c r="Q43" s="225"/>
      <c r="R43" s="225"/>
      <c r="S43" s="225"/>
      <c r="T43" s="225"/>
      <c r="U43" s="225"/>
      <c r="V43" s="225"/>
      <c r="W43" s="225"/>
      <c r="X43" s="26">
        <v>44682</v>
      </c>
      <c r="Y43" s="7">
        <f t="shared" si="16"/>
        <v>10351.16</v>
      </c>
      <c r="Z43" s="7">
        <f t="shared" si="18"/>
        <v>10009.565116100517</v>
      </c>
      <c r="AA43" s="7">
        <f t="shared" si="17"/>
        <v>341.59488389948206</v>
      </c>
      <c r="AB43" s="7">
        <f t="shared" si="19"/>
        <v>366397.76934101991</v>
      </c>
      <c r="AC43" s="43">
        <v>319549.96999999997</v>
      </c>
      <c r="AG43" s="174" t="s">
        <v>414</v>
      </c>
      <c r="AH43" s="5"/>
      <c r="AI43" s="60"/>
      <c r="AW43" s="115" t="s">
        <v>409</v>
      </c>
      <c r="AX43" s="59">
        <v>0.28699999999999998</v>
      </c>
      <c r="BB43" s="187">
        <v>42173</v>
      </c>
      <c r="BC43" s="180">
        <v>4.9000000000000002E-2</v>
      </c>
      <c r="BD43" s="191">
        <v>42173</v>
      </c>
      <c r="BE43" s="192">
        <v>0.48599999999999999</v>
      </c>
      <c r="BH43" s="94">
        <v>42137</v>
      </c>
      <c r="BI43" s="95">
        <v>0.221</v>
      </c>
      <c r="BJ43" s="96">
        <v>8.5299999999999994</v>
      </c>
    </row>
    <row r="44" spans="1:62" ht="15.75" thickBot="1">
      <c r="B44" s="225"/>
      <c r="C44" s="228"/>
      <c r="D44" s="225"/>
      <c r="E44" s="225"/>
      <c r="F44" s="225"/>
      <c r="G44" s="225"/>
      <c r="H44" s="225"/>
      <c r="I44" s="225"/>
      <c r="J44" s="225"/>
      <c r="K44" s="225"/>
      <c r="L44" s="225"/>
      <c r="M44" s="225"/>
      <c r="N44" s="225"/>
      <c r="O44" s="225"/>
      <c r="P44" s="225"/>
      <c r="Q44" s="225"/>
      <c r="R44" s="225"/>
      <c r="S44" s="225"/>
      <c r="T44" s="225"/>
      <c r="U44" s="225"/>
      <c r="V44" s="225"/>
      <c r="W44" s="225"/>
      <c r="X44" s="26">
        <v>44866</v>
      </c>
      <c r="Y44" s="7">
        <f t="shared" si="16"/>
        <v>10351.16</v>
      </c>
      <c r="Z44" s="7">
        <f t="shared" si="18"/>
        <v>10013.13770235128</v>
      </c>
      <c r="AA44" s="7">
        <f t="shared" si="17"/>
        <v>338.02229764872089</v>
      </c>
      <c r="AB44" s="7">
        <f t="shared" si="19"/>
        <v>356384.63163866865</v>
      </c>
      <c r="AG44" t="s">
        <v>409</v>
      </c>
      <c r="AH44" s="5">
        <v>0.28699999999999998</v>
      </c>
      <c r="AI44" s="175">
        <f t="shared" si="15"/>
        <v>0.14349999999999999</v>
      </c>
      <c r="AW44" s="115" t="s">
        <v>410</v>
      </c>
      <c r="AX44" s="59">
        <v>6.0499999999999998E-2</v>
      </c>
      <c r="BB44" s="187">
        <v>42174</v>
      </c>
      <c r="BC44" s="180">
        <v>0.05</v>
      </c>
      <c r="BD44" s="191">
        <v>42174</v>
      </c>
      <c r="BE44" s="192">
        <v>0.49399999999999999</v>
      </c>
      <c r="BH44" s="94">
        <v>42139</v>
      </c>
      <c r="BI44" s="95">
        <v>0.23799999999999999</v>
      </c>
      <c r="BJ44" s="96">
        <v>8.52</v>
      </c>
    </row>
    <row r="45" spans="1:62" ht="15.75" thickBot="1">
      <c r="A45" s="207"/>
      <c r="B45" s="208" t="s">
        <v>429</v>
      </c>
      <c r="C45" s="209" t="s">
        <v>435</v>
      </c>
      <c r="D45" s="210"/>
      <c r="E45" s="225"/>
      <c r="F45" s="225"/>
      <c r="G45" s="225"/>
      <c r="H45" s="225"/>
      <c r="I45" s="225"/>
      <c r="J45" s="225"/>
      <c r="K45" s="225"/>
      <c r="L45" s="116"/>
      <c r="M45" s="179">
        <v>44225</v>
      </c>
      <c r="N45" s="117"/>
      <c r="O45" s="118"/>
      <c r="P45" s="296" t="s">
        <v>457</v>
      </c>
      <c r="Q45" s="225"/>
      <c r="R45" s="225"/>
      <c r="S45" s="225"/>
      <c r="T45" s="225"/>
      <c r="U45" s="225"/>
      <c r="V45" s="225"/>
      <c r="W45" s="225"/>
      <c r="X45" s="26">
        <v>45047</v>
      </c>
      <c r="Y45" s="7">
        <f t="shared" si="16"/>
        <v>10351.16</v>
      </c>
      <c r="Z45" s="7">
        <f t="shared" si="18"/>
        <v>10027.735997001357</v>
      </c>
      <c r="AA45" s="7">
        <f t="shared" si="17"/>
        <v>323.42400299864232</v>
      </c>
      <c r="AB45" s="7">
        <f t="shared" si="19"/>
        <v>346356.8956416673</v>
      </c>
      <c r="AG45" t="s">
        <v>410</v>
      </c>
      <c r="AH45" s="5">
        <v>6.0499999999999998E-2</v>
      </c>
      <c r="AI45" s="175">
        <f t="shared" si="15"/>
        <v>3.0249999999999999E-2</v>
      </c>
      <c r="AK45" s="60">
        <f>+AVERAGE(AI44:AI45)</f>
        <v>8.6874999999999994E-2</v>
      </c>
      <c r="AW45" s="114" t="s">
        <v>415</v>
      </c>
      <c r="AX45" s="59">
        <v>0.10749999999999998</v>
      </c>
      <c r="BB45" s="187">
        <v>42177</v>
      </c>
      <c r="BC45" s="180">
        <v>4.8000000000000001E-2</v>
      </c>
      <c r="BD45" s="191">
        <v>42177</v>
      </c>
      <c r="BE45" s="192">
        <v>0.502</v>
      </c>
      <c r="BH45" s="94">
        <v>42142</v>
      </c>
      <c r="BI45" s="95">
        <v>0.25600000000000001</v>
      </c>
      <c r="BJ45" s="96">
        <v>8.51</v>
      </c>
    </row>
    <row r="46" spans="1:62" ht="15.75" thickBot="1">
      <c r="A46" s="211"/>
      <c r="B46" s="212" t="s">
        <v>427</v>
      </c>
      <c r="C46" s="212">
        <v>11415</v>
      </c>
      <c r="D46" s="213" t="s">
        <v>428</v>
      </c>
      <c r="E46" s="225"/>
      <c r="F46" s="225"/>
      <c r="G46" s="225"/>
      <c r="H46" s="271" t="s">
        <v>443</v>
      </c>
      <c r="I46" s="272" t="s">
        <v>451</v>
      </c>
      <c r="J46" s="247"/>
      <c r="K46" s="225"/>
      <c r="L46" s="131"/>
      <c r="M46" s="132" t="s">
        <v>43</v>
      </c>
      <c r="N46" s="132"/>
      <c r="O46" s="133"/>
      <c r="P46" s="296" t="s">
        <v>458</v>
      </c>
      <c r="Q46" s="225"/>
      <c r="R46" s="225"/>
      <c r="S46" s="225"/>
      <c r="T46" s="225"/>
      <c r="U46" s="225"/>
      <c r="V46" s="225"/>
      <c r="W46" s="225"/>
      <c r="X46" s="26">
        <v>45231</v>
      </c>
      <c r="Y46" s="7">
        <f t="shared" si="16"/>
        <v>10351.16</v>
      </c>
      <c r="Z46" s="7">
        <f t="shared" si="18"/>
        <v>10031.626521720804</v>
      </c>
      <c r="AA46" s="7">
        <f t="shared" si="17"/>
        <v>319.53347827919595</v>
      </c>
      <c r="AB46" s="7">
        <f t="shared" si="19"/>
        <v>336325.26911994652</v>
      </c>
      <c r="AG46" s="174" t="s">
        <v>415</v>
      </c>
      <c r="AH46" s="5"/>
      <c r="AI46" s="60"/>
      <c r="AW46" s="115" t="s">
        <v>409</v>
      </c>
      <c r="AX46" s="59">
        <v>0.22149999999999997</v>
      </c>
      <c r="BB46" s="187">
        <v>42178</v>
      </c>
      <c r="BC46" s="180">
        <v>4.8000000000000001E-2</v>
      </c>
      <c r="BD46" s="191">
        <v>42178</v>
      </c>
      <c r="BE46" s="192">
        <v>0.51200000000000001</v>
      </c>
      <c r="BH46" s="94">
        <v>42143</v>
      </c>
      <c r="BI46" s="95">
        <v>0.27200000000000002</v>
      </c>
      <c r="BJ46" s="96">
        <v>8.51</v>
      </c>
    </row>
    <row r="47" spans="1:62" ht="15">
      <c r="A47" s="211"/>
      <c r="B47" s="214" t="s">
        <v>432</v>
      </c>
      <c r="C47" s="214"/>
      <c r="D47" s="215"/>
      <c r="E47" s="225"/>
      <c r="F47" s="225"/>
      <c r="G47" s="225"/>
      <c r="H47" s="203">
        <v>592.36</v>
      </c>
      <c r="I47" s="248">
        <v>98.63</v>
      </c>
      <c r="J47" s="270" t="s">
        <v>438</v>
      </c>
      <c r="K47" s="225"/>
      <c r="L47" s="119"/>
      <c r="M47" s="122" t="s">
        <v>44</v>
      </c>
      <c r="N47" s="123">
        <v>344868.47</v>
      </c>
      <c r="O47" s="121"/>
      <c r="P47" s="296" t="s">
        <v>459</v>
      </c>
      <c r="Q47" s="225"/>
      <c r="R47" s="225"/>
      <c r="S47" s="225"/>
      <c r="T47" s="225"/>
      <c r="U47" s="225"/>
      <c r="V47" s="225"/>
      <c r="W47" s="225"/>
      <c r="X47" s="26">
        <v>45413</v>
      </c>
      <c r="Y47" s="7">
        <f t="shared" si="16"/>
        <v>10351.16</v>
      </c>
      <c r="Z47" s="7">
        <f t="shared" si="18"/>
        <v>10044.253849559462</v>
      </c>
      <c r="AA47" s="7">
        <f t="shared" si="17"/>
        <v>306.90615044053789</v>
      </c>
      <c r="AB47" s="7">
        <f t="shared" si="19"/>
        <v>326281.01527038706</v>
      </c>
      <c r="AG47" t="s">
        <v>409</v>
      </c>
      <c r="AH47" s="5">
        <v>0.22149999999999997</v>
      </c>
      <c r="AI47" s="175">
        <f t="shared" si="15"/>
        <v>0.11074999999999999</v>
      </c>
      <c r="AW47" s="115" t="s">
        <v>410</v>
      </c>
      <c r="AX47" s="59">
        <v>-0.11399999999999999</v>
      </c>
      <c r="BB47" s="187">
        <v>42179</v>
      </c>
      <c r="BC47" s="180">
        <v>4.9000000000000002E-2</v>
      </c>
      <c r="BD47" s="191">
        <v>42179</v>
      </c>
      <c r="BE47" s="192">
        <v>0.53700000000000003</v>
      </c>
      <c r="BH47" s="94">
        <v>42144</v>
      </c>
      <c r="BI47" s="95">
        <v>0.28699999999999998</v>
      </c>
      <c r="BJ47" s="96">
        <v>8.51</v>
      </c>
    </row>
    <row r="48" spans="1:62" ht="15">
      <c r="A48" s="216" t="s">
        <v>431</v>
      </c>
      <c r="B48" s="217">
        <v>3750</v>
      </c>
      <c r="C48" s="218">
        <f>+B48/C46</f>
        <v>0.32851511169513797</v>
      </c>
      <c r="D48" s="215" t="s">
        <v>433</v>
      </c>
      <c r="E48" s="225"/>
      <c r="F48" s="225"/>
      <c r="G48" s="225"/>
      <c r="H48" s="203">
        <v>766</v>
      </c>
      <c r="I48" s="64">
        <v>129</v>
      </c>
      <c r="J48" s="270" t="s">
        <v>439</v>
      </c>
      <c r="K48" s="225"/>
      <c r="L48" s="119"/>
      <c r="M48" s="122" t="s">
        <v>45</v>
      </c>
      <c r="N48" s="123">
        <v>36480</v>
      </c>
      <c r="O48" s="121"/>
      <c r="P48" s="296" t="s">
        <v>460</v>
      </c>
      <c r="Q48" s="225"/>
      <c r="R48" s="225"/>
      <c r="S48" s="225"/>
      <c r="T48" s="225"/>
      <c r="U48" s="225"/>
      <c r="V48" s="225"/>
      <c r="W48" s="225"/>
      <c r="X48" s="26">
        <v>45597</v>
      </c>
      <c r="Y48" s="7">
        <f t="shared" si="16"/>
        <v>10351.16</v>
      </c>
      <c r="Z48" s="7">
        <f t="shared" si="18"/>
        <v>10050.147636689997</v>
      </c>
      <c r="AA48" s="7">
        <f t="shared" si="17"/>
        <v>301.01236331000263</v>
      </c>
      <c r="AB48" s="7">
        <f t="shared" si="19"/>
        <v>316230.86763369705</v>
      </c>
      <c r="AG48" t="s">
        <v>410</v>
      </c>
      <c r="AH48" s="194">
        <v>-0.11399999999999999</v>
      </c>
      <c r="AI48" s="178">
        <f t="shared" si="15"/>
        <v>-5.6999999999999995E-2</v>
      </c>
      <c r="AK48" s="60">
        <f>+AVERAGE(AI47:AI48)</f>
        <v>2.6874999999999996E-2</v>
      </c>
      <c r="AW48" s="114" t="s">
        <v>416</v>
      </c>
      <c r="AX48" s="59">
        <v>4.0999999999999981E-2</v>
      </c>
      <c r="BB48" s="187">
        <v>42180</v>
      </c>
      <c r="BC48" s="180">
        <v>4.9000000000000002E-2</v>
      </c>
      <c r="BD48" s="191">
        <v>42180</v>
      </c>
      <c r="BE48" s="192">
        <v>0.54800000000000004</v>
      </c>
      <c r="BH48" s="94">
        <v>42145</v>
      </c>
      <c r="BI48" s="95">
        <v>0.30499999999999999</v>
      </c>
      <c r="BJ48" s="96">
        <v>8.51</v>
      </c>
    </row>
    <row r="49" spans="1:62" ht="15.75" thickBot="1">
      <c r="A49" s="216" t="s">
        <v>430</v>
      </c>
      <c r="B49" s="217">
        <v>29140</v>
      </c>
      <c r="C49" s="218">
        <f>+B49/C46</f>
        <v>2.5527814279456855</v>
      </c>
      <c r="D49" s="215" t="s">
        <v>433</v>
      </c>
      <c r="E49" s="225"/>
      <c r="F49" s="225"/>
      <c r="G49" s="225"/>
      <c r="H49" s="203">
        <v>470.19</v>
      </c>
      <c r="I49" s="64">
        <v>73.69</v>
      </c>
      <c r="J49" s="270" t="s">
        <v>440</v>
      </c>
      <c r="K49" s="225"/>
      <c r="L49" s="169"/>
      <c r="M49" s="170" t="s">
        <v>46</v>
      </c>
      <c r="N49" s="171">
        <v>82579</v>
      </c>
      <c r="O49" s="121"/>
      <c r="P49" s="296" t="s">
        <v>461</v>
      </c>
      <c r="Q49" s="225"/>
      <c r="R49" s="225"/>
      <c r="S49" s="225"/>
      <c r="T49" s="225"/>
      <c r="U49" s="225"/>
      <c r="V49" s="225"/>
      <c r="W49" s="225"/>
      <c r="X49" s="41">
        <v>45778</v>
      </c>
      <c r="Y49" s="42">
        <f t="shared" si="16"/>
        <v>10351.16</v>
      </c>
      <c r="Z49" s="42">
        <f t="shared" si="18"/>
        <v>10064.176095527037</v>
      </c>
      <c r="AA49" s="42">
        <f t="shared" si="17"/>
        <v>286.98390447296384</v>
      </c>
      <c r="AB49" s="42">
        <f t="shared" si="19"/>
        <v>306166.69153817004</v>
      </c>
      <c r="AG49" s="174" t="s">
        <v>416</v>
      </c>
      <c r="AH49" s="5"/>
      <c r="AI49" s="60"/>
      <c r="AW49" s="115" t="s">
        <v>409</v>
      </c>
      <c r="AX49" s="59">
        <v>2.5000000000000022E-3</v>
      </c>
      <c r="BB49" s="187">
        <v>42181</v>
      </c>
      <c r="BC49" s="180">
        <v>0.05</v>
      </c>
      <c r="BD49" s="191">
        <v>42181</v>
      </c>
      <c r="BE49" s="192">
        <v>0.56000000000000005</v>
      </c>
      <c r="BH49" s="94">
        <v>42146</v>
      </c>
      <c r="BI49" s="95">
        <v>0.31900000000000001</v>
      </c>
      <c r="BJ49" s="96">
        <v>8.5</v>
      </c>
    </row>
    <row r="50" spans="1:62" ht="15.75" thickBot="1">
      <c r="A50" s="216" t="s">
        <v>426</v>
      </c>
      <c r="B50" s="214"/>
      <c r="C50" s="219">
        <f>+-(C49-D50)</f>
        <v>-1.2777814279456856</v>
      </c>
      <c r="D50" s="220">
        <v>1.2749999999999999</v>
      </c>
      <c r="E50" s="225"/>
      <c r="F50" s="225"/>
      <c r="G50" s="225"/>
      <c r="H50" s="203">
        <v>37.44</v>
      </c>
      <c r="I50" s="248">
        <v>6.24</v>
      </c>
      <c r="J50" s="270" t="s">
        <v>441</v>
      </c>
      <c r="K50" s="273">
        <f>+L53</f>
        <v>0.94713656387665224</v>
      </c>
      <c r="L50" s="119"/>
      <c r="M50" s="163">
        <f>+N50-AB33</f>
        <v>-2124.5400000000373</v>
      </c>
      <c r="N50" s="168">
        <f>SUM(N47:N49)</f>
        <v>463927.47</v>
      </c>
      <c r="O50" s="121"/>
      <c r="P50" s="297" t="s">
        <v>462</v>
      </c>
      <c r="Q50" s="225"/>
      <c r="R50" s="225"/>
      <c r="S50" s="225"/>
      <c r="T50" s="225"/>
      <c r="U50" s="225"/>
      <c r="V50" s="225"/>
      <c r="W50" s="225"/>
      <c r="X50" s="26">
        <v>45962</v>
      </c>
      <c r="Y50" s="7">
        <f t="shared" si="16"/>
        <v>10351.16</v>
      </c>
      <c r="Z50" s="7">
        <f t="shared" si="18"/>
        <v>10068.704217795397</v>
      </c>
      <c r="AA50" s="7">
        <f t="shared" si="17"/>
        <v>282.45578220460288</v>
      </c>
      <c r="AB50" s="7">
        <f t="shared" si="19"/>
        <v>296097.98732037464</v>
      </c>
      <c r="AG50" t="s">
        <v>409</v>
      </c>
      <c r="AH50" s="5">
        <v>2.5000000000000022E-3</v>
      </c>
      <c r="AI50" s="175">
        <f t="shared" si="15"/>
        <v>1.2500000000000011E-3</v>
      </c>
      <c r="AW50" s="115" t="s">
        <v>410</v>
      </c>
      <c r="AX50" s="59">
        <v>3.8499999999999979E-2</v>
      </c>
      <c r="BB50" s="187">
        <v>42184</v>
      </c>
      <c r="BC50" s="180">
        <v>0.05</v>
      </c>
      <c r="BD50" s="191">
        <v>42184</v>
      </c>
      <c r="BE50" s="192">
        <v>0.57199999999999995</v>
      </c>
      <c r="BH50" s="94">
        <v>42150</v>
      </c>
      <c r="BI50" s="95">
        <v>0.33200000000000002</v>
      </c>
      <c r="BJ50" s="96">
        <v>8.49</v>
      </c>
    </row>
    <row r="51" spans="1:62" ht="16.5" thickBot="1">
      <c r="A51" s="221"/>
      <c r="B51" s="222" t="s">
        <v>425</v>
      </c>
      <c r="C51" s="223">
        <f>SUM(C48:C50)</f>
        <v>1.6035151116951378</v>
      </c>
      <c r="D51" s="224" t="s">
        <v>433</v>
      </c>
      <c r="E51" s="225"/>
      <c r="F51" s="287" t="s">
        <v>445</v>
      </c>
      <c r="G51" s="251"/>
      <c r="H51" s="246">
        <v>138.38</v>
      </c>
      <c r="I51" s="249">
        <v>23.27</v>
      </c>
      <c r="J51" s="270" t="s">
        <v>442</v>
      </c>
      <c r="K51" s="273">
        <f>+L53</f>
        <v>0.94713656387665224</v>
      </c>
      <c r="L51" s="119"/>
      <c r="M51" s="120"/>
      <c r="N51" s="120"/>
      <c r="O51" s="121"/>
      <c r="P51" s="296" t="s">
        <v>463</v>
      </c>
      <c r="Q51" s="225"/>
      <c r="R51" s="225"/>
      <c r="S51" s="225"/>
      <c r="T51" s="225"/>
      <c r="U51" s="225"/>
      <c r="V51" s="225"/>
      <c r="W51" s="225"/>
      <c r="X51" s="26">
        <v>46143</v>
      </c>
      <c r="Y51" s="7">
        <f t="shared" si="16"/>
        <v>10351.16</v>
      </c>
      <c r="Z51" s="7">
        <f t="shared" si="18"/>
        <v>10082.446964034714</v>
      </c>
      <c r="AA51" s="7">
        <f t="shared" si="17"/>
        <v>268.71303596528611</v>
      </c>
      <c r="AB51" s="7">
        <f t="shared" si="19"/>
        <v>286015.54035633994</v>
      </c>
      <c r="AG51" t="s">
        <v>410</v>
      </c>
      <c r="AH51" s="5">
        <v>3.8499999999999979E-2</v>
      </c>
      <c r="AI51" s="175">
        <f t="shared" si="15"/>
        <v>1.9249999999999989E-2</v>
      </c>
      <c r="AK51" s="60">
        <f>+AVERAGE(AI50:AI51)</f>
        <v>1.0249999999999995E-2</v>
      </c>
      <c r="AW51" s="114" t="s">
        <v>417</v>
      </c>
      <c r="AX51" s="59">
        <v>3.4560000000000004</v>
      </c>
      <c r="BB51" s="187">
        <v>42185</v>
      </c>
      <c r="BC51" s="180">
        <v>0.05</v>
      </c>
      <c r="BD51" s="191">
        <v>42185</v>
      </c>
      <c r="BE51" s="192">
        <v>0.58299999999999996</v>
      </c>
      <c r="BH51" s="94">
        <v>42151</v>
      </c>
      <c r="BI51" s="95">
        <v>0.34399999999999997</v>
      </c>
      <c r="BJ51" s="96">
        <v>8.49</v>
      </c>
    </row>
    <row r="52" spans="1:62" ht="21" thickBot="1">
      <c r="A52" s="229" t="s">
        <v>28</v>
      </c>
      <c r="B52" s="225"/>
      <c r="C52" s="225"/>
      <c r="D52" s="225"/>
      <c r="E52" s="225"/>
      <c r="F52" s="279">
        <v>766</v>
      </c>
      <c r="G52" s="280" t="s">
        <v>452</v>
      </c>
      <c r="H52" s="203">
        <f>SUM(H47:H51)</f>
        <v>2004.3700000000003</v>
      </c>
      <c r="I52" s="64">
        <f>SUM(I47:I51)</f>
        <v>330.83</v>
      </c>
      <c r="J52" s="204"/>
      <c r="K52" s="225"/>
      <c r="L52" s="124"/>
      <c r="M52" s="161" t="s">
        <v>420</v>
      </c>
      <c r="N52" s="162">
        <v>5776.89</v>
      </c>
      <c r="O52" s="125"/>
      <c r="P52" s="296" t="s">
        <v>464</v>
      </c>
      <c r="Q52" s="225"/>
      <c r="R52" s="225"/>
      <c r="S52" s="225"/>
      <c r="T52" s="225"/>
      <c r="U52" s="225"/>
      <c r="V52" s="225"/>
      <c r="W52" s="225"/>
      <c r="X52" s="26">
        <v>46327</v>
      </c>
      <c r="Y52" s="7">
        <f t="shared" si="16"/>
        <v>10351.16</v>
      </c>
      <c r="Z52" s="7">
        <f t="shared" si="18"/>
        <v>10087.294774269034</v>
      </c>
      <c r="AA52" s="7">
        <f t="shared" si="17"/>
        <v>263.86522573096568</v>
      </c>
      <c r="AB52" s="7">
        <f t="shared" ref="AB52:AB67" si="20">+AB51-Z52</f>
        <v>275928.2455820709</v>
      </c>
      <c r="AG52" s="174" t="s">
        <v>417</v>
      </c>
      <c r="AH52" s="5"/>
      <c r="AI52" s="60"/>
      <c r="AW52" s="115" t="s">
        <v>409</v>
      </c>
      <c r="AX52" s="59">
        <v>0.70650000000000002</v>
      </c>
      <c r="BB52" s="187">
        <v>42186</v>
      </c>
      <c r="BC52" s="180">
        <v>4.9000000000000002E-2</v>
      </c>
      <c r="BD52" s="191">
        <v>42186</v>
      </c>
      <c r="BE52" s="192">
        <v>0.59</v>
      </c>
      <c r="BH52" s="94">
        <v>42152</v>
      </c>
      <c r="BI52" s="95">
        <v>0.35599999999999998</v>
      </c>
      <c r="BJ52" s="96">
        <v>8.49</v>
      </c>
    </row>
    <row r="53" spans="1:62" ht="21" thickBot="1">
      <c r="B53" s="225"/>
      <c r="C53" s="225"/>
      <c r="D53" s="225"/>
      <c r="E53" s="225"/>
      <c r="F53" s="281">
        <v>126.58</v>
      </c>
      <c r="G53" s="282" t="s">
        <v>444</v>
      </c>
      <c r="H53" s="244"/>
      <c r="I53" s="64"/>
      <c r="J53" s="204">
        <f>+I51/2</f>
        <v>11.635</v>
      </c>
      <c r="K53" s="225">
        <f>+I47+I50+I51</f>
        <v>128.13999999999999</v>
      </c>
      <c r="L53" s="274">
        <v>0.94713656387665224</v>
      </c>
      <c r="M53" s="225"/>
      <c r="N53" s="225"/>
      <c r="O53" s="225"/>
      <c r="P53" s="225"/>
      <c r="Q53" s="225"/>
      <c r="R53" s="225"/>
      <c r="S53" s="225"/>
      <c r="T53" s="225"/>
      <c r="U53" s="225"/>
      <c r="V53" s="225"/>
      <c r="W53" s="225"/>
      <c r="X53" s="26">
        <v>46508</v>
      </c>
      <c r="Y53" s="7">
        <f t="shared" si="16"/>
        <v>10351.16</v>
      </c>
      <c r="Z53" s="7">
        <f t="shared" si="18"/>
        <v>10100.751284797527</v>
      </c>
      <c r="AA53" s="7">
        <f t="shared" si="17"/>
        <v>250.40871520247356</v>
      </c>
      <c r="AB53" s="7">
        <f t="shared" si="20"/>
        <v>265827.4942972734</v>
      </c>
      <c r="AG53" t="s">
        <v>409</v>
      </c>
      <c r="AH53" s="5">
        <v>0.70650000000000002</v>
      </c>
      <c r="AI53" s="175">
        <f t="shared" si="15"/>
        <v>0.35325000000000001</v>
      </c>
      <c r="AW53" s="115" t="s">
        <v>410</v>
      </c>
      <c r="AX53" s="59">
        <v>2.7495000000000003</v>
      </c>
      <c r="BB53" s="187">
        <v>42187</v>
      </c>
      <c r="BC53" s="180">
        <v>4.8000000000000001E-2</v>
      </c>
      <c r="BD53" s="191">
        <v>42187</v>
      </c>
      <c r="BE53" s="192">
        <v>0.59599999999999997</v>
      </c>
      <c r="BH53" s="94">
        <v>42153</v>
      </c>
      <c r="BI53" s="95">
        <v>0.36699999999999999</v>
      </c>
      <c r="BJ53" s="96">
        <v>8.48</v>
      </c>
    </row>
    <row r="54" spans="1:62" ht="21" thickBot="1">
      <c r="B54" s="225"/>
      <c r="C54" s="225"/>
      <c r="D54" s="225"/>
      <c r="E54" s="225"/>
      <c r="F54" s="277">
        <f>+F53/F52</f>
        <v>0.16524804177545691</v>
      </c>
      <c r="G54" s="278" t="s">
        <v>454</v>
      </c>
      <c r="H54" s="245"/>
      <c r="I54" s="250">
        <f>+I47+I50*K50+I51*K51</f>
        <v>126.58000000000001</v>
      </c>
      <c r="J54" s="206"/>
      <c r="K54" s="225"/>
      <c r="L54" s="225">
        <f>+K54-F53</f>
        <v>-126.58</v>
      </c>
      <c r="M54" s="225"/>
      <c r="N54" s="225"/>
      <c r="O54" s="225"/>
      <c r="P54" s="225"/>
      <c r="Q54" s="225"/>
      <c r="R54" s="225"/>
      <c r="S54" s="225"/>
      <c r="T54" s="225"/>
      <c r="U54" s="225"/>
      <c r="V54" s="225"/>
      <c r="W54" s="225"/>
      <c r="X54" s="26">
        <v>46692</v>
      </c>
      <c r="Y54" s="7">
        <f t="shared" si="16"/>
        <v>10351.16</v>
      </c>
      <c r="Z54" s="7">
        <f t="shared" si="18"/>
        <v>10105.919368316638</v>
      </c>
      <c r="AA54" s="7">
        <f t="shared" si="17"/>
        <v>245.24063168336232</v>
      </c>
      <c r="AB54" s="7">
        <f t="shared" si="20"/>
        <v>255721.57492895675</v>
      </c>
      <c r="AG54" t="s">
        <v>410</v>
      </c>
      <c r="AH54" s="5">
        <v>2.7495000000000003</v>
      </c>
      <c r="AI54" s="175">
        <f t="shared" si="15"/>
        <v>1.3747500000000001</v>
      </c>
      <c r="AK54" s="60">
        <f>+AVERAGE(AI53:AI54)</f>
        <v>0.8640000000000001</v>
      </c>
      <c r="AL54" s="7">
        <f>+AH54/AH33-1</f>
        <v>3.8663716814159299</v>
      </c>
      <c r="AW54" s="114" t="s">
        <v>407</v>
      </c>
      <c r="AX54" s="59">
        <v>7.043499999999999</v>
      </c>
      <c r="BB54" s="187">
        <v>42188</v>
      </c>
      <c r="BC54" s="180">
        <v>4.9000000000000002E-2</v>
      </c>
      <c r="BD54" s="191">
        <v>42188</v>
      </c>
      <c r="BE54" s="192">
        <v>0.59799999999999998</v>
      </c>
      <c r="BH54" s="94">
        <v>42156</v>
      </c>
      <c r="BI54" s="95">
        <v>0.374</v>
      </c>
      <c r="BJ54" s="96">
        <v>8.48</v>
      </c>
    </row>
    <row r="55" spans="1:62" ht="15">
      <c r="A55" s="276">
        <v>2701941</v>
      </c>
      <c r="B55" s="265"/>
      <c r="C55" s="225"/>
      <c r="D55" s="225"/>
      <c r="E55" s="225"/>
      <c r="F55" s="225">
        <v>1</v>
      </c>
      <c r="G55" s="225"/>
      <c r="H55" s="225"/>
      <c r="I55" s="225"/>
      <c r="J55" s="225"/>
      <c r="K55" s="225"/>
      <c r="L55" s="225"/>
      <c r="M55" s="225"/>
      <c r="N55" s="225"/>
      <c r="O55" s="225"/>
      <c r="P55" s="225"/>
      <c r="Q55" s="225"/>
      <c r="R55" s="225"/>
      <c r="S55" s="225"/>
      <c r="T55" s="225"/>
      <c r="U55" s="225"/>
      <c r="V55" s="225"/>
      <c r="W55" s="225"/>
      <c r="X55" s="26">
        <v>46874</v>
      </c>
      <c r="Y55" s="7">
        <f t="shared" si="16"/>
        <v>10351.16</v>
      </c>
      <c r="Z55" s="7">
        <f t="shared" si="18"/>
        <v>10117.806959500245</v>
      </c>
      <c r="AA55" s="7">
        <f t="shared" si="17"/>
        <v>233.35304049975437</v>
      </c>
      <c r="AB55" s="7">
        <f t="shared" si="20"/>
        <v>245603.7679694565</v>
      </c>
      <c r="AI55" s="60"/>
      <c r="BB55" s="187">
        <v>42191</v>
      </c>
      <c r="BC55" s="180">
        <v>4.9000000000000002E-2</v>
      </c>
      <c r="BD55" s="191">
        <v>42191</v>
      </c>
      <c r="BE55" s="192">
        <v>0.59799999999999998</v>
      </c>
      <c r="BH55" s="94">
        <v>42157</v>
      </c>
      <c r="BI55" s="95">
        <v>0.38200000000000001</v>
      </c>
      <c r="BJ55" s="96">
        <v>8.4700000000000006</v>
      </c>
    </row>
    <row r="56" spans="1:62" ht="15.75" thickBot="1">
      <c r="A56" s="266">
        <f>+E57+N57+T57</f>
        <v>2217879</v>
      </c>
      <c r="B56" s="265">
        <f>+A55-A56</f>
        <v>484062</v>
      </c>
      <c r="C56" s="275" t="s">
        <v>453</v>
      </c>
      <c r="D56" s="225"/>
      <c r="E56" s="225"/>
      <c r="F56" s="276">
        <v>1427336.39</v>
      </c>
      <c r="G56" s="276">
        <f>+F56*F54</f>
        <v>235864.54340234984</v>
      </c>
      <c r="H56" s="225"/>
      <c r="I56" s="225"/>
      <c r="J56" s="225"/>
      <c r="K56" s="227"/>
      <c r="L56" s="225"/>
      <c r="M56" s="225"/>
      <c r="N56" s="225"/>
      <c r="O56" s="225"/>
      <c r="P56" s="225"/>
      <c r="Q56" s="225"/>
      <c r="R56" s="225"/>
      <c r="S56" s="225"/>
      <c r="T56" s="225"/>
      <c r="U56" s="225"/>
      <c r="V56" s="225"/>
      <c r="W56" s="225"/>
      <c r="X56" s="26">
        <v>47058</v>
      </c>
      <c r="Y56" s="7">
        <f t="shared" si="16"/>
        <v>10351.16</v>
      </c>
      <c r="Z56" s="7">
        <f t="shared" si="18"/>
        <v>10124.576879394401</v>
      </c>
      <c r="AA56" s="7">
        <f t="shared" si="17"/>
        <v>226.5831206055997</v>
      </c>
      <c r="AB56" s="7">
        <f t="shared" si="20"/>
        <v>235479.19109006209</v>
      </c>
      <c r="BB56" s="187">
        <v>42192</v>
      </c>
      <c r="BC56" s="180">
        <v>4.9000000000000002E-2</v>
      </c>
      <c r="BD56" s="191">
        <v>42192</v>
      </c>
      <c r="BE56" s="192">
        <v>0.59499999999999997</v>
      </c>
      <c r="BH56" s="94">
        <v>42158</v>
      </c>
      <c r="BI56" s="95">
        <v>0.39300000000000002</v>
      </c>
      <c r="BJ56" s="96">
        <v>8.4700000000000006</v>
      </c>
    </row>
    <row r="57" spans="1:62" ht="18.75" thickBot="1">
      <c r="A57" s="285">
        <f>+N60+E60+T60</f>
        <v>366500.16164490854</v>
      </c>
      <c r="B57" s="286">
        <f>+B56*F54</f>
        <v>79990.297597911223</v>
      </c>
      <c r="C57" s="283" t="s">
        <v>455</v>
      </c>
      <c r="D57" s="225"/>
      <c r="E57" s="266">
        <v>1488279</v>
      </c>
      <c r="F57" s="225"/>
      <c r="G57" s="295">
        <v>44910</v>
      </c>
      <c r="H57" s="225"/>
      <c r="I57" s="225"/>
      <c r="J57" s="225"/>
      <c r="K57" s="225"/>
      <c r="L57" s="227"/>
      <c r="M57" s="225"/>
      <c r="N57" s="266">
        <v>510720</v>
      </c>
      <c r="O57" s="225"/>
      <c r="P57" s="225"/>
      <c r="Q57" s="225"/>
      <c r="R57" s="225"/>
      <c r="S57" s="225"/>
      <c r="T57" s="266">
        <v>218880</v>
      </c>
      <c r="U57" s="225"/>
      <c r="V57" s="225"/>
      <c r="W57" s="225"/>
      <c r="X57" s="26">
        <v>47239</v>
      </c>
      <c r="Y57" s="7">
        <f t="shared" si="16"/>
        <v>10351.16</v>
      </c>
      <c r="Z57" s="7">
        <f t="shared" si="18"/>
        <v>10137.459363541448</v>
      </c>
      <c r="AA57" s="7">
        <f t="shared" si="17"/>
        <v>213.700636458552</v>
      </c>
      <c r="AB57" s="7">
        <f t="shared" si="20"/>
        <v>225341.73172652064</v>
      </c>
      <c r="BB57" s="187">
        <v>42193</v>
      </c>
      <c r="BC57" s="180">
        <v>4.9000000000000002E-2</v>
      </c>
      <c r="BD57" s="191">
        <v>42193</v>
      </c>
      <c r="BE57" s="192">
        <v>0.58699999999999997</v>
      </c>
      <c r="BH57" s="94">
        <v>42160</v>
      </c>
      <c r="BI57" s="95">
        <v>0.40600000000000003</v>
      </c>
      <c r="BJ57" s="96">
        <v>8.4700000000000006</v>
      </c>
    </row>
    <row r="58" spans="1:62" ht="18.75" thickBot="1">
      <c r="A58" s="238">
        <f>+EDATE(A60,12*35)</f>
        <v>54909</v>
      </c>
      <c r="B58" s="284" t="s">
        <v>437</v>
      </c>
      <c r="C58" s="225"/>
      <c r="D58" s="225"/>
      <c r="E58" s="225"/>
      <c r="F58" s="225"/>
      <c r="G58" s="291" t="s">
        <v>456</v>
      </c>
      <c r="H58" s="225"/>
      <c r="I58" s="225"/>
      <c r="J58" s="225"/>
      <c r="K58" s="252">
        <f>+EDATE(A60,12*25)</f>
        <v>51257</v>
      </c>
      <c r="L58" s="284" t="s">
        <v>450</v>
      </c>
      <c r="M58" s="225"/>
      <c r="N58" s="225"/>
      <c r="O58" s="225"/>
      <c r="P58" s="225"/>
      <c r="Q58" s="252">
        <f>+EDATE(G60,12*34)</f>
        <v>12419</v>
      </c>
      <c r="R58" s="284" t="s">
        <v>449</v>
      </c>
      <c r="S58" s="225"/>
      <c r="T58" s="225"/>
      <c r="X58" s="26">
        <v>47423</v>
      </c>
      <c r="Y58" s="7">
        <f t="shared" si="16"/>
        <v>10351.16</v>
      </c>
      <c r="Z58" s="7">
        <f t="shared" si="18"/>
        <v>10143.269733497189</v>
      </c>
      <c r="AA58" s="7">
        <f t="shared" si="17"/>
        <v>207.89026650281122</v>
      </c>
      <c r="AB58" s="7">
        <f t="shared" si="20"/>
        <v>215198.46199302346</v>
      </c>
      <c r="BB58" s="187">
        <v>42194</v>
      </c>
      <c r="BC58" s="180">
        <v>4.9000000000000002E-2</v>
      </c>
      <c r="BD58" s="191">
        <v>42194</v>
      </c>
      <c r="BE58" s="192">
        <v>0.58399999999999996</v>
      </c>
      <c r="BH58" s="94">
        <v>42163</v>
      </c>
      <c r="BI58" s="95">
        <v>0.41499999999999998</v>
      </c>
      <c r="BJ58" s="96">
        <v>8.4600000000000009</v>
      </c>
    </row>
    <row r="59" spans="1:62" ht="15.75" thickBot="1">
      <c r="A59" s="52" t="s">
        <v>30</v>
      </c>
      <c r="B59" s="255" t="s">
        <v>31</v>
      </c>
      <c r="C59" s="52" t="s">
        <v>27</v>
      </c>
      <c r="D59" s="52" t="s">
        <v>26</v>
      </c>
      <c r="E59" s="231" t="s">
        <v>32</v>
      </c>
      <c r="F59" s="232" t="s">
        <v>436</v>
      </c>
      <c r="G59" s="269" t="s">
        <v>448</v>
      </c>
      <c r="H59" s="267" t="s">
        <v>402</v>
      </c>
      <c r="I59" s="225"/>
      <c r="J59" s="225"/>
      <c r="K59" s="255" t="s">
        <v>31</v>
      </c>
      <c r="L59" s="52" t="s">
        <v>27</v>
      </c>
      <c r="M59" s="52" t="s">
        <v>26</v>
      </c>
      <c r="N59" s="231" t="s">
        <v>32</v>
      </c>
      <c r="O59" s="233" t="s">
        <v>436</v>
      </c>
      <c r="P59" s="253" t="s">
        <v>444</v>
      </c>
      <c r="Q59" s="255" t="s">
        <v>31</v>
      </c>
      <c r="R59" s="52" t="s">
        <v>27</v>
      </c>
      <c r="S59" s="52" t="s">
        <v>26</v>
      </c>
      <c r="T59" s="231" t="s">
        <v>32</v>
      </c>
      <c r="X59" s="26">
        <v>47604</v>
      </c>
      <c r="Y59" s="7">
        <f t="shared" si="16"/>
        <v>10351.16</v>
      </c>
      <c r="Z59" s="7">
        <f t="shared" si="18"/>
        <v>10155.864406873803</v>
      </c>
      <c r="AA59" s="7">
        <f t="shared" si="17"/>
        <v>195.29559312619648</v>
      </c>
      <c r="AB59" s="7">
        <f t="shared" si="20"/>
        <v>205042.59758614967</v>
      </c>
      <c r="BB59" s="187">
        <v>42195</v>
      </c>
      <c r="BC59" s="180">
        <v>4.9000000000000002E-2</v>
      </c>
      <c r="BD59" s="191">
        <v>42195</v>
      </c>
      <c r="BE59" s="192">
        <v>0.58299999999999996</v>
      </c>
      <c r="BH59" s="94">
        <v>42164</v>
      </c>
      <c r="BI59" s="95">
        <v>0.42399999999999999</v>
      </c>
      <c r="BJ59" s="96">
        <v>8.4499999999999993</v>
      </c>
    </row>
    <row r="60" spans="1:62" ht="15.75" thickBot="1">
      <c r="A60" s="234">
        <v>42125</v>
      </c>
      <c r="E60" s="256">
        <f>+E57*$F$54</f>
        <v>245935.19036553524</v>
      </c>
      <c r="F60" s="254">
        <f ca="1">+VLOOKUP(A60,$BB$8:$BF$1048576,5,FALSE)/100</f>
        <v>4.62E-3</v>
      </c>
      <c r="I60" s="258" t="s">
        <v>447</v>
      </c>
      <c r="J60" s="259" t="s">
        <v>446</v>
      </c>
      <c r="K60" s="63"/>
      <c r="N60" s="256">
        <f>+N57*$F$54</f>
        <v>84395.479895561351</v>
      </c>
      <c r="P60" s="63"/>
      <c r="T60" s="256">
        <f>+T57*$F$54</f>
        <v>36169.491383812005</v>
      </c>
      <c r="X60" s="26">
        <v>47788</v>
      </c>
      <c r="Y60" s="7">
        <f t="shared" si="16"/>
        <v>10351.16</v>
      </c>
      <c r="Z60" s="7">
        <f t="shared" si="18"/>
        <v>10161.996812471356</v>
      </c>
      <c r="AA60" s="7">
        <f t="shared" si="17"/>
        <v>189.16318752864456</v>
      </c>
      <c r="AB60" s="7">
        <f t="shared" si="20"/>
        <v>194880.60077367831</v>
      </c>
      <c r="BB60" s="187">
        <v>42198</v>
      </c>
      <c r="BC60" s="180">
        <v>4.9000000000000002E-2</v>
      </c>
      <c r="BD60" s="191">
        <v>42198</v>
      </c>
      <c r="BE60" s="192">
        <v>0.58499999999999996</v>
      </c>
      <c r="BH60" s="94">
        <v>42165</v>
      </c>
      <c r="BI60" s="95">
        <v>0.437</v>
      </c>
      <c r="BJ60" s="96">
        <v>8.4499999999999993</v>
      </c>
    </row>
    <row r="61" spans="1:62" ht="15.75" thickBot="1">
      <c r="A61" s="241">
        <f>+EDATE(A60,6)+1</f>
        <v>42310</v>
      </c>
      <c r="B61" s="242">
        <f>+I61*6</f>
        <v>4324.08</v>
      </c>
      <c r="C61" s="7">
        <f ca="1">+B61-D61</f>
        <v>3740.188868873825</v>
      </c>
      <c r="D61" s="7">
        <f ca="1">+E60*F60*(A61-A60)/360</f>
        <v>583.89113112617486</v>
      </c>
      <c r="E61" s="7">
        <f ca="1">+E60-C61</f>
        <v>242195.00149666143</v>
      </c>
      <c r="F61" s="254">
        <f t="shared" ref="F61:F75" ca="1" si="21">+VLOOKUP(A61,$BB$8:$BF$1048576,5,FALSE)/100</f>
        <v>5.6499999999999996E-3</v>
      </c>
      <c r="G61" s="196"/>
      <c r="I61" s="262">
        <f>+D6</f>
        <v>720.68</v>
      </c>
      <c r="J61" s="264">
        <f>+I61*6</f>
        <v>4324.08</v>
      </c>
      <c r="K61" s="242">
        <v>10351.16</v>
      </c>
      <c r="L61" s="7">
        <f t="shared" ref="L61:L108" ca="1" si="22">+K61-M61</f>
        <v>10150.791064814621</v>
      </c>
      <c r="M61" s="7">
        <f t="shared" ref="M61:M108" ca="1" si="23">+N60*$F$60*(A61-A60)/360</f>
        <v>200.36893518537858</v>
      </c>
      <c r="N61" s="7">
        <f t="shared" ref="N61:N108" ca="1" si="24">+N60-L61</f>
        <v>74244.688830746731</v>
      </c>
      <c r="P61" s="63"/>
      <c r="X61" s="26">
        <v>47969</v>
      </c>
      <c r="Y61" s="7">
        <f t="shared" si="16"/>
        <v>10351.16</v>
      </c>
      <c r="Z61" s="7">
        <f t="shared" si="18"/>
        <v>10174.303148122875</v>
      </c>
      <c r="AA61" s="7">
        <f t="shared" si="17"/>
        <v>176.8568518771238</v>
      </c>
      <c r="AB61" s="7">
        <f t="shared" si="20"/>
        <v>184706.29762555542</v>
      </c>
      <c r="BB61" s="187">
        <v>42199</v>
      </c>
      <c r="BC61" s="180">
        <v>4.9000000000000002E-2</v>
      </c>
      <c r="BD61" s="191">
        <v>42199</v>
      </c>
      <c r="BE61" s="192">
        <v>0.58499999999999996</v>
      </c>
      <c r="BH61" s="94">
        <v>42166</v>
      </c>
      <c r="BI61" s="95">
        <v>0.44900000000000001</v>
      </c>
      <c r="BJ61" s="96">
        <v>8.44</v>
      </c>
    </row>
    <row r="62" spans="1:62" ht="15">
      <c r="A62" s="236">
        <f t="shared" ref="A62" si="25">+EDATE(A61,6)</f>
        <v>42492</v>
      </c>
      <c r="B62" s="7">
        <f>+J62/2</f>
        <v>4380</v>
      </c>
      <c r="C62" s="7">
        <f ca="1">+B62-D62</f>
        <v>3688.1968887805087</v>
      </c>
      <c r="D62" s="7">
        <f t="shared" ref="D62:D125" ca="1" si="26">+E61*F61*(A62-A61)/360</f>
        <v>691.80311121949148</v>
      </c>
      <c r="E62" s="7">
        <f ca="1">+E61-C62</f>
        <v>238506.80460788091</v>
      </c>
      <c r="F62" s="254">
        <f t="shared" ca="1" si="21"/>
        <v>3.5499999999999998E-3</v>
      </c>
      <c r="I62" s="263">
        <f>+E6</f>
        <v>730</v>
      </c>
      <c r="J62" s="264">
        <f>+I62*12</f>
        <v>8760</v>
      </c>
      <c r="K62" s="243">
        <f t="shared" ref="K62:K108" si="27">+$K$61</f>
        <v>10351.16</v>
      </c>
      <c r="L62" s="7">
        <f t="shared" ca="1" si="22"/>
        <v>10177.749155120986</v>
      </c>
      <c r="M62" s="7">
        <f t="shared" ca="1" si="23"/>
        <v>173.41084487901409</v>
      </c>
      <c r="N62" s="7">
        <f t="shared" ca="1" si="24"/>
        <v>64066.939675625748</v>
      </c>
      <c r="P62" s="63"/>
      <c r="X62" s="26">
        <v>48153</v>
      </c>
      <c r="Y62" s="7">
        <f t="shared" si="16"/>
        <v>10351.16</v>
      </c>
      <c r="Z62" s="7">
        <f t="shared" si="18"/>
        <v>10180.758178979446</v>
      </c>
      <c r="AA62" s="7">
        <f t="shared" si="17"/>
        <v>170.40182102055408</v>
      </c>
      <c r="AB62" s="7">
        <f t="shared" si="20"/>
        <v>174525.53944657597</v>
      </c>
      <c r="BB62" s="187">
        <v>42200</v>
      </c>
      <c r="BC62" s="180">
        <v>4.9000000000000002E-2</v>
      </c>
      <c r="BD62" s="191">
        <v>42200</v>
      </c>
      <c r="BE62" s="192">
        <v>0.58199999999999996</v>
      </c>
      <c r="BH62" s="94">
        <v>42167</v>
      </c>
      <c r="BI62" s="95">
        <v>0.45600000000000002</v>
      </c>
      <c r="BJ62" s="96">
        <v>8.43</v>
      </c>
    </row>
    <row r="63" spans="1:62" ht="15">
      <c r="A63" s="237">
        <f>+EDATE(A62,6)</f>
        <v>42676</v>
      </c>
      <c r="B63" s="7">
        <f>+B62</f>
        <v>4380</v>
      </c>
      <c r="C63" s="7">
        <f t="shared" ref="C63:C126" ca="1" si="28">+B63-D63</f>
        <v>3947.242653417034</v>
      </c>
      <c r="D63" s="7">
        <f t="shared" ca="1" si="26"/>
        <v>432.75734658296608</v>
      </c>
      <c r="E63" s="7">
        <f t="shared" ref="E63:E110" ca="1" si="29">+E62-C63</f>
        <v>234559.56195446389</v>
      </c>
      <c r="F63" s="254">
        <f t="shared" ca="1" si="21"/>
        <v>0</v>
      </c>
      <c r="I63" s="263"/>
      <c r="J63" s="264"/>
      <c r="K63" s="243">
        <f t="shared" si="27"/>
        <v>10351.16</v>
      </c>
      <c r="L63" s="7">
        <f t="shared" ca="1" si="22"/>
        <v>10199.876599779289</v>
      </c>
      <c r="M63" s="7">
        <f t="shared" ca="1" si="23"/>
        <v>151.28340022071094</v>
      </c>
      <c r="N63" s="7">
        <f t="shared" ca="1" si="24"/>
        <v>53867.063075846461</v>
      </c>
      <c r="P63" s="63"/>
      <c r="X63" s="26">
        <v>48335</v>
      </c>
      <c r="Y63" s="7">
        <f t="shared" si="16"/>
        <v>10351.16</v>
      </c>
      <c r="Z63" s="7">
        <f t="shared" si="18"/>
        <v>10191.900597323349</v>
      </c>
      <c r="AA63" s="7">
        <f t="shared" si="17"/>
        <v>159.25940267665186</v>
      </c>
      <c r="AB63" s="7">
        <f t="shared" si="20"/>
        <v>164333.63884925263</v>
      </c>
      <c r="BB63" s="187">
        <v>42201</v>
      </c>
      <c r="BC63" s="180">
        <v>4.9000000000000002E-2</v>
      </c>
      <c r="BD63" s="191">
        <v>42201</v>
      </c>
      <c r="BE63" s="192">
        <v>0.57999999999999996</v>
      </c>
      <c r="BH63" s="94">
        <v>42170</v>
      </c>
      <c r="BI63" s="95">
        <v>0.46300000000000002</v>
      </c>
      <c r="BJ63" s="96">
        <v>8.43</v>
      </c>
    </row>
    <row r="64" spans="1:62" ht="15">
      <c r="A64" s="234">
        <v>42856</v>
      </c>
      <c r="B64" s="7">
        <f>+J64/2</f>
        <v>4712.34</v>
      </c>
      <c r="C64" s="7">
        <f t="shared" ca="1" si="28"/>
        <v>4712.34</v>
      </c>
      <c r="D64" s="7">
        <f t="shared" ca="1" si="26"/>
        <v>0</v>
      </c>
      <c r="E64" s="7">
        <f t="shared" ca="1" si="29"/>
        <v>229847.22195446389</v>
      </c>
      <c r="F64" s="254">
        <f t="shared" ca="1" si="21"/>
        <v>3.0149999999999999E-3</v>
      </c>
      <c r="I64" s="263">
        <f>+F6</f>
        <v>785.39</v>
      </c>
      <c r="J64" s="264">
        <f>+I64*12</f>
        <v>9424.68</v>
      </c>
      <c r="K64" s="243">
        <f t="shared" si="27"/>
        <v>10351.16</v>
      </c>
      <c r="L64" s="7">
        <f t="shared" ca="1" si="22"/>
        <v>10226.727084294795</v>
      </c>
      <c r="M64" s="7">
        <f t="shared" ca="1" si="23"/>
        <v>124.43291570520533</v>
      </c>
      <c r="N64" s="7">
        <f t="shared" ca="1" si="24"/>
        <v>43640.335991551663</v>
      </c>
      <c r="P64" s="63"/>
      <c r="X64" s="26">
        <v>48519</v>
      </c>
      <c r="Y64" s="7">
        <f t="shared" si="16"/>
        <v>10351.16</v>
      </c>
      <c r="Z64" s="7">
        <f t="shared" si="18"/>
        <v>10199.553088514962</v>
      </c>
      <c r="AA64" s="7">
        <f t="shared" si="17"/>
        <v>151.6069114850383</v>
      </c>
      <c r="AB64" s="7">
        <f t="shared" si="20"/>
        <v>154134.08576073768</v>
      </c>
      <c r="BB64" s="187">
        <v>42202</v>
      </c>
      <c r="BC64" s="180">
        <v>4.9000000000000002E-2</v>
      </c>
      <c r="BD64" s="191">
        <v>42202</v>
      </c>
      <c r="BE64" s="192">
        <v>0.57799999999999996</v>
      </c>
      <c r="BH64" s="94">
        <v>42171</v>
      </c>
      <c r="BI64" s="95">
        <v>0.47</v>
      </c>
      <c r="BJ64" s="96">
        <v>8.42</v>
      </c>
    </row>
    <row r="65" spans="1:62" ht="15">
      <c r="A65" s="235">
        <v>43040</v>
      </c>
      <c r="B65" s="7">
        <f>+B64</f>
        <v>4712.34</v>
      </c>
      <c r="C65" s="7">
        <f t="shared" ca="1" si="28"/>
        <v>4358.1454309681712</v>
      </c>
      <c r="D65" s="7">
        <f t="shared" ca="1" si="26"/>
        <v>354.19456903182885</v>
      </c>
      <c r="E65" s="7">
        <f t="shared" ca="1" si="29"/>
        <v>225489.07652349572</v>
      </c>
      <c r="F65" s="254">
        <f t="shared" ca="1" si="21"/>
        <v>3.4799999999999996E-3</v>
      </c>
      <c r="I65" s="263"/>
      <c r="J65" s="264"/>
      <c r="K65" s="243">
        <f t="shared" si="27"/>
        <v>10351.16</v>
      </c>
      <c r="L65" s="7">
        <f t="shared" ca="1" si="22"/>
        <v>10248.110619945282</v>
      </c>
      <c r="M65" s="7">
        <f t="shared" ca="1" si="23"/>
        <v>103.04938005471732</v>
      </c>
      <c r="N65" s="7">
        <f t="shared" ca="1" si="24"/>
        <v>33392.225371606379</v>
      </c>
      <c r="P65" s="63"/>
      <c r="X65" s="26">
        <v>48700</v>
      </c>
      <c r="Y65" s="7">
        <f t="shared" si="16"/>
        <v>10351.16</v>
      </c>
      <c r="Z65" s="7">
        <f t="shared" si="18"/>
        <v>10211.28117642094</v>
      </c>
      <c r="AA65" s="7">
        <f t="shared" si="17"/>
        <v>139.87882357906057</v>
      </c>
      <c r="AB65" s="7">
        <f t="shared" si="20"/>
        <v>143922.80458431673</v>
      </c>
      <c r="BB65" s="187">
        <v>42205</v>
      </c>
      <c r="BC65" s="180">
        <v>4.9000000000000002E-2</v>
      </c>
      <c r="BD65" s="191">
        <v>42205</v>
      </c>
      <c r="BE65" s="192">
        <v>0.57099999999999995</v>
      </c>
      <c r="BH65" s="94">
        <v>42172</v>
      </c>
      <c r="BI65" s="95">
        <v>0.47799999999999998</v>
      </c>
      <c r="BJ65" s="96">
        <v>8.42</v>
      </c>
    </row>
    <row r="66" spans="1:62" ht="15">
      <c r="A66" s="236">
        <v>43221</v>
      </c>
      <c r="B66" s="7">
        <f>+J66/2</f>
        <v>4711.9800000000005</v>
      </c>
      <c r="C66" s="7">
        <f t="shared" ca="1" si="28"/>
        <v>4317.4492791093908</v>
      </c>
      <c r="D66" s="7">
        <f t="shared" ca="1" si="26"/>
        <v>394.5307208906097</v>
      </c>
      <c r="E66" s="7">
        <f t="shared" ca="1" si="29"/>
        <v>221171.62724438633</v>
      </c>
      <c r="F66" s="254">
        <f t="shared" ca="1" si="21"/>
        <v>4.1700000000000001E-3</v>
      </c>
      <c r="I66" s="263">
        <f>+G6</f>
        <v>785.33</v>
      </c>
      <c r="J66" s="264">
        <f>+I66*12</f>
        <v>9423.9600000000009</v>
      </c>
      <c r="K66" s="243">
        <f t="shared" si="27"/>
        <v>10351.16</v>
      </c>
      <c r="L66" s="7">
        <f t="shared" ca="1" si="22"/>
        <v>10273.595425832653</v>
      </c>
      <c r="M66" s="7">
        <f t="shared" ca="1" si="23"/>
        <v>77.56457416734635</v>
      </c>
      <c r="N66" s="7">
        <f t="shared" ca="1" si="24"/>
        <v>23118.629945773726</v>
      </c>
      <c r="P66" s="63"/>
      <c r="X66" s="26">
        <v>48884</v>
      </c>
      <c r="Y66" s="7">
        <f t="shared" si="16"/>
        <v>10351.16</v>
      </c>
      <c r="Z66" s="7">
        <f t="shared" si="18"/>
        <v>10218.383217059602</v>
      </c>
      <c r="AA66" s="7">
        <f t="shared" si="17"/>
        <v>132.77678294039796</v>
      </c>
      <c r="AB66" s="7">
        <f t="shared" si="20"/>
        <v>133704.42136725713</v>
      </c>
      <c r="BB66" s="187">
        <v>42206</v>
      </c>
      <c r="BC66" s="180">
        <v>4.9000000000000002E-2</v>
      </c>
      <c r="BD66" s="191">
        <v>42206</v>
      </c>
      <c r="BE66" s="192">
        <v>0.56399999999999995</v>
      </c>
      <c r="BH66" s="94">
        <v>42173</v>
      </c>
      <c r="BI66" s="95">
        <v>0.48599999999999999</v>
      </c>
      <c r="BJ66" s="96">
        <v>8.42</v>
      </c>
    </row>
    <row r="67" spans="1:62" ht="15">
      <c r="A67" s="237">
        <v>43405</v>
      </c>
      <c r="B67" s="7">
        <f>+B66</f>
        <v>4711.9800000000005</v>
      </c>
      <c r="C67" s="7">
        <f t="shared" ca="1" si="28"/>
        <v>4240.5895384664655</v>
      </c>
      <c r="D67" s="7">
        <f t="shared" ca="1" si="26"/>
        <v>471.39046153353542</v>
      </c>
      <c r="E67" s="7">
        <f t="shared" ca="1" si="29"/>
        <v>216931.03770591985</v>
      </c>
      <c r="F67" s="254">
        <f t="shared" ca="1" si="21"/>
        <v>4.2849999999999997E-3</v>
      </c>
      <c r="I67" s="263"/>
      <c r="J67" s="264"/>
      <c r="K67" s="243">
        <f t="shared" si="27"/>
        <v>10351.16</v>
      </c>
      <c r="L67" s="7">
        <f t="shared" ca="1" si="22"/>
        <v>10296.569208488047</v>
      </c>
      <c r="M67" s="7">
        <f t="shared" ca="1" si="23"/>
        <v>54.590791511953697</v>
      </c>
      <c r="N67" s="7">
        <f t="shared" ca="1" si="24"/>
        <v>12822.060737285679</v>
      </c>
      <c r="P67" s="63"/>
      <c r="X67" s="26">
        <v>49065</v>
      </c>
      <c r="Y67" s="7">
        <f t="shared" si="16"/>
        <v>10351.16</v>
      </c>
      <c r="Z67" s="7">
        <f t="shared" si="18"/>
        <v>10229.821380603362</v>
      </c>
      <c r="AA67" s="7">
        <f t="shared" si="17"/>
        <v>121.33861939663817</v>
      </c>
      <c r="AB67" s="7">
        <f t="shared" si="20"/>
        <v>123474.59998665377</v>
      </c>
      <c r="BB67" s="187">
        <v>42207</v>
      </c>
      <c r="BC67" s="180">
        <v>4.9000000000000002E-2</v>
      </c>
      <c r="BD67" s="191">
        <v>42207</v>
      </c>
      <c r="BE67" s="192">
        <v>0.55800000000000005</v>
      </c>
      <c r="BH67" s="94">
        <v>42174</v>
      </c>
      <c r="BI67" s="95">
        <v>0.49399999999999999</v>
      </c>
      <c r="BJ67" s="96">
        <v>8.41</v>
      </c>
    </row>
    <row r="68" spans="1:62" ht="15">
      <c r="A68" s="234">
        <v>43586</v>
      </c>
      <c r="B68" s="7">
        <f>+J68/2</f>
        <v>4810.2000000000007</v>
      </c>
      <c r="C68" s="7">
        <f t="shared" ca="1" si="28"/>
        <v>4342.8431697801516</v>
      </c>
      <c r="D68" s="7">
        <f t="shared" ca="1" si="26"/>
        <v>467.3568302198496</v>
      </c>
      <c r="E68" s="7">
        <f t="shared" ca="1" si="29"/>
        <v>212588.19453613969</v>
      </c>
      <c r="F68" s="254">
        <f t="shared" ca="1" si="21"/>
        <v>2.8699999999999997E-3</v>
      </c>
      <c r="I68" s="263">
        <f>+H6</f>
        <v>801.7</v>
      </c>
      <c r="J68" s="264">
        <f>+I68*12</f>
        <v>9620.4000000000015</v>
      </c>
      <c r="K68" s="243">
        <f t="shared" si="27"/>
        <v>10351.16</v>
      </c>
      <c r="L68" s="7">
        <f t="shared" ca="1" si="22"/>
        <v>10321.376489917408</v>
      </c>
      <c r="M68" s="7">
        <f t="shared" ca="1" si="23"/>
        <v>29.783510082591754</v>
      </c>
      <c r="N68" s="7">
        <f t="shared" ca="1" si="24"/>
        <v>2500.6842473682718</v>
      </c>
      <c r="P68" s="63"/>
      <c r="X68" s="26">
        <v>49249</v>
      </c>
      <c r="Y68" s="7">
        <f t="shared" si="16"/>
        <v>10351.16</v>
      </c>
      <c r="Z68" s="7">
        <f>+Y68-AA68</f>
        <v>10237.247821812312</v>
      </c>
      <c r="AA68" s="7">
        <f t="shared" si="17"/>
        <v>113.91217818768736</v>
      </c>
      <c r="AB68" s="7">
        <f>+AB67-Z68</f>
        <v>113237.35216484146</v>
      </c>
      <c r="BB68" s="187">
        <v>42208</v>
      </c>
      <c r="BC68" s="180">
        <v>4.9000000000000002E-2</v>
      </c>
      <c r="BD68" s="191">
        <v>42208</v>
      </c>
      <c r="BE68" s="192">
        <v>0.55100000000000005</v>
      </c>
      <c r="BH68" s="94">
        <v>42177</v>
      </c>
      <c r="BI68" s="95">
        <v>0.502</v>
      </c>
      <c r="BJ68" s="96">
        <v>8.41</v>
      </c>
    </row>
    <row r="69" spans="1:62" ht="15">
      <c r="A69" s="235">
        <v>43770</v>
      </c>
      <c r="B69" s="7">
        <f>+B68</f>
        <v>4810.2000000000007</v>
      </c>
      <c r="C69" s="7">
        <f t="shared" ca="1" si="28"/>
        <v>4498.3567395259879</v>
      </c>
      <c r="D69" s="7">
        <f t="shared" ca="1" si="26"/>
        <v>311.84326047401294</v>
      </c>
      <c r="E69" s="7">
        <f t="shared" ca="1" si="29"/>
        <v>208089.83779661372</v>
      </c>
      <c r="F69" s="254">
        <f t="shared" ca="1" si="21"/>
        <v>6.0499999999999996E-4</v>
      </c>
      <c r="I69" s="263"/>
      <c r="J69" s="264"/>
      <c r="K69" s="243">
        <f t="shared" si="27"/>
        <v>10351.16</v>
      </c>
      <c r="L69" s="7">
        <f t="shared" ca="1" si="22"/>
        <v>10345.255050930547</v>
      </c>
      <c r="M69" s="7">
        <f t="shared" ca="1" si="23"/>
        <v>5.9049490694522788</v>
      </c>
      <c r="N69" s="7">
        <f t="shared" ca="1" si="24"/>
        <v>-7844.5708035622756</v>
      </c>
      <c r="P69" s="63"/>
      <c r="X69" s="26">
        <v>49430</v>
      </c>
      <c r="Y69" s="7">
        <f t="shared" si="16"/>
        <v>10351.16</v>
      </c>
      <c r="Z69" s="7">
        <f t="shared" si="18"/>
        <v>10248.395530169404</v>
      </c>
      <c r="AA69" s="7">
        <f t="shared" si="17"/>
        <v>102.76446983059591</v>
      </c>
      <c r="AB69" s="7">
        <f t="shared" ref="AB69:AB79" si="30">+AB68-Z69</f>
        <v>102988.95663467205</v>
      </c>
      <c r="BB69" s="187">
        <v>42209</v>
      </c>
      <c r="BC69" s="180">
        <v>4.8000000000000001E-2</v>
      </c>
      <c r="BD69" s="191">
        <v>42209</v>
      </c>
      <c r="BE69" s="192">
        <v>0.54300000000000004</v>
      </c>
      <c r="BH69" s="94">
        <v>42178</v>
      </c>
      <c r="BI69" s="95">
        <v>0.51200000000000001</v>
      </c>
      <c r="BJ69" s="96">
        <v>8.4</v>
      </c>
    </row>
    <row r="70" spans="1:62" ht="15">
      <c r="A70" s="236">
        <v>43952</v>
      </c>
      <c r="B70" s="7">
        <f>+J70/2</f>
        <v>4810.2000000000007</v>
      </c>
      <c r="C70" s="7">
        <f t="shared" ca="1" si="28"/>
        <v>4746.5534110005974</v>
      </c>
      <c r="D70" s="7">
        <f t="shared" ca="1" si="26"/>
        <v>63.646588999403157</v>
      </c>
      <c r="E70" s="7">
        <f t="shared" ca="1" si="29"/>
        <v>203343.28438561311</v>
      </c>
      <c r="F70" s="254">
        <f t="shared" ca="1" si="21"/>
        <v>2.215E-3</v>
      </c>
      <c r="I70" s="263">
        <f>+I6</f>
        <v>801.7</v>
      </c>
      <c r="J70" s="264">
        <f>+I70*12</f>
        <v>9620.4000000000015</v>
      </c>
      <c r="K70" s="243">
        <f t="shared" si="27"/>
        <v>10351.16</v>
      </c>
      <c r="L70" s="7">
        <f t="shared" ca="1" si="22"/>
        <v>10369.482302540187</v>
      </c>
      <c r="M70" s="7">
        <f t="shared" ca="1" si="23"/>
        <v>-18.322302540186957</v>
      </c>
      <c r="N70" s="7">
        <f t="shared" ca="1" si="24"/>
        <v>-18214.053106102463</v>
      </c>
      <c r="P70" s="63"/>
      <c r="X70" s="26">
        <v>49614</v>
      </c>
      <c r="Y70" s="7">
        <f t="shared" si="16"/>
        <v>10351.16</v>
      </c>
      <c r="Z70" s="7">
        <f t="shared" si="18"/>
        <v>10256.146965895812</v>
      </c>
      <c r="AA70" s="7">
        <f t="shared" si="17"/>
        <v>95.0130341041869</v>
      </c>
      <c r="AB70" s="7">
        <f t="shared" si="30"/>
        <v>92732.809668776245</v>
      </c>
      <c r="BB70" s="187">
        <v>42212</v>
      </c>
      <c r="BC70" s="180">
        <v>4.9000000000000002E-2</v>
      </c>
      <c r="BD70" s="191">
        <v>42212</v>
      </c>
      <c r="BE70" s="192">
        <v>0.53500000000000003</v>
      </c>
      <c r="BH70" s="94">
        <v>42179</v>
      </c>
      <c r="BI70" s="95">
        <v>0.53700000000000003</v>
      </c>
      <c r="BJ70" s="96">
        <v>8.44</v>
      </c>
    </row>
    <row r="71" spans="1:62" ht="15">
      <c r="A71" s="298">
        <v>44137</v>
      </c>
      <c r="B71" s="7">
        <f>+B70</f>
        <v>4810.2000000000007</v>
      </c>
      <c r="C71" s="7">
        <f t="shared" ca="1" si="28"/>
        <v>4578.7416823357935</v>
      </c>
      <c r="D71" s="7">
        <f t="shared" ca="1" si="26"/>
        <v>231.45831766420721</v>
      </c>
      <c r="E71" s="7">
        <f t="shared" ca="1" si="29"/>
        <v>198764.54270327732</v>
      </c>
      <c r="F71" s="254">
        <f t="shared" ca="1" si="21"/>
        <v>-1.14E-3</v>
      </c>
      <c r="I71" s="263"/>
      <c r="J71" s="264"/>
      <c r="K71" s="243">
        <f t="shared" si="27"/>
        <v>10351.16</v>
      </c>
      <c r="L71" s="7">
        <f t="shared" ca="1" si="22"/>
        <v>10394.403197749405</v>
      </c>
      <c r="M71" s="7">
        <f t="shared" ca="1" si="23"/>
        <v>-43.243197749404935</v>
      </c>
      <c r="N71" s="7">
        <f t="shared" ca="1" si="24"/>
        <v>-28608.456303851868</v>
      </c>
      <c r="P71" s="63"/>
      <c r="X71" s="26">
        <v>49796</v>
      </c>
      <c r="Y71" s="7">
        <f t="shared" si="16"/>
        <v>10351.16</v>
      </c>
      <c r="Z71" s="7">
        <f t="shared" si="18"/>
        <v>10266.538735265862</v>
      </c>
      <c r="AA71" s="7">
        <f t="shared" si="17"/>
        <v>84.621264734138009</v>
      </c>
      <c r="AB71" s="7">
        <f t="shared" si="30"/>
        <v>82466.270933510386</v>
      </c>
      <c r="BB71" s="187">
        <v>42213</v>
      </c>
      <c r="BC71" s="180">
        <v>4.8000000000000001E-2</v>
      </c>
      <c r="BD71" s="191">
        <v>42213</v>
      </c>
      <c r="BE71" s="192">
        <v>0.52900000000000003</v>
      </c>
      <c r="BH71" s="94">
        <v>42180</v>
      </c>
      <c r="BI71" s="95">
        <v>0.54800000000000004</v>
      </c>
      <c r="BJ71" s="96">
        <v>8.44</v>
      </c>
    </row>
    <row r="72" spans="1:62" ht="15">
      <c r="A72" s="234">
        <v>44319</v>
      </c>
      <c r="B72" s="299">
        <f>+J72/2</f>
        <v>4402.26</v>
      </c>
      <c r="C72" s="299">
        <f t="shared" ca="1" si="28"/>
        <v>4516.8146314446558</v>
      </c>
      <c r="D72" s="300">
        <f t="shared" ca="1" si="26"/>
        <v>-114.55463144465548</v>
      </c>
      <c r="E72" s="299">
        <f t="shared" ca="1" si="29"/>
        <v>194247.72807183265</v>
      </c>
      <c r="F72" s="301">
        <f t="shared" ca="1" si="21"/>
        <v>2.5000000000000022E-5</v>
      </c>
      <c r="I72" s="263">
        <f>+J6+J7</f>
        <v>733.71</v>
      </c>
      <c r="J72" s="264">
        <f>+I72*12</f>
        <v>8804.52</v>
      </c>
      <c r="K72" s="243">
        <f t="shared" si="27"/>
        <v>10351.16</v>
      </c>
      <c r="L72" s="7">
        <f t="shared" ca="1" si="22"/>
        <v>10417.979817773696</v>
      </c>
      <c r="M72" s="7">
        <f t="shared" ca="1" si="23"/>
        <v>-66.819817773696684</v>
      </c>
      <c r="N72" s="7">
        <f t="shared" ca="1" si="24"/>
        <v>-39026.436121625564</v>
      </c>
      <c r="P72" s="63"/>
      <c r="X72" s="26">
        <v>49980</v>
      </c>
      <c r="Y72" s="7">
        <f t="shared" si="16"/>
        <v>10351.16</v>
      </c>
      <c r="Z72" s="7">
        <f t="shared" si="18"/>
        <v>10275.08028360434</v>
      </c>
      <c r="AA72" s="7">
        <f t="shared" si="17"/>
        <v>76.079716395659631</v>
      </c>
      <c r="AB72" s="7">
        <f t="shared" si="30"/>
        <v>72191.190649906042</v>
      </c>
      <c r="BB72" s="187">
        <v>42214</v>
      </c>
      <c r="BC72" s="180">
        <v>4.8000000000000001E-2</v>
      </c>
      <c r="BD72" s="191">
        <v>42214</v>
      </c>
      <c r="BE72" s="192">
        <v>0.52200000000000002</v>
      </c>
      <c r="BH72" s="94">
        <v>42181</v>
      </c>
      <c r="BI72" s="95">
        <v>0.56000000000000005</v>
      </c>
      <c r="BJ72" s="96">
        <v>8.44</v>
      </c>
    </row>
    <row r="73" spans="1:62" ht="15">
      <c r="A73" s="235">
        <v>44501</v>
      </c>
      <c r="B73" s="7">
        <f>+B72</f>
        <v>4402.26</v>
      </c>
      <c r="C73" s="7">
        <f t="shared" ca="1" si="28"/>
        <v>4399.8049245479815</v>
      </c>
      <c r="D73" s="7">
        <f t="shared" ca="1" si="26"/>
        <v>2.4550754520189981</v>
      </c>
      <c r="E73" s="7">
        <f t="shared" ca="1" si="29"/>
        <v>189847.92314728466</v>
      </c>
      <c r="F73" s="254">
        <f t="shared" ca="1" si="21"/>
        <v>3.8499999999999976E-4</v>
      </c>
      <c r="I73" s="263"/>
      <c r="J73" s="264"/>
      <c r="K73" s="243">
        <f t="shared" si="27"/>
        <v>10351.16</v>
      </c>
      <c r="L73" s="7">
        <f t="shared" ca="1" si="22"/>
        <v>10442.312745968076</v>
      </c>
      <c r="M73" s="7">
        <f t="shared" ca="1" si="23"/>
        <v>-91.152745968076772</v>
      </c>
      <c r="N73" s="7">
        <f t="shared" ca="1" si="24"/>
        <v>-49468.74886759364</v>
      </c>
      <c r="P73" s="63"/>
      <c r="X73" s="26">
        <v>50161</v>
      </c>
      <c r="Y73" s="7">
        <f t="shared" si="16"/>
        <v>10351.16</v>
      </c>
      <c r="Z73" s="7">
        <f t="shared" si="18"/>
        <v>10285.645491829784</v>
      </c>
      <c r="AA73" s="7">
        <f t="shared" si="17"/>
        <v>65.514508170215422</v>
      </c>
      <c r="AB73" s="7">
        <f t="shared" si="30"/>
        <v>61905.54515807626</v>
      </c>
      <c r="BB73" s="187">
        <v>42215</v>
      </c>
      <c r="BC73" s="180">
        <v>4.8000000000000001E-2</v>
      </c>
      <c r="BD73" s="191">
        <v>42215</v>
      </c>
      <c r="BE73" s="192">
        <v>0.51100000000000001</v>
      </c>
      <c r="BH73" s="94">
        <v>42184</v>
      </c>
      <c r="BI73" s="95">
        <v>0.57199999999999995</v>
      </c>
      <c r="BJ73" s="96">
        <v>8.43</v>
      </c>
    </row>
    <row r="74" spans="1:62" ht="15">
      <c r="A74" s="236">
        <v>44683</v>
      </c>
      <c r="B74" s="7">
        <f>+J74/2</f>
        <v>4113.18</v>
      </c>
      <c r="C74" s="7">
        <f t="shared" ca="1" si="28"/>
        <v>4076.2282111807494</v>
      </c>
      <c r="D74" s="7">
        <f t="shared" ca="1" si="26"/>
        <v>36.951788819250631</v>
      </c>
      <c r="E74" s="7">
        <f t="shared" ca="1" si="29"/>
        <v>185771.69493610392</v>
      </c>
      <c r="F74" s="254">
        <f t="shared" ca="1" si="21"/>
        <v>7.0650000000000001E-3</v>
      </c>
      <c r="I74" s="263">
        <f>+K6+K7</f>
        <v>685.53</v>
      </c>
      <c r="J74" s="264">
        <f>+I74*12</f>
        <v>8226.36</v>
      </c>
      <c r="K74" s="243">
        <f t="shared" si="27"/>
        <v>10351.16</v>
      </c>
      <c r="L74" s="7">
        <f t="shared" ca="1" si="22"/>
        <v>10466.702507771743</v>
      </c>
      <c r="M74" s="7">
        <f t="shared" ca="1" si="23"/>
        <v>-115.54250777174289</v>
      </c>
      <c r="N74" s="7">
        <f t="shared" ca="1" si="24"/>
        <v>-59935.451375365381</v>
      </c>
      <c r="P74" s="63"/>
      <c r="X74" s="26">
        <v>50345</v>
      </c>
      <c r="Y74" s="7">
        <f t="shared" si="16"/>
        <v>10351.16</v>
      </c>
      <c r="Z74" s="7">
        <f t="shared" si="18"/>
        <v>10294.048695394722</v>
      </c>
      <c r="AA74" s="7">
        <f t="shared" si="17"/>
        <v>57.111304605278576</v>
      </c>
      <c r="AB74" s="7">
        <f t="shared" si="30"/>
        <v>51611.496462681534</v>
      </c>
      <c r="BB74" s="187">
        <v>42216</v>
      </c>
      <c r="BC74" s="180">
        <v>4.8000000000000001E-2</v>
      </c>
      <c r="BD74" s="191">
        <v>42216</v>
      </c>
      <c r="BE74" s="192">
        <v>0.501</v>
      </c>
      <c r="BH74" s="94">
        <v>42185</v>
      </c>
      <c r="BI74" s="95">
        <v>0.58299999999999996</v>
      </c>
      <c r="BJ74" s="96">
        <v>8.43</v>
      </c>
    </row>
    <row r="75" spans="1:62" ht="15.75" thickBot="1">
      <c r="A75" s="237">
        <v>44866</v>
      </c>
      <c r="B75" s="7">
        <f>+B74</f>
        <v>4113.18</v>
      </c>
      <c r="C75" s="7">
        <f t="shared" ca="1" si="28"/>
        <v>3446.0041790988498</v>
      </c>
      <c r="D75" s="7">
        <f t="shared" ca="1" si="26"/>
        <v>667.17582090115025</v>
      </c>
      <c r="E75" s="7">
        <f t="shared" ca="1" si="29"/>
        <v>182325.69075700507</v>
      </c>
      <c r="F75" s="254">
        <f t="shared" ca="1" si="21"/>
        <v>2.7495000000000002E-2</v>
      </c>
      <c r="I75" s="263"/>
      <c r="J75" s="264"/>
      <c r="K75" s="243">
        <f t="shared" si="27"/>
        <v>10351.16</v>
      </c>
      <c r="L75" s="7">
        <f t="shared" ca="1" si="22"/>
        <v>10491.918407555046</v>
      </c>
      <c r="M75" s="7">
        <f t="shared" ca="1" si="23"/>
        <v>-140.75840755504561</v>
      </c>
      <c r="N75" s="7">
        <f t="shared" ca="1" si="24"/>
        <v>-70427.369782920432</v>
      </c>
      <c r="P75" s="63"/>
      <c r="X75" s="26">
        <v>50526</v>
      </c>
      <c r="Y75" s="7">
        <f t="shared" si="16"/>
        <v>10351.16</v>
      </c>
      <c r="Z75" s="7">
        <f t="shared" si="18"/>
        <v>10304.321850133776</v>
      </c>
      <c r="AA75" s="7">
        <f t="shared" si="17"/>
        <v>46.838149866223247</v>
      </c>
      <c r="AB75" s="7">
        <f t="shared" si="30"/>
        <v>41307.174612547758</v>
      </c>
      <c r="BB75" s="187">
        <v>42219</v>
      </c>
      <c r="BC75" s="180">
        <v>4.9000000000000002E-2</v>
      </c>
      <c r="BD75" s="191">
        <v>42219</v>
      </c>
      <c r="BE75" s="192">
        <v>0.49199999999999999</v>
      </c>
      <c r="BH75" s="94">
        <v>42186</v>
      </c>
      <c r="BI75" s="95">
        <v>0.59</v>
      </c>
      <c r="BJ75" s="96">
        <v>8.42</v>
      </c>
    </row>
    <row r="76" spans="1:62" ht="15.75" thickBot="1">
      <c r="A76" s="293">
        <v>45049</v>
      </c>
      <c r="B76" s="294">
        <v>4775.6788399534489</v>
      </c>
      <c r="C76" s="7">
        <f t="shared" ca="1" si="28"/>
        <v>2227.3810323768225</v>
      </c>
      <c r="D76" s="7">
        <f ca="1">+E75*F75*(A76-A75)/360</f>
        <v>2548.2978075766264</v>
      </c>
      <c r="E76" s="7">
        <f ca="1">+E75-C76</f>
        <v>180098.30972462826</v>
      </c>
      <c r="F76" s="268">
        <f>+(G76+H76)/2/100+0.37%</f>
        <v>3.1164050000000006E-2</v>
      </c>
      <c r="G76" s="288">
        <v>3.0598100000000001</v>
      </c>
      <c r="H76">
        <f>+BE1989</f>
        <v>2.4329999999999998</v>
      </c>
      <c r="I76" s="292">
        <f>+L6+L7</f>
        <v>1025.18</v>
      </c>
      <c r="J76" s="264">
        <f>+I76*12</f>
        <v>12302.16</v>
      </c>
      <c r="K76" s="243">
        <f t="shared" si="27"/>
        <v>10351.16</v>
      </c>
      <c r="L76" s="7">
        <f t="shared" ca="1" si="22"/>
        <v>10516.558677935189</v>
      </c>
      <c r="M76" s="7">
        <f t="shared" ca="1" si="23"/>
        <v>-165.39867793518866</v>
      </c>
      <c r="N76" s="7">
        <f t="shared" ca="1" si="24"/>
        <v>-80943.928460855619</v>
      </c>
      <c r="P76" s="63"/>
      <c r="X76" s="26">
        <v>50710</v>
      </c>
      <c r="Y76" s="7">
        <f t="shared" si="16"/>
        <v>10351.16</v>
      </c>
      <c r="Z76" s="7">
        <f t="shared" si="18"/>
        <v>10313.051836576891</v>
      </c>
      <c r="AA76" s="7">
        <f t="shared" si="17"/>
        <v>38.108163423109339</v>
      </c>
      <c r="AB76" s="7">
        <f t="shared" si="30"/>
        <v>30994.122775970867</v>
      </c>
      <c r="BB76" s="187">
        <v>42220</v>
      </c>
      <c r="BC76" s="180">
        <v>4.8000000000000001E-2</v>
      </c>
      <c r="BD76" s="191">
        <v>42220</v>
      </c>
      <c r="BE76" s="192">
        <v>0.48399999999999999</v>
      </c>
      <c r="BH76" s="94">
        <v>42187</v>
      </c>
      <c r="BI76" s="95">
        <v>0.59599999999999997</v>
      </c>
      <c r="BJ76" s="96">
        <v>8.42</v>
      </c>
    </row>
    <row r="77" spans="1:62" ht="15">
      <c r="A77" s="235">
        <v>45232</v>
      </c>
      <c r="B77" s="7">
        <f>+$B$76</f>
        <v>4775.6788399534489</v>
      </c>
      <c r="C77" s="7">
        <f t="shared" ca="1" si="28"/>
        <v>1922.6108692900993</v>
      </c>
      <c r="D77" s="7">
        <f ca="1">+E76*F76*(A77-A76)/360</f>
        <v>2853.0679706633496</v>
      </c>
      <c r="E77" s="7">
        <f t="shared" ca="1" si="29"/>
        <v>178175.69885533815</v>
      </c>
      <c r="F77" s="268">
        <f t="shared" ref="F77:F129" si="31">+(G77+H77)/2/100+0.37%</f>
        <v>3.0865499999999997E-2</v>
      </c>
      <c r="G77" s="288">
        <v>3.0001000000000002</v>
      </c>
      <c r="H77">
        <f>+$H$76</f>
        <v>2.4329999999999998</v>
      </c>
      <c r="I77" s="47"/>
      <c r="J77" s="257"/>
      <c r="K77" s="243">
        <f t="shared" si="27"/>
        <v>10351.16</v>
      </c>
      <c r="L77" s="7">
        <f t="shared" ca="1" si="22"/>
        <v>10541.256815990319</v>
      </c>
      <c r="M77" s="7">
        <f t="shared" ca="1" si="23"/>
        <v>-190.09681599031941</v>
      </c>
      <c r="N77" s="7">
        <f t="shared" ca="1" si="24"/>
        <v>-91485.185276845936</v>
      </c>
      <c r="P77" s="63"/>
      <c r="X77" s="164">
        <v>50891</v>
      </c>
      <c r="Y77" s="165">
        <f t="shared" si="16"/>
        <v>10351.16</v>
      </c>
      <c r="Z77" s="165">
        <f t="shared" si="18"/>
        <v>10323.032403106879</v>
      </c>
      <c r="AA77" s="165">
        <f t="shared" si="17"/>
        <v>28.127596893121009</v>
      </c>
      <c r="AB77" s="165">
        <f t="shared" si="30"/>
        <v>20671.09037286399</v>
      </c>
      <c r="BB77" s="187">
        <v>42221</v>
      </c>
      <c r="BC77" s="180">
        <v>4.8000000000000001E-2</v>
      </c>
      <c r="BD77" s="191">
        <v>42221</v>
      </c>
      <c r="BE77" s="192">
        <v>0.48</v>
      </c>
      <c r="BH77" s="94">
        <v>42188</v>
      </c>
      <c r="BI77" s="95">
        <v>0.59799999999999998</v>
      </c>
      <c r="BJ77" s="96">
        <v>8.42</v>
      </c>
    </row>
    <row r="78" spans="1:62" ht="15">
      <c r="A78" s="236">
        <v>45413</v>
      </c>
      <c r="B78" s="7">
        <f>+$B$77</f>
        <v>4775.6788399534489</v>
      </c>
      <c r="C78" s="7">
        <f t="shared" ca="1" si="28"/>
        <v>2010.6614844631199</v>
      </c>
      <c r="D78" s="7">
        <f t="shared" ca="1" si="26"/>
        <v>2765.017355490329</v>
      </c>
      <c r="E78" s="7">
        <f t="shared" ca="1" si="29"/>
        <v>176165.03737087504</v>
      </c>
      <c r="F78" s="268">
        <f t="shared" si="31"/>
        <v>2.9881749999999999E-2</v>
      </c>
      <c r="G78" s="288">
        <v>2.80335</v>
      </c>
      <c r="H78">
        <f t="shared" ref="H78:H129" si="32">+$H$76</f>
        <v>2.4329999999999998</v>
      </c>
      <c r="I78" s="47"/>
      <c r="J78" s="257"/>
      <c r="K78" s="243">
        <f t="shared" si="27"/>
        <v>10351.16</v>
      </c>
      <c r="L78" s="7">
        <f t="shared" ca="1" si="22"/>
        <v>10563.664837867234</v>
      </c>
      <c r="M78" s="7">
        <f t="shared" ca="1" si="23"/>
        <v>-212.50483786723365</v>
      </c>
      <c r="N78" s="7">
        <f t="shared" ca="1" si="24"/>
        <v>-102048.85011471318</v>
      </c>
      <c r="P78" s="63"/>
      <c r="X78" s="164">
        <v>51075</v>
      </c>
      <c r="Y78" s="165">
        <f t="shared" si="16"/>
        <v>10351.16</v>
      </c>
      <c r="Z78" s="165">
        <f t="shared" si="18"/>
        <v>10332.089770737124</v>
      </c>
      <c r="AA78" s="165">
        <f t="shared" si="17"/>
        <v>19.070229262876634</v>
      </c>
      <c r="AB78" s="165">
        <f t="shared" si="30"/>
        <v>10339.000602126865</v>
      </c>
      <c r="BB78" s="187">
        <v>42222</v>
      </c>
      <c r="BC78" s="180">
        <v>4.7E-2</v>
      </c>
      <c r="BD78" s="191">
        <v>42222</v>
      </c>
      <c r="BE78" s="192">
        <v>0.48099999999999998</v>
      </c>
      <c r="BH78" s="94">
        <v>42191</v>
      </c>
      <c r="BI78" s="95">
        <v>0.59799999999999998</v>
      </c>
      <c r="BJ78" s="96">
        <v>8.41</v>
      </c>
    </row>
    <row r="79" spans="1:62" ht="15">
      <c r="A79" s="237">
        <v>45597</v>
      </c>
      <c r="B79" s="7">
        <f t="shared" ref="B79:B130" si="33">+$B$77</f>
        <v>4775.6788399534489</v>
      </c>
      <c r="C79" s="7">
        <f t="shared" ca="1" si="28"/>
        <v>2085.1288193864639</v>
      </c>
      <c r="D79" s="7">
        <f t="shared" ca="1" si="26"/>
        <v>2690.550020566985</v>
      </c>
      <c r="E79" s="7">
        <f t="shared" ca="1" si="29"/>
        <v>174079.90855148857</v>
      </c>
      <c r="F79" s="268">
        <f t="shared" si="31"/>
        <v>2.8797999999999997E-2</v>
      </c>
      <c r="G79" s="288">
        <v>2.5865999999999998</v>
      </c>
      <c r="H79">
        <f t="shared" si="32"/>
        <v>2.4329999999999998</v>
      </c>
      <c r="I79" s="47"/>
      <c r="J79" s="257"/>
      <c r="K79" s="243">
        <f t="shared" si="27"/>
        <v>10351.16</v>
      </c>
      <c r="L79" s="7">
        <f t="shared" ca="1" si="22"/>
        <v>10592.131351404209</v>
      </c>
      <c r="M79" s="7">
        <f t="shared" ca="1" si="23"/>
        <v>-240.97135140420937</v>
      </c>
      <c r="N79" s="7">
        <f t="shared" ca="1" si="24"/>
        <v>-112640.98146611739</v>
      </c>
      <c r="P79" s="63"/>
      <c r="X79" s="166">
        <v>51257</v>
      </c>
      <c r="Y79" s="167">
        <f t="shared" si="16"/>
        <v>10351.16</v>
      </c>
      <c r="Z79" s="167">
        <f t="shared" si="18"/>
        <v>10341.725374756097</v>
      </c>
      <c r="AA79" s="167">
        <f t="shared" si="17"/>
        <v>9.4346252439019356</v>
      </c>
      <c r="AB79" s="167">
        <f t="shared" si="30"/>
        <v>-2.7247726292316656</v>
      </c>
      <c r="BB79" s="187">
        <v>42223</v>
      </c>
      <c r="BC79" s="180">
        <v>4.5999999999999999E-2</v>
      </c>
      <c r="BD79" s="191">
        <v>42223</v>
      </c>
      <c r="BE79" s="192">
        <v>0.47299999999999998</v>
      </c>
      <c r="BH79" s="94">
        <v>42192</v>
      </c>
      <c r="BI79" s="95">
        <v>0.59499999999999997</v>
      </c>
      <c r="BJ79" s="96">
        <v>8.41</v>
      </c>
    </row>
    <row r="80" spans="1:62" ht="15">
      <c r="A80" s="234">
        <v>45778</v>
      </c>
      <c r="B80" s="7">
        <f t="shared" si="33"/>
        <v>4775.6788399534489</v>
      </c>
      <c r="C80" s="7">
        <f t="shared" ca="1" si="28"/>
        <v>2255.1768111470492</v>
      </c>
      <c r="D80" s="7">
        <f t="shared" ca="1" si="26"/>
        <v>2520.5020288063997</v>
      </c>
      <c r="E80" s="7">
        <f t="shared" ca="1" si="29"/>
        <v>171824.73174034152</v>
      </c>
      <c r="F80" s="268">
        <f t="shared" si="31"/>
        <v>2.8538750000000002E-2</v>
      </c>
      <c r="G80" s="288">
        <v>2.5347499999999998</v>
      </c>
      <c r="H80">
        <f t="shared" si="32"/>
        <v>2.4329999999999998</v>
      </c>
      <c r="I80" s="47"/>
      <c r="J80" s="257"/>
      <c r="K80" s="243">
        <f t="shared" si="27"/>
        <v>10351.16</v>
      </c>
      <c r="L80" s="7">
        <f t="shared" ca="1" si="22"/>
        <v>10612.80622644888</v>
      </c>
      <c r="M80" s="7">
        <f t="shared" ca="1" si="23"/>
        <v>-261.64622644887964</v>
      </c>
      <c r="N80" s="7">
        <f t="shared" ca="1" si="24"/>
        <v>-123253.78769256627</v>
      </c>
      <c r="P80" s="63"/>
      <c r="U80" s="7"/>
      <c r="V80" s="7"/>
      <c r="X80" s="7"/>
      <c r="BB80" s="187">
        <v>42226</v>
      </c>
      <c r="BC80" s="180">
        <v>4.8000000000000001E-2</v>
      </c>
      <c r="BD80" s="191">
        <v>42226</v>
      </c>
      <c r="BE80" s="192">
        <v>0.46300000000000002</v>
      </c>
      <c r="BH80" s="94">
        <v>42193</v>
      </c>
      <c r="BI80" s="95">
        <v>0.58699999999999997</v>
      </c>
      <c r="BJ80" s="96">
        <v>8.4</v>
      </c>
    </row>
    <row r="81" spans="1:62" ht="15">
      <c r="A81" s="235">
        <v>45962</v>
      </c>
      <c r="B81" s="7">
        <f t="shared" si="33"/>
        <v>4775.6788399534489</v>
      </c>
      <c r="C81" s="7">
        <f t="shared" ca="1" si="28"/>
        <v>2269.3621633321723</v>
      </c>
      <c r="D81" s="7">
        <f t="shared" ca="1" si="26"/>
        <v>2506.3166766212767</v>
      </c>
      <c r="E81" s="7">
        <f t="shared" ca="1" si="29"/>
        <v>169555.36957700935</v>
      </c>
      <c r="F81" s="268">
        <f t="shared" si="31"/>
        <v>2.8149250000000001E-2</v>
      </c>
      <c r="G81" s="288">
        <v>2.4568500000000002</v>
      </c>
      <c r="H81">
        <f t="shared" si="32"/>
        <v>2.4329999999999998</v>
      </c>
      <c r="I81" s="47"/>
      <c r="J81" s="257"/>
      <c r="K81" s="243">
        <f t="shared" si="27"/>
        <v>10351.16</v>
      </c>
      <c r="L81" s="7">
        <f t="shared" ca="1" si="22"/>
        <v>10642.203277338047</v>
      </c>
      <c r="M81" s="7">
        <f t="shared" ca="1" si="23"/>
        <v>-291.04327733804649</v>
      </c>
      <c r="N81" s="7">
        <f t="shared" ca="1" si="24"/>
        <v>-133895.99096990432</v>
      </c>
      <c r="P81" s="63"/>
      <c r="U81" s="7"/>
      <c r="V81" s="7"/>
      <c r="W81" s="7"/>
      <c r="BB81" s="187">
        <v>42227</v>
      </c>
      <c r="BC81" s="180">
        <v>4.5999999999999999E-2</v>
      </c>
      <c r="BD81" s="191">
        <v>42227</v>
      </c>
      <c r="BE81" s="192">
        <v>0.45300000000000001</v>
      </c>
      <c r="BH81" s="94">
        <v>42194</v>
      </c>
      <c r="BI81" s="95">
        <v>0.58399999999999996</v>
      </c>
      <c r="BJ81" s="96">
        <v>8.4</v>
      </c>
    </row>
    <row r="82" spans="1:62" ht="15">
      <c r="A82" s="236">
        <v>46143</v>
      </c>
      <c r="B82" s="7">
        <f t="shared" si="33"/>
        <v>4775.6788399534489</v>
      </c>
      <c r="C82" s="7">
        <f t="shared" ca="1" si="28"/>
        <v>2375.9926617343403</v>
      </c>
      <c r="D82" s="7">
        <f t="shared" ca="1" si="26"/>
        <v>2399.6861782191086</v>
      </c>
      <c r="E82" s="7">
        <f t="shared" ca="1" si="29"/>
        <v>167179.376915275</v>
      </c>
      <c r="F82" s="268">
        <f t="shared" si="31"/>
        <v>2.8018799999999996E-2</v>
      </c>
      <c r="G82" s="288">
        <v>2.4307599999999998</v>
      </c>
      <c r="H82">
        <f t="shared" si="32"/>
        <v>2.4329999999999998</v>
      </c>
      <c r="I82" s="47"/>
      <c r="J82" s="257"/>
      <c r="K82" s="243">
        <f t="shared" si="27"/>
        <v>10351.16</v>
      </c>
      <c r="L82" s="7">
        <f t="shared" ca="1" si="22"/>
        <v>10662.178071024593</v>
      </c>
      <c r="M82" s="7">
        <f t="shared" ca="1" si="23"/>
        <v>-311.01807102459281</v>
      </c>
      <c r="N82" s="7">
        <f t="shared" ca="1" si="24"/>
        <v>-144558.16904092891</v>
      </c>
      <c r="P82" s="63"/>
      <c r="U82" s="7"/>
      <c r="V82" s="7"/>
      <c r="W82" s="7"/>
      <c r="BB82" s="187">
        <v>42228</v>
      </c>
      <c r="BC82" s="180">
        <v>4.5999999999999999E-2</v>
      </c>
      <c r="BD82" s="191">
        <v>42228</v>
      </c>
      <c r="BE82" s="192">
        <v>0.44500000000000001</v>
      </c>
      <c r="BH82" s="94">
        <v>42195</v>
      </c>
      <c r="BI82" s="95">
        <v>0.58299999999999996</v>
      </c>
      <c r="BJ82" s="96">
        <v>8.39</v>
      </c>
    </row>
    <row r="83" spans="1:62" ht="15">
      <c r="A83" s="237">
        <v>46327</v>
      </c>
      <c r="B83" s="7">
        <f t="shared" si="33"/>
        <v>4775.6788399534489</v>
      </c>
      <c r="C83" s="7">
        <f t="shared" ca="1" si="28"/>
        <v>2381.5497933753322</v>
      </c>
      <c r="D83" s="7">
        <f t="shared" ca="1" si="26"/>
        <v>2394.1290465781167</v>
      </c>
      <c r="E83" s="7">
        <f t="shared" ca="1" si="29"/>
        <v>164797.82712189967</v>
      </c>
      <c r="F83" s="268">
        <f t="shared" si="31"/>
        <v>2.7998450000000001E-2</v>
      </c>
      <c r="G83" s="288">
        <v>2.4266899999999998</v>
      </c>
      <c r="H83">
        <f t="shared" si="32"/>
        <v>2.4329999999999998</v>
      </c>
      <c r="I83" s="47"/>
      <c r="J83" s="257"/>
      <c r="K83" s="243">
        <f t="shared" si="27"/>
        <v>10351.16</v>
      </c>
      <c r="L83" s="7">
        <f t="shared" ca="1" si="22"/>
        <v>10692.51002316198</v>
      </c>
      <c r="M83" s="7">
        <f t="shared" ca="1" si="23"/>
        <v>-341.35002316198018</v>
      </c>
      <c r="N83" s="7">
        <f t="shared" ca="1" si="24"/>
        <v>-155250.67906409089</v>
      </c>
      <c r="P83" s="63"/>
      <c r="U83" s="7"/>
      <c r="V83" s="7"/>
      <c r="W83" s="7"/>
      <c r="BB83" s="187">
        <v>42229</v>
      </c>
      <c r="BC83" s="180">
        <v>4.5999999999999999E-2</v>
      </c>
      <c r="BD83" s="191">
        <v>42229</v>
      </c>
      <c r="BE83" s="192">
        <v>0.438</v>
      </c>
      <c r="BH83" s="94">
        <v>42198</v>
      </c>
      <c r="BI83" s="95">
        <v>0.58499999999999996</v>
      </c>
      <c r="BJ83" s="96">
        <v>8.39</v>
      </c>
    </row>
    <row r="84" spans="1:62" ht="15">
      <c r="A84" s="234">
        <v>46508</v>
      </c>
      <c r="B84" s="7">
        <f t="shared" si="33"/>
        <v>4775.6788399534489</v>
      </c>
      <c r="C84" s="7">
        <f t="shared" ca="1" si="28"/>
        <v>2455.8200793329252</v>
      </c>
      <c r="D84" s="7">
        <f t="shared" ca="1" si="26"/>
        <v>2319.8587606205238</v>
      </c>
      <c r="E84" s="7">
        <f t="shared" ca="1" si="29"/>
        <v>162342.00704256675</v>
      </c>
      <c r="F84" s="268">
        <f t="shared" si="31"/>
        <v>2.7992099999999999E-2</v>
      </c>
      <c r="G84" s="288">
        <v>2.4254199999999999</v>
      </c>
      <c r="H84">
        <f t="shared" si="32"/>
        <v>2.4329999999999998</v>
      </c>
      <c r="I84" s="47"/>
      <c r="J84" s="257"/>
      <c r="K84" s="243">
        <f t="shared" si="27"/>
        <v>10351.16</v>
      </c>
      <c r="L84" s="7">
        <f t="shared" ca="1" si="22"/>
        <v>10711.781452352705</v>
      </c>
      <c r="M84" s="7">
        <f t="shared" ca="1" si="23"/>
        <v>-360.62145235270577</v>
      </c>
      <c r="N84" s="7">
        <f t="shared" ca="1" si="24"/>
        <v>-165962.46051644359</v>
      </c>
      <c r="P84" s="63"/>
      <c r="U84" s="7"/>
      <c r="V84" s="7"/>
      <c r="W84" s="7"/>
      <c r="BB84" s="187">
        <v>42230</v>
      </c>
      <c r="BC84" s="180">
        <v>4.5999999999999999E-2</v>
      </c>
      <c r="BD84" s="191">
        <v>42230</v>
      </c>
      <c r="BE84" s="192">
        <v>0.433</v>
      </c>
      <c r="BH84" s="94">
        <v>42199</v>
      </c>
      <c r="BI84" s="95">
        <v>0.58499999999999996</v>
      </c>
      <c r="BJ84" s="96">
        <v>8.3800000000000008</v>
      </c>
    </row>
    <row r="85" spans="1:62" ht="15">
      <c r="A85" s="235">
        <v>46692</v>
      </c>
      <c r="B85" s="7">
        <f t="shared" si="33"/>
        <v>4775.6788399534489</v>
      </c>
      <c r="C85" s="7">
        <f t="shared" ca="1" si="28"/>
        <v>2453.03984011493</v>
      </c>
      <c r="D85" s="7">
        <f t="shared" ca="1" si="26"/>
        <v>2322.6389998385189</v>
      </c>
      <c r="E85" s="7">
        <f t="shared" ca="1" si="29"/>
        <v>159888.96720245181</v>
      </c>
      <c r="F85" s="268">
        <f t="shared" si="31"/>
        <v>2.799455E-2</v>
      </c>
      <c r="G85" s="288">
        <v>2.42591</v>
      </c>
      <c r="H85">
        <f t="shared" si="32"/>
        <v>2.4329999999999998</v>
      </c>
      <c r="I85" s="47"/>
      <c r="J85" s="257"/>
      <c r="K85" s="243">
        <f t="shared" si="27"/>
        <v>10351.16</v>
      </c>
      <c r="L85" s="7">
        <f t="shared" ca="1" si="22"/>
        <v>10743.052690099496</v>
      </c>
      <c r="M85" s="7">
        <f t="shared" ca="1" si="23"/>
        <v>-391.89269009949544</v>
      </c>
      <c r="N85" s="7">
        <f t="shared" ca="1" si="24"/>
        <v>-176705.51320654308</v>
      </c>
      <c r="P85" s="63"/>
      <c r="U85" s="7"/>
      <c r="V85" s="7"/>
      <c r="W85" s="7"/>
      <c r="BB85" s="187">
        <v>42233</v>
      </c>
      <c r="BC85" s="180">
        <v>4.3999999999999997E-2</v>
      </c>
      <c r="BD85" s="191">
        <v>42233</v>
      </c>
      <c r="BE85" s="192">
        <v>0.42899999999999999</v>
      </c>
      <c r="BH85" s="94">
        <v>42200</v>
      </c>
      <c r="BI85" s="95">
        <v>0.58199999999999996</v>
      </c>
      <c r="BJ85" s="96">
        <v>8.3800000000000008</v>
      </c>
    </row>
    <row r="86" spans="1:62" ht="15">
      <c r="A86" s="236">
        <v>46874</v>
      </c>
      <c r="B86" s="7">
        <f t="shared" si="33"/>
        <v>4775.6788399534489</v>
      </c>
      <c r="C86" s="7">
        <f t="shared" ca="1" si="28"/>
        <v>2512.8022205169868</v>
      </c>
      <c r="D86" s="7">
        <f t="shared" ca="1" si="26"/>
        <v>2262.8766194364621</v>
      </c>
      <c r="E86" s="7">
        <f t="shared" ca="1" si="29"/>
        <v>157376.16498193482</v>
      </c>
      <c r="F86" s="268">
        <f t="shared" si="31"/>
        <v>2.7996550000000002E-2</v>
      </c>
      <c r="G86" s="288">
        <v>2.42631</v>
      </c>
      <c r="H86">
        <f t="shared" si="32"/>
        <v>2.4329999999999998</v>
      </c>
      <c r="I86" s="47"/>
      <c r="J86" s="257"/>
      <c r="K86" s="243">
        <f t="shared" si="27"/>
        <v>10351.16</v>
      </c>
      <c r="L86" s="7">
        <f t="shared" ca="1" si="22"/>
        <v>10763.885177012749</v>
      </c>
      <c r="M86" s="7">
        <f t="shared" ca="1" si="23"/>
        <v>-412.7251770127491</v>
      </c>
      <c r="N86" s="7">
        <f t="shared" ca="1" si="24"/>
        <v>-187469.39838355582</v>
      </c>
      <c r="P86" s="63"/>
      <c r="U86" s="7"/>
      <c r="V86" s="7"/>
      <c r="W86" s="7"/>
      <c r="BB86" s="187">
        <v>42234</v>
      </c>
      <c r="BC86" s="180">
        <v>4.2999999999999997E-2</v>
      </c>
      <c r="BD86" s="191">
        <v>42234</v>
      </c>
      <c r="BE86" s="192">
        <v>0.42499999999999999</v>
      </c>
      <c r="BH86" s="94">
        <v>42201</v>
      </c>
      <c r="BI86" s="95">
        <v>0.57999999999999996</v>
      </c>
      <c r="BJ86" s="96">
        <v>8.3800000000000008</v>
      </c>
    </row>
    <row r="87" spans="1:62" ht="15">
      <c r="A87" s="237">
        <v>47058</v>
      </c>
      <c r="B87" s="7">
        <f t="shared" si="33"/>
        <v>4775.6788399534489</v>
      </c>
      <c r="C87" s="7">
        <f t="shared" ca="1" si="28"/>
        <v>2523.7285632940107</v>
      </c>
      <c r="D87" s="7">
        <f t="shared" ca="1" si="26"/>
        <v>2251.9502766594383</v>
      </c>
      <c r="E87" s="7">
        <f t="shared" ca="1" si="29"/>
        <v>154852.43641864081</v>
      </c>
      <c r="F87" s="268">
        <f t="shared" si="31"/>
        <v>2.7975800000000002E-2</v>
      </c>
      <c r="G87" s="288">
        <v>2.4221599999999999</v>
      </c>
      <c r="H87">
        <f t="shared" si="32"/>
        <v>2.4329999999999998</v>
      </c>
      <c r="I87" s="47"/>
      <c r="J87" s="257"/>
      <c r="K87" s="243">
        <f t="shared" si="27"/>
        <v>10351.16</v>
      </c>
      <c r="L87" s="7">
        <f t="shared" ca="1" si="22"/>
        <v>10793.837739383036</v>
      </c>
      <c r="M87" s="7">
        <f t="shared" ca="1" si="23"/>
        <v>-442.67773938303645</v>
      </c>
      <c r="N87" s="7">
        <f t="shared" ca="1" si="24"/>
        <v>-198263.23612293886</v>
      </c>
      <c r="P87" s="63"/>
      <c r="U87" s="7"/>
      <c r="V87" s="7"/>
      <c r="W87" s="7"/>
      <c r="BB87" s="187">
        <v>42235</v>
      </c>
      <c r="BC87" s="180">
        <v>4.2000000000000003E-2</v>
      </c>
      <c r="BD87" s="191">
        <v>42235</v>
      </c>
      <c r="BE87" s="192">
        <v>0.42199999999999999</v>
      </c>
      <c r="BH87" s="94">
        <v>42202</v>
      </c>
      <c r="BI87" s="95">
        <v>0.57799999999999996</v>
      </c>
      <c r="BJ87" s="96">
        <v>8.3800000000000008</v>
      </c>
    </row>
    <row r="88" spans="1:62" ht="15">
      <c r="A88" s="234">
        <v>47239</v>
      </c>
      <c r="B88" s="7">
        <f t="shared" si="33"/>
        <v>4775.6788399534489</v>
      </c>
      <c r="C88" s="7">
        <f t="shared" ca="1" si="28"/>
        <v>2597.5847757099186</v>
      </c>
      <c r="D88" s="7">
        <f t="shared" ca="1" si="26"/>
        <v>2178.0940642435303</v>
      </c>
      <c r="E88" s="7">
        <f t="shared" ca="1" si="29"/>
        <v>152254.85164293088</v>
      </c>
      <c r="F88" s="268">
        <f t="shared" si="31"/>
        <v>2.7970200000000001E-2</v>
      </c>
      <c r="G88" s="288">
        <v>2.4210400000000001</v>
      </c>
      <c r="H88">
        <f t="shared" si="32"/>
        <v>2.4329999999999998</v>
      </c>
      <c r="I88" s="47"/>
      <c r="J88" s="257"/>
      <c r="K88" s="243">
        <f t="shared" si="27"/>
        <v>10351.16</v>
      </c>
      <c r="L88" s="7">
        <f t="shared" ca="1" si="22"/>
        <v>10811.692453640899</v>
      </c>
      <c r="M88" s="7">
        <f t="shared" ca="1" si="23"/>
        <v>-460.5324536408998</v>
      </c>
      <c r="N88" s="7">
        <f t="shared" ca="1" si="24"/>
        <v>-209074.92857657975</v>
      </c>
      <c r="P88" s="63"/>
      <c r="U88" s="7"/>
      <c r="V88" s="7"/>
      <c r="W88" s="7"/>
      <c r="BB88" s="187">
        <v>42236</v>
      </c>
      <c r="BC88" s="180">
        <v>4.2000000000000003E-2</v>
      </c>
      <c r="BD88" s="191">
        <v>42236</v>
      </c>
      <c r="BE88" s="192">
        <v>0.41699999999999998</v>
      </c>
      <c r="BH88" s="94">
        <v>42205</v>
      </c>
      <c r="BI88" s="95">
        <v>0.57099999999999995</v>
      </c>
      <c r="BJ88" s="96">
        <v>8.3699999999999992</v>
      </c>
    </row>
    <row r="89" spans="1:62" ht="15">
      <c r="A89" s="235">
        <v>47423</v>
      </c>
      <c r="B89" s="7">
        <f t="shared" si="33"/>
        <v>4775.6788399534489</v>
      </c>
      <c r="C89" s="7">
        <f t="shared" ca="1" si="28"/>
        <v>2599.0617514483065</v>
      </c>
      <c r="D89" s="7">
        <f t="shared" ca="1" si="26"/>
        <v>2176.6170885051424</v>
      </c>
      <c r="E89" s="7">
        <f t="shared" ca="1" si="29"/>
        <v>149655.78989148256</v>
      </c>
      <c r="F89" s="268">
        <f t="shared" si="31"/>
        <v>2.8218899999999998E-2</v>
      </c>
      <c r="G89" s="288">
        <v>2.47078</v>
      </c>
      <c r="H89">
        <f t="shared" si="32"/>
        <v>2.4329999999999998</v>
      </c>
      <c r="I89" s="47"/>
      <c r="J89" s="47"/>
      <c r="K89" s="243">
        <f t="shared" si="27"/>
        <v>10351.16</v>
      </c>
      <c r="L89" s="7">
        <f t="shared" ca="1" si="22"/>
        <v>10844.855598012164</v>
      </c>
      <c r="M89" s="7">
        <f t="shared" ca="1" si="23"/>
        <v>-493.69559801216366</v>
      </c>
      <c r="N89" s="7">
        <f t="shared" ca="1" si="24"/>
        <v>-219919.78417459191</v>
      </c>
      <c r="P89" s="63"/>
      <c r="U89" s="7"/>
      <c r="V89" s="7"/>
      <c r="W89" s="7"/>
      <c r="BB89" s="187">
        <v>42237</v>
      </c>
      <c r="BC89" s="180">
        <v>4.2000000000000003E-2</v>
      </c>
      <c r="BD89" s="191">
        <v>42237</v>
      </c>
      <c r="BE89" s="192">
        <v>0.41499999999999998</v>
      </c>
      <c r="BH89" s="94">
        <v>42206</v>
      </c>
      <c r="BI89" s="95">
        <v>0.56399999999999995</v>
      </c>
      <c r="BJ89" s="96">
        <v>8.36</v>
      </c>
    </row>
    <row r="90" spans="1:62" ht="15">
      <c r="A90" s="236">
        <v>47604</v>
      </c>
      <c r="B90" s="7">
        <f t="shared" si="33"/>
        <v>4775.6788399534489</v>
      </c>
      <c r="C90" s="7">
        <f t="shared" ca="1" si="28"/>
        <v>2652.3870614652687</v>
      </c>
      <c r="D90" s="7">
        <f t="shared" ca="1" si="26"/>
        <v>2123.2917784881802</v>
      </c>
      <c r="E90" s="7">
        <f t="shared" ca="1" si="29"/>
        <v>147003.40283001729</v>
      </c>
      <c r="F90" s="268">
        <f t="shared" si="31"/>
        <v>2.8308699999999999E-2</v>
      </c>
      <c r="G90" s="288">
        <v>2.48874</v>
      </c>
      <c r="H90">
        <f t="shared" si="32"/>
        <v>2.4329999999999998</v>
      </c>
      <c r="I90" s="47"/>
      <c r="J90" s="47"/>
      <c r="K90" s="243">
        <f t="shared" si="27"/>
        <v>10351.16</v>
      </c>
      <c r="L90" s="7">
        <f t="shared" ca="1" si="22"/>
        <v>10861.997005340214</v>
      </c>
      <c r="M90" s="7">
        <f t="shared" ca="1" si="23"/>
        <v>-510.8370053402146</v>
      </c>
      <c r="N90" s="7">
        <f t="shared" ca="1" si="24"/>
        <v>-230781.78117993212</v>
      </c>
      <c r="P90" s="63"/>
      <c r="U90" s="7"/>
      <c r="V90" s="7"/>
      <c r="W90" s="7"/>
      <c r="BB90" s="187">
        <v>42240</v>
      </c>
      <c r="BC90" s="180">
        <v>4.1000000000000002E-2</v>
      </c>
      <c r="BD90" s="191">
        <v>42240</v>
      </c>
      <c r="BE90" s="192">
        <v>0.41299999999999998</v>
      </c>
      <c r="BH90" s="94">
        <v>42207</v>
      </c>
      <c r="BI90" s="95">
        <v>0.55800000000000005</v>
      </c>
      <c r="BJ90" s="96">
        <v>8.36</v>
      </c>
    </row>
    <row r="91" spans="1:62" ht="15">
      <c r="A91" s="237">
        <v>47788</v>
      </c>
      <c r="B91" s="7">
        <f t="shared" si="33"/>
        <v>4775.6788399534489</v>
      </c>
      <c r="C91" s="7">
        <f t="shared" ca="1" si="28"/>
        <v>2648.7026114431255</v>
      </c>
      <c r="D91" s="7">
        <f t="shared" ca="1" si="26"/>
        <v>2126.9762285103234</v>
      </c>
      <c r="E91" s="7">
        <f t="shared" ca="1" si="29"/>
        <v>144354.70021857417</v>
      </c>
      <c r="F91" s="268">
        <f t="shared" si="31"/>
        <v>2.8530649999999998E-2</v>
      </c>
      <c r="G91" s="288">
        <v>2.5331299999999999</v>
      </c>
      <c r="H91">
        <f t="shared" si="32"/>
        <v>2.4329999999999998</v>
      </c>
      <c r="I91" s="47"/>
      <c r="J91" s="47"/>
      <c r="K91" s="243">
        <f t="shared" si="27"/>
        <v>10351.16</v>
      </c>
      <c r="L91" s="7">
        <f t="shared" ca="1" si="22"/>
        <v>10896.112712626213</v>
      </c>
      <c r="M91" s="7">
        <f t="shared" ca="1" si="23"/>
        <v>-544.95271262621304</v>
      </c>
      <c r="N91" s="7">
        <f t="shared" ca="1" si="24"/>
        <v>-241677.89389255832</v>
      </c>
      <c r="P91" s="63"/>
      <c r="U91" s="7"/>
      <c r="V91" s="7"/>
      <c r="W91" s="7"/>
      <c r="BB91" s="187">
        <v>42241</v>
      </c>
      <c r="BC91" s="180">
        <v>4.1000000000000002E-2</v>
      </c>
      <c r="BD91" s="191">
        <v>42241</v>
      </c>
      <c r="BE91" s="192">
        <v>0.41299999999999998</v>
      </c>
      <c r="BH91" s="94">
        <v>42208</v>
      </c>
      <c r="BI91" s="95">
        <v>0.55100000000000005</v>
      </c>
      <c r="BJ91" s="96">
        <v>8.36</v>
      </c>
    </row>
    <row r="92" spans="1:62" ht="15">
      <c r="A92" s="234">
        <v>47969</v>
      </c>
      <c r="B92" s="7">
        <f t="shared" si="33"/>
        <v>4775.6788399534489</v>
      </c>
      <c r="C92" s="7">
        <f t="shared" ca="1" si="28"/>
        <v>2704.9717554251642</v>
      </c>
      <c r="D92" s="7">
        <f t="shared" ca="1" si="26"/>
        <v>2070.7070845282847</v>
      </c>
      <c r="E92" s="7">
        <f t="shared" ca="1" si="29"/>
        <v>141649.72846314902</v>
      </c>
      <c r="F92" s="268">
        <f t="shared" si="31"/>
        <v>2.8605449999999998E-2</v>
      </c>
      <c r="G92" s="288">
        <v>2.5480900000000002</v>
      </c>
      <c r="H92">
        <f t="shared" si="32"/>
        <v>2.4329999999999998</v>
      </c>
      <c r="I92" s="47"/>
      <c r="J92" s="47"/>
      <c r="K92" s="243">
        <f t="shared" si="27"/>
        <v>10351.16</v>
      </c>
      <c r="L92" s="7">
        <f t="shared" ca="1" si="22"/>
        <v>10912.537467863431</v>
      </c>
      <c r="M92" s="7">
        <f t="shared" ca="1" si="23"/>
        <v>-561.37746786343087</v>
      </c>
      <c r="N92" s="7">
        <f t="shared" ca="1" si="24"/>
        <v>-252590.43136042176</v>
      </c>
      <c r="P92" s="63"/>
      <c r="U92" s="7"/>
      <c r="V92" s="7"/>
      <c r="W92" s="7"/>
      <c r="BB92" s="187">
        <v>42242</v>
      </c>
      <c r="BC92" s="180">
        <v>3.9E-2</v>
      </c>
      <c r="BD92" s="191">
        <v>42242</v>
      </c>
      <c r="BE92" s="192">
        <v>0.41499999999999998</v>
      </c>
      <c r="BH92" s="94">
        <v>42209</v>
      </c>
      <c r="BI92" s="95">
        <v>0.54300000000000004</v>
      </c>
      <c r="BJ92" s="96">
        <v>8.36</v>
      </c>
    </row>
    <row r="93" spans="1:62" ht="15">
      <c r="A93" s="235">
        <v>48153</v>
      </c>
      <c r="B93" s="7">
        <f t="shared" si="33"/>
        <v>4775.6788399534489</v>
      </c>
      <c r="C93" s="7">
        <f t="shared" ca="1" si="28"/>
        <v>2704.6800138085096</v>
      </c>
      <c r="D93" s="7">
        <f t="shared" ca="1" si="26"/>
        <v>2070.9988261449394</v>
      </c>
      <c r="E93" s="7">
        <f t="shared" ca="1" si="29"/>
        <v>138945.04844934051</v>
      </c>
      <c r="F93" s="268">
        <f t="shared" si="31"/>
        <v>2.8801649999999998E-2</v>
      </c>
      <c r="G93" s="288">
        <v>2.5873300000000001</v>
      </c>
      <c r="H93">
        <f t="shared" si="32"/>
        <v>2.4329999999999998</v>
      </c>
      <c r="I93" s="47"/>
      <c r="J93" s="47"/>
      <c r="K93" s="243">
        <f t="shared" si="27"/>
        <v>10351.16</v>
      </c>
      <c r="L93" s="7">
        <f t="shared" ca="1" si="22"/>
        <v>10947.610205252409</v>
      </c>
      <c r="M93" s="7">
        <f t="shared" ca="1" si="23"/>
        <v>-596.45020525240932</v>
      </c>
      <c r="N93" s="7">
        <f t="shared" ca="1" si="24"/>
        <v>-263538.04156567418</v>
      </c>
      <c r="P93" s="63"/>
      <c r="U93" s="7"/>
      <c r="V93" s="7"/>
      <c r="W93" s="7"/>
      <c r="BB93" s="187">
        <v>42243</v>
      </c>
      <c r="BC93" s="180">
        <v>3.9E-2</v>
      </c>
      <c r="BD93" s="191">
        <v>42243</v>
      </c>
      <c r="BE93" s="192">
        <v>0.41799999999999998</v>
      </c>
      <c r="BH93" s="94">
        <v>42212</v>
      </c>
      <c r="BI93" s="95">
        <v>0.53500000000000003</v>
      </c>
      <c r="BJ93" s="96">
        <v>8.35</v>
      </c>
    </row>
    <row r="94" spans="1:62" ht="15">
      <c r="A94" s="236">
        <v>48335</v>
      </c>
      <c r="B94" s="7">
        <f t="shared" si="33"/>
        <v>4775.6788399534489</v>
      </c>
      <c r="C94" s="7">
        <f t="shared" ca="1" si="28"/>
        <v>2752.5230312031363</v>
      </c>
      <c r="D94" s="7">
        <f t="shared" ca="1" si="26"/>
        <v>2023.1558087503124</v>
      </c>
      <c r="E94" s="7">
        <f t="shared" ca="1" si="29"/>
        <v>136192.52541813737</v>
      </c>
      <c r="F94" s="268">
        <f t="shared" si="31"/>
        <v>2.8869399999999996E-2</v>
      </c>
      <c r="G94" s="288">
        <v>2.6008800000000001</v>
      </c>
      <c r="H94">
        <f t="shared" si="32"/>
        <v>2.4329999999999998</v>
      </c>
      <c r="I94" s="47"/>
      <c r="J94" s="47"/>
      <c r="K94" s="243">
        <f t="shared" si="27"/>
        <v>10351.16</v>
      </c>
      <c r="L94" s="7">
        <f t="shared" ca="1" si="22"/>
        <v>10966.69701908356</v>
      </c>
      <c r="M94" s="7">
        <f t="shared" ca="1" si="23"/>
        <v>-615.5370190835597</v>
      </c>
      <c r="N94" s="7">
        <f t="shared" ca="1" si="24"/>
        <v>-274504.73858475772</v>
      </c>
      <c r="P94" s="63"/>
      <c r="U94" s="7"/>
      <c r="V94" s="7"/>
      <c r="W94" s="7"/>
      <c r="BB94" s="187">
        <v>42244</v>
      </c>
      <c r="BC94" s="180">
        <v>0.04</v>
      </c>
      <c r="BD94" s="191">
        <v>42244</v>
      </c>
      <c r="BE94" s="192">
        <v>0.42099999999999999</v>
      </c>
      <c r="BH94" s="94">
        <v>42213</v>
      </c>
      <c r="BI94" s="95">
        <v>0.52900000000000003</v>
      </c>
      <c r="BJ94" s="96">
        <v>8.35</v>
      </c>
    </row>
    <row r="95" spans="1:62" ht="15">
      <c r="A95" s="237">
        <v>48519</v>
      </c>
      <c r="B95" s="7">
        <f t="shared" si="33"/>
        <v>4775.6788399534489</v>
      </c>
      <c r="C95" s="7">
        <f t="shared" ca="1" si="28"/>
        <v>2766.0939655968577</v>
      </c>
      <c r="D95" s="7">
        <f t="shared" ca="1" si="26"/>
        <v>2009.5848743565914</v>
      </c>
      <c r="E95" s="7">
        <f t="shared" ca="1" si="29"/>
        <v>133426.43145254051</v>
      </c>
      <c r="F95" s="268">
        <f t="shared" si="31"/>
        <v>2.8935700000000002E-2</v>
      </c>
      <c r="G95" s="288">
        <v>2.6141399999999999</v>
      </c>
      <c r="H95">
        <f t="shared" si="32"/>
        <v>2.4329999999999998</v>
      </c>
      <c r="I95" s="47"/>
      <c r="J95" s="47"/>
      <c r="K95" s="243">
        <f t="shared" si="27"/>
        <v>10351.16</v>
      </c>
      <c r="L95" s="7">
        <f t="shared" ca="1" si="22"/>
        <v>10999.357189378141</v>
      </c>
      <c r="M95" s="7">
        <f t="shared" ca="1" si="23"/>
        <v>-648.19718937814127</v>
      </c>
      <c r="N95" s="7">
        <f t="shared" ca="1" si="24"/>
        <v>-285504.09577413584</v>
      </c>
      <c r="P95" s="63"/>
      <c r="BB95" s="187">
        <v>42247</v>
      </c>
      <c r="BC95" s="180">
        <v>3.9E-2</v>
      </c>
      <c r="BD95" s="191">
        <v>42247</v>
      </c>
      <c r="BE95" s="192">
        <v>0.42599999999999999</v>
      </c>
      <c r="BH95" s="94">
        <v>42214</v>
      </c>
      <c r="BI95" s="95">
        <v>0.52200000000000002</v>
      </c>
      <c r="BJ95" s="96">
        <v>8.34</v>
      </c>
    </row>
    <row r="96" spans="1:62" ht="15">
      <c r="A96" s="234">
        <v>48700</v>
      </c>
      <c r="B96" s="7">
        <f t="shared" si="33"/>
        <v>4775.6788399534489</v>
      </c>
      <c r="C96" s="7">
        <f t="shared" ca="1" si="28"/>
        <v>2834.560834794529</v>
      </c>
      <c r="D96" s="7">
        <f t="shared" ca="1" si="26"/>
        <v>1941.1180051589197</v>
      </c>
      <c r="E96" s="7">
        <f t="shared" ca="1" si="29"/>
        <v>130591.87061774598</v>
      </c>
      <c r="F96" s="268">
        <f t="shared" si="31"/>
        <v>2.8962250000000002E-2</v>
      </c>
      <c r="G96" s="288">
        <v>2.6194500000000001</v>
      </c>
      <c r="H96">
        <f t="shared" si="32"/>
        <v>2.4329999999999998</v>
      </c>
      <c r="I96" s="47"/>
      <c r="J96" s="47"/>
      <c r="K96" s="243">
        <f t="shared" si="27"/>
        <v>10351.16</v>
      </c>
      <c r="L96" s="7">
        <f t="shared" ca="1" si="22"/>
        <v>11014.338430467355</v>
      </c>
      <c r="M96" s="7">
        <f t="shared" ca="1" si="23"/>
        <v>-663.17843046735527</v>
      </c>
      <c r="N96" s="7">
        <f t="shared" ca="1" si="24"/>
        <v>-296518.4342046032</v>
      </c>
      <c r="P96" s="63"/>
      <c r="BB96" s="187">
        <v>42248</v>
      </c>
      <c r="BC96" s="180">
        <v>3.9E-2</v>
      </c>
      <c r="BD96" s="191">
        <v>42248</v>
      </c>
      <c r="BE96" s="192">
        <v>0.433</v>
      </c>
      <c r="BH96" s="94">
        <v>42215</v>
      </c>
      <c r="BI96" s="95">
        <v>0.51100000000000001</v>
      </c>
      <c r="BJ96" s="96">
        <v>8.34</v>
      </c>
    </row>
    <row r="97" spans="1:62" ht="15">
      <c r="A97" s="235">
        <v>48884</v>
      </c>
      <c r="B97" s="7">
        <f t="shared" si="33"/>
        <v>4775.6788399534489</v>
      </c>
      <c r="C97" s="7">
        <f t="shared" ca="1" si="28"/>
        <v>2842.5368108340554</v>
      </c>
      <c r="D97" s="7">
        <f t="shared" ca="1" si="26"/>
        <v>1933.1420291193938</v>
      </c>
      <c r="E97" s="7">
        <f t="shared" ca="1" si="29"/>
        <v>127749.33380691192</v>
      </c>
      <c r="F97" s="268">
        <f t="shared" si="31"/>
        <v>2.8746899999999999E-2</v>
      </c>
      <c r="G97" s="288">
        <v>2.5763799999999999</v>
      </c>
      <c r="H97">
        <f t="shared" si="32"/>
        <v>2.4329999999999998</v>
      </c>
      <c r="I97" s="47"/>
      <c r="J97" s="47"/>
      <c r="K97" s="243">
        <f t="shared" si="27"/>
        <v>10351.16</v>
      </c>
      <c r="L97" s="7">
        <f t="shared" ca="1" si="22"/>
        <v>11051.338862635137</v>
      </c>
      <c r="M97" s="7">
        <f t="shared" ca="1" si="23"/>
        <v>-700.17886263513628</v>
      </c>
      <c r="N97" s="7">
        <f t="shared" ca="1" si="24"/>
        <v>-307569.77306723833</v>
      </c>
      <c r="P97" s="63"/>
      <c r="BB97" s="187">
        <v>42249</v>
      </c>
      <c r="BC97" s="180">
        <v>3.9E-2</v>
      </c>
      <c r="BD97" s="191">
        <v>42249</v>
      </c>
      <c r="BE97" s="192">
        <v>0.437</v>
      </c>
      <c r="BH97" s="94">
        <v>42216</v>
      </c>
      <c r="BI97" s="95">
        <v>0.501</v>
      </c>
      <c r="BJ97" s="96">
        <v>8.34</v>
      </c>
    </row>
    <row r="98" spans="1:62" ht="15">
      <c r="A98" s="236">
        <v>49065</v>
      </c>
      <c r="B98" s="7">
        <f t="shared" si="33"/>
        <v>4775.6788399534489</v>
      </c>
      <c r="C98" s="7">
        <f t="shared" ca="1" si="28"/>
        <v>2929.2790742686743</v>
      </c>
      <c r="D98" s="7">
        <f t="shared" ca="1" si="26"/>
        <v>1846.3997656847746</v>
      </c>
      <c r="E98" s="7">
        <f t="shared" ca="1" si="29"/>
        <v>124820.05473264324</v>
      </c>
      <c r="F98" s="268">
        <f t="shared" si="31"/>
        <v>2.8671100000000005E-2</v>
      </c>
      <c r="G98" s="288">
        <v>2.5612200000000001</v>
      </c>
      <c r="H98">
        <f t="shared" si="32"/>
        <v>2.4329999999999998</v>
      </c>
      <c r="I98" s="47"/>
      <c r="J98" s="47"/>
      <c r="K98" s="243">
        <f t="shared" si="27"/>
        <v>10351.16</v>
      </c>
      <c r="L98" s="7">
        <f t="shared" ca="1" si="22"/>
        <v>11065.59332120635</v>
      </c>
      <c r="M98" s="7">
        <f t="shared" ca="1" si="23"/>
        <v>-714.43332120635012</v>
      </c>
      <c r="N98" s="7">
        <f t="shared" ca="1" si="24"/>
        <v>-318635.36638844467</v>
      </c>
      <c r="P98" s="63"/>
      <c r="BB98" s="187">
        <v>42250</v>
      </c>
      <c r="BC98" s="180">
        <v>3.7999999999999999E-2</v>
      </c>
      <c r="BD98" s="191">
        <v>42250</v>
      </c>
      <c r="BE98" s="192">
        <v>0.439</v>
      </c>
      <c r="BH98" s="94">
        <v>42219</v>
      </c>
      <c r="BI98" s="95">
        <v>0.49199999999999999</v>
      </c>
      <c r="BJ98" s="96">
        <v>8.33</v>
      </c>
    </row>
    <row r="99" spans="1:62" ht="15">
      <c r="A99" s="237">
        <v>49249</v>
      </c>
      <c r="B99" s="7">
        <f t="shared" si="33"/>
        <v>4775.6788399534489</v>
      </c>
      <c r="C99" s="7">
        <f t="shared" ca="1" si="28"/>
        <v>2946.5510568726258</v>
      </c>
      <c r="D99" s="7">
        <f t="shared" ca="1" si="26"/>
        <v>1829.1277830808228</v>
      </c>
      <c r="E99" s="7">
        <f t="shared" ca="1" si="29"/>
        <v>121873.50367577061</v>
      </c>
      <c r="F99" s="268">
        <f t="shared" si="31"/>
        <v>2.8353499999999997E-2</v>
      </c>
      <c r="G99" s="288">
        <v>2.4977</v>
      </c>
      <c r="H99">
        <f t="shared" si="32"/>
        <v>2.4329999999999998</v>
      </c>
      <c r="I99" s="47"/>
      <c r="J99" s="47"/>
      <c r="K99" s="243">
        <f t="shared" si="27"/>
        <v>10351.16</v>
      </c>
      <c r="L99" s="7">
        <f t="shared" ca="1" si="22"/>
        <v>11103.564311831913</v>
      </c>
      <c r="M99" s="7">
        <f t="shared" ca="1" si="23"/>
        <v>-752.40431183191413</v>
      </c>
      <c r="N99" s="7">
        <f t="shared" ca="1" si="24"/>
        <v>-329738.93070027657</v>
      </c>
      <c r="P99" s="63"/>
      <c r="BB99" s="187">
        <v>42251</v>
      </c>
      <c r="BC99" s="180">
        <v>3.7999999999999999E-2</v>
      </c>
      <c r="BD99" s="191">
        <v>42251</v>
      </c>
      <c r="BE99" s="192">
        <v>0.44</v>
      </c>
      <c r="BH99" s="94">
        <v>42220</v>
      </c>
      <c r="BI99" s="95">
        <v>0.48399999999999999</v>
      </c>
      <c r="BJ99" s="96">
        <v>8.33</v>
      </c>
    </row>
    <row r="100" spans="1:62" ht="15">
      <c r="A100" s="234">
        <v>49430</v>
      </c>
      <c r="B100" s="7">
        <f t="shared" si="33"/>
        <v>4775.6788399534489</v>
      </c>
      <c r="C100" s="7">
        <f t="shared" ca="1" si="28"/>
        <v>3038.3099234222154</v>
      </c>
      <c r="D100" s="7">
        <f t="shared" ca="1" si="26"/>
        <v>1737.3689165312335</v>
      </c>
      <c r="E100" s="7">
        <f t="shared" ca="1" si="29"/>
        <v>118835.19375234839</v>
      </c>
      <c r="F100" s="268">
        <f t="shared" si="31"/>
        <v>2.8243900000000002E-2</v>
      </c>
      <c r="G100" s="288">
        <v>2.4757799999999999</v>
      </c>
      <c r="H100">
        <f t="shared" si="32"/>
        <v>2.4329999999999998</v>
      </c>
      <c r="I100" s="47"/>
      <c r="J100" s="47"/>
      <c r="K100" s="243">
        <f t="shared" si="27"/>
        <v>10351.16</v>
      </c>
      <c r="L100" s="7">
        <f t="shared" ca="1" si="22"/>
        <v>11117.088579528292</v>
      </c>
      <c r="M100" s="7">
        <f t="shared" ca="1" si="23"/>
        <v>-765.92857952829229</v>
      </c>
      <c r="N100" s="7">
        <f t="shared" ca="1" si="24"/>
        <v>-340856.01927980484</v>
      </c>
      <c r="P100" s="63"/>
      <c r="BB100" s="187">
        <v>42254</v>
      </c>
      <c r="BC100" s="180">
        <v>3.7999999999999999E-2</v>
      </c>
      <c r="BD100" s="191">
        <v>42254</v>
      </c>
      <c r="BE100" s="192">
        <v>0.441</v>
      </c>
      <c r="BH100" s="94">
        <v>42221</v>
      </c>
      <c r="BI100" s="95">
        <v>0.48</v>
      </c>
      <c r="BJ100" s="96">
        <v>8.32</v>
      </c>
    </row>
    <row r="101" spans="1:62" ht="15">
      <c r="A101" s="235">
        <v>49614</v>
      </c>
      <c r="B101" s="7">
        <f t="shared" si="33"/>
        <v>4775.6788399534489</v>
      </c>
      <c r="C101" s="7">
        <f t="shared" ca="1" si="28"/>
        <v>3060.2011830000065</v>
      </c>
      <c r="D101" s="7">
        <f t="shared" ca="1" si="26"/>
        <v>1715.4776569534426</v>
      </c>
      <c r="E101" s="7">
        <f t="shared" ca="1" si="29"/>
        <v>115774.99256934838</v>
      </c>
      <c r="F101" s="268">
        <f t="shared" si="31"/>
        <v>2.7749799999999998E-2</v>
      </c>
      <c r="G101" s="288">
        <v>2.37696</v>
      </c>
      <c r="H101">
        <f t="shared" si="32"/>
        <v>2.4329999999999998</v>
      </c>
      <c r="I101" s="47"/>
      <c r="J101" s="47"/>
      <c r="K101" s="243">
        <f t="shared" si="27"/>
        <v>10351.16</v>
      </c>
      <c r="L101" s="7">
        <f t="shared" ca="1" si="22"/>
        <v>11156.034680192712</v>
      </c>
      <c r="M101" s="7">
        <f t="shared" ca="1" si="23"/>
        <v>-804.8746801927125</v>
      </c>
      <c r="N101" s="7">
        <f t="shared" ca="1" si="24"/>
        <v>-352012.05395999755</v>
      </c>
      <c r="P101" s="63"/>
      <c r="BB101" s="187">
        <v>42255</v>
      </c>
      <c r="BC101" s="180">
        <v>3.7999999999999999E-2</v>
      </c>
      <c r="BD101" s="191">
        <v>42255</v>
      </c>
      <c r="BE101" s="192">
        <v>0.443</v>
      </c>
      <c r="BH101" s="94">
        <v>42222</v>
      </c>
      <c r="BI101" s="95">
        <v>0.48099999999999998</v>
      </c>
      <c r="BJ101" s="96">
        <v>8.3800000000000008</v>
      </c>
    </row>
    <row r="102" spans="1:62" ht="15">
      <c r="A102" s="236">
        <v>49796</v>
      </c>
      <c r="B102" s="7">
        <f t="shared" si="33"/>
        <v>4775.6788399534489</v>
      </c>
      <c r="C102" s="7">
        <f t="shared" ca="1" si="28"/>
        <v>3151.4638795041037</v>
      </c>
      <c r="D102" s="7">
        <f t="shared" ca="1" si="26"/>
        <v>1624.2149604493454</v>
      </c>
      <c r="E102" s="7">
        <f t="shared" ca="1" si="29"/>
        <v>112623.52868984427</v>
      </c>
      <c r="F102" s="268">
        <f t="shared" si="31"/>
        <v>2.757925E-2</v>
      </c>
      <c r="G102" s="288">
        <v>2.3428499999999999</v>
      </c>
      <c r="H102">
        <f t="shared" si="32"/>
        <v>2.4329999999999998</v>
      </c>
      <c r="I102" s="47"/>
      <c r="J102" s="47"/>
      <c r="K102" s="243">
        <f t="shared" si="27"/>
        <v>10351.16</v>
      </c>
      <c r="L102" s="7">
        <f t="shared" ca="1" si="22"/>
        <v>11173.342820699234</v>
      </c>
      <c r="M102" s="7">
        <f t="shared" ca="1" si="23"/>
        <v>-822.1828206992343</v>
      </c>
      <c r="N102" s="7">
        <f t="shared" ca="1" si="24"/>
        <v>-363185.39678069676</v>
      </c>
      <c r="P102" s="63"/>
      <c r="BB102" s="187">
        <v>42256</v>
      </c>
      <c r="BC102" s="180">
        <v>3.7999999999999999E-2</v>
      </c>
      <c r="BD102" s="191">
        <v>42256</v>
      </c>
      <c r="BE102" s="192">
        <v>0.44700000000000001</v>
      </c>
      <c r="BH102" s="94">
        <v>42223</v>
      </c>
      <c r="BI102" s="95">
        <v>0.47299999999999998</v>
      </c>
      <c r="BJ102" s="96">
        <v>8.3800000000000008</v>
      </c>
    </row>
    <row r="103" spans="1:62" ht="15">
      <c r="A103" s="237">
        <v>49980</v>
      </c>
      <c r="B103" s="7">
        <f t="shared" si="33"/>
        <v>4775.6788399534489</v>
      </c>
      <c r="C103" s="7">
        <f t="shared" ca="1" si="28"/>
        <v>3188.1306969924285</v>
      </c>
      <c r="D103" s="7">
        <f t="shared" ca="1" si="26"/>
        <v>1587.5481429610204</v>
      </c>
      <c r="E103" s="7">
        <f t="shared" ca="1" si="29"/>
        <v>109435.39799285184</v>
      </c>
      <c r="F103" s="268">
        <f t="shared" si="31"/>
        <v>2.6983649999999998E-2</v>
      </c>
      <c r="G103" s="288">
        <v>2.2237300000000002</v>
      </c>
      <c r="H103">
        <f t="shared" si="32"/>
        <v>2.4329999999999998</v>
      </c>
      <c r="I103" s="47"/>
      <c r="J103" s="47"/>
      <c r="K103" s="243">
        <f t="shared" si="27"/>
        <v>10351.16</v>
      </c>
      <c r="L103" s="7">
        <f t="shared" ca="1" si="22"/>
        <v>11208.761783598151</v>
      </c>
      <c r="M103" s="7">
        <f t="shared" ca="1" si="23"/>
        <v>-857.601783598152</v>
      </c>
      <c r="N103" s="7">
        <f t="shared" ca="1" si="24"/>
        <v>-374394.15856429492</v>
      </c>
      <c r="P103" s="63"/>
      <c r="BB103" s="187">
        <v>42257</v>
      </c>
      <c r="BC103" s="180">
        <v>3.7999999999999999E-2</v>
      </c>
      <c r="BD103" s="191">
        <v>42257</v>
      </c>
      <c r="BE103" s="192">
        <v>0.44900000000000001</v>
      </c>
      <c r="BH103" s="94">
        <v>42226</v>
      </c>
      <c r="BI103" s="95">
        <v>0.46300000000000002</v>
      </c>
      <c r="BJ103" s="96">
        <v>8.3699999999999992</v>
      </c>
    </row>
    <row r="104" spans="1:62" ht="15">
      <c r="A104" s="234">
        <v>50161</v>
      </c>
      <c r="B104" s="7">
        <f t="shared" si="33"/>
        <v>4775.6788399534489</v>
      </c>
      <c r="C104" s="7">
        <f t="shared" ca="1" si="28"/>
        <v>3290.9929167700693</v>
      </c>
      <c r="D104" s="7">
        <f t="shared" ca="1" si="26"/>
        <v>1484.6859231833798</v>
      </c>
      <c r="E104" s="7">
        <f t="shared" ca="1" si="29"/>
        <v>106144.40507608176</v>
      </c>
      <c r="F104" s="268">
        <f t="shared" si="31"/>
        <v>2.6783349999999997E-2</v>
      </c>
      <c r="G104" s="288">
        <v>2.1836700000000002</v>
      </c>
      <c r="H104">
        <f t="shared" si="32"/>
        <v>2.4329999999999998</v>
      </c>
      <c r="I104" s="47"/>
      <c r="J104" s="47"/>
      <c r="K104" s="243">
        <f t="shared" si="27"/>
        <v>10351.16</v>
      </c>
      <c r="L104" s="7">
        <f t="shared" ca="1" si="22"/>
        <v>11220.815231318429</v>
      </c>
      <c r="M104" s="7">
        <f t="shared" ca="1" si="23"/>
        <v>-869.65523131842963</v>
      </c>
      <c r="N104" s="7">
        <f t="shared" ca="1" si="24"/>
        <v>-385614.97379561333</v>
      </c>
      <c r="P104" s="63"/>
      <c r="BB104" s="187">
        <v>42258</v>
      </c>
      <c r="BC104" s="180">
        <v>3.6999999999999998E-2</v>
      </c>
      <c r="BD104" s="191">
        <v>42258</v>
      </c>
      <c r="BE104" s="192">
        <v>0.45</v>
      </c>
      <c r="BH104" s="94">
        <v>42227</v>
      </c>
      <c r="BI104" s="95">
        <v>0.45300000000000001</v>
      </c>
      <c r="BJ104" s="96">
        <v>8.3699999999999992</v>
      </c>
    </row>
    <row r="105" spans="1:62" ht="15">
      <c r="A105" s="235">
        <v>50345</v>
      </c>
      <c r="B105" s="7">
        <f t="shared" si="33"/>
        <v>4775.6788399534489</v>
      </c>
      <c r="C105" s="7">
        <f t="shared" ca="1" si="28"/>
        <v>3322.6396557540511</v>
      </c>
      <c r="D105" s="7">
        <f t="shared" ca="1" si="26"/>
        <v>1453.0391841993978</v>
      </c>
      <c r="E105" s="7">
        <f t="shared" ca="1" si="29"/>
        <v>102821.76542032771</v>
      </c>
      <c r="F105" s="268">
        <f t="shared" si="31"/>
        <v>2.6107199999999997E-2</v>
      </c>
      <c r="G105" s="288">
        <v>2.0484399999999998</v>
      </c>
      <c r="H105">
        <f t="shared" si="32"/>
        <v>2.4329999999999998</v>
      </c>
      <c r="I105" s="47"/>
      <c r="J105" s="47"/>
      <c r="K105" s="243">
        <f t="shared" si="27"/>
        <v>10351.16</v>
      </c>
      <c r="L105" s="7">
        <f t="shared" ca="1" si="22"/>
        <v>11261.725491456042</v>
      </c>
      <c r="M105" s="7">
        <f t="shared" ca="1" si="23"/>
        <v>-910.56549145604163</v>
      </c>
      <c r="N105" s="7">
        <f t="shared" ca="1" si="24"/>
        <v>-396876.69928706938</v>
      </c>
      <c r="P105" s="63"/>
      <c r="BB105" s="187">
        <v>42261</v>
      </c>
      <c r="BC105" s="180">
        <v>3.6999999999999998E-2</v>
      </c>
      <c r="BD105" s="191">
        <v>42261</v>
      </c>
      <c r="BE105" s="192">
        <v>0.45100000000000001</v>
      </c>
      <c r="BH105" s="94">
        <v>42228</v>
      </c>
      <c r="BI105" s="95">
        <v>0.44500000000000001</v>
      </c>
      <c r="BJ105" s="96">
        <v>8.3699999999999992</v>
      </c>
    </row>
    <row r="106" spans="1:62" ht="15">
      <c r="A106" s="236">
        <v>50526</v>
      </c>
      <c r="B106" s="7">
        <f t="shared" si="33"/>
        <v>4775.6788399534489</v>
      </c>
      <c r="C106" s="7">
        <f t="shared" ca="1" si="28"/>
        <v>3426.0280084343772</v>
      </c>
      <c r="D106" s="7">
        <f t="shared" ca="1" si="26"/>
        <v>1349.6508315190717</v>
      </c>
      <c r="E106" s="7">
        <f t="shared" ca="1" si="29"/>
        <v>99395.737411893322</v>
      </c>
      <c r="F106" s="268">
        <f t="shared" si="31"/>
        <v>2.5859050000000001E-2</v>
      </c>
      <c r="G106" s="288">
        <v>1.99881</v>
      </c>
      <c r="H106">
        <f t="shared" si="32"/>
        <v>2.4329999999999998</v>
      </c>
      <c r="I106" s="47"/>
      <c r="J106" s="47"/>
      <c r="K106" s="243">
        <f t="shared" si="27"/>
        <v>10351.16</v>
      </c>
      <c r="L106" s="7">
        <f t="shared" ca="1" si="22"/>
        <v>11273.038426327314</v>
      </c>
      <c r="M106" s="7">
        <f t="shared" ca="1" si="23"/>
        <v>-921.87842632731429</v>
      </c>
      <c r="N106" s="7">
        <f t="shared" ca="1" si="24"/>
        <v>-408149.73771339667</v>
      </c>
      <c r="P106" s="63"/>
      <c r="BB106" s="187">
        <v>42262</v>
      </c>
      <c r="BC106" s="180">
        <v>3.5999999999999997E-2</v>
      </c>
      <c r="BD106" s="191">
        <v>42262</v>
      </c>
      <c r="BE106" s="192">
        <v>0.49399999999999999</v>
      </c>
      <c r="BH106" s="94">
        <v>42229</v>
      </c>
      <c r="BI106" s="95">
        <v>0.438</v>
      </c>
      <c r="BJ106" s="96">
        <v>8.36</v>
      </c>
    </row>
    <row r="107" spans="1:62" ht="15">
      <c r="A107" s="237">
        <v>50710</v>
      </c>
      <c r="B107" s="7">
        <f t="shared" si="33"/>
        <v>4775.6788399534489</v>
      </c>
      <c r="C107" s="7">
        <f t="shared" ca="1" si="28"/>
        <v>3461.980508820483</v>
      </c>
      <c r="D107" s="7">
        <f t="shared" ca="1" si="26"/>
        <v>1313.6983311329657</v>
      </c>
      <c r="E107" s="7">
        <f t="shared" ca="1" si="29"/>
        <v>95933.756903072834</v>
      </c>
      <c r="F107" s="268">
        <f t="shared" si="31"/>
        <v>2.5142649999999996E-2</v>
      </c>
      <c r="G107" s="288">
        <v>1.8555299999999999</v>
      </c>
      <c r="H107">
        <f t="shared" si="32"/>
        <v>2.4329999999999998</v>
      </c>
      <c r="I107" s="47"/>
      <c r="J107" s="47"/>
      <c r="K107" s="243">
        <f t="shared" si="27"/>
        <v>10351.16</v>
      </c>
      <c r="L107" s="7">
        <f t="shared" ca="1" si="22"/>
        <v>11314.937580653901</v>
      </c>
      <c r="M107" s="7">
        <f t="shared" ca="1" si="23"/>
        <v>-963.7775806539006</v>
      </c>
      <c r="N107" s="7">
        <f t="shared" ca="1" si="24"/>
        <v>-419464.67529405054</v>
      </c>
      <c r="P107" s="63"/>
      <c r="BB107" s="187">
        <v>42263</v>
      </c>
      <c r="BC107" s="180">
        <v>3.5999999999999997E-2</v>
      </c>
      <c r="BD107" s="191">
        <v>42263</v>
      </c>
      <c r="BE107" s="192">
        <v>0.497</v>
      </c>
      <c r="BH107" s="94">
        <v>42230</v>
      </c>
      <c r="BI107" s="95">
        <v>0.433</v>
      </c>
      <c r="BJ107" s="96">
        <v>8.36</v>
      </c>
    </row>
    <row r="108" spans="1:62" ht="15">
      <c r="A108" s="234">
        <v>50891</v>
      </c>
      <c r="B108" s="7">
        <f t="shared" si="33"/>
        <v>4775.6788399534489</v>
      </c>
      <c r="C108" s="7">
        <f t="shared" ca="1" si="28"/>
        <v>3562.9643232511517</v>
      </c>
      <c r="D108" s="7">
        <f t="shared" ca="1" si="26"/>
        <v>1212.714516702297</v>
      </c>
      <c r="E108" s="7">
        <f t="shared" ca="1" si="29"/>
        <v>92370.792579821689</v>
      </c>
      <c r="F108" s="268">
        <f t="shared" si="31"/>
        <v>2.4877799999999999E-2</v>
      </c>
      <c r="G108" s="288">
        <v>1.8025599999999999</v>
      </c>
      <c r="H108">
        <f t="shared" si="32"/>
        <v>2.4329999999999998</v>
      </c>
      <c r="I108" s="47"/>
      <c r="J108" s="47"/>
      <c r="K108" s="243">
        <f t="shared" si="27"/>
        <v>10351.16</v>
      </c>
      <c r="L108" s="7">
        <f t="shared" ca="1" si="22"/>
        <v>11325.506529928864</v>
      </c>
      <c r="M108" s="7">
        <f t="shared" ca="1" si="23"/>
        <v>-974.34652992886367</v>
      </c>
      <c r="N108" s="7">
        <f t="shared" ca="1" si="24"/>
        <v>-430790.18182397942</v>
      </c>
      <c r="P108" s="63"/>
      <c r="BB108" s="187">
        <v>42264</v>
      </c>
      <c r="BC108" s="180">
        <v>3.5999999999999997E-2</v>
      </c>
      <c r="BD108" s="191">
        <v>42264</v>
      </c>
      <c r="BE108" s="192">
        <v>0.503</v>
      </c>
      <c r="BH108" s="94">
        <v>42233</v>
      </c>
      <c r="BI108" s="95">
        <v>0.42899999999999999</v>
      </c>
      <c r="BJ108" s="96">
        <v>8.35</v>
      </c>
    </row>
    <row r="109" spans="1:62" ht="15">
      <c r="A109" s="235">
        <v>51075</v>
      </c>
      <c r="B109" s="7">
        <f t="shared" si="33"/>
        <v>4775.6788399534489</v>
      </c>
      <c r="C109" s="7">
        <f t="shared" ca="1" si="28"/>
        <v>3601.1546536473907</v>
      </c>
      <c r="D109" s="7">
        <f t="shared" ca="1" si="26"/>
        <v>1174.524186306058</v>
      </c>
      <c r="E109" s="7">
        <f t="shared" ca="1" si="29"/>
        <v>88769.637926174299</v>
      </c>
      <c r="F109" s="268">
        <f t="shared" si="31"/>
        <v>2.4200850000000003E-2</v>
      </c>
      <c r="G109" s="289">
        <v>1.66717</v>
      </c>
      <c r="H109">
        <f t="shared" si="32"/>
        <v>2.4329999999999998</v>
      </c>
      <c r="I109" s="47"/>
      <c r="J109" s="47"/>
      <c r="K109" s="7">
        <f ca="1">+G109-L109</f>
        <v>1018.9063860136899</v>
      </c>
      <c r="L109" s="7">
        <f ca="1">+N108*$F$60*(A109-A108)/360</f>
        <v>-1017.2392160136899</v>
      </c>
      <c r="M109" s="7">
        <f ca="1">+N108-K109</f>
        <v>-431809.08820999309</v>
      </c>
      <c r="O109" s="63"/>
      <c r="BB109" s="187">
        <v>42265</v>
      </c>
      <c r="BC109" s="180">
        <v>3.5999999999999997E-2</v>
      </c>
      <c r="BD109" s="191">
        <v>42265</v>
      </c>
      <c r="BE109" s="192">
        <v>0.504</v>
      </c>
      <c r="BH109" s="94">
        <v>42234</v>
      </c>
      <c r="BI109" s="95">
        <v>0.42499999999999999</v>
      </c>
      <c r="BJ109" s="96">
        <v>8.35</v>
      </c>
    </row>
    <row r="110" spans="1:62" ht="15">
      <c r="A110" s="236">
        <v>51257</v>
      </c>
      <c r="B110" s="7">
        <f t="shared" si="33"/>
        <v>4775.6788399534489</v>
      </c>
      <c r="C110" s="7">
        <f t="shared" ca="1" si="28"/>
        <v>3689.5934901061455</v>
      </c>
      <c r="D110" s="7">
        <f t="shared" ca="1" si="26"/>
        <v>1086.0853498473036</v>
      </c>
      <c r="E110" s="7">
        <f t="shared" ca="1" si="29"/>
        <v>85080.044436068158</v>
      </c>
      <c r="F110" s="268">
        <f t="shared" si="31"/>
        <v>2.3959000000000001E-2</v>
      </c>
      <c r="G110" s="289">
        <v>1.6188</v>
      </c>
      <c r="H110">
        <f t="shared" si="32"/>
        <v>2.4329999999999998</v>
      </c>
      <c r="I110" s="47"/>
      <c r="J110" s="47"/>
      <c r="K110" s="7"/>
      <c r="L110" s="7"/>
      <c r="M110" s="7"/>
      <c r="O110" s="63"/>
      <c r="BB110" s="187">
        <v>42268</v>
      </c>
      <c r="BC110" s="180">
        <v>3.5999999999999997E-2</v>
      </c>
      <c r="BD110" s="191">
        <v>42268</v>
      </c>
      <c r="BE110" s="192">
        <v>0.50600000000000001</v>
      </c>
      <c r="BH110" s="94">
        <v>42235</v>
      </c>
      <c r="BI110" s="95">
        <v>0.42199999999999999</v>
      </c>
      <c r="BJ110" s="96">
        <v>8.35</v>
      </c>
    </row>
    <row r="111" spans="1:62" ht="15">
      <c r="A111" s="237">
        <v>51441</v>
      </c>
      <c r="B111" s="7">
        <f t="shared" si="33"/>
        <v>4775.6788399534489</v>
      </c>
      <c r="C111" s="7">
        <f t="shared" ca="1" si="28"/>
        <v>3733.8131944688621</v>
      </c>
      <c r="D111" s="7">
        <f t="shared" ca="1" si="26"/>
        <v>1041.865645484587</v>
      </c>
      <c r="E111" s="7">
        <f t="shared" ref="E111:E130" ca="1" si="34">+E110-C111</f>
        <v>81346.231241599293</v>
      </c>
      <c r="F111" s="268">
        <f t="shared" si="31"/>
        <v>2.3445050000000002E-2</v>
      </c>
      <c r="G111" s="290">
        <v>1.5160100000000001</v>
      </c>
      <c r="H111">
        <f t="shared" si="32"/>
        <v>2.4329999999999998</v>
      </c>
      <c r="I111" s="47"/>
      <c r="J111" s="47"/>
      <c r="O111" s="63"/>
      <c r="BB111" s="187">
        <v>42269</v>
      </c>
      <c r="BC111" s="180">
        <v>3.4000000000000002E-2</v>
      </c>
      <c r="BD111" s="191">
        <v>42269</v>
      </c>
      <c r="BE111" s="192">
        <v>0.503</v>
      </c>
      <c r="BH111" s="94">
        <v>42236</v>
      </c>
      <c r="BI111" s="95">
        <v>0.41699999999999998</v>
      </c>
      <c r="BJ111" s="96">
        <v>8.34</v>
      </c>
    </row>
    <row r="112" spans="1:62" ht="15">
      <c r="A112" s="234">
        <v>51622</v>
      </c>
      <c r="B112" s="7">
        <f t="shared" si="33"/>
        <v>4775.6788399534489</v>
      </c>
      <c r="C112" s="7">
        <f t="shared" ca="1" si="28"/>
        <v>3816.7979259603235</v>
      </c>
      <c r="D112" s="7">
        <f t="shared" ca="1" si="26"/>
        <v>958.88091399312555</v>
      </c>
      <c r="E112" s="7">
        <f t="shared" ca="1" si="34"/>
        <v>77529.433315638977</v>
      </c>
      <c r="F112" s="268">
        <f t="shared" si="31"/>
        <v>2.3265799999999996E-2</v>
      </c>
      <c r="G112" s="290">
        <v>1.4801599999999999</v>
      </c>
      <c r="H112">
        <f t="shared" si="32"/>
        <v>2.4329999999999998</v>
      </c>
      <c r="I112" s="47"/>
      <c r="J112" s="47"/>
      <c r="O112" s="63"/>
      <c r="BB112" s="187">
        <v>42270</v>
      </c>
      <c r="BC112" s="180">
        <v>3.3000000000000002E-2</v>
      </c>
      <c r="BD112" s="191">
        <v>42270</v>
      </c>
      <c r="BE112" s="192">
        <v>0.498</v>
      </c>
      <c r="BH112" s="94">
        <v>42237</v>
      </c>
      <c r="BI112" s="95">
        <v>0.41499999999999998</v>
      </c>
      <c r="BJ112" s="96">
        <v>8.34</v>
      </c>
    </row>
    <row r="113" spans="1:62" ht="15">
      <c r="A113" s="260">
        <v>51806</v>
      </c>
      <c r="B113" s="261">
        <f t="shared" si="33"/>
        <v>4775.6788399534489</v>
      </c>
      <c r="C113" s="261">
        <f t="shared" ca="1" si="28"/>
        <v>3853.7446474733415</v>
      </c>
      <c r="D113" s="261">
        <f t="shared" ca="1" si="26"/>
        <v>921.93419248010764</v>
      </c>
      <c r="E113" s="261">
        <f t="shared" ca="1" si="34"/>
        <v>73675.688668165632</v>
      </c>
      <c r="F113" s="268">
        <f t="shared" si="31"/>
        <v>2.271165E-2</v>
      </c>
      <c r="G113" s="290">
        <v>1.3693299999999999</v>
      </c>
      <c r="H113">
        <f t="shared" si="32"/>
        <v>2.4329999999999998</v>
      </c>
      <c r="I113" s="47"/>
      <c r="J113" s="47"/>
      <c r="O113" s="63"/>
      <c r="BB113" s="187">
        <v>42271</v>
      </c>
      <c r="BC113" s="180">
        <v>3.2000000000000001E-2</v>
      </c>
      <c r="BD113" s="191">
        <v>42271</v>
      </c>
      <c r="BE113" s="192">
        <v>0.49199999999999999</v>
      </c>
      <c r="BH113" s="94">
        <v>42240</v>
      </c>
      <c r="BI113" s="95">
        <v>0.41299999999999998</v>
      </c>
      <c r="BJ113" s="96">
        <v>8.33</v>
      </c>
    </row>
    <row r="114" spans="1:62" ht="15">
      <c r="A114" s="236">
        <v>51987</v>
      </c>
      <c r="B114" s="7">
        <f t="shared" si="33"/>
        <v>4775.6788399534489</v>
      </c>
      <c r="C114" s="7">
        <f t="shared" ca="1" si="28"/>
        <v>3934.3825669762205</v>
      </c>
      <c r="D114" s="7">
        <f t="shared" ca="1" si="26"/>
        <v>841.29627297722857</v>
      </c>
      <c r="E114" s="7">
        <f t="shared" ca="1" si="34"/>
        <v>69741.306101189417</v>
      </c>
      <c r="F114" s="268">
        <f t="shared" si="31"/>
        <v>2.2530250000000002E-2</v>
      </c>
      <c r="G114" s="290">
        <v>1.3330500000000001</v>
      </c>
      <c r="H114">
        <f t="shared" si="32"/>
        <v>2.4329999999999998</v>
      </c>
      <c r="I114" s="47"/>
      <c r="J114" s="47"/>
      <c r="O114" s="63"/>
      <c r="BB114" s="187">
        <v>42272</v>
      </c>
      <c r="BC114" s="180">
        <v>0.03</v>
      </c>
      <c r="BD114" s="191">
        <v>42272</v>
      </c>
      <c r="BE114" s="192">
        <v>0.48799999999999999</v>
      </c>
      <c r="BH114" s="94">
        <v>42241</v>
      </c>
      <c r="BI114" s="95">
        <v>0.41299999999999998</v>
      </c>
      <c r="BJ114" s="96">
        <v>8.33</v>
      </c>
    </row>
    <row r="115" spans="1:62" ht="15">
      <c r="A115" s="237">
        <v>52171</v>
      </c>
      <c r="B115" s="7">
        <f t="shared" si="33"/>
        <v>4775.6788399534489</v>
      </c>
      <c r="C115" s="7">
        <f t="shared" ca="1" si="28"/>
        <v>3972.5755417071059</v>
      </c>
      <c r="D115" s="7">
        <f t="shared" ca="1" si="26"/>
        <v>803.10329824634277</v>
      </c>
      <c r="E115" s="7">
        <f t="shared" ca="1" si="34"/>
        <v>65768.730559482312</v>
      </c>
      <c r="F115" s="268">
        <f t="shared" si="31"/>
        <v>2.2006900000000003E-2</v>
      </c>
      <c r="G115" s="288">
        <v>1.22838</v>
      </c>
      <c r="H115">
        <f t="shared" si="32"/>
        <v>2.4329999999999998</v>
      </c>
      <c r="I115" s="47"/>
      <c r="J115" s="47"/>
      <c r="O115" s="63"/>
      <c r="BB115" s="187">
        <v>42275</v>
      </c>
      <c r="BC115" s="180">
        <v>2.9000000000000001E-2</v>
      </c>
      <c r="BD115" s="191">
        <v>42275</v>
      </c>
      <c r="BE115" s="192">
        <v>0.48199999999999998</v>
      </c>
      <c r="BH115" s="94">
        <v>42242</v>
      </c>
      <c r="BI115" s="95">
        <v>0.41499999999999998</v>
      </c>
      <c r="BJ115" s="96">
        <v>8.33</v>
      </c>
    </row>
    <row r="116" spans="1:62" ht="15">
      <c r="A116" s="234">
        <v>52352</v>
      </c>
      <c r="B116" s="7">
        <f t="shared" si="33"/>
        <v>4775.6788399534489</v>
      </c>
      <c r="C116" s="7">
        <f t="shared" ca="1" si="28"/>
        <v>4047.9754409105203</v>
      </c>
      <c r="D116" s="7">
        <f t="shared" ca="1" si="26"/>
        <v>727.70339904292871</v>
      </c>
      <c r="E116" s="7">
        <f t="shared" ca="1" si="34"/>
        <v>61720.755118571789</v>
      </c>
      <c r="F116" s="268">
        <f t="shared" si="31"/>
        <v>2.1830250000000002E-2</v>
      </c>
      <c r="G116" s="288">
        <v>1.1930499999999999</v>
      </c>
      <c r="H116">
        <f t="shared" si="32"/>
        <v>2.4329999999999998</v>
      </c>
      <c r="I116" s="47"/>
      <c r="J116" s="47"/>
      <c r="BB116" s="187">
        <v>42276</v>
      </c>
      <c r="BC116" s="180">
        <v>2.9000000000000001E-2</v>
      </c>
      <c r="BD116" s="191">
        <v>42276</v>
      </c>
      <c r="BE116" s="192">
        <v>0.47499999999999998</v>
      </c>
      <c r="BH116" s="94">
        <v>42243</v>
      </c>
      <c r="BI116" s="95">
        <v>0.41799999999999998</v>
      </c>
      <c r="BJ116" s="96">
        <v>8.32</v>
      </c>
    </row>
    <row r="117" spans="1:62" ht="15">
      <c r="A117" s="235">
        <v>52536</v>
      </c>
      <c r="B117" s="7">
        <f t="shared" si="33"/>
        <v>4775.6788399534489</v>
      </c>
      <c r="C117" s="7">
        <f t="shared" ca="1" si="28"/>
        <v>4087.0181992462121</v>
      </c>
      <c r="D117" s="7">
        <f t="shared" ca="1" si="26"/>
        <v>688.66064070723655</v>
      </c>
      <c r="E117" s="7">
        <f t="shared" ca="1" si="34"/>
        <v>57633.73691932558</v>
      </c>
      <c r="F117" s="268">
        <f t="shared" si="31"/>
        <v>2.1832400000000002E-2</v>
      </c>
      <c r="G117" s="288">
        <v>1.1934800000000001</v>
      </c>
      <c r="H117">
        <f t="shared" si="32"/>
        <v>2.4329999999999998</v>
      </c>
      <c r="I117" s="47"/>
      <c r="J117" s="47"/>
      <c r="BB117" s="187">
        <v>42277</v>
      </c>
      <c r="BC117" s="180">
        <v>2.9000000000000001E-2</v>
      </c>
      <c r="BD117" s="191">
        <v>42277</v>
      </c>
      <c r="BE117" s="192">
        <v>0.46800000000000003</v>
      </c>
      <c r="BH117" s="94">
        <v>42244</v>
      </c>
      <c r="BI117" s="95">
        <v>0.42099999999999999</v>
      </c>
      <c r="BJ117" s="96">
        <v>8.32</v>
      </c>
    </row>
    <row r="118" spans="1:62" ht="15">
      <c r="A118" s="236">
        <v>52718</v>
      </c>
      <c r="B118" s="7">
        <f t="shared" si="33"/>
        <v>4775.6788399534489</v>
      </c>
      <c r="C118" s="7">
        <f t="shared" ca="1" si="28"/>
        <v>4139.5469810062768</v>
      </c>
      <c r="D118" s="7">
        <f t="shared" ca="1" si="26"/>
        <v>636.13185894717242</v>
      </c>
      <c r="E118" s="7">
        <f t="shared" ca="1" si="34"/>
        <v>53494.189938319301</v>
      </c>
      <c r="F118" s="268">
        <f t="shared" si="31"/>
        <v>2.1833449999999997E-2</v>
      </c>
      <c r="G118" s="288">
        <v>1.1936899999999999</v>
      </c>
      <c r="H118">
        <f t="shared" si="32"/>
        <v>2.4329999999999998</v>
      </c>
      <c r="I118" s="47"/>
      <c r="J118" s="47"/>
      <c r="BB118" s="187">
        <v>42278</v>
      </c>
      <c r="BC118" s="180">
        <v>2.7E-2</v>
      </c>
      <c r="BD118" s="191">
        <v>42278</v>
      </c>
      <c r="BE118" s="192">
        <v>0.46200000000000002</v>
      </c>
      <c r="BH118" s="94">
        <v>42247</v>
      </c>
      <c r="BI118" s="95">
        <v>0.42599999999999999</v>
      </c>
      <c r="BJ118" s="96">
        <v>8.31</v>
      </c>
    </row>
    <row r="119" spans="1:62" ht="15">
      <c r="A119" s="237">
        <v>52902</v>
      </c>
      <c r="B119" s="7">
        <f t="shared" si="33"/>
        <v>4775.6788399534489</v>
      </c>
      <c r="C119" s="7">
        <f t="shared" ca="1" si="28"/>
        <v>4178.7201157289528</v>
      </c>
      <c r="D119" s="7">
        <f t="shared" ca="1" si="26"/>
        <v>596.95872422449645</v>
      </c>
      <c r="E119" s="7">
        <f t="shared" ca="1" si="34"/>
        <v>49315.469822590348</v>
      </c>
      <c r="F119" s="268">
        <f t="shared" si="31"/>
        <v>2.1571E-2</v>
      </c>
      <c r="G119" s="288">
        <v>1.1412</v>
      </c>
      <c r="H119">
        <f t="shared" si="32"/>
        <v>2.4329999999999998</v>
      </c>
      <c r="I119" s="47"/>
      <c r="J119" s="47"/>
      <c r="BB119" s="187">
        <v>42279</v>
      </c>
      <c r="BC119" s="180">
        <v>2.5999999999999999E-2</v>
      </c>
      <c r="BD119" s="191">
        <v>42279</v>
      </c>
      <c r="BE119" s="192">
        <v>0.45700000000000002</v>
      </c>
      <c r="BH119" s="94">
        <v>42248</v>
      </c>
      <c r="BI119" s="95">
        <v>0.433</v>
      </c>
      <c r="BJ119" s="96">
        <v>8.31</v>
      </c>
    </row>
    <row r="120" spans="1:62" ht="15">
      <c r="A120" s="234">
        <v>53083</v>
      </c>
      <c r="B120" s="7">
        <f t="shared" si="33"/>
        <v>4775.6788399534489</v>
      </c>
      <c r="C120" s="7">
        <f t="shared" ca="1" si="28"/>
        <v>4240.8318846276143</v>
      </c>
      <c r="D120" s="7">
        <f t="shared" ca="1" si="26"/>
        <v>534.84695532583453</v>
      </c>
      <c r="E120" s="7">
        <f t="shared" ca="1" si="34"/>
        <v>45074.637937962732</v>
      </c>
      <c r="F120" s="268">
        <f t="shared" si="31"/>
        <v>2.1476700000000001E-2</v>
      </c>
      <c r="G120" s="288">
        <v>1.1223399999999999</v>
      </c>
      <c r="H120">
        <f t="shared" si="32"/>
        <v>2.4329999999999998</v>
      </c>
      <c r="I120" s="47"/>
      <c r="J120" s="47"/>
      <c r="BB120" s="187">
        <v>42282</v>
      </c>
      <c r="BC120" s="180">
        <v>2.7E-2</v>
      </c>
      <c r="BD120" s="191">
        <v>42282</v>
      </c>
      <c r="BE120" s="192">
        <v>0.45200000000000001</v>
      </c>
      <c r="BH120" s="94">
        <v>42249</v>
      </c>
      <c r="BI120" s="95">
        <v>0.437</v>
      </c>
      <c r="BJ120" s="96">
        <v>8.31</v>
      </c>
    </row>
    <row r="121" spans="1:62" ht="15">
      <c r="A121" s="235">
        <v>53267</v>
      </c>
      <c r="B121" s="7">
        <f t="shared" si="33"/>
        <v>4775.6788399534489</v>
      </c>
      <c r="C121" s="7">
        <f t="shared" ca="1" si="28"/>
        <v>4280.8954408011905</v>
      </c>
      <c r="D121" s="7">
        <f t="shared" ca="1" si="26"/>
        <v>494.78339915225814</v>
      </c>
      <c r="E121" s="7">
        <f t="shared" ca="1" si="34"/>
        <v>40793.74249716154</v>
      </c>
      <c r="F121" s="268">
        <f t="shared" si="31"/>
        <v>2.118275E-2</v>
      </c>
      <c r="G121" s="288">
        <v>1.06355</v>
      </c>
      <c r="H121">
        <f t="shared" si="32"/>
        <v>2.4329999999999998</v>
      </c>
      <c r="I121" s="47"/>
      <c r="J121" s="47"/>
      <c r="BB121" s="187">
        <v>42283</v>
      </c>
      <c r="BC121" s="180">
        <v>2.7E-2</v>
      </c>
      <c r="BD121" s="191">
        <v>42283</v>
      </c>
      <c r="BE121" s="192">
        <v>0.44900000000000001</v>
      </c>
      <c r="BH121" s="94">
        <v>42250</v>
      </c>
      <c r="BI121" s="95">
        <v>0.439</v>
      </c>
      <c r="BJ121" s="96">
        <v>8.3000000000000007</v>
      </c>
    </row>
    <row r="122" spans="1:62" ht="15">
      <c r="A122" s="236">
        <v>53448</v>
      </c>
      <c r="B122" s="7">
        <f t="shared" si="33"/>
        <v>4775.6788399534489</v>
      </c>
      <c r="C122" s="7">
        <f t="shared" ca="1" si="28"/>
        <v>4341.2166720434589</v>
      </c>
      <c r="D122" s="7">
        <f t="shared" ca="1" si="26"/>
        <v>434.46216790999034</v>
      </c>
      <c r="E122" s="7">
        <f t="shared" ca="1" si="34"/>
        <v>36452.525825118079</v>
      </c>
      <c r="F122" s="268">
        <f t="shared" si="31"/>
        <v>2.1080000000000002E-2</v>
      </c>
      <c r="G122" s="288">
        <v>1.0429999999999999</v>
      </c>
      <c r="H122">
        <f t="shared" si="32"/>
        <v>2.4329999999999998</v>
      </c>
      <c r="I122" s="47"/>
      <c r="J122" s="47"/>
      <c r="BB122" s="187">
        <v>42284</v>
      </c>
      <c r="BC122" s="180">
        <v>2.8000000000000001E-2</v>
      </c>
      <c r="BD122" s="191">
        <v>42284</v>
      </c>
      <c r="BE122" s="192">
        <v>0.44600000000000001</v>
      </c>
      <c r="BH122" s="94">
        <v>42251</v>
      </c>
      <c r="BI122" s="95">
        <v>0.44</v>
      </c>
      <c r="BJ122" s="96">
        <v>8.3000000000000007</v>
      </c>
    </row>
    <row r="123" spans="1:62" ht="15">
      <c r="A123" s="237">
        <v>53632</v>
      </c>
      <c r="B123" s="7">
        <f t="shared" si="33"/>
        <v>4775.6788399534489</v>
      </c>
      <c r="C123" s="7">
        <f t="shared" ca="1" si="28"/>
        <v>4382.9312261523319</v>
      </c>
      <c r="D123" s="7">
        <f t="shared" ca="1" si="26"/>
        <v>392.7476138011167</v>
      </c>
      <c r="E123" s="7">
        <f t="shared" ca="1" si="34"/>
        <v>32069.594598965748</v>
      </c>
      <c r="F123" s="268">
        <f t="shared" si="31"/>
        <v>2.109805E-2</v>
      </c>
      <c r="G123" s="288">
        <v>1.04661</v>
      </c>
      <c r="H123">
        <f t="shared" si="32"/>
        <v>2.4329999999999998</v>
      </c>
      <c r="I123" s="47"/>
      <c r="J123" s="47"/>
      <c r="BB123" s="187">
        <v>42285</v>
      </c>
      <c r="BC123" s="180">
        <v>2.8000000000000001E-2</v>
      </c>
      <c r="BD123" s="191">
        <v>42285</v>
      </c>
      <c r="BE123" s="192">
        <v>0.44500000000000001</v>
      </c>
      <c r="BH123" s="94">
        <v>42254</v>
      </c>
      <c r="BI123" s="95">
        <v>0.441</v>
      </c>
      <c r="BJ123" s="96">
        <v>8.2899999999999991</v>
      </c>
    </row>
    <row r="124" spans="1:62" ht="15">
      <c r="A124" s="234">
        <v>53813</v>
      </c>
      <c r="B124" s="7">
        <f t="shared" si="33"/>
        <v>4775.6788399534489</v>
      </c>
      <c r="C124" s="7">
        <f t="shared" ca="1" si="28"/>
        <v>4435.4964239270703</v>
      </c>
      <c r="D124" s="7">
        <f t="shared" ca="1" si="26"/>
        <v>340.18241602637886</v>
      </c>
      <c r="E124" s="7">
        <f t="shared" ca="1" si="34"/>
        <v>27634.098175038678</v>
      </c>
      <c r="F124" s="268">
        <f t="shared" si="31"/>
        <v>2.1104850000000001E-2</v>
      </c>
      <c r="G124" s="288">
        <v>1.0479700000000001</v>
      </c>
      <c r="H124">
        <f t="shared" si="32"/>
        <v>2.4329999999999998</v>
      </c>
      <c r="I124" s="47"/>
      <c r="J124" s="47"/>
      <c r="BB124" s="187">
        <v>42286</v>
      </c>
      <c r="BC124" s="180">
        <v>2.8000000000000001E-2</v>
      </c>
      <c r="BD124" s="191">
        <v>42286</v>
      </c>
      <c r="BE124" s="192">
        <v>0.443</v>
      </c>
      <c r="BH124" s="94">
        <v>42255</v>
      </c>
      <c r="BI124" s="95">
        <v>0.443</v>
      </c>
      <c r="BJ124" s="96">
        <v>8.2799999999999994</v>
      </c>
    </row>
    <row r="125" spans="1:62" ht="15">
      <c r="A125" s="235">
        <v>53997</v>
      </c>
      <c r="B125" s="7">
        <f t="shared" si="33"/>
        <v>4775.6788399534489</v>
      </c>
      <c r="C125" s="7">
        <f t="shared" ca="1" si="28"/>
        <v>4477.5919415535</v>
      </c>
      <c r="D125" s="7">
        <f t="shared" ca="1" si="26"/>
        <v>298.08689839994884</v>
      </c>
      <c r="E125" s="7">
        <f t="shared" ca="1" si="34"/>
        <v>23156.506233485179</v>
      </c>
      <c r="F125" s="268">
        <f t="shared" si="31"/>
        <v>2.0270650000000001E-2</v>
      </c>
      <c r="G125" s="288">
        <v>0.88112999999999997</v>
      </c>
      <c r="H125">
        <f t="shared" si="32"/>
        <v>2.4329999999999998</v>
      </c>
      <c r="I125" s="47"/>
      <c r="J125" s="47"/>
      <c r="BB125" s="187">
        <v>42289</v>
      </c>
      <c r="BC125" s="180">
        <v>2.7E-2</v>
      </c>
      <c r="BD125" s="191">
        <v>42289</v>
      </c>
      <c r="BE125" s="192">
        <v>0.441</v>
      </c>
      <c r="BH125" s="94">
        <v>42256</v>
      </c>
      <c r="BI125" s="95">
        <v>0.44700000000000001</v>
      </c>
      <c r="BJ125" s="96">
        <v>8.2799999999999994</v>
      </c>
    </row>
    <row r="126" spans="1:62" ht="15">
      <c r="A126" s="236">
        <v>54179</v>
      </c>
      <c r="B126" s="7">
        <f t="shared" si="33"/>
        <v>4775.6788399534489</v>
      </c>
      <c r="C126" s="7">
        <f t="shared" ca="1" si="28"/>
        <v>4538.3723598954293</v>
      </c>
      <c r="D126" s="7">
        <f t="shared" ref="D126:D130" ca="1" si="35">+E125*F125*(A126-A125)/360</f>
        <v>237.30648005801928</v>
      </c>
      <c r="E126" s="7">
        <f t="shared" ca="1" si="34"/>
        <v>18618.133873589752</v>
      </c>
      <c r="F126" s="268">
        <f t="shared" si="31"/>
        <v>1.9996949999999999E-2</v>
      </c>
      <c r="G126">
        <v>0.82638999999999996</v>
      </c>
      <c r="H126">
        <f t="shared" si="32"/>
        <v>2.4329999999999998</v>
      </c>
      <c r="I126" s="47"/>
      <c r="J126" s="47"/>
      <c r="BB126" s="187">
        <v>42290</v>
      </c>
      <c r="BC126" s="180">
        <v>2.5999999999999999E-2</v>
      </c>
      <c r="BD126" s="191">
        <v>42290</v>
      </c>
      <c r="BE126" s="192">
        <v>0.438</v>
      </c>
      <c r="BH126" s="94">
        <v>42257</v>
      </c>
      <c r="BI126" s="95">
        <v>0.44900000000000001</v>
      </c>
      <c r="BJ126" s="96">
        <v>8.2799999999999994</v>
      </c>
    </row>
    <row r="127" spans="1:62" ht="15">
      <c r="A127" s="237">
        <v>54363</v>
      </c>
      <c r="B127" s="7">
        <f t="shared" si="33"/>
        <v>4775.6788399534489</v>
      </c>
      <c r="C127" s="7">
        <f t="shared" ref="C127:C130" ca="1" si="36">+B127-D127</f>
        <v>4585.3891617365589</v>
      </c>
      <c r="D127" s="7">
        <f t="shared" ca="1" si="35"/>
        <v>190.28967821689005</v>
      </c>
      <c r="E127" s="7">
        <f t="shared" ca="1" si="34"/>
        <v>14032.744711853193</v>
      </c>
      <c r="F127" s="268">
        <f t="shared" si="31"/>
        <v>2.0683699999999999E-2</v>
      </c>
      <c r="G127">
        <v>0.96374000000000004</v>
      </c>
      <c r="H127">
        <f t="shared" si="32"/>
        <v>2.4329999999999998</v>
      </c>
      <c r="I127" s="47"/>
      <c r="J127" s="47"/>
      <c r="BB127" s="187">
        <v>42291</v>
      </c>
      <c r="BC127" s="180">
        <v>2.7E-2</v>
      </c>
      <c r="BD127" s="191">
        <v>42291</v>
      </c>
      <c r="BE127" s="192">
        <v>0.432</v>
      </c>
      <c r="BH127" s="94">
        <v>42258</v>
      </c>
      <c r="BI127" s="95">
        <v>0.45</v>
      </c>
      <c r="BJ127" s="96">
        <v>8.2799999999999994</v>
      </c>
    </row>
    <row r="128" spans="1:62" ht="15">
      <c r="A128" s="234">
        <v>54544</v>
      </c>
      <c r="B128" s="7">
        <f t="shared" si="33"/>
        <v>4775.6788399534489</v>
      </c>
      <c r="C128" s="7">
        <f t="shared" ca="1" si="36"/>
        <v>4629.7480516057349</v>
      </c>
      <c r="D128" s="7">
        <f t="shared" ca="1" si="35"/>
        <v>145.93078834771379</v>
      </c>
      <c r="E128" s="7">
        <f t="shared" ca="1" si="34"/>
        <v>9402.9966602474578</v>
      </c>
      <c r="F128" s="268">
        <f t="shared" si="31"/>
        <v>2.0936999999999997E-2</v>
      </c>
      <c r="G128">
        <v>1.0144</v>
      </c>
      <c r="H128">
        <f t="shared" si="32"/>
        <v>2.4329999999999998</v>
      </c>
      <c r="I128" s="47"/>
      <c r="J128" s="47"/>
      <c r="BB128" s="187">
        <v>42292</v>
      </c>
      <c r="BC128" s="180">
        <v>2.4E-2</v>
      </c>
      <c r="BD128" s="191">
        <v>42292</v>
      </c>
      <c r="BE128" s="192">
        <v>0.42399999999999999</v>
      </c>
      <c r="BH128" s="94">
        <v>42261</v>
      </c>
      <c r="BI128" s="95">
        <v>0.45100000000000001</v>
      </c>
      <c r="BJ128" s="96">
        <v>8.27</v>
      </c>
    </row>
    <row r="129" spans="1:62" ht="15">
      <c r="A129" s="235">
        <v>54728</v>
      </c>
      <c r="B129" s="7">
        <f t="shared" si="33"/>
        <v>4775.6788399534489</v>
      </c>
      <c r="C129" s="7">
        <f t="shared" ca="1" si="36"/>
        <v>4675.0561189592527</v>
      </c>
      <c r="D129" s="7">
        <f t="shared" ca="1" si="35"/>
        <v>100.62272099419609</v>
      </c>
      <c r="E129" s="7">
        <f t="shared" ca="1" si="34"/>
        <v>4727.9405412882052</v>
      </c>
      <c r="F129" s="268">
        <f t="shared" si="31"/>
        <v>2.0082549999999998E-2</v>
      </c>
      <c r="G129">
        <v>0.84350999999999998</v>
      </c>
      <c r="H129">
        <f t="shared" si="32"/>
        <v>2.4329999999999998</v>
      </c>
      <c r="I129" s="47"/>
      <c r="J129" s="47"/>
      <c r="BB129" s="187">
        <v>42293</v>
      </c>
      <c r="BC129" s="180">
        <v>2.1000000000000001E-2</v>
      </c>
      <c r="BD129" s="191">
        <v>42293</v>
      </c>
      <c r="BE129" s="192">
        <v>0.42</v>
      </c>
      <c r="BH129" s="94">
        <v>42262</v>
      </c>
      <c r="BI129" s="95">
        <v>0.49399999999999999</v>
      </c>
      <c r="BJ129" s="96">
        <v>8.74</v>
      </c>
    </row>
    <row r="130" spans="1:62" ht="15">
      <c r="A130" s="236">
        <v>54909</v>
      </c>
      <c r="B130" s="7">
        <f t="shared" si="33"/>
        <v>4775.6788399534489</v>
      </c>
      <c r="C130" s="7">
        <f t="shared" ca="1" si="36"/>
        <v>4727.9405412882879</v>
      </c>
      <c r="D130" s="7">
        <f t="shared" ca="1" si="35"/>
        <v>47.738298665161061</v>
      </c>
      <c r="E130" s="240">
        <f t="shared" ca="1" si="34"/>
        <v>-8.276401786133647E-11</v>
      </c>
      <c r="F130" s="268"/>
      <c r="I130" s="47"/>
      <c r="J130" s="47"/>
      <c r="BB130" s="187">
        <v>42296</v>
      </c>
      <c r="BC130" s="180">
        <v>1.9E-2</v>
      </c>
      <c r="BD130" s="191">
        <v>42296</v>
      </c>
      <c r="BE130" s="192">
        <v>0.41699999999999998</v>
      </c>
      <c r="BH130" s="94">
        <v>42263</v>
      </c>
      <c r="BI130" s="95">
        <v>0.497</v>
      </c>
      <c r="BJ130" s="96">
        <v>8.74</v>
      </c>
    </row>
    <row r="131" spans="1:62" ht="15">
      <c r="A131" s="239"/>
      <c r="BB131" s="187">
        <v>42297</v>
      </c>
      <c r="BC131" s="180">
        <v>1.7999999999999999E-2</v>
      </c>
      <c r="BD131" s="191">
        <v>42297</v>
      </c>
      <c r="BE131" s="192">
        <v>0.41599999999999998</v>
      </c>
      <c r="BH131" s="94">
        <v>42264</v>
      </c>
      <c r="BI131" s="95">
        <v>0.503</v>
      </c>
      <c r="BJ131" s="96">
        <v>8.73</v>
      </c>
    </row>
    <row r="132" spans="1:62" ht="15">
      <c r="A132" s="239"/>
      <c r="E132" s="7">
        <v>0</v>
      </c>
      <c r="BB132" s="187">
        <v>42298</v>
      </c>
      <c r="BC132" s="180">
        <v>1.9E-2</v>
      </c>
      <c r="BD132" s="191">
        <v>42298</v>
      </c>
      <c r="BE132" s="192">
        <v>0.41599999999999998</v>
      </c>
      <c r="BH132" s="94">
        <v>42265</v>
      </c>
      <c r="BI132" s="95">
        <v>0.504</v>
      </c>
      <c r="BJ132" s="96">
        <v>8.73</v>
      </c>
    </row>
    <row r="133" spans="1:62" ht="15">
      <c r="A133" s="239"/>
      <c r="E133" s="16">
        <f ca="1">+E130-E132</f>
        <v>-8.276401786133647E-11</v>
      </c>
      <c r="BB133" s="187">
        <v>42299</v>
      </c>
      <c r="BC133" s="180">
        <v>1.9E-2</v>
      </c>
      <c r="BD133" s="191">
        <v>42299</v>
      </c>
      <c r="BE133" s="192">
        <v>0.41399999999999998</v>
      </c>
      <c r="BH133" s="94">
        <v>42268</v>
      </c>
      <c r="BI133" s="95">
        <v>0.50600000000000001</v>
      </c>
      <c r="BJ133" s="96">
        <v>8.7200000000000006</v>
      </c>
    </row>
    <row r="134" spans="1:62" ht="15">
      <c r="A134" s="239"/>
      <c r="BB134" s="187">
        <v>42300</v>
      </c>
      <c r="BC134" s="180">
        <v>0.01</v>
      </c>
      <c r="BD134" s="191">
        <v>42300</v>
      </c>
      <c r="BE134" s="192">
        <v>0.40799999999999997</v>
      </c>
      <c r="BH134" s="94">
        <v>42269</v>
      </c>
      <c r="BI134" s="95">
        <v>0.503</v>
      </c>
      <c r="BJ134" s="96">
        <v>8.7200000000000006</v>
      </c>
    </row>
    <row r="135" spans="1:62" ht="15">
      <c r="A135" s="239"/>
      <c r="BB135" s="187">
        <v>42303</v>
      </c>
      <c r="BC135" s="180">
        <v>8.0000000000000002E-3</v>
      </c>
      <c r="BD135" s="191"/>
      <c r="BE135" s="193">
        <f>+BE134</f>
        <v>0.40799999999999997</v>
      </c>
      <c r="BH135" s="94">
        <v>42270</v>
      </c>
      <c r="BI135" s="95">
        <v>0.498</v>
      </c>
      <c r="BJ135" s="96">
        <v>8.7200000000000006</v>
      </c>
    </row>
    <row r="136" spans="1:62" ht="15">
      <c r="A136" s="239"/>
      <c r="BB136" s="187">
        <v>42304</v>
      </c>
      <c r="BC136" s="180">
        <v>8.0000000000000002E-3</v>
      </c>
      <c r="BD136" s="191">
        <v>42304</v>
      </c>
      <c r="BE136" s="192">
        <v>0.40100000000000002</v>
      </c>
      <c r="BH136" s="94">
        <v>42271</v>
      </c>
      <c r="BI136" s="95">
        <v>0.49199999999999999</v>
      </c>
      <c r="BJ136" s="96">
        <v>8.7100000000000009</v>
      </c>
    </row>
    <row r="137" spans="1:62" ht="15">
      <c r="A137" s="239"/>
      <c r="BB137" s="187">
        <v>42305</v>
      </c>
      <c r="BC137" s="180">
        <v>6.0000000000000001E-3</v>
      </c>
      <c r="BD137" s="191">
        <v>42305</v>
      </c>
      <c r="BE137" s="192">
        <v>0.39400000000000002</v>
      </c>
      <c r="BH137" s="94">
        <v>42272</v>
      </c>
      <c r="BI137" s="95">
        <v>0.48799999999999999</v>
      </c>
      <c r="BJ137" s="96">
        <v>8.7100000000000009</v>
      </c>
    </row>
    <row r="138" spans="1:62" ht="15">
      <c r="A138" s="239"/>
      <c r="BB138" s="187">
        <v>42306</v>
      </c>
      <c r="BC138" s="180">
        <v>4.0000000000000001E-3</v>
      </c>
      <c r="BD138" s="191">
        <v>42306</v>
      </c>
      <c r="BE138" s="192">
        <v>0.38800000000000001</v>
      </c>
      <c r="BH138" s="94">
        <v>42275</v>
      </c>
      <c r="BI138" s="95">
        <v>0.48199999999999998</v>
      </c>
      <c r="BJ138" s="96">
        <v>8.6999999999999993</v>
      </c>
    </row>
    <row r="139" spans="1:62" ht="15">
      <c r="A139" s="239"/>
      <c r="BB139" s="187">
        <v>42307</v>
      </c>
      <c r="BC139" s="180">
        <v>6.0000000000000001E-3</v>
      </c>
      <c r="BD139" s="191">
        <v>42307</v>
      </c>
      <c r="BE139" s="192">
        <v>0.38400000000000001</v>
      </c>
      <c r="BH139" s="94">
        <v>42276</v>
      </c>
      <c r="BI139" s="95">
        <v>0.47499999999999998</v>
      </c>
      <c r="BJ139" s="96">
        <v>8.6999999999999993</v>
      </c>
    </row>
    <row r="140" spans="1:62" ht="15">
      <c r="A140" s="239"/>
      <c r="BB140" s="187">
        <v>42310</v>
      </c>
      <c r="BC140" s="180">
        <v>7.0000000000000001E-3</v>
      </c>
      <c r="BD140" s="191">
        <v>42310</v>
      </c>
      <c r="BE140" s="192">
        <v>0.38300000000000001</v>
      </c>
      <c r="BF140" s="111">
        <f>+(BC140+BE140)/2+0.37</f>
        <v>0.56499999999999995</v>
      </c>
      <c r="BH140" s="94">
        <v>42277</v>
      </c>
      <c r="BI140" s="95">
        <v>0.46800000000000003</v>
      </c>
      <c r="BJ140" s="96">
        <v>8.6999999999999993</v>
      </c>
    </row>
    <row r="141" spans="1:62" ht="15">
      <c r="A141" s="239"/>
      <c r="BB141" s="187">
        <v>42311</v>
      </c>
      <c r="BC141" s="180">
        <v>3.0000000000000001E-3</v>
      </c>
      <c r="BD141" s="191">
        <v>42311</v>
      </c>
      <c r="BE141" s="192">
        <v>0.38200000000000001</v>
      </c>
      <c r="BH141" s="94">
        <v>42278</v>
      </c>
      <c r="BI141" s="95">
        <v>0.46200000000000002</v>
      </c>
      <c r="BJ141" s="96">
        <v>8.6999999999999993</v>
      </c>
    </row>
    <row r="142" spans="1:62" ht="15">
      <c r="A142" s="239"/>
      <c r="BB142" s="187">
        <v>42312</v>
      </c>
      <c r="BC142" s="180">
        <v>0</v>
      </c>
      <c r="BD142" s="191">
        <v>42312</v>
      </c>
      <c r="BE142" s="192">
        <v>0.379</v>
      </c>
      <c r="BH142" s="94">
        <v>42279</v>
      </c>
      <c r="BI142" s="95">
        <v>0.45700000000000002</v>
      </c>
      <c r="BJ142" s="96">
        <v>8.69</v>
      </c>
    </row>
    <row r="143" spans="1:62" ht="15">
      <c r="A143" s="239"/>
      <c r="BB143" s="187">
        <v>42313</v>
      </c>
      <c r="BC143" s="180">
        <v>1E-3</v>
      </c>
      <c r="BD143" s="191">
        <v>42313</v>
      </c>
      <c r="BE143" s="192">
        <v>0.38200000000000001</v>
      </c>
      <c r="BH143" s="94">
        <v>42282</v>
      </c>
      <c r="BI143" s="95">
        <v>0.45200000000000001</v>
      </c>
      <c r="BJ143" s="96">
        <v>8.68</v>
      </c>
    </row>
    <row r="144" spans="1:62" ht="15">
      <c r="A144" s="239"/>
      <c r="BB144" s="187">
        <v>42314</v>
      </c>
      <c r="BC144" s="180">
        <v>-2E-3</v>
      </c>
      <c r="BD144" s="191">
        <v>42314</v>
      </c>
      <c r="BE144" s="192">
        <v>0.38200000000000001</v>
      </c>
      <c r="BH144" s="94">
        <v>42283</v>
      </c>
      <c r="BI144" s="95">
        <v>0.44900000000000001</v>
      </c>
      <c r="BJ144" s="96">
        <v>8.68</v>
      </c>
    </row>
    <row r="145" spans="1:62" ht="15">
      <c r="A145" s="239"/>
      <c r="BB145" s="187">
        <v>42317</v>
      </c>
      <c r="BC145" s="180">
        <v>1E-3</v>
      </c>
      <c r="BD145" s="191">
        <v>42317</v>
      </c>
      <c r="BE145" s="192">
        <v>0.38200000000000001</v>
      </c>
      <c r="BH145" s="94">
        <v>42284</v>
      </c>
      <c r="BI145" s="95">
        <v>0.44600000000000001</v>
      </c>
      <c r="BJ145" s="96">
        <v>8.68</v>
      </c>
    </row>
    <row r="146" spans="1:62" ht="15">
      <c r="A146" s="239"/>
      <c r="BB146" s="187">
        <v>42318</v>
      </c>
      <c r="BC146" s="180">
        <v>-4.0000000000000001E-3</v>
      </c>
      <c r="BD146" s="191">
        <v>42318</v>
      </c>
      <c r="BE146" s="192">
        <v>0.38100000000000001</v>
      </c>
      <c r="BH146" s="94">
        <v>42285</v>
      </c>
      <c r="BI146" s="95">
        <v>0.44500000000000001</v>
      </c>
      <c r="BJ146" s="96">
        <v>8.68</v>
      </c>
    </row>
    <row r="147" spans="1:62" ht="15">
      <c r="A147" s="239"/>
      <c r="BB147" s="187">
        <v>42319</v>
      </c>
      <c r="BC147" s="180">
        <v>-6.0000000000000001E-3</v>
      </c>
      <c r="BD147" s="191">
        <v>42319</v>
      </c>
      <c r="BE147" s="192">
        <v>0.38</v>
      </c>
      <c r="BH147" s="94">
        <v>42286</v>
      </c>
      <c r="BI147" s="95">
        <v>0.443</v>
      </c>
      <c r="BJ147" s="96">
        <v>8.68</v>
      </c>
    </row>
    <row r="148" spans="1:62" ht="15">
      <c r="A148" s="239"/>
      <c r="BB148" s="187">
        <v>42320</v>
      </c>
      <c r="BC148" s="180">
        <v>-1.0999999999999999E-2</v>
      </c>
      <c r="BD148" s="191">
        <v>42320</v>
      </c>
      <c r="BE148" s="192">
        <v>0.379</v>
      </c>
      <c r="BH148" s="94">
        <v>42289</v>
      </c>
      <c r="BI148" s="95">
        <v>0.441</v>
      </c>
      <c r="BJ148" s="96">
        <v>8.67</v>
      </c>
    </row>
    <row r="149" spans="1:62" ht="15">
      <c r="A149" s="239"/>
      <c r="BB149" s="187">
        <v>42321</v>
      </c>
      <c r="BC149" s="180">
        <v>-1.0999999999999999E-2</v>
      </c>
      <c r="BD149" s="191">
        <v>42321</v>
      </c>
      <c r="BE149" s="192">
        <v>0.378</v>
      </c>
      <c r="BH149" s="94">
        <v>42290</v>
      </c>
      <c r="BI149" s="95">
        <v>0.438</v>
      </c>
      <c r="BJ149" s="96">
        <v>8.67</v>
      </c>
    </row>
    <row r="150" spans="1:62" ht="15">
      <c r="A150" s="239"/>
      <c r="BB150" s="187">
        <v>42324</v>
      </c>
      <c r="BC150" s="180">
        <v>-1.2999999999999999E-2</v>
      </c>
      <c r="BD150" s="191">
        <v>42324</v>
      </c>
      <c r="BE150" s="192">
        <v>0.375</v>
      </c>
      <c r="BH150" s="94">
        <v>42291</v>
      </c>
      <c r="BI150" s="95">
        <v>0.432</v>
      </c>
      <c r="BJ150" s="96">
        <v>8.66</v>
      </c>
    </row>
    <row r="151" spans="1:62" ht="15">
      <c r="A151" s="239"/>
      <c r="BB151" s="187">
        <v>42325</v>
      </c>
      <c r="BC151" s="180">
        <v>-1.4999999999999999E-2</v>
      </c>
      <c r="BD151" s="191">
        <v>42325</v>
      </c>
      <c r="BE151" s="192">
        <v>0.372</v>
      </c>
      <c r="BH151" s="94">
        <v>42292</v>
      </c>
      <c r="BI151" s="95">
        <v>0.42399999999999999</v>
      </c>
      <c r="BJ151" s="96">
        <v>8.66</v>
      </c>
    </row>
    <row r="152" spans="1:62" ht="15">
      <c r="A152" s="239"/>
      <c r="BB152" s="187">
        <v>42326</v>
      </c>
      <c r="BC152" s="180">
        <v>-1.4999999999999999E-2</v>
      </c>
      <c r="BD152" s="191">
        <v>42326</v>
      </c>
      <c r="BE152" s="192">
        <v>0.36599999999999999</v>
      </c>
      <c r="BH152" s="94">
        <v>42293</v>
      </c>
      <c r="BI152" s="95">
        <v>0.42</v>
      </c>
      <c r="BJ152" s="96">
        <v>8.66</v>
      </c>
    </row>
    <row r="153" spans="1:62" ht="15">
      <c r="A153" s="239"/>
      <c r="BB153" s="187">
        <v>42327</v>
      </c>
      <c r="BC153" s="180">
        <v>-1.9E-2</v>
      </c>
      <c r="BD153" s="191">
        <v>42327</v>
      </c>
      <c r="BE153" s="192">
        <v>0.36</v>
      </c>
      <c r="BH153" s="94">
        <v>42296</v>
      </c>
      <c r="BI153" s="95">
        <v>0.41699999999999998</v>
      </c>
      <c r="BJ153" s="96">
        <v>8.65</v>
      </c>
    </row>
    <row r="154" spans="1:62" ht="15">
      <c r="A154" s="239"/>
      <c r="BB154" s="187">
        <v>42328</v>
      </c>
      <c r="BC154" s="180">
        <v>-2.4E-2</v>
      </c>
      <c r="BD154" s="191">
        <v>42328</v>
      </c>
      <c r="BE154" s="192">
        <v>0.35699999999999998</v>
      </c>
      <c r="BH154" s="94">
        <v>42297</v>
      </c>
      <c r="BI154" s="95">
        <v>0.41599999999999998</v>
      </c>
      <c r="BJ154" s="96">
        <v>8.65</v>
      </c>
    </row>
    <row r="155" spans="1:62" ht="15">
      <c r="A155" s="239"/>
      <c r="BB155" s="187">
        <v>42331</v>
      </c>
      <c r="BC155" s="180">
        <v>-0.03</v>
      </c>
      <c r="BD155" s="191">
        <v>42331</v>
      </c>
      <c r="BE155" s="192">
        <v>0.35499999999999998</v>
      </c>
      <c r="BH155" s="94">
        <v>42298</v>
      </c>
      <c r="BI155" s="95">
        <v>0.41599999999999998</v>
      </c>
      <c r="BJ155" s="96">
        <v>8.64</v>
      </c>
    </row>
    <row r="156" spans="1:62" ht="15">
      <c r="A156" s="239"/>
      <c r="BB156" s="187">
        <v>42332</v>
      </c>
      <c r="BC156" s="180">
        <v>-3.3000000000000002E-2</v>
      </c>
      <c r="BD156" s="191">
        <v>42332</v>
      </c>
      <c r="BE156" s="192">
        <v>0.35499999999999998</v>
      </c>
      <c r="BH156" s="94">
        <v>42299</v>
      </c>
      <c r="BI156" s="95">
        <v>0.41399999999999998</v>
      </c>
      <c r="BJ156" s="96">
        <v>8.64</v>
      </c>
    </row>
    <row r="157" spans="1:62" ht="15">
      <c r="A157" s="239"/>
      <c r="BB157" s="187">
        <v>42333</v>
      </c>
      <c r="BC157" s="180">
        <v>-3.1E-2</v>
      </c>
      <c r="BD157" s="191">
        <v>42333</v>
      </c>
      <c r="BE157" s="192">
        <v>0.35499999999999998</v>
      </c>
      <c r="BH157" s="94">
        <v>42300</v>
      </c>
      <c r="BI157" s="95">
        <v>0.40799999999999997</v>
      </c>
      <c r="BJ157" s="96">
        <v>8.64</v>
      </c>
    </row>
    <row r="158" spans="1:62" ht="15">
      <c r="A158" s="239"/>
      <c r="BB158" s="187">
        <v>42334</v>
      </c>
      <c r="BC158" s="180">
        <v>-3.9E-2</v>
      </c>
      <c r="BD158" s="191">
        <v>42334</v>
      </c>
      <c r="BE158" s="192">
        <v>0.35299999999999998</v>
      </c>
      <c r="BH158" s="94">
        <v>42304</v>
      </c>
      <c r="BI158" s="95">
        <v>0.40100000000000002</v>
      </c>
      <c r="BJ158" s="96">
        <v>8.6300000000000008</v>
      </c>
    </row>
    <row r="159" spans="1:62" ht="15">
      <c r="A159" s="239"/>
      <c r="BB159" s="187">
        <v>42335</v>
      </c>
      <c r="BC159" s="180">
        <v>-0.04</v>
      </c>
      <c r="BD159" s="191">
        <v>42335</v>
      </c>
      <c r="BE159" s="192">
        <v>0.34899999999999998</v>
      </c>
      <c r="BH159" s="94">
        <v>42305</v>
      </c>
      <c r="BI159" s="95">
        <v>0.39400000000000002</v>
      </c>
      <c r="BJ159" s="96">
        <v>8.6300000000000008</v>
      </c>
    </row>
    <row r="160" spans="1:62" ht="15">
      <c r="A160" s="239"/>
      <c r="BB160" s="187">
        <v>42338</v>
      </c>
      <c r="BC160" s="180">
        <v>-4.2999999999999997E-2</v>
      </c>
      <c r="BD160" s="191">
        <v>42338</v>
      </c>
      <c r="BE160" s="192">
        <v>0.34499999999999997</v>
      </c>
      <c r="BH160" s="94">
        <v>42306</v>
      </c>
      <c r="BI160" s="95">
        <v>0.38800000000000001</v>
      </c>
      <c r="BJ160" s="96">
        <v>8.6199999999999992</v>
      </c>
    </row>
    <row r="161" spans="1:62" ht="15">
      <c r="A161" s="239"/>
      <c r="BB161" s="187">
        <v>42339</v>
      </c>
      <c r="BC161" s="180">
        <v>-4.4999999999999998E-2</v>
      </c>
      <c r="BD161" s="191">
        <v>42339</v>
      </c>
      <c r="BE161" s="192">
        <v>0.34100000000000003</v>
      </c>
      <c r="BH161" s="94">
        <v>42307</v>
      </c>
      <c r="BI161" s="95">
        <v>0.38400000000000001</v>
      </c>
      <c r="BJ161" s="96">
        <v>8.6199999999999992</v>
      </c>
    </row>
    <row r="162" spans="1:62" ht="15">
      <c r="A162" s="239"/>
      <c r="BB162" s="187">
        <v>42340</v>
      </c>
      <c r="BC162" s="180">
        <v>-4.8000000000000001E-2</v>
      </c>
      <c r="BD162" s="191">
        <v>42340</v>
      </c>
      <c r="BE162" s="192">
        <v>0.33600000000000002</v>
      </c>
      <c r="BH162" s="94">
        <v>42310</v>
      </c>
      <c r="BI162" s="95">
        <v>0.38300000000000001</v>
      </c>
      <c r="BJ162" s="96">
        <v>8.61</v>
      </c>
    </row>
    <row r="163" spans="1:62" ht="15">
      <c r="A163" s="239"/>
      <c r="BB163" s="187">
        <v>42341</v>
      </c>
      <c r="BC163" s="180">
        <v>-5.0999999999999997E-2</v>
      </c>
      <c r="BD163" s="191">
        <v>42341</v>
      </c>
      <c r="BE163" s="192">
        <v>0.33200000000000002</v>
      </c>
      <c r="BH163" s="94">
        <v>42311</v>
      </c>
      <c r="BI163" s="95">
        <v>0.38200000000000001</v>
      </c>
      <c r="BJ163" s="96">
        <v>8.61</v>
      </c>
    </row>
    <row r="164" spans="1:62" ht="15">
      <c r="A164" s="239"/>
      <c r="BB164" s="187">
        <v>42342</v>
      </c>
      <c r="BC164" s="180">
        <v>-0.03</v>
      </c>
      <c r="BD164" s="191">
        <v>42342</v>
      </c>
      <c r="BE164" s="192">
        <v>0.33400000000000002</v>
      </c>
      <c r="BH164" s="94">
        <v>42312</v>
      </c>
      <c r="BI164" s="95">
        <v>0.379</v>
      </c>
      <c r="BJ164" s="96">
        <v>8.61</v>
      </c>
    </row>
    <row r="165" spans="1:62" ht="15">
      <c r="A165" s="239"/>
      <c r="BB165" s="187">
        <v>42345</v>
      </c>
      <c r="BC165" s="180">
        <v>-3.1E-2</v>
      </c>
      <c r="BD165" s="191">
        <v>42345</v>
      </c>
      <c r="BE165" s="192">
        <v>0.33100000000000002</v>
      </c>
      <c r="BH165" s="94">
        <v>42313</v>
      </c>
      <c r="BI165" s="95">
        <v>0.38200000000000001</v>
      </c>
      <c r="BJ165" s="96">
        <v>8.64</v>
      </c>
    </row>
    <row r="166" spans="1:62" ht="15">
      <c r="A166" s="239"/>
      <c r="BB166" s="187">
        <v>42346</v>
      </c>
      <c r="BC166" s="180">
        <v>-3.3000000000000002E-2</v>
      </c>
      <c r="BD166" s="191"/>
      <c r="BE166" s="193">
        <f>+BE165</f>
        <v>0.33100000000000002</v>
      </c>
      <c r="BH166" s="94">
        <v>42314</v>
      </c>
      <c r="BI166" s="95">
        <v>0.38200000000000001</v>
      </c>
      <c r="BJ166" s="96">
        <v>8.64</v>
      </c>
    </row>
    <row r="167" spans="1:62" ht="15">
      <c r="A167" s="239"/>
      <c r="BB167" s="187">
        <v>42347</v>
      </c>
      <c r="BC167" s="180">
        <v>-3.4000000000000002E-2</v>
      </c>
      <c r="BD167" s="191">
        <v>42347</v>
      </c>
      <c r="BE167" s="192">
        <v>0.32900000000000001</v>
      </c>
      <c r="BH167" s="94">
        <v>42317</v>
      </c>
      <c r="BI167" s="95">
        <v>0.38200000000000001</v>
      </c>
      <c r="BJ167" s="96">
        <v>8.6300000000000008</v>
      </c>
    </row>
    <row r="168" spans="1:62" ht="15">
      <c r="A168" s="239"/>
      <c r="BB168" s="187">
        <v>42348</v>
      </c>
      <c r="BC168" s="180">
        <v>-3.5999999999999997E-2</v>
      </c>
      <c r="BD168" s="191">
        <v>42348</v>
      </c>
      <c r="BE168" s="192">
        <v>0.32700000000000001</v>
      </c>
      <c r="BH168" s="94">
        <v>42318</v>
      </c>
      <c r="BI168" s="95">
        <v>0.38100000000000001</v>
      </c>
      <c r="BJ168" s="96">
        <v>8.6300000000000008</v>
      </c>
    </row>
    <row r="169" spans="1:62" ht="15">
      <c r="A169" s="239"/>
      <c r="BB169" s="187">
        <v>42349</v>
      </c>
      <c r="BC169" s="180">
        <v>-3.7999999999999999E-2</v>
      </c>
      <c r="BD169" s="191">
        <v>42349</v>
      </c>
      <c r="BE169" s="192">
        <v>0.32500000000000001</v>
      </c>
      <c r="BH169" s="94">
        <v>42319</v>
      </c>
      <c r="BI169" s="95">
        <v>0.38</v>
      </c>
      <c r="BJ169" s="96">
        <v>8.6300000000000008</v>
      </c>
    </row>
    <row r="170" spans="1:62" ht="15">
      <c r="A170" s="239"/>
      <c r="BB170" s="187">
        <v>42352</v>
      </c>
      <c r="BC170" s="180">
        <v>-3.9E-2</v>
      </c>
      <c r="BD170" s="191">
        <v>42352</v>
      </c>
      <c r="BE170" s="192">
        <v>0.32400000000000001</v>
      </c>
      <c r="BH170" s="94">
        <v>42320</v>
      </c>
      <c r="BI170" s="95">
        <v>0.379</v>
      </c>
      <c r="BJ170" s="96">
        <v>8.6199999999999992</v>
      </c>
    </row>
    <row r="171" spans="1:62" ht="15">
      <c r="A171" s="239"/>
      <c r="BB171" s="187">
        <v>42353</v>
      </c>
      <c r="BC171" s="180">
        <v>-4.1000000000000002E-2</v>
      </c>
      <c r="BD171" s="191">
        <v>42353</v>
      </c>
      <c r="BE171" s="192">
        <v>0.32600000000000001</v>
      </c>
      <c r="BH171" s="94">
        <v>42321</v>
      </c>
      <c r="BI171" s="95">
        <v>0.378</v>
      </c>
      <c r="BJ171" s="96">
        <v>8.6199999999999992</v>
      </c>
    </row>
    <row r="172" spans="1:62" ht="15">
      <c r="A172" s="239"/>
      <c r="BB172" s="187">
        <v>42354</v>
      </c>
      <c r="BC172" s="180">
        <v>-4.1000000000000002E-2</v>
      </c>
      <c r="BD172" s="191">
        <v>42354</v>
      </c>
      <c r="BE172" s="192">
        <v>0.33</v>
      </c>
      <c r="BH172" s="94">
        <v>42324</v>
      </c>
      <c r="BI172" s="95">
        <v>0.375</v>
      </c>
      <c r="BJ172" s="96">
        <v>8.61</v>
      </c>
    </row>
    <row r="173" spans="1:62" ht="15">
      <c r="A173" s="239"/>
      <c r="BB173" s="187">
        <v>42355</v>
      </c>
      <c r="BC173" s="180">
        <v>-4.1000000000000002E-2</v>
      </c>
      <c r="BD173" s="191">
        <v>42355</v>
      </c>
      <c r="BE173" s="192">
        <v>0.33400000000000002</v>
      </c>
      <c r="BH173" s="94">
        <v>42325</v>
      </c>
      <c r="BI173" s="95">
        <v>0.372</v>
      </c>
      <c r="BJ173" s="96">
        <v>8.61</v>
      </c>
    </row>
    <row r="174" spans="1:62" ht="15">
      <c r="A174" s="239"/>
      <c r="BB174" s="187">
        <v>42356</v>
      </c>
      <c r="BC174" s="180">
        <v>-4.1000000000000002E-2</v>
      </c>
      <c r="BD174" s="191">
        <v>42356</v>
      </c>
      <c r="BE174" s="192">
        <v>0.33500000000000002</v>
      </c>
      <c r="BH174" s="94">
        <v>42326</v>
      </c>
      <c r="BI174" s="95">
        <v>0.36599999999999999</v>
      </c>
      <c r="BJ174" s="96">
        <v>8.61</v>
      </c>
    </row>
    <row r="175" spans="1:62" ht="15">
      <c r="A175" s="239"/>
      <c r="BB175" s="187">
        <v>42359</v>
      </c>
      <c r="BC175" s="180">
        <v>-4.1000000000000002E-2</v>
      </c>
      <c r="BD175" s="191">
        <v>42359</v>
      </c>
      <c r="BE175" s="192">
        <v>0.33700000000000002</v>
      </c>
      <c r="BH175" s="94">
        <v>42327</v>
      </c>
      <c r="BI175" s="95">
        <v>0.36</v>
      </c>
      <c r="BJ175" s="96">
        <v>8.6</v>
      </c>
    </row>
    <row r="176" spans="1:62" ht="15">
      <c r="A176" s="239"/>
      <c r="BB176" s="187">
        <v>42360</v>
      </c>
      <c r="BC176" s="180">
        <v>-4.1000000000000002E-2</v>
      </c>
      <c r="BD176" s="191">
        <v>42360</v>
      </c>
      <c r="BE176" s="192">
        <v>0.33900000000000002</v>
      </c>
      <c r="BH176" s="94">
        <v>42328</v>
      </c>
      <c r="BI176" s="95">
        <v>0.35699999999999998</v>
      </c>
      <c r="BJ176" s="96">
        <v>8.6</v>
      </c>
    </row>
    <row r="177" spans="1:62" ht="15">
      <c r="A177" s="239"/>
      <c r="BB177" s="187">
        <v>42361</v>
      </c>
      <c r="BC177" s="180">
        <v>-4.1000000000000002E-2</v>
      </c>
      <c r="BD177" s="191">
        <v>42361</v>
      </c>
      <c r="BE177" s="192">
        <v>0.34399999999999997</v>
      </c>
      <c r="BH177" s="94">
        <v>42331</v>
      </c>
      <c r="BI177" s="95">
        <v>0.35499999999999998</v>
      </c>
      <c r="BJ177" s="96">
        <v>8.59</v>
      </c>
    </row>
    <row r="178" spans="1:62" ht="15">
      <c r="A178" s="239"/>
      <c r="BB178" s="187">
        <v>42362</v>
      </c>
      <c r="BC178" s="180">
        <v>-0.04</v>
      </c>
      <c r="BD178" s="191"/>
      <c r="BE178" s="193">
        <f>+BE177</f>
        <v>0.34399999999999997</v>
      </c>
      <c r="BH178" s="94">
        <v>42332</v>
      </c>
      <c r="BI178" s="95">
        <v>0.35499999999999998</v>
      </c>
      <c r="BJ178" s="96">
        <v>8.59</v>
      </c>
    </row>
    <row r="179" spans="1:62" ht="15">
      <c r="A179" s="239"/>
      <c r="BB179" s="187">
        <v>42363</v>
      </c>
      <c r="BC179" s="180">
        <v>-0.04</v>
      </c>
      <c r="BD179" s="191"/>
      <c r="BE179" s="193">
        <f>+BE178</f>
        <v>0.34399999999999997</v>
      </c>
      <c r="BH179" s="94">
        <v>42333</v>
      </c>
      <c r="BI179" s="95">
        <v>0.35499999999999998</v>
      </c>
      <c r="BJ179" s="96">
        <v>8.59</v>
      </c>
    </row>
    <row r="180" spans="1:62" ht="15">
      <c r="A180" s="239"/>
      <c r="BB180" s="187">
        <v>42366</v>
      </c>
      <c r="BC180" s="180">
        <v>-0.04</v>
      </c>
      <c r="BD180" s="191">
        <v>42366</v>
      </c>
      <c r="BE180" s="192">
        <v>0.34799999999999998</v>
      </c>
      <c r="BH180" s="94">
        <v>42334</v>
      </c>
      <c r="BI180" s="95">
        <v>0.35299999999999998</v>
      </c>
      <c r="BJ180" s="96">
        <v>8.58</v>
      </c>
    </row>
    <row r="181" spans="1:62" ht="15">
      <c r="A181" s="239"/>
      <c r="BB181" s="187">
        <v>42367</v>
      </c>
      <c r="BC181" s="180">
        <v>-4.2000000000000003E-2</v>
      </c>
      <c r="BD181" s="191">
        <v>42367</v>
      </c>
      <c r="BE181" s="192">
        <v>0.35399999999999998</v>
      </c>
      <c r="BH181" s="94">
        <v>42335</v>
      </c>
      <c r="BI181" s="95">
        <v>0.34899999999999998</v>
      </c>
      <c r="BJ181" s="96">
        <v>8.58</v>
      </c>
    </row>
    <row r="182" spans="1:62" ht="15">
      <c r="A182" s="239"/>
      <c r="BB182" s="187">
        <v>42368</v>
      </c>
      <c r="BC182" s="180">
        <v>-4.1000000000000002E-2</v>
      </c>
      <c r="BD182" s="191">
        <v>42368</v>
      </c>
      <c r="BE182" s="192">
        <v>0.36099999999999999</v>
      </c>
      <c r="BH182" s="94">
        <v>42338</v>
      </c>
      <c r="BI182" s="95">
        <v>0.34499999999999997</v>
      </c>
      <c r="BJ182" s="96">
        <v>8.57</v>
      </c>
    </row>
    <row r="183" spans="1:62" ht="15">
      <c r="A183" s="239"/>
      <c r="BB183" s="187">
        <v>42369</v>
      </c>
      <c r="BC183" s="180">
        <v>-0.04</v>
      </c>
      <c r="BD183" s="191">
        <v>42369</v>
      </c>
      <c r="BE183" s="192">
        <v>0.36499999999999999</v>
      </c>
      <c r="BH183" s="94">
        <v>42339</v>
      </c>
      <c r="BI183" s="95">
        <v>0.34100000000000003</v>
      </c>
      <c r="BJ183" s="96">
        <v>8.57</v>
      </c>
    </row>
    <row r="184" spans="1:62" ht="15">
      <c r="A184" s="239"/>
      <c r="BB184" s="187">
        <v>42370</v>
      </c>
      <c r="BC184" s="180">
        <v>-0.04</v>
      </c>
      <c r="BD184" s="191"/>
      <c r="BE184" s="193">
        <f>+BE183</f>
        <v>0.36499999999999999</v>
      </c>
      <c r="BH184" s="94">
        <v>42340</v>
      </c>
      <c r="BI184" s="95">
        <v>0.33600000000000002</v>
      </c>
      <c r="BJ184" s="96">
        <v>8.57</v>
      </c>
    </row>
    <row r="185" spans="1:62" ht="15">
      <c r="A185" s="239"/>
      <c r="BB185" s="187">
        <v>42373</v>
      </c>
      <c r="BC185" s="180">
        <v>-4.1000000000000002E-2</v>
      </c>
      <c r="BD185" s="191">
        <v>42373</v>
      </c>
      <c r="BE185" s="192">
        <v>0.36799999999999999</v>
      </c>
      <c r="BH185" s="94">
        <v>42341</v>
      </c>
      <c r="BI185" s="95">
        <v>0.33200000000000002</v>
      </c>
      <c r="BJ185" s="96">
        <v>8.57</v>
      </c>
    </row>
    <row r="186" spans="1:62" ht="15">
      <c r="A186" s="239"/>
      <c r="BB186" s="187">
        <v>42374</v>
      </c>
      <c r="BC186" s="180">
        <v>-4.1000000000000002E-2</v>
      </c>
      <c r="BD186" s="191">
        <v>42374</v>
      </c>
      <c r="BE186" s="192">
        <v>0.373</v>
      </c>
      <c r="BH186" s="94">
        <v>42342</v>
      </c>
      <c r="BI186" s="95">
        <v>0.33400000000000002</v>
      </c>
      <c r="BJ186" s="96">
        <v>8.56</v>
      </c>
    </row>
    <row r="187" spans="1:62" ht="15">
      <c r="A187" s="239"/>
      <c r="BB187" s="187">
        <v>42375</v>
      </c>
      <c r="BC187" s="180">
        <v>-4.3999999999999997E-2</v>
      </c>
      <c r="BD187" s="191"/>
      <c r="BE187" s="193">
        <f>+BE186</f>
        <v>0.373</v>
      </c>
      <c r="BH187" s="94">
        <v>42345</v>
      </c>
      <c r="BI187" s="95">
        <v>0.33100000000000002</v>
      </c>
      <c r="BJ187" s="96">
        <v>8.5500000000000007</v>
      </c>
    </row>
    <row r="188" spans="1:62" ht="15">
      <c r="A188" s="239"/>
      <c r="BB188" s="187">
        <v>42376</v>
      </c>
      <c r="BC188" s="180">
        <v>-0.05</v>
      </c>
      <c r="BD188" s="191">
        <v>42376</v>
      </c>
      <c r="BE188" s="192">
        <v>0.373</v>
      </c>
      <c r="BH188" s="94">
        <v>42347</v>
      </c>
      <c r="BI188" s="95">
        <v>0.32900000000000001</v>
      </c>
      <c r="BJ188" s="96">
        <v>8.5500000000000007</v>
      </c>
    </row>
    <row r="189" spans="1:62" ht="15">
      <c r="A189" s="239"/>
      <c r="BB189" s="187">
        <v>42377</v>
      </c>
      <c r="BC189" s="180">
        <v>-5.0999999999999997E-2</v>
      </c>
      <c r="BD189" s="191">
        <v>42377</v>
      </c>
      <c r="BE189" s="192">
        <v>0.36899999999999999</v>
      </c>
      <c r="BH189" s="94">
        <v>42348</v>
      </c>
      <c r="BI189" s="95">
        <v>0.32700000000000001</v>
      </c>
      <c r="BJ189" s="96">
        <v>8.5500000000000007</v>
      </c>
    </row>
    <row r="190" spans="1:62" ht="15">
      <c r="A190" s="239"/>
      <c r="BB190" s="187">
        <v>42380</v>
      </c>
      <c r="BC190" s="180">
        <v>-5.1999999999999998E-2</v>
      </c>
      <c r="BD190" s="191">
        <v>42380</v>
      </c>
      <c r="BE190" s="192">
        <v>0.36599999999999999</v>
      </c>
      <c r="BH190" s="94">
        <v>42349</v>
      </c>
      <c r="BI190" s="95">
        <v>0.32500000000000001</v>
      </c>
      <c r="BJ190" s="96">
        <v>8.5399999999999991</v>
      </c>
    </row>
    <row r="191" spans="1:62" ht="15">
      <c r="A191" s="239"/>
      <c r="BB191" s="187">
        <v>42381</v>
      </c>
      <c r="BC191" s="180">
        <v>-5.2999999999999999E-2</v>
      </c>
      <c r="BD191" s="191">
        <v>42381</v>
      </c>
      <c r="BE191" s="192">
        <v>0.36699999999999999</v>
      </c>
      <c r="BH191" s="94">
        <v>42352</v>
      </c>
      <c r="BI191" s="95">
        <v>0.32400000000000001</v>
      </c>
      <c r="BJ191" s="96">
        <v>8.5399999999999991</v>
      </c>
    </row>
    <row r="192" spans="1:62" ht="15">
      <c r="A192" s="239"/>
      <c r="BB192" s="187">
        <v>42382</v>
      </c>
      <c r="BC192" s="180">
        <v>-5.3999999999999999E-2</v>
      </c>
      <c r="BD192" s="191">
        <v>42382</v>
      </c>
      <c r="BE192" s="192">
        <v>0.36599999999999999</v>
      </c>
      <c r="BH192" s="94">
        <v>42353</v>
      </c>
      <c r="BI192" s="95">
        <v>0.32600000000000001</v>
      </c>
      <c r="BJ192" s="96">
        <v>8.5299999999999994</v>
      </c>
    </row>
    <row r="193" spans="1:62" ht="15">
      <c r="A193" s="239"/>
      <c r="BB193" s="187">
        <v>42383</v>
      </c>
      <c r="BC193" s="180">
        <v>-5.2999999999999999E-2</v>
      </c>
      <c r="BD193" s="191">
        <v>42383</v>
      </c>
      <c r="BE193" s="192">
        <v>0.372</v>
      </c>
      <c r="BH193" s="94">
        <v>42354</v>
      </c>
      <c r="BI193" s="95">
        <v>0.33</v>
      </c>
      <c r="BJ193" s="96">
        <v>8.5299999999999994</v>
      </c>
    </row>
    <row r="194" spans="1:62" ht="15">
      <c r="A194" s="239"/>
      <c r="BB194" s="187">
        <v>42384</v>
      </c>
      <c r="BC194" s="180">
        <v>-5.3999999999999999E-2</v>
      </c>
      <c r="BD194" s="191">
        <v>42384</v>
      </c>
      <c r="BE194" s="192">
        <v>0.371</v>
      </c>
      <c r="BH194" s="94">
        <v>42355</v>
      </c>
      <c r="BI194" s="95">
        <v>0.33400000000000002</v>
      </c>
      <c r="BJ194" s="96">
        <v>8.5299999999999994</v>
      </c>
    </row>
    <row r="195" spans="1:62" ht="15">
      <c r="A195" s="239"/>
      <c r="BB195" s="187">
        <v>42387</v>
      </c>
      <c r="BC195" s="180">
        <v>-5.3999999999999999E-2</v>
      </c>
      <c r="BD195" s="191">
        <v>42387</v>
      </c>
      <c r="BE195" s="192">
        <v>0.36699999999999999</v>
      </c>
      <c r="BH195" s="94">
        <v>42356</v>
      </c>
      <c r="BI195" s="95">
        <v>0.33500000000000002</v>
      </c>
      <c r="BJ195" s="96">
        <v>8.52</v>
      </c>
    </row>
    <row r="196" spans="1:62" ht="15">
      <c r="A196" s="239"/>
      <c r="BB196" s="187">
        <v>42388</v>
      </c>
      <c r="BC196" s="180">
        <v>-5.6000000000000001E-2</v>
      </c>
      <c r="BD196" s="191">
        <v>42388</v>
      </c>
      <c r="BE196" s="192">
        <v>0.36299999999999999</v>
      </c>
      <c r="BH196" s="94">
        <v>42359</v>
      </c>
      <c r="BI196" s="95">
        <v>0.33700000000000002</v>
      </c>
      <c r="BJ196" s="96">
        <v>8.52</v>
      </c>
    </row>
    <row r="197" spans="1:62" ht="15">
      <c r="A197" s="239"/>
      <c r="BB197" s="187">
        <v>42389</v>
      </c>
      <c r="BC197" s="180">
        <v>-6.0999999999999999E-2</v>
      </c>
      <c r="BD197" s="191">
        <v>42389</v>
      </c>
      <c r="BE197" s="192">
        <v>0.35899999999999999</v>
      </c>
      <c r="BH197" s="94">
        <v>42360</v>
      </c>
      <c r="BI197" s="95">
        <v>0.33900000000000002</v>
      </c>
      <c r="BJ197" s="96">
        <v>8.51</v>
      </c>
    </row>
    <row r="198" spans="1:62" ht="15">
      <c r="A198" s="239"/>
      <c r="BB198" s="187">
        <v>42390</v>
      </c>
      <c r="BC198" s="180">
        <v>-6.5000000000000002E-2</v>
      </c>
      <c r="BD198" s="191">
        <v>42390</v>
      </c>
      <c r="BE198" s="192">
        <v>0.35599999999999998</v>
      </c>
      <c r="BH198" s="94">
        <v>42361</v>
      </c>
      <c r="BI198" s="95">
        <v>0.34399999999999997</v>
      </c>
      <c r="BJ198" s="96">
        <v>8.51</v>
      </c>
    </row>
    <row r="199" spans="1:62" ht="15">
      <c r="A199" s="239"/>
      <c r="BB199" s="187">
        <v>42391</v>
      </c>
      <c r="BC199" s="180">
        <v>-7.3999999999999996E-2</v>
      </c>
      <c r="BD199" s="191">
        <v>42391</v>
      </c>
      <c r="BE199" s="192">
        <v>0.35299999999999998</v>
      </c>
      <c r="BH199" s="94">
        <v>42366</v>
      </c>
      <c r="BI199" s="95">
        <v>0.34799999999999998</v>
      </c>
      <c r="BJ199" s="96">
        <v>8.5</v>
      </c>
    </row>
    <row r="200" spans="1:62" ht="15">
      <c r="A200" s="239"/>
      <c r="BB200" s="187">
        <v>42394</v>
      </c>
      <c r="BC200" s="180">
        <v>-7.6999999999999999E-2</v>
      </c>
      <c r="BD200" s="191">
        <v>42394</v>
      </c>
      <c r="BE200" s="192">
        <v>0.34799999999999998</v>
      </c>
      <c r="BH200" s="94">
        <v>42367</v>
      </c>
      <c r="BI200" s="95">
        <v>0.35399999999999998</v>
      </c>
      <c r="BJ200" s="96">
        <v>8.49</v>
      </c>
    </row>
    <row r="201" spans="1:62" ht="15">
      <c r="A201" s="239"/>
      <c r="BB201" s="187">
        <v>42395</v>
      </c>
      <c r="BC201" s="180">
        <v>-8.2000000000000003E-2</v>
      </c>
      <c r="BD201" s="191">
        <v>42395</v>
      </c>
      <c r="BE201" s="192">
        <v>0.34</v>
      </c>
      <c r="BH201" s="94">
        <v>42368</v>
      </c>
      <c r="BI201" s="95">
        <v>0.36099999999999999</v>
      </c>
      <c r="BJ201" s="96">
        <v>8.49</v>
      </c>
    </row>
    <row r="202" spans="1:62" ht="15">
      <c r="A202" s="239"/>
      <c r="BB202" s="187">
        <v>42396</v>
      </c>
      <c r="BC202" s="180">
        <v>-8.2000000000000003E-2</v>
      </c>
      <c r="BD202" s="191">
        <v>42396</v>
      </c>
      <c r="BE202" s="192">
        <v>0.33200000000000002</v>
      </c>
      <c r="BH202" s="94">
        <v>42369</v>
      </c>
      <c r="BI202" s="95">
        <v>0.36499999999999999</v>
      </c>
      <c r="BJ202" s="96">
        <v>8.49</v>
      </c>
    </row>
    <row r="203" spans="1:62" ht="15">
      <c r="A203" s="239"/>
      <c r="BB203" s="187">
        <v>42397</v>
      </c>
      <c r="BC203" s="180">
        <v>-8.3000000000000004E-2</v>
      </c>
      <c r="BD203" s="191">
        <v>42397</v>
      </c>
      <c r="BE203" s="192">
        <v>0.32300000000000001</v>
      </c>
      <c r="BH203" s="94">
        <v>42373</v>
      </c>
      <c r="BI203" s="95">
        <v>0.36799999999999999</v>
      </c>
      <c r="BJ203" s="96">
        <v>8.48</v>
      </c>
    </row>
    <row r="204" spans="1:62" ht="15">
      <c r="A204" s="239"/>
      <c r="BB204" s="187">
        <v>42398</v>
      </c>
      <c r="BC204" s="180">
        <v>-8.8999999999999996E-2</v>
      </c>
      <c r="BD204" s="191">
        <v>42398</v>
      </c>
      <c r="BE204" s="192">
        <v>0.311</v>
      </c>
      <c r="BH204" s="94">
        <v>42374</v>
      </c>
      <c r="BI204" s="95">
        <v>0.373</v>
      </c>
      <c r="BJ204" s="96">
        <v>8.4700000000000006</v>
      </c>
    </row>
    <row r="205" spans="1:62" ht="15">
      <c r="A205" s="239"/>
      <c r="BB205" s="187">
        <v>42401</v>
      </c>
      <c r="BC205" s="180">
        <v>-9.4E-2</v>
      </c>
      <c r="BD205" s="191">
        <v>42401</v>
      </c>
      <c r="BE205" s="192">
        <v>0.30399999999999999</v>
      </c>
      <c r="BH205" s="94">
        <v>42376</v>
      </c>
      <c r="BI205" s="95">
        <v>0.373</v>
      </c>
      <c r="BJ205" s="96">
        <v>8.4700000000000006</v>
      </c>
    </row>
    <row r="206" spans="1:62" ht="15">
      <c r="A206" s="239"/>
      <c r="BB206" s="187">
        <v>42402</v>
      </c>
      <c r="BC206" s="180">
        <v>-9.4E-2</v>
      </c>
      <c r="BD206" s="191">
        <v>42402</v>
      </c>
      <c r="BE206" s="192">
        <v>0.29499999999999998</v>
      </c>
      <c r="BH206" s="94">
        <v>42377</v>
      </c>
      <c r="BI206" s="95">
        <v>0.36899999999999999</v>
      </c>
      <c r="BJ206" s="96">
        <v>8.4700000000000006</v>
      </c>
    </row>
    <row r="207" spans="1:62" ht="15">
      <c r="A207" s="239"/>
      <c r="BB207" s="187">
        <v>42403</v>
      </c>
      <c r="BC207" s="180">
        <v>-9.6000000000000002E-2</v>
      </c>
      <c r="BD207" s="191">
        <v>42403</v>
      </c>
      <c r="BE207" s="192">
        <v>0.28499999999999998</v>
      </c>
      <c r="BH207" s="94">
        <v>42380</v>
      </c>
      <c r="BI207" s="95">
        <v>0.36599999999999999</v>
      </c>
      <c r="BJ207" s="96">
        <v>8.4600000000000009</v>
      </c>
    </row>
    <row r="208" spans="1:62" ht="15">
      <c r="A208" s="239"/>
      <c r="BB208" s="187">
        <v>42404</v>
      </c>
      <c r="BC208" s="180">
        <v>-0.10199999999999999</v>
      </c>
      <c r="BD208" s="191">
        <v>42404</v>
      </c>
      <c r="BE208" s="192">
        <v>0.27600000000000002</v>
      </c>
      <c r="BH208" s="94">
        <v>42381</v>
      </c>
      <c r="BI208" s="95">
        <v>0.36699999999999999</v>
      </c>
      <c r="BJ208" s="96">
        <v>8.4600000000000009</v>
      </c>
    </row>
    <row r="209" spans="1:62" ht="15">
      <c r="A209" s="239"/>
      <c r="BB209" s="187">
        <v>42405</v>
      </c>
      <c r="BC209" s="180">
        <v>-0.104</v>
      </c>
      <c r="BD209" s="191">
        <v>42405</v>
      </c>
      <c r="BE209" s="192">
        <v>0.26600000000000001</v>
      </c>
      <c r="BH209" s="94">
        <v>42382</v>
      </c>
      <c r="BI209" s="95">
        <v>0.36599999999999999</v>
      </c>
      <c r="BJ209" s="96">
        <v>8.4499999999999993</v>
      </c>
    </row>
    <row r="210" spans="1:62" ht="15">
      <c r="A210" s="239"/>
      <c r="BB210" s="187">
        <v>42408</v>
      </c>
      <c r="BC210" s="180">
        <v>-0.107</v>
      </c>
      <c r="BD210" s="191">
        <v>42408</v>
      </c>
      <c r="BE210" s="192">
        <v>0.255</v>
      </c>
      <c r="BH210" s="94">
        <v>42383</v>
      </c>
      <c r="BI210" s="95">
        <v>0.372</v>
      </c>
      <c r="BJ210" s="96">
        <v>8.48</v>
      </c>
    </row>
    <row r="211" spans="1:62" ht="15">
      <c r="A211" s="239"/>
      <c r="BB211" s="187">
        <v>42409</v>
      </c>
      <c r="BC211" s="180">
        <v>-0.109</v>
      </c>
      <c r="BD211" s="191">
        <v>42409</v>
      </c>
      <c r="BE211" s="192">
        <v>0.24199999999999999</v>
      </c>
      <c r="BH211" s="94">
        <v>42384</v>
      </c>
      <c r="BI211" s="95">
        <v>0.371</v>
      </c>
      <c r="BJ211" s="96">
        <v>8.48</v>
      </c>
    </row>
    <row r="212" spans="1:62" ht="15">
      <c r="A212" s="239"/>
      <c r="BB212" s="187">
        <v>42410</v>
      </c>
      <c r="BC212" s="180">
        <v>-0.111</v>
      </c>
      <c r="BD212" s="191">
        <v>42410</v>
      </c>
      <c r="BE212" s="192">
        <v>0.23100000000000001</v>
      </c>
      <c r="BH212" s="94">
        <v>42387</v>
      </c>
      <c r="BI212" s="95">
        <v>0.36699999999999999</v>
      </c>
      <c r="BJ212" s="96">
        <v>8.4700000000000006</v>
      </c>
    </row>
    <row r="213" spans="1:62" ht="15">
      <c r="A213" s="239"/>
      <c r="BB213" s="187">
        <v>42411</v>
      </c>
      <c r="BC213" s="180">
        <v>-0.112</v>
      </c>
      <c r="BD213" s="191">
        <v>42411</v>
      </c>
      <c r="BE213" s="192">
        <v>0.223</v>
      </c>
      <c r="BH213" s="94">
        <v>42388</v>
      </c>
      <c r="BI213" s="95">
        <v>0.36299999999999999</v>
      </c>
      <c r="BJ213" s="96">
        <v>8.4700000000000006</v>
      </c>
    </row>
    <row r="214" spans="1:62" ht="15">
      <c r="A214" s="239"/>
      <c r="BB214" s="187">
        <v>42412</v>
      </c>
      <c r="BC214" s="180">
        <v>-0.11600000000000001</v>
      </c>
      <c r="BD214" s="191">
        <v>42412</v>
      </c>
      <c r="BE214" s="192">
        <v>0.214</v>
      </c>
      <c r="BH214" s="94">
        <v>42389</v>
      </c>
      <c r="BI214" s="95">
        <v>0.35899999999999999</v>
      </c>
      <c r="BJ214" s="96">
        <v>8.4700000000000006</v>
      </c>
    </row>
    <row r="215" spans="1:62" ht="15">
      <c r="A215" s="239"/>
      <c r="BB215" s="187">
        <v>42415</v>
      </c>
      <c r="BC215" s="180">
        <v>-0.11600000000000001</v>
      </c>
      <c r="BD215" s="191">
        <v>42415</v>
      </c>
      <c r="BE215" s="192">
        <v>0.20499999999999999</v>
      </c>
      <c r="BH215" s="94">
        <v>42390</v>
      </c>
      <c r="BI215" s="95">
        <v>0.35599999999999998</v>
      </c>
      <c r="BJ215" s="96">
        <v>8.4600000000000009</v>
      </c>
    </row>
    <row r="216" spans="1:62" ht="15">
      <c r="A216" s="239"/>
      <c r="BB216" s="187">
        <v>42416</v>
      </c>
      <c r="BC216" s="180">
        <v>-0.12</v>
      </c>
      <c r="BD216" s="191">
        <v>42416</v>
      </c>
      <c r="BE216" s="192">
        <v>0.19700000000000001</v>
      </c>
      <c r="BH216" s="94">
        <v>42391</v>
      </c>
      <c r="BI216" s="95">
        <v>0.35299999999999998</v>
      </c>
      <c r="BJ216" s="96">
        <v>8.4600000000000009</v>
      </c>
    </row>
    <row r="217" spans="1:62" ht="15">
      <c r="A217" s="239"/>
      <c r="BB217" s="187">
        <v>42417</v>
      </c>
      <c r="BC217" s="180">
        <v>-0.121</v>
      </c>
      <c r="BD217" s="191">
        <v>42417</v>
      </c>
      <c r="BE217" s="192">
        <v>0.191</v>
      </c>
      <c r="BH217" s="94">
        <v>42394</v>
      </c>
      <c r="BI217" s="95">
        <v>0.34799999999999998</v>
      </c>
      <c r="BJ217" s="96">
        <v>8.4499999999999993</v>
      </c>
    </row>
    <row r="218" spans="1:62" ht="15">
      <c r="A218" s="239"/>
      <c r="BB218" s="187">
        <v>42418</v>
      </c>
      <c r="BC218" s="180">
        <v>-0.124</v>
      </c>
      <c r="BD218" s="191">
        <v>42418</v>
      </c>
      <c r="BE218" s="192">
        <v>0.184</v>
      </c>
      <c r="BH218" s="94">
        <v>42395</v>
      </c>
      <c r="BI218" s="95">
        <v>0.34</v>
      </c>
      <c r="BJ218" s="96">
        <v>8.4499999999999993</v>
      </c>
    </row>
    <row r="219" spans="1:62" ht="15">
      <c r="A219" s="239"/>
      <c r="BB219" s="187">
        <v>42419</v>
      </c>
      <c r="BC219" s="180">
        <v>-0.125</v>
      </c>
      <c r="BD219" s="191">
        <v>42419</v>
      </c>
      <c r="BE219" s="192">
        <v>0.17599999999999999</v>
      </c>
      <c r="BH219" s="94">
        <v>42396</v>
      </c>
      <c r="BI219" s="95">
        <v>0.33200000000000002</v>
      </c>
      <c r="BJ219" s="96">
        <v>8.4499999999999993</v>
      </c>
    </row>
    <row r="220" spans="1:62" ht="15">
      <c r="A220" s="239"/>
      <c r="BB220" s="187">
        <v>42422</v>
      </c>
      <c r="BC220" s="180">
        <v>-0.126</v>
      </c>
      <c r="BD220" s="191">
        <v>42422</v>
      </c>
      <c r="BE220" s="192">
        <v>0.2</v>
      </c>
      <c r="BH220" s="94">
        <v>42397</v>
      </c>
      <c r="BI220" s="95">
        <v>0.32300000000000001</v>
      </c>
      <c r="BJ220" s="96">
        <v>8.4499999999999993</v>
      </c>
    </row>
    <row r="221" spans="1:62" ht="15">
      <c r="A221" s="239"/>
      <c r="BB221" s="187">
        <v>42423</v>
      </c>
      <c r="BC221" s="180">
        <v>-0.125</v>
      </c>
      <c r="BD221" s="191">
        <v>42423</v>
      </c>
      <c r="BE221" s="192">
        <v>0.21099999999999999</v>
      </c>
      <c r="BH221" s="94">
        <v>42398</v>
      </c>
      <c r="BI221" s="95">
        <v>0.311</v>
      </c>
      <c r="BJ221" s="96">
        <v>8.44</v>
      </c>
    </row>
    <row r="222" spans="1:62" ht="15">
      <c r="A222" s="239"/>
      <c r="BB222" s="187">
        <v>42424</v>
      </c>
      <c r="BC222" s="180">
        <v>-0.128</v>
      </c>
      <c r="BD222" s="191">
        <v>42424</v>
      </c>
      <c r="BE222" s="192">
        <v>0.20300000000000001</v>
      </c>
      <c r="BH222" s="94">
        <v>42401</v>
      </c>
      <c r="BI222" s="95">
        <v>0.30399999999999999</v>
      </c>
      <c r="BJ222" s="96">
        <v>8.43</v>
      </c>
    </row>
    <row r="223" spans="1:62" ht="15">
      <c r="A223" s="239"/>
      <c r="BB223" s="187">
        <v>42425</v>
      </c>
      <c r="BC223" s="180">
        <v>-0.128</v>
      </c>
      <c r="BD223" s="191">
        <v>42425</v>
      </c>
      <c r="BE223" s="192">
        <v>0.19500000000000001</v>
      </c>
      <c r="BH223" s="94">
        <v>42402</v>
      </c>
      <c r="BI223" s="95">
        <v>0.29499999999999998</v>
      </c>
      <c r="BJ223" s="96">
        <v>8.43</v>
      </c>
    </row>
    <row r="224" spans="1:62" ht="15">
      <c r="A224" s="239"/>
      <c r="BB224" s="187">
        <v>42426</v>
      </c>
      <c r="BC224" s="180">
        <v>-0.129</v>
      </c>
      <c r="BD224" s="191">
        <v>42426</v>
      </c>
      <c r="BE224" s="192">
        <v>0.19</v>
      </c>
      <c r="BH224" s="94">
        <v>42403</v>
      </c>
      <c r="BI224" s="95">
        <v>0.28499999999999998</v>
      </c>
      <c r="BJ224" s="96">
        <v>8.43</v>
      </c>
    </row>
    <row r="225" spans="1:62" ht="15">
      <c r="A225" s="239"/>
      <c r="BB225" s="187">
        <v>42429</v>
      </c>
      <c r="BC225" s="180">
        <v>-0.13400000000000001</v>
      </c>
      <c r="BD225" s="191">
        <v>42429</v>
      </c>
      <c r="BE225" s="192">
        <v>0.183</v>
      </c>
      <c r="BH225" s="94">
        <v>42404</v>
      </c>
      <c r="BI225" s="95">
        <v>0.27600000000000002</v>
      </c>
      <c r="BJ225" s="96">
        <v>8.43</v>
      </c>
    </row>
    <row r="226" spans="1:62" ht="15">
      <c r="A226" s="239"/>
      <c r="BB226" s="187">
        <v>42430</v>
      </c>
      <c r="BC226" s="180">
        <v>-0.13500000000000001</v>
      </c>
      <c r="BD226" s="191">
        <v>42430</v>
      </c>
      <c r="BE226" s="192">
        <v>0.17799999999999999</v>
      </c>
      <c r="BH226" s="94">
        <v>42405</v>
      </c>
      <c r="BI226" s="95">
        <v>0.26600000000000001</v>
      </c>
      <c r="BJ226" s="96">
        <v>8.42</v>
      </c>
    </row>
    <row r="227" spans="1:62" ht="15">
      <c r="A227" s="239"/>
      <c r="BB227" s="187">
        <v>42431</v>
      </c>
      <c r="BC227" s="180">
        <v>-0.13400000000000001</v>
      </c>
      <c r="BD227" s="191">
        <v>42431</v>
      </c>
      <c r="BE227" s="192">
        <v>0.17499999999999999</v>
      </c>
      <c r="BH227" s="94">
        <v>42408</v>
      </c>
      <c r="BI227" s="95">
        <v>0.255</v>
      </c>
      <c r="BJ227" s="96">
        <v>8.42</v>
      </c>
    </row>
    <row r="228" spans="1:62" ht="15">
      <c r="A228" s="239"/>
      <c r="BB228" s="187">
        <v>42432</v>
      </c>
      <c r="BC228" s="180">
        <v>-0.13500000000000001</v>
      </c>
      <c r="BD228" s="191">
        <v>42432</v>
      </c>
      <c r="BE228" s="192">
        <v>0.17199999999999999</v>
      </c>
      <c r="BH228" s="94">
        <v>42409</v>
      </c>
      <c r="BI228" s="95">
        <v>0.24199999999999999</v>
      </c>
      <c r="BJ228" s="96">
        <v>8.41</v>
      </c>
    </row>
    <row r="229" spans="1:62" ht="15">
      <c r="A229" s="239"/>
      <c r="BB229" s="187">
        <v>42433</v>
      </c>
      <c r="BC229" s="180">
        <v>-0.13600000000000001</v>
      </c>
      <c r="BD229" s="191">
        <v>42433</v>
      </c>
      <c r="BE229" s="192">
        <v>0.17</v>
      </c>
      <c r="BH229" s="94">
        <v>42410</v>
      </c>
      <c r="BI229" s="95">
        <v>0.23100000000000001</v>
      </c>
      <c r="BJ229" s="96">
        <v>8.41</v>
      </c>
    </row>
    <row r="230" spans="1:62" ht="15">
      <c r="A230" s="239"/>
      <c r="BB230" s="187">
        <v>42436</v>
      </c>
      <c r="BC230" s="180">
        <v>-0.13600000000000001</v>
      </c>
      <c r="BD230" s="191">
        <v>42436</v>
      </c>
      <c r="BE230" s="192">
        <v>0.16900000000000001</v>
      </c>
      <c r="BH230" s="94">
        <v>42411</v>
      </c>
      <c r="BI230" s="95">
        <v>0.223</v>
      </c>
      <c r="BJ230" s="96">
        <v>8.4600000000000009</v>
      </c>
    </row>
    <row r="231" spans="1:62" ht="15">
      <c r="A231" s="239"/>
      <c r="BB231" s="187">
        <v>42437</v>
      </c>
      <c r="BC231" s="180">
        <v>-0.13800000000000001</v>
      </c>
      <c r="BD231" s="191">
        <v>42437</v>
      </c>
      <c r="BE231" s="192">
        <v>0.16700000000000001</v>
      </c>
      <c r="BH231" s="94">
        <v>42412</v>
      </c>
      <c r="BI231" s="95">
        <v>0.214</v>
      </c>
      <c r="BJ231" s="96">
        <v>8.4600000000000009</v>
      </c>
    </row>
    <row r="232" spans="1:62" ht="15">
      <c r="A232" s="239"/>
      <c r="BB232" s="187">
        <v>42438</v>
      </c>
      <c r="BC232" s="180">
        <v>-0.13900000000000001</v>
      </c>
      <c r="BD232" s="191">
        <v>42438</v>
      </c>
      <c r="BE232" s="192">
        <v>0.16600000000000001</v>
      </c>
      <c r="BH232" s="94">
        <v>42415</v>
      </c>
      <c r="BI232" s="95">
        <v>0.20499999999999999</v>
      </c>
      <c r="BJ232" s="96">
        <v>8.4499999999999993</v>
      </c>
    </row>
    <row r="233" spans="1:62" ht="15">
      <c r="A233" s="239"/>
      <c r="BB233" s="187">
        <v>42439</v>
      </c>
      <c r="BC233" s="180">
        <v>-0.14099999999999999</v>
      </c>
      <c r="BD233" s="191">
        <v>42439</v>
      </c>
      <c r="BE233" s="192">
        <v>0.16700000000000001</v>
      </c>
      <c r="BH233" s="94">
        <v>42416</v>
      </c>
      <c r="BI233" s="95">
        <v>0.19700000000000001</v>
      </c>
      <c r="BJ233" s="96">
        <v>8.4499999999999993</v>
      </c>
    </row>
    <row r="234" spans="1:62" ht="15">
      <c r="A234" s="239"/>
      <c r="BB234" s="187">
        <v>42440</v>
      </c>
      <c r="BC234" s="180">
        <v>-0.13100000000000001</v>
      </c>
      <c r="BD234" s="191">
        <v>42440</v>
      </c>
      <c r="BE234" s="192">
        <v>0.16700000000000001</v>
      </c>
      <c r="BH234" s="94">
        <v>42417</v>
      </c>
      <c r="BI234" s="95">
        <v>0.191</v>
      </c>
      <c r="BJ234" s="96">
        <v>8.44</v>
      </c>
    </row>
    <row r="235" spans="1:62" ht="15">
      <c r="A235" s="239"/>
      <c r="BB235" s="187">
        <v>42443</v>
      </c>
      <c r="BC235" s="180">
        <v>-0.13100000000000001</v>
      </c>
      <c r="BD235" s="191">
        <v>42443</v>
      </c>
      <c r="BE235" s="192">
        <v>0.16500000000000001</v>
      </c>
      <c r="BH235" s="94">
        <v>42418</v>
      </c>
      <c r="BI235" s="95">
        <v>0.184</v>
      </c>
      <c r="BJ235" s="96">
        <v>8.44</v>
      </c>
    </row>
    <row r="236" spans="1:62" ht="15">
      <c r="A236" s="239"/>
      <c r="BB236" s="187">
        <v>42444</v>
      </c>
      <c r="BC236" s="180">
        <v>-0.13</v>
      </c>
      <c r="BD236" s="191">
        <v>42444</v>
      </c>
      <c r="BE236" s="192">
        <v>0.16400000000000001</v>
      </c>
      <c r="BH236" s="94">
        <v>42419</v>
      </c>
      <c r="BI236" s="95">
        <v>0.17599999999999999</v>
      </c>
      <c r="BJ236" s="96">
        <v>8.44</v>
      </c>
    </row>
    <row r="237" spans="1:62" ht="15">
      <c r="A237" s="239"/>
      <c r="BB237" s="187">
        <v>42445</v>
      </c>
      <c r="BC237" s="180">
        <v>-0.129</v>
      </c>
      <c r="BD237" s="191">
        <v>42445</v>
      </c>
      <c r="BE237" s="192">
        <v>0.16300000000000001</v>
      </c>
      <c r="BH237" s="94">
        <v>42422</v>
      </c>
      <c r="BI237" s="95">
        <v>0.2</v>
      </c>
      <c r="BJ237" s="96">
        <v>8.85</v>
      </c>
    </row>
    <row r="238" spans="1:62" ht="15">
      <c r="A238" s="239"/>
      <c r="BB238" s="187">
        <v>42446</v>
      </c>
      <c r="BC238" s="180">
        <v>-0.13100000000000001</v>
      </c>
      <c r="BD238" s="191">
        <v>42446</v>
      </c>
      <c r="BE238" s="192">
        <v>0.161</v>
      </c>
      <c r="BH238" s="94">
        <v>42423</v>
      </c>
      <c r="BI238" s="95">
        <v>0.21099999999999999</v>
      </c>
      <c r="BJ238" s="96">
        <v>9.07</v>
      </c>
    </row>
    <row r="239" spans="1:62" ht="15">
      <c r="A239" s="239"/>
      <c r="BB239" s="187">
        <v>42447</v>
      </c>
      <c r="BC239" s="180">
        <v>-0.13100000000000001</v>
      </c>
      <c r="BD239" s="191">
        <v>42447</v>
      </c>
      <c r="BE239" s="192">
        <v>0.159</v>
      </c>
      <c r="BH239" s="94">
        <v>42424</v>
      </c>
      <c r="BI239" s="95">
        <v>0.20300000000000001</v>
      </c>
      <c r="BJ239" s="96">
        <v>9.07</v>
      </c>
    </row>
    <row r="240" spans="1:62" ht="15">
      <c r="A240" s="239"/>
      <c r="BB240" s="187">
        <v>42450</v>
      </c>
      <c r="BC240" s="180">
        <v>-0.13100000000000001</v>
      </c>
      <c r="BD240" s="191">
        <v>42450</v>
      </c>
      <c r="BE240" s="192">
        <v>0.158</v>
      </c>
      <c r="BH240" s="94">
        <v>42425</v>
      </c>
      <c r="BI240" s="95">
        <v>0.19500000000000001</v>
      </c>
      <c r="BJ240" s="96">
        <v>9.07</v>
      </c>
    </row>
    <row r="241" spans="1:62" ht="15">
      <c r="A241" s="239"/>
      <c r="BB241" s="187">
        <v>42451</v>
      </c>
      <c r="BC241" s="180">
        <v>-0.13200000000000001</v>
      </c>
      <c r="BD241" s="191">
        <v>42451</v>
      </c>
      <c r="BE241" s="192">
        <v>0.156</v>
      </c>
      <c r="BH241" s="94">
        <v>42426</v>
      </c>
      <c r="BI241" s="95">
        <v>0.19</v>
      </c>
      <c r="BJ241" s="96">
        <v>9.06</v>
      </c>
    </row>
    <row r="242" spans="1:62" ht="15">
      <c r="A242" s="239"/>
      <c r="BB242" s="187">
        <v>42452</v>
      </c>
      <c r="BC242" s="180">
        <v>-0.13300000000000001</v>
      </c>
      <c r="BD242" s="191">
        <v>42452</v>
      </c>
      <c r="BE242" s="192">
        <v>0.157</v>
      </c>
      <c r="BH242" s="94">
        <v>42429</v>
      </c>
      <c r="BI242" s="95">
        <v>0.183</v>
      </c>
      <c r="BJ242" s="96">
        <v>9.0500000000000007</v>
      </c>
    </row>
    <row r="243" spans="1:62" ht="15">
      <c r="A243" s="239"/>
      <c r="BB243" s="187">
        <v>42453</v>
      </c>
      <c r="BC243" s="180">
        <v>-0.13400000000000001</v>
      </c>
      <c r="BD243" s="191">
        <v>42453</v>
      </c>
      <c r="BE243" s="192">
        <v>0.157</v>
      </c>
      <c r="BH243" s="94">
        <v>42430</v>
      </c>
      <c r="BI243" s="95">
        <v>0.17799999999999999</v>
      </c>
      <c r="BJ243" s="96">
        <v>9.0500000000000007</v>
      </c>
    </row>
    <row r="244" spans="1:62" ht="15">
      <c r="A244" s="239"/>
      <c r="BB244" s="187">
        <v>42454</v>
      </c>
      <c r="BC244" s="180">
        <v>-0.13400000000000001</v>
      </c>
      <c r="BD244" s="191">
        <v>42454</v>
      </c>
      <c r="BE244" s="192">
        <v>0.158</v>
      </c>
      <c r="BH244" s="94">
        <v>42431</v>
      </c>
      <c r="BI244" s="95">
        <v>0.17499999999999999</v>
      </c>
      <c r="BJ244" s="96">
        <v>9.0500000000000007</v>
      </c>
    </row>
    <row r="245" spans="1:62" ht="15">
      <c r="A245" s="239"/>
      <c r="BB245" s="187">
        <v>42457</v>
      </c>
      <c r="BC245" s="180">
        <v>-0.13400000000000001</v>
      </c>
      <c r="BD245" s="191"/>
      <c r="BE245" s="193">
        <f>+BE244</f>
        <v>0.158</v>
      </c>
      <c r="BH245" s="94">
        <v>42432</v>
      </c>
      <c r="BI245" s="95">
        <v>0.17199999999999999</v>
      </c>
      <c r="BJ245" s="96">
        <v>9.0500000000000007</v>
      </c>
    </row>
    <row r="246" spans="1:62" ht="15">
      <c r="A246" s="239"/>
      <c r="BB246" s="187">
        <v>42458</v>
      </c>
      <c r="BC246" s="180">
        <v>-0.13400000000000001</v>
      </c>
      <c r="BD246" s="191">
        <v>42458</v>
      </c>
      <c r="BE246" s="192">
        <v>0.158</v>
      </c>
      <c r="BH246" s="94">
        <v>42433</v>
      </c>
      <c r="BI246" s="95">
        <v>0.17</v>
      </c>
      <c r="BJ246" s="96">
        <v>9.0399999999999991</v>
      </c>
    </row>
    <row r="247" spans="1:62" ht="15">
      <c r="A247" s="239"/>
      <c r="BB247" s="187">
        <v>42459</v>
      </c>
      <c r="BC247" s="180">
        <v>-0.13200000000000001</v>
      </c>
      <c r="BD247" s="191">
        <v>42459</v>
      </c>
      <c r="BE247" s="192">
        <v>0.157</v>
      </c>
      <c r="BH247" s="94">
        <v>42436</v>
      </c>
      <c r="BI247" s="95">
        <v>0.16900000000000001</v>
      </c>
      <c r="BJ247" s="96">
        <v>9.0399999999999991</v>
      </c>
    </row>
    <row r="248" spans="1:62" ht="15">
      <c r="A248" s="239"/>
      <c r="BB248" s="187">
        <v>42460</v>
      </c>
      <c r="BC248" s="180">
        <v>-0.13200000000000001</v>
      </c>
      <c r="BD248" s="191">
        <v>42460</v>
      </c>
      <c r="BE248" s="192">
        <v>0.154</v>
      </c>
      <c r="BH248" s="94">
        <v>42437</v>
      </c>
      <c r="BI248" s="95">
        <v>0.16700000000000001</v>
      </c>
      <c r="BJ248" s="96">
        <v>9.0299999999999994</v>
      </c>
    </row>
    <row r="249" spans="1:62" ht="15">
      <c r="A249" s="239"/>
      <c r="BB249" s="187">
        <v>42461</v>
      </c>
      <c r="BC249" s="180">
        <v>-0.13100000000000001</v>
      </c>
      <c r="BD249" s="191">
        <v>42461</v>
      </c>
      <c r="BE249" s="192">
        <v>0.151</v>
      </c>
      <c r="BH249" s="94">
        <v>42438</v>
      </c>
      <c r="BI249" s="95">
        <v>0.16600000000000001</v>
      </c>
      <c r="BJ249" s="96">
        <v>9.0299999999999994</v>
      </c>
    </row>
    <row r="250" spans="1:62" ht="15">
      <c r="A250" s="239"/>
      <c r="BB250" s="187">
        <v>42464</v>
      </c>
      <c r="BC250" s="180">
        <v>-0.13200000000000001</v>
      </c>
      <c r="BD250" s="191">
        <v>42464</v>
      </c>
      <c r="BE250" s="192">
        <v>0.14599999999999999</v>
      </c>
      <c r="BH250" s="94">
        <v>42439</v>
      </c>
      <c r="BI250" s="95">
        <v>0.16700000000000001</v>
      </c>
      <c r="BJ250" s="96">
        <v>9.02</v>
      </c>
    </row>
    <row r="251" spans="1:62" ht="15">
      <c r="A251" s="239"/>
      <c r="BB251" s="187">
        <v>42465</v>
      </c>
      <c r="BC251" s="180">
        <v>-0.13200000000000001</v>
      </c>
      <c r="BD251" s="191">
        <v>42465</v>
      </c>
      <c r="BE251" s="192">
        <v>0.14000000000000001</v>
      </c>
      <c r="BH251" s="94">
        <v>42440</v>
      </c>
      <c r="BI251" s="95">
        <v>0.16700000000000001</v>
      </c>
      <c r="BJ251" s="96">
        <v>9.02</v>
      </c>
    </row>
    <row r="252" spans="1:62" ht="15">
      <c r="A252" s="239"/>
      <c r="BB252" s="187">
        <v>42466</v>
      </c>
      <c r="BC252" s="180">
        <v>-0.13200000000000001</v>
      </c>
      <c r="BD252" s="191">
        <v>42466</v>
      </c>
      <c r="BE252" s="192">
        <v>0.13700000000000001</v>
      </c>
      <c r="BH252" s="94">
        <v>42443</v>
      </c>
      <c r="BI252" s="95">
        <v>0.16500000000000001</v>
      </c>
      <c r="BJ252" s="96">
        <v>9.01</v>
      </c>
    </row>
    <row r="253" spans="1:62" ht="15">
      <c r="A253" s="239"/>
      <c r="BB253" s="187">
        <v>42467</v>
      </c>
      <c r="BC253" s="180">
        <v>-0.13400000000000001</v>
      </c>
      <c r="BD253" s="191">
        <v>42467</v>
      </c>
      <c r="BE253" s="192">
        <v>0.13500000000000001</v>
      </c>
      <c r="BH253" s="94">
        <v>42444</v>
      </c>
      <c r="BI253" s="95">
        <v>0.16400000000000001</v>
      </c>
      <c r="BJ253" s="96">
        <v>9</v>
      </c>
    </row>
    <row r="254" spans="1:62" ht="15">
      <c r="A254" s="239"/>
      <c r="BB254" s="187">
        <v>42468</v>
      </c>
      <c r="BC254" s="180">
        <v>-0.13400000000000001</v>
      </c>
      <c r="BD254" s="191">
        <v>42468</v>
      </c>
      <c r="BE254" s="192">
        <v>0.129</v>
      </c>
      <c r="BH254" s="94">
        <v>42445</v>
      </c>
      <c r="BI254" s="95">
        <v>0.16300000000000001</v>
      </c>
      <c r="BJ254" s="96">
        <v>9</v>
      </c>
    </row>
    <row r="255" spans="1:62" ht="15">
      <c r="A255" s="239"/>
      <c r="BB255" s="187">
        <v>42471</v>
      </c>
      <c r="BC255" s="180">
        <v>-0.13300000000000001</v>
      </c>
      <c r="BD255" s="191">
        <v>42471</v>
      </c>
      <c r="BE255" s="192">
        <v>0.122</v>
      </c>
      <c r="BH255" s="94">
        <v>42446</v>
      </c>
      <c r="BI255" s="95">
        <v>0.161</v>
      </c>
      <c r="BJ255" s="96">
        <v>9</v>
      </c>
    </row>
    <row r="256" spans="1:62" ht="15">
      <c r="A256" s="239"/>
      <c r="BB256" s="187">
        <v>42472</v>
      </c>
      <c r="BC256" s="180">
        <v>-0.13600000000000001</v>
      </c>
      <c r="BD256" s="191">
        <v>42472</v>
      </c>
      <c r="BE256" s="192">
        <v>0.11700000000000001</v>
      </c>
      <c r="BH256" s="94">
        <v>42447</v>
      </c>
      <c r="BI256" s="95">
        <v>0.159</v>
      </c>
      <c r="BJ256" s="96">
        <v>9</v>
      </c>
    </row>
    <row r="257" spans="1:62" ht="15">
      <c r="A257" s="239"/>
      <c r="BB257" s="187">
        <v>42473</v>
      </c>
      <c r="BC257" s="180">
        <v>-0.13800000000000001</v>
      </c>
      <c r="BD257" s="191">
        <v>42473</v>
      </c>
      <c r="BE257" s="192">
        <v>0.111</v>
      </c>
      <c r="BH257" s="94">
        <v>42450</v>
      </c>
      <c r="BI257" s="95">
        <v>0.158</v>
      </c>
      <c r="BJ257" s="96">
        <v>8.99</v>
      </c>
    </row>
    <row r="258" spans="1:62" ht="15">
      <c r="A258" s="239"/>
      <c r="BB258" s="187">
        <v>42474</v>
      </c>
      <c r="BC258" s="180">
        <v>-0.13800000000000001</v>
      </c>
      <c r="BD258" s="191">
        <v>42474</v>
      </c>
      <c r="BE258" s="192">
        <v>0.105</v>
      </c>
      <c r="BH258" s="94">
        <v>42451</v>
      </c>
      <c r="BI258" s="95">
        <v>0.156</v>
      </c>
      <c r="BJ258" s="96">
        <v>8.99</v>
      </c>
    </row>
    <row r="259" spans="1:62" ht="15">
      <c r="A259" s="239"/>
      <c r="BB259" s="187">
        <v>42475</v>
      </c>
      <c r="BC259" s="180">
        <v>-0.14000000000000001</v>
      </c>
      <c r="BD259" s="191">
        <v>42475</v>
      </c>
      <c r="BE259" s="192">
        <v>0.10100000000000001</v>
      </c>
      <c r="BH259" s="94">
        <v>42452</v>
      </c>
      <c r="BI259" s="95">
        <v>0.157</v>
      </c>
      <c r="BJ259" s="96">
        <v>8.98</v>
      </c>
    </row>
    <row r="260" spans="1:62" ht="15">
      <c r="A260" s="239"/>
      <c r="BB260" s="187">
        <v>42478</v>
      </c>
      <c r="BC260" s="180">
        <v>-0.13900000000000001</v>
      </c>
      <c r="BD260" s="191">
        <v>42478</v>
      </c>
      <c r="BE260" s="192">
        <v>9.7000000000000003E-2</v>
      </c>
      <c r="BH260" s="94">
        <v>42453</v>
      </c>
      <c r="BI260" s="95">
        <v>0.157</v>
      </c>
      <c r="BJ260" s="96">
        <v>8.98</v>
      </c>
    </row>
    <row r="261" spans="1:62" ht="15">
      <c r="A261" s="239"/>
      <c r="BB261" s="187">
        <v>42479</v>
      </c>
      <c r="BC261" s="180">
        <v>-0.13900000000000001</v>
      </c>
      <c r="BD261" s="191">
        <v>42479</v>
      </c>
      <c r="BE261" s="192">
        <v>9.6000000000000002E-2</v>
      </c>
      <c r="BH261" s="94">
        <v>42454</v>
      </c>
      <c r="BI261" s="95">
        <v>0.158</v>
      </c>
      <c r="BJ261" s="96">
        <v>8.98</v>
      </c>
    </row>
    <row r="262" spans="1:62" ht="15">
      <c r="A262" s="239"/>
      <c r="BB262" s="187">
        <v>42480</v>
      </c>
      <c r="BC262" s="180">
        <v>-0.14099999999999999</v>
      </c>
      <c r="BD262" s="191">
        <v>42480</v>
      </c>
      <c r="BE262" s="192">
        <v>9.2999999999999999E-2</v>
      </c>
      <c r="BH262" s="94">
        <v>42458</v>
      </c>
      <c r="BI262" s="95">
        <v>0.158</v>
      </c>
      <c r="BJ262" s="96">
        <v>8.9700000000000006</v>
      </c>
    </row>
    <row r="263" spans="1:62" ht="15">
      <c r="A263" s="239"/>
      <c r="BB263" s="187">
        <v>42481</v>
      </c>
      <c r="BC263" s="180">
        <v>-0.14299999999999999</v>
      </c>
      <c r="BD263" s="191">
        <v>42481</v>
      </c>
      <c r="BE263" s="192">
        <v>9.0999999999999998E-2</v>
      </c>
      <c r="BH263" s="94">
        <v>42459</v>
      </c>
      <c r="BI263" s="95">
        <v>0.157</v>
      </c>
      <c r="BJ263" s="96">
        <v>8.9600000000000009</v>
      </c>
    </row>
    <row r="264" spans="1:62" ht="15">
      <c r="A264" s="239"/>
      <c r="BB264" s="187">
        <v>42482</v>
      </c>
      <c r="BC264" s="180">
        <v>-0.14299999999999999</v>
      </c>
      <c r="BD264" s="191">
        <v>42482</v>
      </c>
      <c r="BE264" s="192">
        <v>9.1999999999999998E-2</v>
      </c>
      <c r="BH264" s="94">
        <v>42460</v>
      </c>
      <c r="BI264" s="95">
        <v>0.154</v>
      </c>
      <c r="BJ264" s="96">
        <v>8.9600000000000009</v>
      </c>
    </row>
    <row r="265" spans="1:62" ht="15">
      <c r="A265" s="239"/>
      <c r="BB265" s="187">
        <v>42485</v>
      </c>
      <c r="BC265" s="180">
        <v>-0.14399999999999999</v>
      </c>
      <c r="BD265" s="191">
        <v>42485</v>
      </c>
      <c r="BE265" s="192">
        <v>9.4E-2</v>
      </c>
      <c r="BH265" s="94">
        <v>42461</v>
      </c>
      <c r="BI265" s="95">
        <v>0.151</v>
      </c>
      <c r="BJ265" s="96">
        <v>8.9600000000000009</v>
      </c>
    </row>
    <row r="266" spans="1:62" ht="15">
      <c r="A266" s="239"/>
      <c r="BB266" s="187">
        <v>42486</v>
      </c>
      <c r="BC266" s="180">
        <v>-0.14299999999999999</v>
      </c>
      <c r="BD266" s="191">
        <v>42486</v>
      </c>
      <c r="BE266" s="192">
        <v>9.7000000000000003E-2</v>
      </c>
      <c r="BH266" s="94">
        <v>42464</v>
      </c>
      <c r="BI266" s="95">
        <v>0.14599999999999999</v>
      </c>
      <c r="BJ266" s="96">
        <v>8.9499999999999993</v>
      </c>
    </row>
    <row r="267" spans="1:62" ht="15">
      <c r="A267" s="239"/>
      <c r="BB267" s="187">
        <v>42487</v>
      </c>
      <c r="BC267" s="180">
        <v>-0.14199999999999999</v>
      </c>
      <c r="BD267" s="191">
        <v>42487</v>
      </c>
      <c r="BE267" s="192">
        <v>0.10100000000000001</v>
      </c>
      <c r="BH267" s="94">
        <v>42465</v>
      </c>
      <c r="BI267" s="95">
        <v>0.14000000000000001</v>
      </c>
      <c r="BJ267" s="96">
        <v>8.9499999999999993</v>
      </c>
    </row>
    <row r="268" spans="1:62" ht="15">
      <c r="A268" s="239"/>
      <c r="BB268" s="187">
        <v>42488</v>
      </c>
      <c r="BC268" s="180">
        <v>-0.14199999999999999</v>
      </c>
      <c r="BD268" s="191">
        <v>42488</v>
      </c>
      <c r="BE268" s="192">
        <v>0.10299999999999999</v>
      </c>
      <c r="BH268" s="94">
        <v>42466</v>
      </c>
      <c r="BI268" s="95">
        <v>0.13700000000000001</v>
      </c>
      <c r="BJ268" s="96">
        <v>8.94</v>
      </c>
    </row>
    <row r="269" spans="1:62" ht="15">
      <c r="A269" s="239"/>
      <c r="BB269" s="187">
        <v>42489</v>
      </c>
      <c r="BC269" s="180">
        <v>-0.14099999999999999</v>
      </c>
      <c r="BD269" s="191">
        <v>42489</v>
      </c>
      <c r="BE269" s="192">
        <v>0.107</v>
      </c>
      <c r="BH269" s="94">
        <v>42467</v>
      </c>
      <c r="BI269" s="95">
        <v>0.13500000000000001</v>
      </c>
      <c r="BJ269" s="96">
        <v>9.01</v>
      </c>
    </row>
    <row r="270" spans="1:62" ht="15">
      <c r="A270" s="239"/>
      <c r="BB270" s="187">
        <v>42492</v>
      </c>
      <c r="BC270" s="180">
        <v>-0.14099999999999999</v>
      </c>
      <c r="BD270" s="191">
        <v>42492</v>
      </c>
      <c r="BE270" s="192">
        <v>0.111</v>
      </c>
      <c r="BF270" s="111">
        <f>+(BC270+BE270)/2+0.37</f>
        <v>0.35499999999999998</v>
      </c>
      <c r="BH270" s="94">
        <v>42468</v>
      </c>
      <c r="BI270" s="95">
        <v>0.129</v>
      </c>
      <c r="BJ270" s="96">
        <v>9</v>
      </c>
    </row>
    <row r="271" spans="1:62" ht="15">
      <c r="A271" s="239"/>
      <c r="BB271" s="187">
        <v>42493</v>
      </c>
      <c r="BC271" s="180">
        <v>-0.14199999999999999</v>
      </c>
      <c r="BD271" s="191">
        <v>42493</v>
      </c>
      <c r="BE271" s="192">
        <v>0.11600000000000001</v>
      </c>
      <c r="BH271" s="94">
        <v>42471</v>
      </c>
      <c r="BI271" s="95">
        <v>0.122</v>
      </c>
      <c r="BJ271" s="96">
        <v>9</v>
      </c>
    </row>
    <row r="272" spans="1:62" ht="15">
      <c r="A272" s="239"/>
      <c r="BB272" s="187">
        <v>42494</v>
      </c>
      <c r="BC272" s="180">
        <v>-0.14199999999999999</v>
      </c>
      <c r="BD272" s="191">
        <v>42494</v>
      </c>
      <c r="BE272" s="192">
        <v>0.11899999999999999</v>
      </c>
      <c r="BH272" s="94">
        <v>42472</v>
      </c>
      <c r="BI272" s="95">
        <v>0.11700000000000001</v>
      </c>
      <c r="BJ272" s="96">
        <v>8.99</v>
      </c>
    </row>
    <row r="273" spans="1:62" ht="15">
      <c r="A273" s="239"/>
      <c r="BB273" s="187">
        <v>42495</v>
      </c>
      <c r="BC273" s="180">
        <v>-0.14399999999999999</v>
      </c>
      <c r="BD273" s="191"/>
      <c r="BE273" s="193">
        <f>+BE272</f>
        <v>0.11899999999999999</v>
      </c>
      <c r="BH273" s="94">
        <v>42473</v>
      </c>
      <c r="BI273" s="95">
        <v>0.111</v>
      </c>
      <c r="BJ273" s="96">
        <v>8.99</v>
      </c>
    </row>
    <row r="274" spans="1:62" ht="15">
      <c r="A274" s="239"/>
      <c r="BB274" s="187">
        <v>42496</v>
      </c>
      <c r="BC274" s="180">
        <v>-0.14399999999999999</v>
      </c>
      <c r="BD274" s="191">
        <v>42496</v>
      </c>
      <c r="BE274" s="192">
        <v>0.121</v>
      </c>
      <c r="BH274" s="94">
        <v>42474</v>
      </c>
      <c r="BI274" s="95">
        <v>0.105</v>
      </c>
      <c r="BJ274" s="96">
        <v>8.99</v>
      </c>
    </row>
    <row r="275" spans="1:62" ht="15">
      <c r="A275" s="239"/>
      <c r="BB275" s="187">
        <v>42499</v>
      </c>
      <c r="BC275" s="180">
        <v>-0.14299999999999999</v>
      </c>
      <c r="BD275" s="191">
        <v>42499</v>
      </c>
      <c r="BE275" s="192">
        <v>0.123</v>
      </c>
      <c r="BH275" s="94">
        <v>42475</v>
      </c>
      <c r="BI275" s="95">
        <v>0.10100000000000001</v>
      </c>
      <c r="BJ275" s="96">
        <v>8.99</v>
      </c>
    </row>
    <row r="276" spans="1:62" ht="15">
      <c r="A276" s="239"/>
      <c r="BB276" s="187">
        <v>42500</v>
      </c>
      <c r="BC276" s="180">
        <v>-0.14399999999999999</v>
      </c>
      <c r="BD276" s="191">
        <v>42500</v>
      </c>
      <c r="BE276" s="192">
        <v>0.124</v>
      </c>
      <c r="BH276" s="94">
        <v>42478</v>
      </c>
      <c r="BI276" s="95">
        <v>9.7000000000000003E-2</v>
      </c>
      <c r="BJ276" s="96">
        <v>8.98</v>
      </c>
    </row>
    <row r="277" spans="1:62" ht="15">
      <c r="A277" s="239"/>
      <c r="BB277" s="187">
        <v>42501</v>
      </c>
      <c r="BC277" s="180">
        <v>-0.14399999999999999</v>
      </c>
      <c r="BD277" s="191">
        <v>42501</v>
      </c>
      <c r="BE277" s="192">
        <v>0.123</v>
      </c>
      <c r="BH277" s="94">
        <v>42479</v>
      </c>
      <c r="BI277" s="95">
        <v>9.6000000000000002E-2</v>
      </c>
      <c r="BJ277" s="96">
        <v>8.9700000000000006</v>
      </c>
    </row>
    <row r="278" spans="1:62" ht="15">
      <c r="A278" s="239"/>
      <c r="BB278" s="187">
        <v>42502</v>
      </c>
      <c r="BC278" s="180">
        <v>-0.14399999999999999</v>
      </c>
      <c r="BD278" s="191">
        <v>42502</v>
      </c>
      <c r="BE278" s="192">
        <v>0.127</v>
      </c>
      <c r="BH278" s="94">
        <v>42480</v>
      </c>
      <c r="BI278" s="95">
        <v>9.2999999999999999E-2</v>
      </c>
      <c r="BJ278" s="96">
        <v>8.9700000000000006</v>
      </c>
    </row>
    <row r="279" spans="1:62" ht="15">
      <c r="A279" s="239"/>
      <c r="BB279" s="187">
        <v>42503</v>
      </c>
      <c r="BC279" s="180">
        <v>-0.14399999999999999</v>
      </c>
      <c r="BD279" s="191">
        <v>42503</v>
      </c>
      <c r="BE279" s="192">
        <v>0.126</v>
      </c>
      <c r="BH279" s="94">
        <v>42481</v>
      </c>
      <c r="BI279" s="95">
        <v>9.0999999999999998E-2</v>
      </c>
      <c r="BJ279" s="96">
        <v>8.9700000000000006</v>
      </c>
    </row>
    <row r="280" spans="1:62" ht="15">
      <c r="A280" s="239"/>
      <c r="BB280" s="187">
        <v>42506</v>
      </c>
      <c r="BC280" s="180">
        <v>-0.14299999999999999</v>
      </c>
      <c r="BD280" s="191"/>
      <c r="BE280" s="193">
        <f>+BE279</f>
        <v>0.126</v>
      </c>
      <c r="BH280" s="94">
        <v>42482</v>
      </c>
      <c r="BI280" s="95">
        <v>9.1999999999999998E-2</v>
      </c>
      <c r="BJ280" s="96">
        <v>8.9700000000000006</v>
      </c>
    </row>
    <row r="281" spans="1:62" ht="15">
      <c r="A281" s="239"/>
      <c r="BB281" s="187">
        <v>42507</v>
      </c>
      <c r="BC281" s="180">
        <v>-0.14299999999999999</v>
      </c>
      <c r="BD281" s="191">
        <v>42507</v>
      </c>
      <c r="BE281" s="192">
        <v>0.126</v>
      </c>
      <c r="BH281" s="94">
        <v>42485</v>
      </c>
      <c r="BI281" s="95">
        <v>9.4E-2</v>
      </c>
      <c r="BJ281" s="96">
        <v>8.9600000000000009</v>
      </c>
    </row>
    <row r="282" spans="1:62" ht="15">
      <c r="A282" s="239"/>
      <c r="BB282" s="187">
        <v>42508</v>
      </c>
      <c r="BC282" s="180">
        <v>-0.14399999999999999</v>
      </c>
      <c r="BD282" s="191">
        <v>42508</v>
      </c>
      <c r="BE282" s="192">
        <v>0.127</v>
      </c>
      <c r="BH282" s="94">
        <v>42486</v>
      </c>
      <c r="BI282" s="95">
        <v>9.7000000000000003E-2</v>
      </c>
      <c r="BJ282" s="96">
        <v>8.9600000000000009</v>
      </c>
    </row>
    <row r="283" spans="1:62" ht="15">
      <c r="A283" s="239"/>
      <c r="BB283" s="187">
        <v>42509</v>
      </c>
      <c r="BC283" s="180">
        <v>-0.14299999999999999</v>
      </c>
      <c r="BD283" s="191">
        <v>42509</v>
      </c>
      <c r="BE283" s="192">
        <v>0.127</v>
      </c>
      <c r="BH283" s="94">
        <v>42487</v>
      </c>
      <c r="BI283" s="95">
        <v>0.10100000000000001</v>
      </c>
      <c r="BJ283" s="96">
        <v>8.9499999999999993</v>
      </c>
    </row>
    <row r="284" spans="1:62" ht="15">
      <c r="A284" s="239"/>
      <c r="BB284" s="187">
        <v>42510</v>
      </c>
      <c r="BC284" s="180">
        <v>-0.14299999999999999</v>
      </c>
      <c r="BD284" s="191">
        <v>42510</v>
      </c>
      <c r="BE284" s="192">
        <v>0.128</v>
      </c>
      <c r="BH284" s="94">
        <v>42488</v>
      </c>
      <c r="BI284" s="95">
        <v>0.10299999999999999</v>
      </c>
      <c r="BJ284" s="96">
        <v>8.9499999999999993</v>
      </c>
    </row>
    <row r="285" spans="1:62" ht="15">
      <c r="A285" s="239"/>
      <c r="BB285" s="187">
        <v>42513</v>
      </c>
      <c r="BC285" s="180">
        <v>-0.14399999999999999</v>
      </c>
      <c r="BD285" s="191">
        <v>42513</v>
      </c>
      <c r="BE285" s="192">
        <v>0.127</v>
      </c>
      <c r="BH285" s="94">
        <v>42489</v>
      </c>
      <c r="BI285" s="95">
        <v>0.107</v>
      </c>
      <c r="BJ285" s="96">
        <v>8.9499999999999993</v>
      </c>
    </row>
    <row r="286" spans="1:62" ht="15">
      <c r="A286" s="239"/>
      <c r="BB286" s="187">
        <v>42514</v>
      </c>
      <c r="BC286" s="180">
        <v>-0.14399999999999999</v>
      </c>
      <c r="BD286" s="191">
        <v>42514</v>
      </c>
      <c r="BE286" s="192">
        <v>0.125</v>
      </c>
      <c r="BH286" s="94">
        <v>42492</v>
      </c>
      <c r="BI286" s="95">
        <v>0.111</v>
      </c>
      <c r="BJ286" s="96">
        <v>8.94</v>
      </c>
    </row>
    <row r="287" spans="1:62" ht="15">
      <c r="A287" s="239"/>
      <c r="BB287" s="187">
        <v>42515</v>
      </c>
      <c r="BC287" s="180">
        <v>-0.14399999999999999</v>
      </c>
      <c r="BD287" s="191">
        <v>42515</v>
      </c>
      <c r="BE287" s="192">
        <v>0.123</v>
      </c>
      <c r="BH287" s="94">
        <v>42493</v>
      </c>
      <c r="BI287" s="95">
        <v>0.11600000000000001</v>
      </c>
      <c r="BJ287" s="96">
        <v>8.94</v>
      </c>
    </row>
    <row r="288" spans="1:62" ht="15">
      <c r="A288" s="239"/>
      <c r="BB288" s="187">
        <v>42516</v>
      </c>
      <c r="BC288" s="180">
        <v>-0.14599999999999999</v>
      </c>
      <c r="BD288" s="191">
        <v>42517</v>
      </c>
      <c r="BE288" s="192">
        <v>0.11799999999999999</v>
      </c>
      <c r="BH288" s="94">
        <v>42494</v>
      </c>
      <c r="BI288" s="95">
        <v>0.11899999999999999</v>
      </c>
      <c r="BJ288" s="96">
        <v>8.93</v>
      </c>
    </row>
    <row r="289" spans="1:62" ht="15">
      <c r="A289" s="239"/>
      <c r="BB289" s="187">
        <v>42517</v>
      </c>
      <c r="BC289" s="180">
        <v>-0.14899999999999999</v>
      </c>
      <c r="BD289" s="191">
        <v>42520</v>
      </c>
      <c r="BE289" s="192">
        <v>0.113</v>
      </c>
      <c r="BH289" s="94">
        <v>42496</v>
      </c>
      <c r="BI289" s="95">
        <v>0.121</v>
      </c>
      <c r="BJ289" s="96">
        <v>8.93</v>
      </c>
    </row>
    <row r="290" spans="1:62" ht="15">
      <c r="A290" s="239"/>
      <c r="BB290" s="187">
        <v>42520</v>
      </c>
      <c r="BC290" s="180">
        <v>-0.151</v>
      </c>
      <c r="BD290" s="191">
        <v>42521</v>
      </c>
      <c r="BE290" s="192">
        <v>0.11</v>
      </c>
      <c r="BH290" s="94">
        <v>42499</v>
      </c>
      <c r="BI290" s="95">
        <v>0.123</v>
      </c>
      <c r="BJ290" s="96">
        <v>8.92</v>
      </c>
    </row>
    <row r="291" spans="1:62" ht="15">
      <c r="A291" s="239"/>
      <c r="BB291" s="187">
        <v>42521</v>
      </c>
      <c r="BC291" s="180">
        <v>-0.153</v>
      </c>
      <c r="BD291" s="191">
        <v>42522</v>
      </c>
      <c r="BE291" s="192">
        <v>0.10299999999999999</v>
      </c>
      <c r="BH291" s="94">
        <v>42500</v>
      </c>
      <c r="BI291" s="95">
        <v>0.124</v>
      </c>
      <c r="BJ291" s="96">
        <v>8.92</v>
      </c>
    </row>
    <row r="292" spans="1:62" ht="15">
      <c r="A292" s="239"/>
      <c r="BB292" s="187">
        <v>42522</v>
      </c>
      <c r="BC292" s="180">
        <v>-0.153</v>
      </c>
      <c r="BD292" s="191"/>
      <c r="BE292" s="193">
        <f>+BE291</f>
        <v>0.10299999999999999</v>
      </c>
      <c r="BH292" s="94">
        <v>42501</v>
      </c>
      <c r="BI292" s="95">
        <v>0.123</v>
      </c>
      <c r="BJ292" s="96">
        <v>8.91</v>
      </c>
    </row>
    <row r="293" spans="1:62" ht="15">
      <c r="A293" s="239"/>
      <c r="BB293" s="187">
        <v>42523</v>
      </c>
      <c r="BC293" s="180">
        <v>-0.153</v>
      </c>
      <c r="BD293" s="191">
        <v>42523</v>
      </c>
      <c r="BE293" s="192">
        <v>9.7000000000000003E-2</v>
      </c>
      <c r="BH293" s="94">
        <v>42502</v>
      </c>
      <c r="BI293" s="95">
        <v>0.127</v>
      </c>
      <c r="BJ293" s="96">
        <v>8.94</v>
      </c>
    </row>
    <row r="294" spans="1:62" ht="15">
      <c r="A294" s="239"/>
      <c r="BB294" s="187">
        <v>42524</v>
      </c>
      <c r="BC294" s="180">
        <v>-0.154</v>
      </c>
      <c r="BD294" s="191">
        <v>42524</v>
      </c>
      <c r="BE294" s="192">
        <v>9.1999999999999998E-2</v>
      </c>
      <c r="BH294" s="94">
        <v>42503</v>
      </c>
      <c r="BI294" s="95">
        <v>0.126</v>
      </c>
      <c r="BJ294" s="96">
        <v>8.94</v>
      </c>
    </row>
    <row r="295" spans="1:62" ht="15">
      <c r="A295" s="239"/>
      <c r="BB295" s="187">
        <v>42527</v>
      </c>
      <c r="BC295" s="180">
        <v>-0.157</v>
      </c>
      <c r="BD295" s="191">
        <v>42527</v>
      </c>
      <c r="BE295" s="192">
        <v>8.5999999999999993E-2</v>
      </c>
      <c r="BH295" s="94">
        <v>42507</v>
      </c>
      <c r="BI295" s="95">
        <v>0.126</v>
      </c>
      <c r="BJ295" s="96">
        <v>8.93</v>
      </c>
    </row>
    <row r="296" spans="1:62" ht="15">
      <c r="A296" s="239"/>
      <c r="BB296" s="187">
        <v>42528</v>
      </c>
      <c r="BC296" s="180">
        <v>-0.159</v>
      </c>
      <c r="BD296" s="191">
        <v>42528</v>
      </c>
      <c r="BE296" s="192">
        <v>8.2000000000000003E-2</v>
      </c>
      <c r="BH296" s="94">
        <v>42508</v>
      </c>
      <c r="BI296" s="95">
        <v>0.127</v>
      </c>
      <c r="BJ296" s="96">
        <v>8.93</v>
      </c>
    </row>
    <row r="297" spans="1:62" ht="15">
      <c r="A297" s="239"/>
      <c r="BB297" s="187">
        <v>42529</v>
      </c>
      <c r="BC297" s="180">
        <v>-0.16</v>
      </c>
      <c r="BD297" s="191">
        <v>42529</v>
      </c>
      <c r="BE297" s="192">
        <v>7.8E-2</v>
      </c>
      <c r="BH297" s="94">
        <v>42509</v>
      </c>
      <c r="BI297" s="95">
        <v>0.127</v>
      </c>
      <c r="BJ297" s="96">
        <v>8.93</v>
      </c>
    </row>
    <row r="298" spans="1:62" ht="15">
      <c r="A298" s="239"/>
      <c r="BB298" s="187">
        <v>42530</v>
      </c>
      <c r="BC298" s="180">
        <v>-0.159</v>
      </c>
      <c r="BD298" s="191">
        <v>42530</v>
      </c>
      <c r="BE298" s="192">
        <v>7.4999999999999997E-2</v>
      </c>
      <c r="BH298" s="94">
        <v>42510</v>
      </c>
      <c r="BI298" s="95">
        <v>0.128</v>
      </c>
      <c r="BJ298" s="96">
        <v>8.92</v>
      </c>
    </row>
    <row r="299" spans="1:62" ht="15">
      <c r="A299" s="239"/>
      <c r="BB299" s="187">
        <v>42531</v>
      </c>
      <c r="BC299" s="180">
        <v>-0.159</v>
      </c>
      <c r="BD299" s="191">
        <v>42531</v>
      </c>
      <c r="BE299" s="192">
        <v>7.0000000000000007E-2</v>
      </c>
      <c r="BH299" s="94">
        <v>42513</v>
      </c>
      <c r="BI299" s="95">
        <v>0.127</v>
      </c>
      <c r="BJ299" s="96">
        <v>8.91</v>
      </c>
    </row>
    <row r="300" spans="1:62" ht="15">
      <c r="A300" s="239"/>
      <c r="BB300" s="187">
        <v>42534</v>
      </c>
      <c r="BC300" s="180">
        <v>-0.158</v>
      </c>
      <c r="BD300" s="191">
        <v>42534</v>
      </c>
      <c r="BE300" s="192">
        <v>6.5000000000000002E-2</v>
      </c>
      <c r="BH300" s="94">
        <v>42514</v>
      </c>
      <c r="BI300" s="95">
        <v>0.125</v>
      </c>
      <c r="BJ300" s="96">
        <v>8.91</v>
      </c>
    </row>
    <row r="301" spans="1:62" ht="15">
      <c r="A301" s="239"/>
      <c r="BB301" s="187">
        <v>42535</v>
      </c>
      <c r="BC301" s="180">
        <v>-0.159</v>
      </c>
      <c r="BD301" s="191">
        <v>42535</v>
      </c>
      <c r="BE301" s="192">
        <v>0.06</v>
      </c>
      <c r="BH301" s="94">
        <v>42515</v>
      </c>
      <c r="BI301" s="95">
        <v>0.123</v>
      </c>
      <c r="BJ301" s="96">
        <v>8.91</v>
      </c>
    </row>
    <row r="302" spans="1:62" ht="15">
      <c r="A302" s="239"/>
      <c r="BB302" s="187">
        <v>42536</v>
      </c>
      <c r="BC302" s="180">
        <v>-0.159</v>
      </c>
      <c r="BD302" s="191">
        <v>42536</v>
      </c>
      <c r="BE302" s="192">
        <v>5.5E-2</v>
      </c>
      <c r="BH302" s="94">
        <v>42517</v>
      </c>
      <c r="BI302" s="95">
        <v>0.11799999999999999</v>
      </c>
      <c r="BJ302" s="96">
        <v>8.9</v>
      </c>
    </row>
    <row r="303" spans="1:62" ht="15">
      <c r="A303" s="239"/>
      <c r="BB303" s="187">
        <v>42537</v>
      </c>
      <c r="BC303" s="180">
        <v>-0.16</v>
      </c>
      <c r="BD303" s="191">
        <v>42537</v>
      </c>
      <c r="BE303" s="192">
        <v>0.05</v>
      </c>
      <c r="BH303" s="94">
        <v>42520</v>
      </c>
      <c r="BI303" s="95">
        <v>0.113</v>
      </c>
      <c r="BJ303" s="96">
        <v>8.89</v>
      </c>
    </row>
    <row r="304" spans="1:62" ht="15">
      <c r="A304" s="239"/>
      <c r="BB304" s="187">
        <v>42538</v>
      </c>
      <c r="BC304" s="180">
        <v>-0.159</v>
      </c>
      <c r="BD304" s="191">
        <v>42538</v>
      </c>
      <c r="BE304" s="192">
        <v>4.3999999999999997E-2</v>
      </c>
      <c r="BH304" s="94">
        <v>42521</v>
      </c>
      <c r="BI304" s="95">
        <v>0.11</v>
      </c>
      <c r="BJ304" s="96">
        <v>8.89</v>
      </c>
    </row>
    <row r="305" spans="1:62" ht="15">
      <c r="A305" s="239"/>
      <c r="BB305" s="187">
        <v>42541</v>
      </c>
      <c r="BC305" s="180">
        <v>-0.159</v>
      </c>
      <c r="BD305" s="191">
        <v>42541</v>
      </c>
      <c r="BE305" s="192">
        <v>3.9E-2</v>
      </c>
      <c r="BH305" s="94">
        <v>42522</v>
      </c>
      <c r="BI305" s="95">
        <v>0.10299999999999999</v>
      </c>
      <c r="BJ305" s="96">
        <v>8.89</v>
      </c>
    </row>
    <row r="306" spans="1:62" ht="15">
      <c r="A306" s="239"/>
      <c r="BB306" s="187">
        <v>42542</v>
      </c>
      <c r="BC306" s="180">
        <v>-0.159</v>
      </c>
      <c r="BD306" s="191">
        <v>42542</v>
      </c>
      <c r="BE306" s="192">
        <v>3.5000000000000003E-2</v>
      </c>
      <c r="BH306" s="94">
        <v>42523</v>
      </c>
      <c r="BI306" s="95">
        <v>9.7000000000000003E-2</v>
      </c>
      <c r="BJ306" s="96">
        <v>8.89</v>
      </c>
    </row>
    <row r="307" spans="1:62" ht="15">
      <c r="A307" s="239"/>
      <c r="BB307" s="187">
        <v>42543</v>
      </c>
      <c r="BC307" s="180">
        <v>-0.161</v>
      </c>
      <c r="BD307" s="191">
        <v>42543</v>
      </c>
      <c r="BE307" s="192">
        <v>0.03</v>
      </c>
      <c r="BH307" s="94">
        <v>42524</v>
      </c>
      <c r="BI307" s="95">
        <v>9.1999999999999998E-2</v>
      </c>
      <c r="BJ307" s="96">
        <v>8.8800000000000008</v>
      </c>
    </row>
    <row r="308" spans="1:62" ht="15">
      <c r="A308" s="239"/>
      <c r="BB308" s="187">
        <v>42544</v>
      </c>
      <c r="BC308" s="180">
        <v>-0.161</v>
      </c>
      <c r="BD308" s="191">
        <v>42544</v>
      </c>
      <c r="BE308" s="192">
        <v>2.7E-2</v>
      </c>
      <c r="BH308" s="94">
        <v>42527</v>
      </c>
      <c r="BI308" s="95">
        <v>8.5999999999999993E-2</v>
      </c>
      <c r="BJ308" s="96">
        <v>8.8800000000000008</v>
      </c>
    </row>
    <row r="309" spans="1:62" ht="15">
      <c r="A309" s="239"/>
      <c r="BB309" s="187">
        <v>42545</v>
      </c>
      <c r="BC309" s="180">
        <v>-0.17499999999999999</v>
      </c>
      <c r="BD309" s="191">
        <v>42545</v>
      </c>
      <c r="BE309" s="192">
        <v>2.1000000000000001E-2</v>
      </c>
      <c r="BH309" s="94">
        <v>42528</v>
      </c>
      <c r="BI309" s="95">
        <v>8.2000000000000003E-2</v>
      </c>
      <c r="BJ309" s="96">
        <v>8.8699999999999992</v>
      </c>
    </row>
    <row r="310" spans="1:62" ht="15">
      <c r="A310" s="239"/>
      <c r="BB310" s="187">
        <v>42548</v>
      </c>
      <c r="BC310" s="180">
        <v>-0.17599999999999999</v>
      </c>
      <c r="BD310" s="191">
        <v>42548</v>
      </c>
      <c r="BE310" s="192">
        <v>1.2E-2</v>
      </c>
      <c r="BH310" s="94">
        <v>42529</v>
      </c>
      <c r="BI310" s="95">
        <v>7.8E-2</v>
      </c>
      <c r="BJ310" s="96">
        <v>8.8699999999999992</v>
      </c>
    </row>
    <row r="311" spans="1:62" ht="15">
      <c r="A311" s="239"/>
      <c r="BB311" s="187">
        <v>42549</v>
      </c>
      <c r="BC311" s="180">
        <v>-0.17599999999999999</v>
      </c>
      <c r="BD311" s="191">
        <v>42549</v>
      </c>
      <c r="BE311" s="192">
        <v>3.0000000000000001E-3</v>
      </c>
      <c r="BH311" s="94">
        <v>42530</v>
      </c>
      <c r="BI311" s="95">
        <v>7.4999999999999997E-2</v>
      </c>
      <c r="BJ311" s="96">
        <v>8.8699999999999992</v>
      </c>
    </row>
    <row r="312" spans="1:62" ht="15">
      <c r="A312" s="239"/>
      <c r="BB312" s="187">
        <v>42550</v>
      </c>
      <c r="BC312" s="180">
        <v>-0.17799999999999999</v>
      </c>
      <c r="BD312" s="191">
        <v>42550</v>
      </c>
      <c r="BE312" s="192" t="s">
        <v>57</v>
      </c>
      <c r="BH312" s="94">
        <v>42531</v>
      </c>
      <c r="BI312" s="95">
        <v>7.0000000000000007E-2</v>
      </c>
      <c r="BJ312" s="96">
        <v>8.8699999999999992</v>
      </c>
    </row>
    <row r="313" spans="1:62" ht="15">
      <c r="A313" s="239"/>
      <c r="BB313" s="187">
        <v>42551</v>
      </c>
      <c r="BC313" s="180">
        <v>-0.17899999999999999</v>
      </c>
      <c r="BD313" s="191">
        <v>42551</v>
      </c>
      <c r="BE313" s="192" t="s">
        <v>58</v>
      </c>
      <c r="BH313" s="94">
        <v>42534</v>
      </c>
      <c r="BI313" s="95">
        <v>6.5000000000000002E-2</v>
      </c>
      <c r="BJ313" s="96">
        <v>8.86</v>
      </c>
    </row>
    <row r="314" spans="1:62" ht="15">
      <c r="A314" s="239"/>
      <c r="BB314" s="187">
        <v>42552</v>
      </c>
      <c r="BC314" s="180">
        <v>-0.182</v>
      </c>
      <c r="BD314" s="191">
        <v>42552</v>
      </c>
      <c r="BE314" s="192" t="s">
        <v>59</v>
      </c>
      <c r="BH314" s="94">
        <v>42535</v>
      </c>
      <c r="BI314" s="95">
        <v>0.06</v>
      </c>
      <c r="BJ314" s="96">
        <v>8.86</v>
      </c>
    </row>
    <row r="315" spans="1:62" ht="15">
      <c r="A315" s="239"/>
      <c r="BB315" s="187">
        <v>42555</v>
      </c>
      <c r="BC315" s="180">
        <v>-0.185</v>
      </c>
      <c r="BD315" s="191">
        <v>42555</v>
      </c>
      <c r="BE315" s="192" t="s">
        <v>60</v>
      </c>
      <c r="BH315" s="94">
        <v>42536</v>
      </c>
      <c r="BI315" s="95">
        <v>5.5E-2</v>
      </c>
      <c r="BJ315" s="96">
        <v>8.85</v>
      </c>
    </row>
    <row r="316" spans="1:62" ht="15">
      <c r="A316" s="239"/>
      <c r="BB316" s="187">
        <v>42556</v>
      </c>
      <c r="BC316" s="180">
        <v>-0.188</v>
      </c>
      <c r="BD316" s="191">
        <v>42556</v>
      </c>
      <c r="BE316" s="192" t="s">
        <v>61</v>
      </c>
      <c r="BH316" s="94">
        <v>42537</v>
      </c>
      <c r="BI316" s="95">
        <v>0.05</v>
      </c>
      <c r="BJ316" s="96">
        <v>8.85</v>
      </c>
    </row>
    <row r="317" spans="1:62" ht="15">
      <c r="A317" s="239"/>
      <c r="BB317" s="187">
        <v>42557</v>
      </c>
      <c r="BC317" s="180">
        <v>-0.189</v>
      </c>
      <c r="BD317" s="191">
        <v>42557</v>
      </c>
      <c r="BE317" s="192" t="s">
        <v>62</v>
      </c>
      <c r="BH317" s="94">
        <v>42538</v>
      </c>
      <c r="BI317" s="95">
        <v>4.3999999999999997E-2</v>
      </c>
      <c r="BJ317" s="96">
        <v>8.85</v>
      </c>
    </row>
    <row r="318" spans="1:62" ht="15">
      <c r="A318" s="239"/>
      <c r="BB318" s="187">
        <v>42558</v>
      </c>
      <c r="BC318" s="180">
        <v>-0.189</v>
      </c>
      <c r="BD318" s="191">
        <v>42558</v>
      </c>
      <c r="BE318" s="192" t="s">
        <v>63</v>
      </c>
      <c r="BH318" s="94">
        <v>42541</v>
      </c>
      <c r="BI318" s="95">
        <v>3.9E-2</v>
      </c>
      <c r="BJ318" s="96">
        <v>8.84</v>
      </c>
    </row>
    <row r="319" spans="1:62" ht="15">
      <c r="A319" s="239"/>
      <c r="BB319" s="187">
        <v>42559</v>
      </c>
      <c r="BC319" s="180">
        <v>-0.19</v>
      </c>
      <c r="BD319" s="191">
        <v>42559</v>
      </c>
      <c r="BE319" s="192" t="s">
        <v>64</v>
      </c>
      <c r="BH319" s="94">
        <v>42542</v>
      </c>
      <c r="BI319" s="95">
        <v>3.5000000000000003E-2</v>
      </c>
      <c r="BJ319" s="96">
        <v>8.84</v>
      </c>
    </row>
    <row r="320" spans="1:62" ht="15">
      <c r="A320" s="239"/>
      <c r="BB320" s="187">
        <v>42562</v>
      </c>
      <c r="BC320" s="180">
        <v>-0.19</v>
      </c>
      <c r="BD320" s="191">
        <v>42562</v>
      </c>
      <c r="BE320" s="192" t="s">
        <v>65</v>
      </c>
      <c r="BH320" s="94">
        <v>42543</v>
      </c>
      <c r="BI320" s="95">
        <v>0.03</v>
      </c>
      <c r="BJ320" s="96">
        <v>8.83</v>
      </c>
    </row>
    <row r="321" spans="1:62" ht="15">
      <c r="A321" s="239"/>
      <c r="BB321" s="187">
        <v>42563</v>
      </c>
      <c r="BC321" s="180">
        <v>-0.191</v>
      </c>
      <c r="BD321" s="191">
        <v>42563</v>
      </c>
      <c r="BE321" s="192" t="s">
        <v>66</v>
      </c>
      <c r="BH321" s="94">
        <v>42544</v>
      </c>
      <c r="BI321" s="95">
        <v>2.7E-2</v>
      </c>
      <c r="BJ321" s="96">
        <v>8.83</v>
      </c>
    </row>
    <row r="322" spans="1:62" ht="15">
      <c r="A322" s="239"/>
      <c r="BB322" s="187">
        <v>42564</v>
      </c>
      <c r="BC322" s="180">
        <v>-0.191</v>
      </c>
      <c r="BD322" s="191">
        <v>42564</v>
      </c>
      <c r="BE322" s="192" t="s">
        <v>67</v>
      </c>
      <c r="BH322" s="94">
        <v>42545</v>
      </c>
      <c r="BI322" s="95">
        <v>2.1000000000000001E-2</v>
      </c>
      <c r="BJ322" s="96">
        <v>8.83</v>
      </c>
    </row>
    <row r="323" spans="1:62" ht="15">
      <c r="A323" s="239"/>
      <c r="BB323" s="187">
        <v>42565</v>
      </c>
      <c r="BC323" s="180">
        <v>-0.19</v>
      </c>
      <c r="BD323" s="191">
        <v>42565</v>
      </c>
      <c r="BE323" s="192" t="s">
        <v>68</v>
      </c>
      <c r="BH323" s="94">
        <v>42548</v>
      </c>
      <c r="BI323" s="95">
        <v>1.2E-2</v>
      </c>
      <c r="BJ323" s="96">
        <v>8.82</v>
      </c>
    </row>
    <row r="324" spans="1:62" ht="15">
      <c r="A324" s="239"/>
      <c r="BB324" s="187">
        <v>42566</v>
      </c>
      <c r="BC324" s="180">
        <v>-0.187</v>
      </c>
      <c r="BD324" s="191">
        <v>42566</v>
      </c>
      <c r="BE324" s="192" t="s">
        <v>69</v>
      </c>
      <c r="BH324" s="94">
        <v>42549</v>
      </c>
      <c r="BI324" s="95">
        <v>3.0000000000000001E-3</v>
      </c>
      <c r="BJ324" s="96">
        <v>8.82</v>
      </c>
    </row>
    <row r="325" spans="1:62" ht="15">
      <c r="A325" s="239"/>
      <c r="BB325" s="187">
        <v>42569</v>
      </c>
      <c r="BC325" s="180">
        <v>-0.191</v>
      </c>
      <c r="BD325" s="191">
        <v>42569</v>
      </c>
      <c r="BE325" s="192" t="s">
        <v>70</v>
      </c>
      <c r="BH325" s="94">
        <v>42550</v>
      </c>
      <c r="BI325" s="95" t="s">
        <v>57</v>
      </c>
      <c r="BJ325" s="96">
        <v>8.81</v>
      </c>
    </row>
    <row r="326" spans="1:62" ht="15">
      <c r="A326" s="239"/>
      <c r="BB326" s="187">
        <v>42570</v>
      </c>
      <c r="BC326" s="180">
        <v>-0.189</v>
      </c>
      <c r="BD326" s="191">
        <v>42570</v>
      </c>
      <c r="BE326" s="192" t="s">
        <v>71</v>
      </c>
      <c r="BH326" s="94">
        <v>42551</v>
      </c>
      <c r="BI326" s="95" t="s">
        <v>58</v>
      </c>
      <c r="BJ326" s="96">
        <v>8.81</v>
      </c>
    </row>
    <row r="327" spans="1:62" ht="15">
      <c r="A327" s="239"/>
      <c r="BB327" s="187">
        <v>42571</v>
      </c>
      <c r="BC327" s="180">
        <v>-0.189</v>
      </c>
      <c r="BD327" s="191">
        <v>42571</v>
      </c>
      <c r="BE327" s="192" t="s">
        <v>72</v>
      </c>
      <c r="BH327" s="94">
        <v>42552</v>
      </c>
      <c r="BI327" s="95" t="s">
        <v>59</v>
      </c>
      <c r="BJ327" s="96">
        <v>8.81</v>
      </c>
    </row>
    <row r="328" spans="1:62" ht="15">
      <c r="A328" s="239"/>
      <c r="BB328" s="187">
        <v>42572</v>
      </c>
      <c r="BC328" s="180">
        <v>-0.188</v>
      </c>
      <c r="BD328" s="191">
        <v>42572</v>
      </c>
      <c r="BE328" s="192" t="s">
        <v>73</v>
      </c>
      <c r="BH328" s="94">
        <v>42555</v>
      </c>
      <c r="BI328" s="95" t="s">
        <v>60</v>
      </c>
      <c r="BJ328" s="96">
        <v>8.8000000000000007</v>
      </c>
    </row>
    <row r="329" spans="1:62" ht="15">
      <c r="A329" s="239"/>
      <c r="BB329" s="187">
        <v>42573</v>
      </c>
      <c r="BC329" s="180">
        <v>-0.189</v>
      </c>
      <c r="BD329" s="191">
        <v>42573</v>
      </c>
      <c r="BE329" s="192" t="s">
        <v>74</v>
      </c>
      <c r="BH329" s="94">
        <v>42556</v>
      </c>
      <c r="BI329" s="95" t="s">
        <v>61</v>
      </c>
      <c r="BJ329" s="96">
        <v>8.8000000000000007</v>
      </c>
    </row>
    <row r="330" spans="1:62" ht="15">
      <c r="A330" s="239"/>
      <c r="BB330" s="187">
        <v>42576</v>
      </c>
      <c r="BC330" s="180">
        <v>-0.188</v>
      </c>
      <c r="BD330" s="191">
        <v>42576</v>
      </c>
      <c r="BE330" s="192" t="s">
        <v>75</v>
      </c>
      <c r="BH330" s="94">
        <v>42557</v>
      </c>
      <c r="BI330" s="95" t="s">
        <v>62</v>
      </c>
      <c r="BJ330" s="96">
        <v>8.8000000000000007</v>
      </c>
    </row>
    <row r="331" spans="1:62" ht="15">
      <c r="A331" s="239"/>
      <c r="BB331" s="187">
        <v>42577</v>
      </c>
      <c r="BC331" s="180">
        <v>-0.187</v>
      </c>
      <c r="BD331" s="191">
        <v>42577</v>
      </c>
      <c r="BE331" s="192" t="s">
        <v>76</v>
      </c>
      <c r="BH331" s="94">
        <v>42558</v>
      </c>
      <c r="BI331" s="95" t="s">
        <v>63</v>
      </c>
      <c r="BJ331" s="96">
        <v>8.81</v>
      </c>
    </row>
    <row r="332" spans="1:62" ht="15">
      <c r="A332" s="239"/>
      <c r="BB332" s="187">
        <v>42578</v>
      </c>
      <c r="BC332" s="180">
        <v>-0.187</v>
      </c>
      <c r="BD332" s="191">
        <v>42578</v>
      </c>
      <c r="BE332" s="192" t="s">
        <v>77</v>
      </c>
      <c r="BH332" s="94">
        <v>42559</v>
      </c>
      <c r="BI332" s="95" t="s">
        <v>64</v>
      </c>
      <c r="BJ332" s="96">
        <v>8.8000000000000007</v>
      </c>
    </row>
    <row r="333" spans="1:62" ht="15">
      <c r="A333" s="239"/>
      <c r="BB333" s="187">
        <v>42579</v>
      </c>
      <c r="BC333" s="180">
        <v>-0.186</v>
      </c>
      <c r="BD333" s="191">
        <v>42579</v>
      </c>
      <c r="BE333" s="192" t="s">
        <v>78</v>
      </c>
      <c r="BH333" s="94">
        <v>42562</v>
      </c>
      <c r="BI333" s="95" t="s">
        <v>65</v>
      </c>
      <c r="BJ333" s="96">
        <v>8.7899999999999991</v>
      </c>
    </row>
    <row r="334" spans="1:62" ht="15">
      <c r="A334" s="239"/>
      <c r="BB334" s="187">
        <v>42580</v>
      </c>
      <c r="BC334" s="180">
        <v>-0.186</v>
      </c>
      <c r="BD334" s="191">
        <v>42580</v>
      </c>
      <c r="BE334" s="192" t="s">
        <v>79</v>
      </c>
      <c r="BH334" s="94">
        <v>42563</v>
      </c>
      <c r="BI334" s="95" t="s">
        <v>66</v>
      </c>
      <c r="BJ334" s="96">
        <v>8.7899999999999991</v>
      </c>
    </row>
    <row r="335" spans="1:62" ht="15">
      <c r="A335" s="239"/>
      <c r="BB335" s="187">
        <v>42583</v>
      </c>
      <c r="BC335" s="180">
        <v>-0.186</v>
      </c>
      <c r="BD335" s="191">
        <v>42583</v>
      </c>
      <c r="BE335" s="192" t="s">
        <v>80</v>
      </c>
      <c r="BH335" s="94">
        <v>42564</v>
      </c>
      <c r="BI335" s="95" t="s">
        <v>67</v>
      </c>
      <c r="BJ335" s="96">
        <v>8.7899999999999991</v>
      </c>
    </row>
    <row r="336" spans="1:62" ht="15">
      <c r="A336" s="239"/>
      <c r="BB336" s="187">
        <v>42584</v>
      </c>
      <c r="BC336" s="180">
        <v>-0.184</v>
      </c>
      <c r="BD336" s="191">
        <v>42584</v>
      </c>
      <c r="BE336" s="192" t="s">
        <v>80</v>
      </c>
      <c r="BH336" s="94">
        <v>42565</v>
      </c>
      <c r="BI336" s="95" t="s">
        <v>68</v>
      </c>
      <c r="BJ336" s="96">
        <v>8.7899999999999991</v>
      </c>
    </row>
    <row r="337" spans="1:62" ht="15">
      <c r="A337" s="239"/>
      <c r="BB337" s="187">
        <v>42585</v>
      </c>
      <c r="BC337" s="180">
        <v>-0.183</v>
      </c>
      <c r="BD337" s="191">
        <v>42585</v>
      </c>
      <c r="BE337" s="192" t="s">
        <v>81</v>
      </c>
      <c r="BH337" s="94">
        <v>42566</v>
      </c>
      <c r="BI337" s="95" t="s">
        <v>69</v>
      </c>
      <c r="BJ337" s="96">
        <v>8.7799999999999994</v>
      </c>
    </row>
    <row r="338" spans="1:62" ht="15">
      <c r="A338" s="239"/>
      <c r="BB338" s="187">
        <v>42586</v>
      </c>
      <c r="BC338" s="180">
        <v>-0.183</v>
      </c>
      <c r="BD338" s="191">
        <v>42586</v>
      </c>
      <c r="BE338" s="192" t="s">
        <v>80</v>
      </c>
      <c r="BH338" s="94">
        <v>42569</v>
      </c>
      <c r="BI338" s="95" t="s">
        <v>70</v>
      </c>
      <c r="BJ338" s="96">
        <v>8.7799999999999994</v>
      </c>
    </row>
    <row r="339" spans="1:62" ht="15">
      <c r="A339" s="239"/>
      <c r="BB339" s="187">
        <v>42587</v>
      </c>
      <c r="BC339" s="180">
        <v>-0.185</v>
      </c>
      <c r="BD339" s="191">
        <v>42587</v>
      </c>
      <c r="BE339" s="192" t="s">
        <v>80</v>
      </c>
      <c r="BH339" s="94">
        <v>42570</v>
      </c>
      <c r="BI339" s="95" t="s">
        <v>71</v>
      </c>
      <c r="BJ339" s="96">
        <v>8.77</v>
      </c>
    </row>
    <row r="340" spans="1:62" ht="15">
      <c r="A340" s="239"/>
      <c r="BB340" s="187">
        <v>42590</v>
      </c>
      <c r="BC340" s="180">
        <v>-0.185</v>
      </c>
      <c r="BD340" s="191">
        <v>42590</v>
      </c>
      <c r="BE340" s="192" t="s">
        <v>81</v>
      </c>
      <c r="BH340" s="94">
        <v>42571</v>
      </c>
      <c r="BI340" s="95" t="s">
        <v>72</v>
      </c>
      <c r="BJ340" s="96">
        <v>8.77</v>
      </c>
    </row>
    <row r="341" spans="1:62" ht="15">
      <c r="A341" s="239"/>
      <c r="BB341" s="187">
        <v>42591</v>
      </c>
      <c r="BC341" s="180">
        <v>-0.187</v>
      </c>
      <c r="BD341" s="191">
        <v>42591</v>
      </c>
      <c r="BE341" s="192" t="s">
        <v>80</v>
      </c>
      <c r="BH341" s="94">
        <v>42572</v>
      </c>
      <c r="BI341" s="95" t="s">
        <v>73</v>
      </c>
      <c r="BJ341" s="96">
        <v>8.77</v>
      </c>
    </row>
    <row r="342" spans="1:62" ht="15">
      <c r="A342" s="239"/>
      <c r="BB342" s="187">
        <v>42592</v>
      </c>
      <c r="BC342" s="180">
        <v>-0.188</v>
      </c>
      <c r="BD342" s="191">
        <v>42592</v>
      </c>
      <c r="BE342" s="192" t="s">
        <v>82</v>
      </c>
      <c r="BH342" s="94">
        <v>42573</v>
      </c>
      <c r="BI342" s="95" t="s">
        <v>74</v>
      </c>
      <c r="BJ342" s="96">
        <v>8.76</v>
      </c>
    </row>
    <row r="343" spans="1:62" ht="15">
      <c r="A343" s="239"/>
      <c r="BB343" s="187">
        <v>42593</v>
      </c>
      <c r="BC343" s="180">
        <v>-0.189</v>
      </c>
      <c r="BD343" s="191">
        <v>42593</v>
      </c>
      <c r="BE343" s="192" t="s">
        <v>83</v>
      </c>
      <c r="BH343" s="94">
        <v>42576</v>
      </c>
      <c r="BI343" s="95" t="s">
        <v>75</v>
      </c>
      <c r="BJ343" s="96">
        <v>8.76</v>
      </c>
    </row>
    <row r="344" spans="1:62" ht="15">
      <c r="A344" s="239"/>
      <c r="BB344" s="187">
        <v>42594</v>
      </c>
      <c r="BC344" s="180">
        <v>-0.188</v>
      </c>
      <c r="BD344" s="191">
        <v>42594</v>
      </c>
      <c r="BE344" s="192" t="s">
        <v>84</v>
      </c>
      <c r="BH344" s="94">
        <v>42577</v>
      </c>
      <c r="BI344" s="95" t="s">
        <v>76</v>
      </c>
      <c r="BJ344" s="96">
        <v>8.75</v>
      </c>
    </row>
    <row r="345" spans="1:62" ht="15">
      <c r="A345" s="239"/>
      <c r="BB345" s="187">
        <v>42597</v>
      </c>
      <c r="BC345" s="180">
        <v>-0.189</v>
      </c>
      <c r="BD345" s="191"/>
      <c r="BE345" s="193" t="str">
        <f>+BE344</f>
        <v>−0,175</v>
      </c>
      <c r="BH345" s="94">
        <v>42578</v>
      </c>
      <c r="BI345" s="95" t="s">
        <v>77</v>
      </c>
      <c r="BJ345" s="96">
        <v>8.75</v>
      </c>
    </row>
    <row r="346" spans="1:62" ht="15">
      <c r="A346" s="239"/>
      <c r="BB346" s="187">
        <v>42598</v>
      </c>
      <c r="BC346" s="180">
        <v>-0.189</v>
      </c>
      <c r="BD346" s="191">
        <v>42598</v>
      </c>
      <c r="BE346" s="192" t="s">
        <v>85</v>
      </c>
      <c r="BH346" s="94">
        <v>42579</v>
      </c>
      <c r="BI346" s="95" t="s">
        <v>78</v>
      </c>
      <c r="BJ346" s="96">
        <v>8.75</v>
      </c>
    </row>
    <row r="347" spans="1:62" ht="15">
      <c r="A347" s="239"/>
      <c r="BB347" s="187">
        <v>42599</v>
      </c>
      <c r="BC347" s="180">
        <v>-0.19</v>
      </c>
      <c r="BD347" s="191">
        <v>42599</v>
      </c>
      <c r="BE347" s="192" t="s">
        <v>86</v>
      </c>
      <c r="BH347" s="94">
        <v>42580</v>
      </c>
      <c r="BI347" s="95" t="s">
        <v>79</v>
      </c>
      <c r="BJ347" s="96">
        <v>8.75</v>
      </c>
    </row>
    <row r="348" spans="1:62" ht="15">
      <c r="A348" s="239"/>
      <c r="BB348" s="187">
        <v>42600</v>
      </c>
      <c r="BC348" s="180">
        <v>-0.191</v>
      </c>
      <c r="BD348" s="191">
        <v>42600</v>
      </c>
      <c r="BE348" s="192" t="s">
        <v>87</v>
      </c>
      <c r="BH348" s="94">
        <v>42583</v>
      </c>
      <c r="BI348" s="95" t="s">
        <v>80</v>
      </c>
      <c r="BJ348" s="96">
        <v>8.74</v>
      </c>
    </row>
    <row r="349" spans="1:62" ht="15">
      <c r="A349" s="239"/>
      <c r="BB349" s="187">
        <v>42601</v>
      </c>
      <c r="BC349" s="180">
        <v>-0.189</v>
      </c>
      <c r="BD349" s="191">
        <v>42601</v>
      </c>
      <c r="BE349" s="192" t="s">
        <v>88</v>
      </c>
      <c r="BH349" s="94">
        <v>42584</v>
      </c>
      <c r="BI349" s="95" t="s">
        <v>80</v>
      </c>
      <c r="BJ349" s="96">
        <v>8.73</v>
      </c>
    </row>
    <row r="350" spans="1:62" ht="15">
      <c r="A350" s="239"/>
      <c r="BB350" s="187">
        <v>42604</v>
      </c>
      <c r="BC350" s="180">
        <v>-0.19</v>
      </c>
      <c r="BD350" s="191">
        <v>42604</v>
      </c>
      <c r="BE350" s="192" t="s">
        <v>89</v>
      </c>
      <c r="BH350" s="94">
        <v>42585</v>
      </c>
      <c r="BI350" s="95" t="s">
        <v>81</v>
      </c>
      <c r="BJ350" s="96">
        <v>8.73</v>
      </c>
    </row>
    <row r="351" spans="1:62" ht="15">
      <c r="A351" s="239"/>
      <c r="BB351" s="187">
        <v>42605</v>
      </c>
      <c r="BC351" s="180">
        <v>-0.192</v>
      </c>
      <c r="BD351" s="191">
        <v>42605</v>
      </c>
      <c r="BE351" s="192" t="s">
        <v>90</v>
      </c>
      <c r="BH351" s="94">
        <v>42586</v>
      </c>
      <c r="BI351" s="95" t="s">
        <v>80</v>
      </c>
      <c r="BJ351" s="96">
        <v>8.73</v>
      </c>
    </row>
    <row r="352" spans="1:62" ht="15">
      <c r="A352" s="239"/>
      <c r="BB352" s="187">
        <v>42606</v>
      </c>
      <c r="BC352" s="180">
        <v>-0.191</v>
      </c>
      <c r="BD352" s="191">
        <v>42606</v>
      </c>
      <c r="BE352" s="192" t="s">
        <v>91</v>
      </c>
      <c r="BH352" s="94">
        <v>42587</v>
      </c>
      <c r="BI352" s="95" t="s">
        <v>80</v>
      </c>
      <c r="BJ352" s="96">
        <v>8.73</v>
      </c>
    </row>
    <row r="353" spans="1:62" ht="15">
      <c r="A353" s="239"/>
      <c r="BB353" s="187">
        <v>42607</v>
      </c>
      <c r="BC353" s="180">
        <v>-0.192</v>
      </c>
      <c r="BD353" s="191">
        <v>42607</v>
      </c>
      <c r="BE353" s="192" t="s">
        <v>92</v>
      </c>
      <c r="BH353" s="94">
        <v>42590</v>
      </c>
      <c r="BI353" s="95" t="s">
        <v>81</v>
      </c>
      <c r="BJ353" s="96">
        <v>8.7200000000000006</v>
      </c>
    </row>
    <row r="354" spans="1:62" ht="15">
      <c r="A354" s="239"/>
      <c r="BB354" s="187">
        <v>42608</v>
      </c>
      <c r="BC354" s="180">
        <v>-0.191</v>
      </c>
      <c r="BD354" s="191">
        <v>42608</v>
      </c>
      <c r="BE354" s="192" t="s">
        <v>91</v>
      </c>
      <c r="BH354" s="94">
        <v>42591</v>
      </c>
      <c r="BI354" s="95" t="s">
        <v>80</v>
      </c>
      <c r="BJ354" s="96">
        <v>8.7200000000000006</v>
      </c>
    </row>
    <row r="355" spans="1:62" ht="15">
      <c r="A355" s="239"/>
      <c r="BB355" s="187">
        <v>42611</v>
      </c>
      <c r="BC355" s="180">
        <v>-0.193</v>
      </c>
      <c r="BD355" s="191">
        <v>42611</v>
      </c>
      <c r="BE355" s="192" t="s">
        <v>93</v>
      </c>
      <c r="BH355" s="94">
        <v>42592</v>
      </c>
      <c r="BI355" s="95" t="s">
        <v>82</v>
      </c>
      <c r="BJ355" s="96">
        <v>8.7100000000000009</v>
      </c>
    </row>
    <row r="356" spans="1:62" ht="15">
      <c r="A356" s="239"/>
      <c r="BB356" s="187">
        <v>42612</v>
      </c>
      <c r="BC356" s="180">
        <v>-0.192</v>
      </c>
      <c r="BD356" s="191">
        <v>42612</v>
      </c>
      <c r="BE356" s="192" t="s">
        <v>90</v>
      </c>
      <c r="BH356" s="94">
        <v>42593</v>
      </c>
      <c r="BI356" s="95" t="s">
        <v>83</v>
      </c>
      <c r="BJ356" s="96">
        <v>8.7100000000000009</v>
      </c>
    </row>
    <row r="357" spans="1:62" ht="15">
      <c r="A357" s="239"/>
      <c r="BB357" s="187">
        <v>42613</v>
      </c>
      <c r="BC357" s="180">
        <v>-0.192</v>
      </c>
      <c r="BD357" s="191">
        <v>42613</v>
      </c>
      <c r="BE357" s="192" t="s">
        <v>93</v>
      </c>
      <c r="BH357" s="94">
        <v>42594</v>
      </c>
      <c r="BI357" s="95" t="s">
        <v>84</v>
      </c>
      <c r="BJ357" s="96">
        <v>8.7100000000000009</v>
      </c>
    </row>
    <row r="358" spans="1:62" ht="15">
      <c r="A358" s="239"/>
      <c r="BB358" s="187">
        <v>42614</v>
      </c>
      <c r="BC358" s="180">
        <v>-0.193</v>
      </c>
      <c r="BD358" s="191">
        <v>42614</v>
      </c>
      <c r="BE358" s="192" t="s">
        <v>90</v>
      </c>
      <c r="BH358" s="94">
        <v>42598</v>
      </c>
      <c r="BI358" s="95" t="s">
        <v>85</v>
      </c>
      <c r="BJ358" s="96">
        <v>8.6999999999999993</v>
      </c>
    </row>
    <row r="359" spans="1:62" ht="15">
      <c r="A359" s="239"/>
      <c r="BB359" s="187">
        <v>42615</v>
      </c>
      <c r="BC359" s="180">
        <v>-0.193</v>
      </c>
      <c r="BD359" s="191">
        <v>42615</v>
      </c>
      <c r="BE359" s="192" t="s">
        <v>94</v>
      </c>
      <c r="BH359" s="94">
        <v>42599</v>
      </c>
      <c r="BI359" s="95" t="s">
        <v>86</v>
      </c>
      <c r="BJ359" s="96">
        <v>8.6999999999999993</v>
      </c>
    </row>
    <row r="360" spans="1:62" ht="15">
      <c r="A360" s="239"/>
      <c r="BB360" s="187">
        <v>42618</v>
      </c>
      <c r="BC360" s="180">
        <v>-0.19500000000000001</v>
      </c>
      <c r="BD360" s="191">
        <v>42618</v>
      </c>
      <c r="BE360" s="192" t="s">
        <v>95</v>
      </c>
      <c r="BH360" s="94">
        <v>42600</v>
      </c>
      <c r="BI360" s="95" t="s">
        <v>87</v>
      </c>
      <c r="BJ360" s="96">
        <v>8.6999999999999993</v>
      </c>
    </row>
    <row r="361" spans="1:62" ht="15">
      <c r="A361" s="239"/>
      <c r="BB361" s="187">
        <v>42619</v>
      </c>
      <c r="BC361" s="180">
        <v>-0.19700000000000001</v>
      </c>
      <c r="BD361" s="191">
        <v>42619</v>
      </c>
      <c r="BE361" s="192" t="s">
        <v>95</v>
      </c>
      <c r="BH361" s="94">
        <v>42601</v>
      </c>
      <c r="BI361" s="95" t="s">
        <v>88</v>
      </c>
      <c r="BJ361" s="96">
        <v>8.69</v>
      </c>
    </row>
    <row r="362" spans="1:62" ht="15">
      <c r="A362" s="239"/>
      <c r="BB362" s="187">
        <v>42620</v>
      </c>
      <c r="BC362" s="180">
        <v>-0.19800000000000001</v>
      </c>
      <c r="BD362" s="191">
        <v>42620</v>
      </c>
      <c r="BE362" s="192" t="s">
        <v>94</v>
      </c>
      <c r="BH362" s="94">
        <v>42604</v>
      </c>
      <c r="BI362" s="95" t="s">
        <v>89</v>
      </c>
      <c r="BJ362" s="96">
        <v>8.68</v>
      </c>
    </row>
    <row r="363" spans="1:62" ht="15">
      <c r="A363" s="239"/>
      <c r="BB363" s="187">
        <v>42621</v>
      </c>
      <c r="BC363" s="180">
        <v>-0.20100000000000001</v>
      </c>
      <c r="BD363" s="191">
        <v>42621</v>
      </c>
      <c r="BE363" s="192" t="s">
        <v>89</v>
      </c>
      <c r="BH363" s="94">
        <v>42605</v>
      </c>
      <c r="BI363" s="95" t="s">
        <v>90</v>
      </c>
      <c r="BJ363" s="96">
        <v>8.68</v>
      </c>
    </row>
    <row r="364" spans="1:62" ht="15">
      <c r="A364" s="239"/>
      <c r="BB364" s="187">
        <v>42622</v>
      </c>
      <c r="BC364" s="180">
        <v>-0.19800000000000001</v>
      </c>
      <c r="BD364" s="191">
        <v>42622</v>
      </c>
      <c r="BE364" s="192" t="s">
        <v>88</v>
      </c>
      <c r="BH364" s="94">
        <v>42606</v>
      </c>
      <c r="BI364" s="95" t="s">
        <v>91</v>
      </c>
      <c r="BJ364" s="96">
        <v>8.68</v>
      </c>
    </row>
    <row r="365" spans="1:62" ht="15">
      <c r="A365" s="239"/>
      <c r="BB365" s="187">
        <v>42625</v>
      </c>
      <c r="BC365" s="180">
        <v>-0.19800000000000001</v>
      </c>
      <c r="BD365" s="191">
        <v>42625</v>
      </c>
      <c r="BE365" s="192" t="s">
        <v>96</v>
      </c>
      <c r="BH365" s="94">
        <v>42607</v>
      </c>
      <c r="BI365" s="95" t="s">
        <v>92</v>
      </c>
      <c r="BJ365" s="96">
        <v>8.68</v>
      </c>
    </row>
    <row r="366" spans="1:62" ht="15">
      <c r="A366" s="239"/>
      <c r="BB366" s="187">
        <v>42626</v>
      </c>
      <c r="BC366" s="180">
        <v>-0.19900000000000001</v>
      </c>
      <c r="BD366" s="191">
        <v>42626</v>
      </c>
      <c r="BE366" s="192" t="s">
        <v>85</v>
      </c>
      <c r="BH366" s="94">
        <v>42608</v>
      </c>
      <c r="BI366" s="95" t="s">
        <v>91</v>
      </c>
      <c r="BJ366" s="96">
        <v>8.67</v>
      </c>
    </row>
    <row r="367" spans="1:62" ht="15">
      <c r="A367" s="239"/>
      <c r="BB367" s="187">
        <v>42627</v>
      </c>
      <c r="BC367" s="180">
        <v>-0.19900000000000001</v>
      </c>
      <c r="BD367" s="191">
        <v>42627</v>
      </c>
      <c r="BE367" s="192" t="s">
        <v>84</v>
      </c>
      <c r="BH367" s="94">
        <v>42611</v>
      </c>
      <c r="BI367" s="95" t="s">
        <v>93</v>
      </c>
      <c r="BJ367" s="96">
        <v>8.67</v>
      </c>
    </row>
    <row r="368" spans="1:62" ht="15">
      <c r="A368" s="239"/>
      <c r="BB368" s="187">
        <v>42628</v>
      </c>
      <c r="BC368" s="180">
        <v>-0.19900000000000001</v>
      </c>
      <c r="BD368" s="191">
        <v>42628</v>
      </c>
      <c r="BE368" s="192" t="s">
        <v>97</v>
      </c>
      <c r="BH368" s="94">
        <v>42612</v>
      </c>
      <c r="BI368" s="95" t="s">
        <v>90</v>
      </c>
      <c r="BJ368" s="96">
        <v>8.66</v>
      </c>
    </row>
    <row r="369" spans="1:62" ht="15">
      <c r="A369" s="239"/>
      <c r="BB369" s="187">
        <v>42629</v>
      </c>
      <c r="BC369" s="180">
        <v>-0.20100000000000001</v>
      </c>
      <c r="BD369" s="191">
        <v>42629</v>
      </c>
      <c r="BE369" s="192" t="s">
        <v>98</v>
      </c>
      <c r="BH369" s="94">
        <v>42613</v>
      </c>
      <c r="BI369" s="95" t="s">
        <v>93</v>
      </c>
      <c r="BJ369" s="96">
        <v>8.66</v>
      </c>
    </row>
    <row r="370" spans="1:62" ht="15">
      <c r="A370" s="239"/>
      <c r="BB370" s="187">
        <v>42632</v>
      </c>
      <c r="BC370" s="180">
        <v>-0.20200000000000001</v>
      </c>
      <c r="BD370" s="191">
        <v>42632</v>
      </c>
      <c r="BE370" s="192" t="s">
        <v>99</v>
      </c>
      <c r="BH370" s="94">
        <v>42614</v>
      </c>
      <c r="BI370" s="95" t="s">
        <v>90</v>
      </c>
      <c r="BJ370" s="96">
        <v>8.66</v>
      </c>
    </row>
    <row r="371" spans="1:62" ht="15">
      <c r="A371" s="239"/>
      <c r="BB371" s="187">
        <v>42633</v>
      </c>
      <c r="BC371" s="180">
        <v>-0.2</v>
      </c>
      <c r="BD371" s="191">
        <v>42633</v>
      </c>
      <c r="BE371" s="192" t="s">
        <v>100</v>
      </c>
      <c r="BH371" s="94">
        <v>42615</v>
      </c>
      <c r="BI371" s="95" t="s">
        <v>94</v>
      </c>
      <c r="BJ371" s="96">
        <v>8.65</v>
      </c>
    </row>
    <row r="372" spans="1:62" ht="15">
      <c r="A372" s="239"/>
      <c r="BB372" s="187">
        <v>42634</v>
      </c>
      <c r="BC372" s="180">
        <v>-0.20100000000000001</v>
      </c>
      <c r="BD372" s="191">
        <v>42634</v>
      </c>
      <c r="BE372" s="192" t="s">
        <v>101</v>
      </c>
      <c r="BH372" s="94">
        <v>42618</v>
      </c>
      <c r="BI372" s="95" t="s">
        <v>95</v>
      </c>
      <c r="BJ372" s="96">
        <v>8.65</v>
      </c>
    </row>
    <row r="373" spans="1:62" ht="15">
      <c r="A373" s="239"/>
      <c r="BB373" s="187">
        <v>42635</v>
      </c>
      <c r="BC373" s="180">
        <v>-0.20100000000000001</v>
      </c>
      <c r="BD373" s="191">
        <v>42635</v>
      </c>
      <c r="BE373" s="192" t="s">
        <v>73</v>
      </c>
      <c r="BH373" s="94">
        <v>42619</v>
      </c>
      <c r="BI373" s="95" t="s">
        <v>95</v>
      </c>
      <c r="BJ373" s="96">
        <v>8.64</v>
      </c>
    </row>
    <row r="374" spans="1:62" ht="15">
      <c r="A374" s="239"/>
      <c r="BB374" s="187">
        <v>42636</v>
      </c>
      <c r="BC374" s="180">
        <v>-0.2</v>
      </c>
      <c r="BD374" s="191">
        <v>42636</v>
      </c>
      <c r="BE374" s="192" t="s">
        <v>73</v>
      </c>
      <c r="BH374" s="94">
        <v>42620</v>
      </c>
      <c r="BI374" s="95" t="s">
        <v>94</v>
      </c>
      <c r="BJ374" s="96">
        <v>8.64</v>
      </c>
    </row>
    <row r="375" spans="1:62" ht="15">
      <c r="A375" s="239"/>
      <c r="BB375" s="187">
        <v>42639</v>
      </c>
      <c r="BC375" s="180">
        <v>-0.19900000000000001</v>
      </c>
      <c r="BD375" s="191">
        <v>42639</v>
      </c>
      <c r="BE375" s="192" t="s">
        <v>99</v>
      </c>
      <c r="BH375" s="94">
        <v>42621</v>
      </c>
      <c r="BI375" s="95" t="s">
        <v>89</v>
      </c>
      <c r="BJ375" s="96">
        <v>8.64</v>
      </c>
    </row>
    <row r="376" spans="1:62" ht="15">
      <c r="A376" s="239"/>
      <c r="BB376" s="187">
        <v>42640</v>
      </c>
      <c r="BC376" s="180">
        <v>-0.20100000000000001</v>
      </c>
      <c r="BD376" s="191">
        <v>42640</v>
      </c>
      <c r="BE376" s="192" t="s">
        <v>75</v>
      </c>
      <c r="BH376" s="94">
        <v>42622</v>
      </c>
      <c r="BI376" s="95" t="s">
        <v>88</v>
      </c>
      <c r="BJ376" s="96">
        <v>8.64</v>
      </c>
    </row>
    <row r="377" spans="1:62" ht="15">
      <c r="A377" s="239"/>
      <c r="BB377" s="187">
        <v>42641</v>
      </c>
      <c r="BC377" s="180">
        <v>-0.20200000000000001</v>
      </c>
      <c r="BD377" s="191">
        <v>42641</v>
      </c>
      <c r="BE377" s="192" t="s">
        <v>98</v>
      </c>
      <c r="BH377" s="94">
        <v>42625</v>
      </c>
      <c r="BI377" s="95" t="s">
        <v>96</v>
      </c>
      <c r="BJ377" s="96">
        <v>8.6300000000000008</v>
      </c>
    </row>
    <row r="378" spans="1:62" ht="15">
      <c r="A378" s="239"/>
      <c r="BB378" s="187">
        <v>42642</v>
      </c>
      <c r="BC378" s="180">
        <v>-0.20100000000000001</v>
      </c>
      <c r="BD378" s="191">
        <v>42642</v>
      </c>
      <c r="BE378" s="192" t="s">
        <v>77</v>
      </c>
      <c r="BH378" s="94">
        <v>42626</v>
      </c>
      <c r="BI378" s="95" t="s">
        <v>85</v>
      </c>
      <c r="BJ378" s="96">
        <v>8.6300000000000008</v>
      </c>
    </row>
    <row r="379" spans="1:62" ht="15">
      <c r="A379" s="239"/>
      <c r="BB379" s="187">
        <v>42643</v>
      </c>
      <c r="BC379" s="180">
        <v>-0.20300000000000001</v>
      </c>
      <c r="BD379" s="191">
        <v>42643</v>
      </c>
      <c r="BE379" s="192" t="s">
        <v>102</v>
      </c>
      <c r="BH379" s="94">
        <v>42627</v>
      </c>
      <c r="BI379" s="95" t="s">
        <v>84</v>
      </c>
      <c r="BJ379" s="96">
        <v>8.6199999999999992</v>
      </c>
    </row>
    <row r="380" spans="1:62" ht="15">
      <c r="A380" s="239"/>
      <c r="BB380" s="187">
        <v>42646</v>
      </c>
      <c r="BC380" s="180">
        <v>-0.20300000000000001</v>
      </c>
      <c r="BD380" s="191">
        <v>42646</v>
      </c>
      <c r="BE380" s="192" t="s">
        <v>103</v>
      </c>
      <c r="BH380" s="94">
        <v>42628</v>
      </c>
      <c r="BI380" s="95" t="s">
        <v>97</v>
      </c>
      <c r="BJ380" s="96">
        <v>8.9600000000000009</v>
      </c>
    </row>
    <row r="381" spans="1:62" ht="15">
      <c r="A381" s="239"/>
      <c r="BB381" s="187">
        <v>42647</v>
      </c>
      <c r="BC381" s="180">
        <v>-0.20200000000000001</v>
      </c>
      <c r="BD381" s="191">
        <v>42647</v>
      </c>
      <c r="BE381" s="192" t="s">
        <v>104</v>
      </c>
      <c r="BH381" s="94">
        <v>42629</v>
      </c>
      <c r="BI381" s="95" t="s">
        <v>98</v>
      </c>
      <c r="BJ381" s="96">
        <v>8.9600000000000009</v>
      </c>
    </row>
    <row r="382" spans="1:62" ht="15">
      <c r="A382" s="239"/>
      <c r="BB382" s="187">
        <v>42648</v>
      </c>
      <c r="BC382" s="180">
        <v>-0.20300000000000001</v>
      </c>
      <c r="BD382" s="191">
        <v>42648</v>
      </c>
      <c r="BE382" s="192" t="s">
        <v>105</v>
      </c>
      <c r="BH382" s="94">
        <v>42632</v>
      </c>
      <c r="BI382" s="95" t="s">
        <v>99</v>
      </c>
      <c r="BJ382" s="96">
        <v>8.9499999999999993</v>
      </c>
    </row>
    <row r="383" spans="1:62" ht="15">
      <c r="A383" s="239"/>
      <c r="BB383" s="187">
        <v>42649</v>
      </c>
      <c r="BC383" s="180">
        <v>-0.20200000000000001</v>
      </c>
      <c r="BD383" s="191">
        <v>42649</v>
      </c>
      <c r="BE383" s="192" t="s">
        <v>106</v>
      </c>
      <c r="BH383" s="94">
        <v>42633</v>
      </c>
      <c r="BI383" s="95" t="s">
        <v>100</v>
      </c>
      <c r="BJ383" s="96">
        <v>8.9499999999999993</v>
      </c>
    </row>
    <row r="384" spans="1:62" ht="15">
      <c r="A384" s="239"/>
      <c r="BB384" s="187">
        <v>42650</v>
      </c>
      <c r="BC384" s="180">
        <v>-0.20300000000000001</v>
      </c>
      <c r="BD384" s="191">
        <v>42650</v>
      </c>
      <c r="BE384" s="192" t="s">
        <v>76</v>
      </c>
      <c r="BH384" s="94">
        <v>42634</v>
      </c>
      <c r="BI384" s="95" t="s">
        <v>101</v>
      </c>
      <c r="BJ384" s="96">
        <v>8.9499999999999993</v>
      </c>
    </row>
    <row r="385" spans="1:62" ht="15">
      <c r="A385" s="239"/>
      <c r="BB385" s="187">
        <v>42653</v>
      </c>
      <c r="BC385" s="180">
        <v>-0.20300000000000001</v>
      </c>
      <c r="BD385" s="191">
        <v>42653</v>
      </c>
      <c r="BE385" s="192" t="s">
        <v>97</v>
      </c>
      <c r="BH385" s="94">
        <v>42635</v>
      </c>
      <c r="BI385" s="95" t="s">
        <v>73</v>
      </c>
      <c r="BJ385" s="96">
        <v>8.94</v>
      </c>
    </row>
    <row r="386" spans="1:62" ht="15">
      <c r="A386" s="239"/>
      <c r="BB386" s="187">
        <v>42654</v>
      </c>
      <c r="BC386" s="180">
        <v>-0.20300000000000001</v>
      </c>
      <c r="BD386" s="191">
        <v>42654</v>
      </c>
      <c r="BE386" s="192" t="s">
        <v>97</v>
      </c>
      <c r="BH386" s="94">
        <v>42636</v>
      </c>
      <c r="BI386" s="95" t="s">
        <v>73</v>
      </c>
      <c r="BJ386" s="96">
        <v>8.94</v>
      </c>
    </row>
    <row r="387" spans="1:62" ht="15">
      <c r="A387" s="239"/>
      <c r="BB387" s="187">
        <v>42655</v>
      </c>
      <c r="BC387" s="180">
        <v>-0.20399999999999999</v>
      </c>
      <c r="BD387" s="191">
        <v>42655</v>
      </c>
      <c r="BE387" s="192" t="s">
        <v>98</v>
      </c>
      <c r="BH387" s="94">
        <v>42639</v>
      </c>
      <c r="BI387" s="95" t="s">
        <v>99</v>
      </c>
      <c r="BJ387" s="96">
        <v>8.93</v>
      </c>
    </row>
    <row r="388" spans="1:62" ht="15">
      <c r="A388" s="239"/>
      <c r="BB388" s="187">
        <v>42656</v>
      </c>
      <c r="BC388" s="180">
        <v>-0.20399999999999999</v>
      </c>
      <c r="BD388" s="191">
        <v>42656</v>
      </c>
      <c r="BE388" s="192" t="s">
        <v>99</v>
      </c>
      <c r="BH388" s="94">
        <v>42640</v>
      </c>
      <c r="BI388" s="95" t="s">
        <v>75</v>
      </c>
      <c r="BJ388" s="96">
        <v>8.93</v>
      </c>
    </row>
    <row r="389" spans="1:62" ht="15">
      <c r="A389" s="239"/>
      <c r="BB389" s="187">
        <v>42657</v>
      </c>
      <c r="BC389" s="180">
        <v>-0.20399999999999999</v>
      </c>
      <c r="BD389" s="191">
        <v>42657</v>
      </c>
      <c r="BE389" s="192" t="s">
        <v>100</v>
      </c>
      <c r="BH389" s="94">
        <v>42641</v>
      </c>
      <c r="BI389" s="95" t="s">
        <v>98</v>
      </c>
      <c r="BJ389" s="96">
        <v>8.93</v>
      </c>
    </row>
    <row r="390" spans="1:62" ht="15">
      <c r="A390" s="239"/>
      <c r="BB390" s="187">
        <v>42660</v>
      </c>
      <c r="BC390" s="180">
        <v>-0.20399999999999999</v>
      </c>
      <c r="BD390" s="191">
        <v>42660</v>
      </c>
      <c r="BE390" s="192" t="s">
        <v>101</v>
      </c>
      <c r="BH390" s="94">
        <v>42642</v>
      </c>
      <c r="BI390" s="95" t="s">
        <v>77</v>
      </c>
      <c r="BJ390" s="96">
        <v>8.92</v>
      </c>
    </row>
    <row r="391" spans="1:62" ht="15">
      <c r="A391" s="239"/>
      <c r="BB391" s="187">
        <v>42661</v>
      </c>
      <c r="BC391" s="180">
        <v>-0.20899999999999999</v>
      </c>
      <c r="BD391" s="191">
        <v>42661</v>
      </c>
      <c r="BE391" s="192" t="s">
        <v>107</v>
      </c>
      <c r="BH391" s="94">
        <v>42643</v>
      </c>
      <c r="BI391" s="95" t="s">
        <v>102</v>
      </c>
      <c r="BJ391" s="96">
        <v>8.92</v>
      </c>
    </row>
    <row r="392" spans="1:62" ht="15">
      <c r="A392" s="239"/>
      <c r="BB392" s="187">
        <v>42662</v>
      </c>
      <c r="BC392" s="180">
        <v>-0.21</v>
      </c>
      <c r="BD392" s="191">
        <v>42662</v>
      </c>
      <c r="BE392" s="192" t="s">
        <v>108</v>
      </c>
      <c r="BH392" s="94">
        <v>42646</v>
      </c>
      <c r="BI392" s="95" t="s">
        <v>103</v>
      </c>
      <c r="BJ392" s="96">
        <v>8.91</v>
      </c>
    </row>
    <row r="393" spans="1:62" ht="15">
      <c r="A393" s="239"/>
      <c r="BB393" s="187">
        <v>42663</v>
      </c>
      <c r="BC393" s="180">
        <v>-0.21099999999999999</v>
      </c>
      <c r="BD393" s="191">
        <v>42663</v>
      </c>
      <c r="BE393" s="192" t="s">
        <v>109</v>
      </c>
      <c r="BH393" s="94">
        <v>42647</v>
      </c>
      <c r="BI393" s="95" t="s">
        <v>104</v>
      </c>
      <c r="BJ393" s="96">
        <v>8.91</v>
      </c>
    </row>
    <row r="394" spans="1:62" ht="15">
      <c r="A394" s="239"/>
      <c r="BB394" s="187">
        <v>42664</v>
      </c>
      <c r="BC394" s="180">
        <v>-0.21099999999999999</v>
      </c>
      <c r="BD394" s="191">
        <v>42664</v>
      </c>
      <c r="BE394" s="192" t="s">
        <v>110</v>
      </c>
      <c r="BH394" s="94">
        <v>42648</v>
      </c>
      <c r="BI394" s="95" t="s">
        <v>105</v>
      </c>
      <c r="BJ394" s="96">
        <v>8.91</v>
      </c>
    </row>
    <row r="395" spans="1:62" ht="15">
      <c r="A395" s="239"/>
      <c r="BB395" s="187">
        <v>42667</v>
      </c>
      <c r="BC395" s="180">
        <v>-0.21199999999999999</v>
      </c>
      <c r="BD395" s="191">
        <v>42667</v>
      </c>
      <c r="BE395" s="192" t="s">
        <v>111</v>
      </c>
      <c r="BH395" s="94">
        <v>42649</v>
      </c>
      <c r="BI395" s="95" t="s">
        <v>106</v>
      </c>
      <c r="BJ395" s="96">
        <v>8.9</v>
      </c>
    </row>
    <row r="396" spans="1:62" ht="15">
      <c r="A396" s="239"/>
      <c r="BB396" s="187">
        <v>42668</v>
      </c>
      <c r="BC396" s="180">
        <v>-0.21199999999999999</v>
      </c>
      <c r="BD396" s="191">
        <v>42668</v>
      </c>
      <c r="BE396" s="192" t="s">
        <v>112</v>
      </c>
      <c r="BH396" s="94">
        <v>42650</v>
      </c>
      <c r="BI396" s="95" t="s">
        <v>76</v>
      </c>
      <c r="BJ396" s="96">
        <v>8.9</v>
      </c>
    </row>
    <row r="397" spans="1:62" ht="15">
      <c r="A397" s="239"/>
      <c r="BB397" s="187">
        <v>42669</v>
      </c>
      <c r="BC397" s="180">
        <v>-0.21199999999999999</v>
      </c>
      <c r="BD397" s="191"/>
      <c r="BE397" s="193" t="str">
        <f>+BE396</f>
        <v>−0,128</v>
      </c>
      <c r="BH397" s="94">
        <v>42653</v>
      </c>
      <c r="BI397" s="95" t="s">
        <v>97</v>
      </c>
      <c r="BJ397" s="96">
        <v>8.89</v>
      </c>
    </row>
    <row r="398" spans="1:62" ht="15">
      <c r="A398" s="239"/>
      <c r="BB398" s="187">
        <v>42670</v>
      </c>
      <c r="BC398" s="180">
        <v>-0.21299999999999999</v>
      </c>
      <c r="BD398" s="191">
        <v>42670</v>
      </c>
      <c r="BE398" s="192" t="s">
        <v>113</v>
      </c>
      <c r="BH398" s="94">
        <v>42654</v>
      </c>
      <c r="BI398" s="95" t="s">
        <v>97</v>
      </c>
      <c r="BJ398" s="96">
        <v>8.89</v>
      </c>
    </row>
    <row r="399" spans="1:62" ht="15">
      <c r="A399" s="239"/>
      <c r="BB399" s="187">
        <v>42671</v>
      </c>
      <c r="BC399" s="180">
        <v>-0.21199999999999999</v>
      </c>
      <c r="BD399" s="191">
        <v>42671</v>
      </c>
      <c r="BE399" s="192" t="s">
        <v>114</v>
      </c>
      <c r="BH399" s="94">
        <v>42655</v>
      </c>
      <c r="BI399" s="95" t="s">
        <v>98</v>
      </c>
      <c r="BJ399" s="96">
        <v>8.89</v>
      </c>
    </row>
    <row r="400" spans="1:62" ht="15">
      <c r="A400" s="239"/>
      <c r="BB400" s="187">
        <v>42674</v>
      </c>
      <c r="BC400" s="180">
        <v>-0.21199999999999999</v>
      </c>
      <c r="BD400" s="191">
        <v>42674</v>
      </c>
      <c r="BE400" s="192" t="s">
        <v>115</v>
      </c>
      <c r="BH400" s="94">
        <v>42656</v>
      </c>
      <c r="BI400" s="95" t="s">
        <v>99</v>
      </c>
      <c r="BJ400" s="96">
        <v>8.9600000000000009</v>
      </c>
    </row>
    <row r="401" spans="1:62" ht="15">
      <c r="A401" s="239"/>
      <c r="BB401" s="187">
        <v>42675</v>
      </c>
      <c r="BC401" s="180">
        <v>-0.21099999999999999</v>
      </c>
      <c r="BD401" s="191"/>
      <c r="BE401" s="193">
        <v>-0.1</v>
      </c>
      <c r="BF401" s="111">
        <f>+(BC401+BE401)/2+0.37</f>
        <v>0.2145</v>
      </c>
      <c r="BH401" s="94">
        <v>42657</v>
      </c>
      <c r="BI401" s="95" t="s">
        <v>100</v>
      </c>
      <c r="BJ401" s="96">
        <v>8.9600000000000009</v>
      </c>
    </row>
    <row r="402" spans="1:62" ht="15">
      <c r="A402" s="239"/>
      <c r="BB402" s="187">
        <v>42676</v>
      </c>
      <c r="BC402" s="180">
        <v>-0.21299999999999999</v>
      </c>
      <c r="BD402" s="191">
        <v>42676</v>
      </c>
      <c r="BE402" s="192" t="s">
        <v>116</v>
      </c>
      <c r="BH402" s="94">
        <v>42660</v>
      </c>
      <c r="BI402" s="95" t="s">
        <v>101</v>
      </c>
      <c r="BJ402" s="96">
        <v>8.9499999999999993</v>
      </c>
    </row>
    <row r="403" spans="1:62" ht="15">
      <c r="A403" s="239"/>
      <c r="BB403" s="187">
        <v>42677</v>
      </c>
      <c r="BC403" s="180">
        <v>-0.21299999999999999</v>
      </c>
      <c r="BD403" s="191">
        <v>42677</v>
      </c>
      <c r="BE403" s="192" t="s">
        <v>117</v>
      </c>
      <c r="BH403" s="94">
        <v>42661</v>
      </c>
      <c r="BI403" s="95" t="s">
        <v>107</v>
      </c>
      <c r="BJ403" s="96">
        <v>8.9499999999999993</v>
      </c>
    </row>
    <row r="404" spans="1:62" ht="15">
      <c r="A404" s="239"/>
      <c r="BB404" s="187">
        <v>42678</v>
      </c>
      <c r="BC404" s="180">
        <v>-0.21299999999999999</v>
      </c>
      <c r="BD404" s="191">
        <v>42678</v>
      </c>
      <c r="BE404" s="192" t="s">
        <v>118</v>
      </c>
      <c r="BH404" s="94">
        <v>42662</v>
      </c>
      <c r="BI404" s="95" t="s">
        <v>108</v>
      </c>
      <c r="BJ404" s="96">
        <v>8.9499999999999993</v>
      </c>
    </row>
    <row r="405" spans="1:62" ht="15">
      <c r="A405" s="239"/>
      <c r="BB405" s="187">
        <v>42681</v>
      </c>
      <c r="BC405" s="180">
        <v>-0.21099999999999999</v>
      </c>
      <c r="BD405" s="191">
        <v>42681</v>
      </c>
      <c r="BE405" s="192" t="s">
        <v>119</v>
      </c>
      <c r="BH405" s="94">
        <v>42663</v>
      </c>
      <c r="BI405" s="95" t="s">
        <v>109</v>
      </c>
      <c r="BJ405" s="96">
        <v>8.94</v>
      </c>
    </row>
    <row r="406" spans="1:62" ht="15">
      <c r="A406" s="239"/>
      <c r="BB406" s="187">
        <v>42682</v>
      </c>
      <c r="BC406" s="180">
        <v>-0.21099999999999999</v>
      </c>
      <c r="BD406" s="191">
        <v>42682</v>
      </c>
      <c r="BE406" s="192" t="s">
        <v>120</v>
      </c>
      <c r="BH406" s="94">
        <v>42664</v>
      </c>
      <c r="BI406" s="95" t="s">
        <v>110</v>
      </c>
      <c r="BJ406" s="96">
        <v>8.94</v>
      </c>
    </row>
    <row r="407" spans="1:62" ht="15">
      <c r="A407" s="239"/>
      <c r="BB407" s="187">
        <v>42683</v>
      </c>
      <c r="BC407" s="180">
        <v>-0.21099999999999999</v>
      </c>
      <c r="BD407" s="191">
        <v>42683</v>
      </c>
      <c r="BE407" s="192" t="s">
        <v>121</v>
      </c>
      <c r="BH407" s="94">
        <v>42667</v>
      </c>
      <c r="BI407" s="95" t="s">
        <v>111</v>
      </c>
      <c r="BJ407" s="96">
        <v>8.93</v>
      </c>
    </row>
    <row r="408" spans="1:62" ht="15">
      <c r="A408" s="239"/>
      <c r="BB408" s="187">
        <v>42684</v>
      </c>
      <c r="BC408" s="180">
        <v>-0.21099999999999999</v>
      </c>
      <c r="BD408" s="191">
        <v>42684</v>
      </c>
      <c r="BE408" s="192" t="s">
        <v>122</v>
      </c>
      <c r="BH408" s="94">
        <v>42668</v>
      </c>
      <c r="BI408" s="95" t="s">
        <v>112</v>
      </c>
      <c r="BJ408" s="96">
        <v>8.93</v>
      </c>
    </row>
    <row r="409" spans="1:62" ht="15">
      <c r="A409" s="239"/>
      <c r="BB409" s="187">
        <v>42685</v>
      </c>
      <c r="BC409" s="180">
        <v>-0.21</v>
      </c>
      <c r="BD409" s="191">
        <v>42685</v>
      </c>
      <c r="BE409" s="192" t="s">
        <v>123</v>
      </c>
      <c r="BH409" s="94">
        <v>42670</v>
      </c>
      <c r="BI409" s="95" t="s">
        <v>113</v>
      </c>
      <c r="BJ409" s="96">
        <v>8.92</v>
      </c>
    </row>
    <row r="410" spans="1:62" ht="15">
      <c r="A410" s="239"/>
      <c r="BB410" s="187">
        <v>42688</v>
      </c>
      <c r="BC410" s="180">
        <v>-0.21099999999999999</v>
      </c>
      <c r="BD410" s="191">
        <v>42688</v>
      </c>
      <c r="BE410" s="192" t="s">
        <v>124</v>
      </c>
      <c r="BH410" s="94">
        <v>42671</v>
      </c>
      <c r="BI410" s="95" t="s">
        <v>114</v>
      </c>
      <c r="BJ410" s="96">
        <v>8.92</v>
      </c>
    </row>
    <row r="411" spans="1:62" ht="15">
      <c r="A411" s="239"/>
      <c r="BB411" s="187">
        <v>42689</v>
      </c>
      <c r="BC411" s="180">
        <v>-0.21099999999999999</v>
      </c>
      <c r="BD411" s="191">
        <v>42689</v>
      </c>
      <c r="BE411" s="192" t="s">
        <v>125</v>
      </c>
      <c r="BH411" s="94">
        <v>42674</v>
      </c>
      <c r="BI411" s="95" t="s">
        <v>115</v>
      </c>
      <c r="BJ411" s="96">
        <v>8.91</v>
      </c>
    </row>
    <row r="412" spans="1:62" ht="15">
      <c r="A412" s="239"/>
      <c r="BB412" s="187">
        <v>42690</v>
      </c>
      <c r="BC412" s="180">
        <v>-0.214</v>
      </c>
      <c r="BD412" s="191">
        <v>42690</v>
      </c>
      <c r="BE412" s="192">
        <v>0</v>
      </c>
      <c r="BH412" s="94">
        <v>42676</v>
      </c>
      <c r="BI412" s="95" t="s">
        <v>116</v>
      </c>
      <c r="BJ412" s="96">
        <v>9.5299999999999994</v>
      </c>
    </row>
    <row r="413" spans="1:62" ht="15">
      <c r="A413" s="239"/>
      <c r="BB413" s="187">
        <v>42691</v>
      </c>
      <c r="BC413" s="180">
        <v>-0.215</v>
      </c>
      <c r="BD413" s="191">
        <v>42691</v>
      </c>
      <c r="BE413" s="192">
        <v>8.9999999999999993E-3</v>
      </c>
      <c r="BH413" s="94">
        <v>42677</v>
      </c>
      <c r="BI413" s="95" t="s">
        <v>117</v>
      </c>
      <c r="BJ413" s="96">
        <v>9.5299999999999994</v>
      </c>
    </row>
    <row r="414" spans="1:62" ht="15">
      <c r="A414" s="239"/>
      <c r="BB414" s="187">
        <v>42692</v>
      </c>
      <c r="BC414" s="180">
        <v>-0.217</v>
      </c>
      <c r="BD414" s="191">
        <v>42692</v>
      </c>
      <c r="BE414" s="192">
        <v>0.02</v>
      </c>
      <c r="BH414" s="94">
        <v>42678</v>
      </c>
      <c r="BI414" s="95" t="s">
        <v>118</v>
      </c>
      <c r="BJ414" s="96">
        <v>9.5299999999999994</v>
      </c>
    </row>
    <row r="415" spans="1:62" ht="15">
      <c r="A415" s="239"/>
      <c r="BB415" s="187">
        <v>42695</v>
      </c>
      <c r="BC415" s="180">
        <v>-0.219</v>
      </c>
      <c r="BD415" s="191">
        <v>42695</v>
      </c>
      <c r="BE415" s="192">
        <v>0.03</v>
      </c>
      <c r="BH415" s="94">
        <v>42681</v>
      </c>
      <c r="BI415" s="95" t="s">
        <v>119</v>
      </c>
      <c r="BJ415" s="96">
        <v>9.52</v>
      </c>
    </row>
    <row r="416" spans="1:62" ht="15">
      <c r="A416" s="239"/>
      <c r="BB416" s="187">
        <v>42696</v>
      </c>
      <c r="BC416" s="180">
        <v>-0.22</v>
      </c>
      <c r="BD416" s="191">
        <v>42696</v>
      </c>
      <c r="BE416" s="192">
        <v>3.7999999999999999E-2</v>
      </c>
      <c r="BH416" s="94">
        <v>42682</v>
      </c>
      <c r="BI416" s="95" t="s">
        <v>120</v>
      </c>
      <c r="BJ416" s="96">
        <v>9.52</v>
      </c>
    </row>
    <row r="417" spans="1:62" ht="15">
      <c r="A417" s="239"/>
      <c r="BB417" s="187">
        <v>42697</v>
      </c>
      <c r="BC417" s="180">
        <v>-0.22</v>
      </c>
      <c r="BD417" s="191">
        <v>42697</v>
      </c>
      <c r="BE417" s="192">
        <v>4.8000000000000001E-2</v>
      </c>
      <c r="BH417" s="94">
        <v>42683</v>
      </c>
      <c r="BI417" s="95" t="s">
        <v>121</v>
      </c>
      <c r="BJ417" s="96">
        <v>9.51</v>
      </c>
    </row>
    <row r="418" spans="1:62" ht="15">
      <c r="A418" s="239"/>
      <c r="BB418" s="187">
        <v>42698</v>
      </c>
      <c r="BC418" s="180">
        <v>-0.219</v>
      </c>
      <c r="BD418" s="191">
        <v>42698</v>
      </c>
      <c r="BE418" s="192">
        <v>5.6000000000000001E-2</v>
      </c>
      <c r="BH418" s="94">
        <v>42684</v>
      </c>
      <c r="BI418" s="95" t="s">
        <v>122</v>
      </c>
      <c r="BJ418" s="96">
        <v>9.51</v>
      </c>
    </row>
    <row r="419" spans="1:62" ht="15">
      <c r="A419" s="239"/>
      <c r="BB419" s="187">
        <v>42699</v>
      </c>
      <c r="BC419" s="180">
        <v>-0.219</v>
      </c>
      <c r="BD419" s="191">
        <v>42699</v>
      </c>
      <c r="BE419" s="192">
        <v>6.0999999999999999E-2</v>
      </c>
      <c r="BH419" s="94">
        <v>42685</v>
      </c>
      <c r="BI419" s="95" t="s">
        <v>123</v>
      </c>
      <c r="BJ419" s="96">
        <v>9.51</v>
      </c>
    </row>
    <row r="420" spans="1:62" ht="15">
      <c r="A420" s="239"/>
      <c r="BB420" s="187">
        <v>42702</v>
      </c>
      <c r="BC420" s="180">
        <v>-0.219</v>
      </c>
      <c r="BD420" s="191">
        <v>42702</v>
      </c>
      <c r="BE420" s="192">
        <v>6.3E-2</v>
      </c>
      <c r="BH420" s="94">
        <v>42688</v>
      </c>
      <c r="BI420" s="95" t="s">
        <v>124</v>
      </c>
      <c r="BJ420" s="96">
        <v>9.5</v>
      </c>
    </row>
    <row r="421" spans="1:62" ht="15">
      <c r="A421" s="239"/>
      <c r="BB421" s="187">
        <v>42703</v>
      </c>
      <c r="BC421" s="180">
        <v>-0.219</v>
      </c>
      <c r="BD421" s="191">
        <v>42703</v>
      </c>
      <c r="BE421" s="192">
        <v>6.6000000000000003E-2</v>
      </c>
      <c r="BH421" s="94">
        <v>42689</v>
      </c>
      <c r="BI421" s="95" t="s">
        <v>125</v>
      </c>
      <c r="BJ421" s="96">
        <v>9.5</v>
      </c>
    </row>
    <row r="422" spans="1:62" ht="15">
      <c r="A422" s="239"/>
      <c r="BB422" s="187">
        <v>42704</v>
      </c>
      <c r="BC422" s="180">
        <v>-0.219</v>
      </c>
      <c r="BD422" s="191">
        <v>42704</v>
      </c>
      <c r="BE422" s="192">
        <v>7.0000000000000007E-2</v>
      </c>
      <c r="BH422" s="94">
        <v>42690</v>
      </c>
      <c r="BI422" s="95">
        <v>0</v>
      </c>
      <c r="BJ422" s="96">
        <v>9.49</v>
      </c>
    </row>
    <row r="423" spans="1:62" ht="15">
      <c r="A423" s="239"/>
      <c r="BB423" s="187">
        <v>42705</v>
      </c>
      <c r="BC423" s="180">
        <v>-0.219</v>
      </c>
      <c r="BD423" s="191">
        <v>42705</v>
      </c>
      <c r="BE423" s="192">
        <v>7.4999999999999997E-2</v>
      </c>
      <c r="BH423" s="94">
        <v>42691</v>
      </c>
      <c r="BI423" s="95">
        <v>8.9999999999999993E-3</v>
      </c>
      <c r="BJ423" s="96">
        <v>9.49</v>
      </c>
    </row>
    <row r="424" spans="1:62" ht="15">
      <c r="A424" s="239"/>
      <c r="BB424" s="187">
        <v>42706</v>
      </c>
      <c r="BC424" s="180">
        <v>-0.218</v>
      </c>
      <c r="BD424" s="191">
        <v>42706</v>
      </c>
      <c r="BE424" s="192">
        <v>0.08</v>
      </c>
      <c r="BH424" s="94">
        <v>42692</v>
      </c>
      <c r="BI424" s="95">
        <v>0.02</v>
      </c>
      <c r="BJ424" s="96">
        <v>9.49</v>
      </c>
    </row>
    <row r="425" spans="1:62" ht="15">
      <c r="A425" s="239"/>
      <c r="BB425" s="187">
        <v>42709</v>
      </c>
      <c r="BC425" s="180">
        <v>-0.218</v>
      </c>
      <c r="BD425" s="191">
        <v>42709</v>
      </c>
      <c r="BE425" s="192">
        <v>8.5999999999999993E-2</v>
      </c>
      <c r="BH425" s="94">
        <v>42695</v>
      </c>
      <c r="BI425" s="95">
        <v>0.03</v>
      </c>
      <c r="BJ425" s="96">
        <v>9.48</v>
      </c>
    </row>
    <row r="426" spans="1:62" ht="15">
      <c r="A426" s="239"/>
      <c r="BB426" s="187">
        <v>42710</v>
      </c>
      <c r="BC426" s="180">
        <v>-0.219</v>
      </c>
      <c r="BD426" s="191">
        <v>42710</v>
      </c>
      <c r="BE426" s="192">
        <v>9.1999999999999998E-2</v>
      </c>
      <c r="BH426" s="94">
        <v>42696</v>
      </c>
      <c r="BI426" s="95">
        <v>3.7999999999999999E-2</v>
      </c>
      <c r="BJ426" s="96">
        <v>9.48</v>
      </c>
    </row>
    <row r="427" spans="1:62" ht="15">
      <c r="A427" s="239"/>
      <c r="BB427" s="187">
        <v>42711</v>
      </c>
      <c r="BC427" s="180">
        <v>-0.217</v>
      </c>
      <c r="BD427" s="191">
        <v>42711</v>
      </c>
      <c r="BE427" s="192">
        <v>9.8000000000000004E-2</v>
      </c>
      <c r="BH427" s="94">
        <v>42697</v>
      </c>
      <c r="BI427" s="95">
        <v>4.8000000000000001E-2</v>
      </c>
      <c r="BJ427" s="96">
        <v>9.48</v>
      </c>
    </row>
    <row r="428" spans="1:62" ht="15">
      <c r="A428" s="239"/>
      <c r="BB428" s="187">
        <v>42712</v>
      </c>
      <c r="BC428" s="180">
        <v>-0.217</v>
      </c>
      <c r="BD428" s="191"/>
      <c r="BE428" s="193">
        <f>+BE427</f>
        <v>9.8000000000000004E-2</v>
      </c>
      <c r="BH428" s="94">
        <v>42698</v>
      </c>
      <c r="BI428" s="95">
        <v>5.6000000000000001E-2</v>
      </c>
      <c r="BJ428" s="96">
        <v>9.4700000000000006</v>
      </c>
    </row>
    <row r="429" spans="1:62" ht="15">
      <c r="A429" s="239"/>
      <c r="BB429" s="187">
        <v>42713</v>
      </c>
      <c r="BC429" s="180">
        <v>-0.217</v>
      </c>
      <c r="BD429" s="191">
        <v>42713</v>
      </c>
      <c r="BE429" s="192">
        <v>0.1</v>
      </c>
      <c r="BH429" s="94">
        <v>42699</v>
      </c>
      <c r="BI429" s="95">
        <v>6.0999999999999999E-2</v>
      </c>
      <c r="BJ429" s="96">
        <v>9.4700000000000006</v>
      </c>
    </row>
    <row r="430" spans="1:62" ht="15">
      <c r="A430" s="239"/>
      <c r="BB430" s="187">
        <v>42716</v>
      </c>
      <c r="BC430" s="180">
        <v>-0.217</v>
      </c>
      <c r="BD430" s="191">
        <v>42716</v>
      </c>
      <c r="BE430" s="192">
        <v>0.10199999999999999</v>
      </c>
      <c r="BH430" s="94">
        <v>42702</v>
      </c>
      <c r="BI430" s="95">
        <v>6.3E-2</v>
      </c>
      <c r="BJ430" s="96">
        <v>9.4600000000000009</v>
      </c>
    </row>
    <row r="431" spans="1:62" ht="15">
      <c r="A431" s="239"/>
      <c r="BB431" s="187">
        <v>42717</v>
      </c>
      <c r="BC431" s="180">
        <v>-0.218</v>
      </c>
      <c r="BD431" s="191">
        <v>42717</v>
      </c>
      <c r="BE431" s="192">
        <v>9.9000000000000005E-2</v>
      </c>
      <c r="BH431" s="94">
        <v>42703</v>
      </c>
      <c r="BI431" s="95">
        <v>6.6000000000000003E-2</v>
      </c>
      <c r="BJ431" s="96">
        <v>9.4600000000000009</v>
      </c>
    </row>
    <row r="432" spans="1:62" ht="15">
      <c r="A432" s="239"/>
      <c r="BB432" s="187">
        <v>42718</v>
      </c>
      <c r="BC432" s="180">
        <v>-0.217</v>
      </c>
      <c r="BD432" s="191">
        <v>42718</v>
      </c>
      <c r="BE432" s="192">
        <v>9.8000000000000004E-2</v>
      </c>
      <c r="BH432" s="94">
        <v>42704</v>
      </c>
      <c r="BI432" s="95">
        <v>7.0000000000000007E-2</v>
      </c>
      <c r="BJ432" s="96">
        <v>9.4600000000000009</v>
      </c>
    </row>
    <row r="433" spans="1:62" ht="15">
      <c r="A433" s="239"/>
      <c r="BB433" s="187">
        <v>42719</v>
      </c>
      <c r="BC433" s="180">
        <v>-0.217</v>
      </c>
      <c r="BD433" s="191">
        <v>42719</v>
      </c>
      <c r="BE433" s="192">
        <v>9.9000000000000005E-2</v>
      </c>
      <c r="BH433" s="94">
        <v>42705</v>
      </c>
      <c r="BI433" s="95">
        <v>7.4999999999999997E-2</v>
      </c>
      <c r="BJ433" s="96">
        <v>9.4499999999999993</v>
      </c>
    </row>
    <row r="434" spans="1:62" ht="15">
      <c r="A434" s="239"/>
      <c r="BB434" s="187">
        <v>42720</v>
      </c>
      <c r="BC434" s="180">
        <v>-0.216</v>
      </c>
      <c r="BD434" s="191">
        <v>42720</v>
      </c>
      <c r="BE434" s="192">
        <v>9.8000000000000004E-2</v>
      </c>
      <c r="BH434" s="94">
        <v>42706</v>
      </c>
      <c r="BI434" s="95">
        <v>0.08</v>
      </c>
      <c r="BJ434" s="96">
        <v>9.4499999999999993</v>
      </c>
    </row>
    <row r="435" spans="1:62" ht="15">
      <c r="A435" s="239"/>
      <c r="BB435" s="187">
        <v>42723</v>
      </c>
      <c r="BC435" s="180">
        <v>-0.216</v>
      </c>
      <c r="BD435" s="191">
        <v>42723</v>
      </c>
      <c r="BE435" s="192">
        <v>9.5000000000000001E-2</v>
      </c>
      <c r="BH435" s="94">
        <v>42709</v>
      </c>
      <c r="BI435" s="95">
        <v>8.5999999999999993E-2</v>
      </c>
      <c r="BJ435" s="96">
        <v>9.44</v>
      </c>
    </row>
    <row r="436" spans="1:62" ht="15">
      <c r="A436" s="239"/>
      <c r="BB436" s="187">
        <v>42724</v>
      </c>
      <c r="BC436" s="180">
        <v>-0.218</v>
      </c>
      <c r="BD436" s="191">
        <v>42724</v>
      </c>
      <c r="BE436" s="192">
        <v>9.2999999999999999E-2</v>
      </c>
      <c r="BH436" s="94">
        <v>42710</v>
      </c>
      <c r="BI436" s="95">
        <v>9.1999999999999998E-2</v>
      </c>
      <c r="BJ436" s="96">
        <v>9.44</v>
      </c>
    </row>
    <row r="437" spans="1:62" ht="15">
      <c r="A437" s="239"/>
      <c r="BB437" s="187">
        <v>42725</v>
      </c>
      <c r="BC437" s="180">
        <v>-0.216</v>
      </c>
      <c r="BD437" s="191">
        <v>42725</v>
      </c>
      <c r="BE437" s="192">
        <v>9.1999999999999998E-2</v>
      </c>
      <c r="BH437" s="94">
        <v>42711</v>
      </c>
      <c r="BI437" s="95">
        <v>9.8000000000000004E-2</v>
      </c>
      <c r="BJ437" s="96">
        <v>9.44</v>
      </c>
    </row>
    <row r="438" spans="1:62" ht="15">
      <c r="A438" s="239"/>
      <c r="BB438" s="187">
        <v>42726</v>
      </c>
      <c r="BC438" s="180">
        <v>-0.216</v>
      </c>
      <c r="BD438" s="191">
        <v>42726</v>
      </c>
      <c r="BE438" s="192">
        <v>9.0999999999999998E-2</v>
      </c>
      <c r="BH438" s="94">
        <v>42713</v>
      </c>
      <c r="BI438" s="95">
        <v>0.1</v>
      </c>
      <c r="BJ438" s="96">
        <v>9.43</v>
      </c>
    </row>
    <row r="439" spans="1:62" ht="15">
      <c r="A439" s="239"/>
      <c r="BB439" s="187">
        <v>42727</v>
      </c>
      <c r="BC439" s="180">
        <v>-0.217</v>
      </c>
      <c r="BD439" s="191">
        <v>42727</v>
      </c>
      <c r="BE439" s="192">
        <v>8.7999999999999995E-2</v>
      </c>
      <c r="BH439" s="94">
        <v>42716</v>
      </c>
      <c r="BI439" s="95">
        <v>0.10199999999999999</v>
      </c>
      <c r="BJ439" s="96">
        <v>9.42</v>
      </c>
    </row>
    <row r="440" spans="1:62" ht="15">
      <c r="A440" s="239"/>
      <c r="BB440" s="187">
        <v>42730</v>
      </c>
      <c r="BC440" s="180">
        <v>-0.217</v>
      </c>
      <c r="BD440" s="191"/>
      <c r="BE440" s="193">
        <f>+BE439</f>
        <v>8.7999999999999995E-2</v>
      </c>
      <c r="BH440" s="94">
        <v>42717</v>
      </c>
      <c r="BI440" s="95">
        <v>9.9000000000000005E-2</v>
      </c>
      <c r="BJ440" s="96">
        <v>9.42</v>
      </c>
    </row>
    <row r="441" spans="1:62" ht="15">
      <c r="A441" s="239"/>
      <c r="BB441" s="187">
        <v>42731</v>
      </c>
      <c r="BC441" s="180">
        <v>-0.22</v>
      </c>
      <c r="BD441" s="191">
        <v>42731</v>
      </c>
      <c r="BE441" s="192">
        <v>8.5000000000000006E-2</v>
      </c>
      <c r="BH441" s="94">
        <v>42718</v>
      </c>
      <c r="BI441" s="95">
        <v>9.8000000000000004E-2</v>
      </c>
      <c r="BJ441" s="96">
        <v>9.42</v>
      </c>
    </row>
    <row r="442" spans="1:62" ht="15">
      <c r="A442" s="239"/>
      <c r="BB442" s="187">
        <v>42732</v>
      </c>
      <c r="BC442" s="180">
        <v>-0.221</v>
      </c>
      <c r="BD442" s="191">
        <v>42732</v>
      </c>
      <c r="BE442" s="192">
        <v>8.1000000000000003E-2</v>
      </c>
      <c r="BH442" s="94">
        <v>42719</v>
      </c>
      <c r="BI442" s="95">
        <v>9.9000000000000005E-2</v>
      </c>
      <c r="BJ442" s="96">
        <v>9.41</v>
      </c>
    </row>
    <row r="443" spans="1:62" ht="15">
      <c r="A443" s="239"/>
      <c r="BB443" s="187">
        <v>42733</v>
      </c>
      <c r="BC443" s="180">
        <v>-0.221</v>
      </c>
      <c r="BD443" s="191">
        <v>42733</v>
      </c>
      <c r="BE443" s="192">
        <v>7.8E-2</v>
      </c>
      <c r="BH443" s="94">
        <v>42720</v>
      </c>
      <c r="BI443" s="95">
        <v>9.8000000000000004E-2</v>
      </c>
      <c r="BJ443" s="96">
        <v>9.41</v>
      </c>
    </row>
    <row r="444" spans="1:62" ht="15">
      <c r="A444" s="239"/>
      <c r="BB444" s="187">
        <v>42734</v>
      </c>
      <c r="BC444" s="180">
        <v>-0.221</v>
      </c>
      <c r="BD444" s="191">
        <v>42734</v>
      </c>
      <c r="BE444" s="192">
        <v>7.5999999999999998E-2</v>
      </c>
      <c r="BH444" s="94">
        <v>42723</v>
      </c>
      <c r="BI444" s="95">
        <v>9.5000000000000001E-2</v>
      </c>
      <c r="BJ444" s="96">
        <v>9.4</v>
      </c>
    </row>
    <row r="445" spans="1:62" ht="15">
      <c r="A445" s="239"/>
      <c r="BB445" s="187">
        <v>42737</v>
      </c>
      <c r="BC445" s="180">
        <v>-0.22</v>
      </c>
      <c r="BD445" s="191">
        <v>42737</v>
      </c>
      <c r="BE445" s="192">
        <v>7.0000000000000007E-2</v>
      </c>
      <c r="BH445" s="94">
        <v>42724</v>
      </c>
      <c r="BI445" s="95">
        <v>9.2999999999999999E-2</v>
      </c>
      <c r="BJ445" s="96">
        <v>9.4</v>
      </c>
    </row>
    <row r="446" spans="1:62" ht="15">
      <c r="A446" s="239"/>
      <c r="BB446" s="187">
        <v>42738</v>
      </c>
      <c r="BC446" s="180">
        <v>-0.221</v>
      </c>
      <c r="BD446" s="191">
        <v>42738</v>
      </c>
      <c r="BE446" s="192">
        <v>6.7000000000000004E-2</v>
      </c>
      <c r="BH446" s="94">
        <v>42725</v>
      </c>
      <c r="BI446" s="95">
        <v>9.1999999999999998E-2</v>
      </c>
      <c r="BJ446" s="96">
        <v>9.4</v>
      </c>
    </row>
    <row r="447" spans="1:62" ht="15">
      <c r="A447" s="239"/>
      <c r="BB447" s="187">
        <v>42739</v>
      </c>
      <c r="BC447" s="180">
        <v>-0.224</v>
      </c>
      <c r="BD447" s="191">
        <v>42739</v>
      </c>
      <c r="BE447" s="192">
        <v>6.4000000000000001E-2</v>
      </c>
      <c r="BH447" s="94">
        <v>42726</v>
      </c>
      <c r="BI447" s="95">
        <v>9.0999999999999998E-2</v>
      </c>
      <c r="BJ447" s="96">
        <v>9.4</v>
      </c>
    </row>
    <row r="448" spans="1:62" ht="15">
      <c r="A448" s="239"/>
      <c r="BB448" s="187">
        <v>42740</v>
      </c>
      <c r="BC448" s="180">
        <v>-0.22600000000000001</v>
      </c>
      <c r="BD448" s="191">
        <v>42740</v>
      </c>
      <c r="BE448" s="192">
        <v>6.2E-2</v>
      </c>
      <c r="BH448" s="94">
        <v>42727</v>
      </c>
      <c r="BI448" s="95">
        <v>8.7999999999999995E-2</v>
      </c>
      <c r="BJ448" s="96">
        <v>9.39</v>
      </c>
    </row>
    <row r="449" spans="1:62" ht="15">
      <c r="A449" s="239"/>
      <c r="BB449" s="187">
        <v>42741</v>
      </c>
      <c r="BC449" s="180">
        <v>-0.22900000000000001</v>
      </c>
      <c r="BD449" s="191"/>
      <c r="BE449" s="193">
        <f>+BE448</f>
        <v>6.2E-2</v>
      </c>
      <c r="BH449" s="94">
        <v>42731</v>
      </c>
      <c r="BI449" s="95">
        <v>8.5000000000000006E-2</v>
      </c>
      <c r="BJ449" s="96">
        <v>9.3800000000000008</v>
      </c>
    </row>
    <row r="450" spans="1:62" ht="15">
      <c r="A450" s="239"/>
      <c r="BB450" s="187">
        <v>42744</v>
      </c>
      <c r="BC450" s="180">
        <v>-0.23</v>
      </c>
      <c r="BD450" s="191">
        <v>42744</v>
      </c>
      <c r="BE450" s="192">
        <v>0.06</v>
      </c>
      <c r="BH450" s="94">
        <v>42732</v>
      </c>
      <c r="BI450" s="95">
        <v>8.1000000000000003E-2</v>
      </c>
      <c r="BJ450" s="96">
        <v>9.3800000000000008</v>
      </c>
    </row>
    <row r="451" spans="1:62" ht="15">
      <c r="A451" s="239"/>
      <c r="BB451" s="187">
        <v>42745</v>
      </c>
      <c r="BC451" s="180">
        <v>-0.23200000000000001</v>
      </c>
      <c r="BD451" s="191">
        <v>42745</v>
      </c>
      <c r="BE451" s="192">
        <v>5.8999999999999997E-2</v>
      </c>
      <c r="BH451" s="94">
        <v>42733</v>
      </c>
      <c r="BI451" s="95">
        <v>7.8E-2</v>
      </c>
      <c r="BJ451" s="96">
        <v>9.3800000000000008</v>
      </c>
    </row>
    <row r="452" spans="1:62" ht="15">
      <c r="A452" s="239"/>
      <c r="BB452" s="187">
        <v>42746</v>
      </c>
      <c r="BC452" s="180">
        <v>-0.23300000000000001</v>
      </c>
      <c r="BD452" s="191">
        <v>42746</v>
      </c>
      <c r="BE452" s="192">
        <v>5.5E-2</v>
      </c>
      <c r="BH452" s="94">
        <v>42734</v>
      </c>
      <c r="BI452" s="95">
        <v>7.5999999999999998E-2</v>
      </c>
      <c r="BJ452" s="96">
        <v>9.3699999999999992</v>
      </c>
    </row>
    <row r="453" spans="1:62" ht="15">
      <c r="A453" s="239"/>
      <c r="BB453" s="187">
        <v>42747</v>
      </c>
      <c r="BC453" s="180">
        <v>-0.23400000000000001</v>
      </c>
      <c r="BD453" s="191">
        <v>42747</v>
      </c>
      <c r="BE453" s="192">
        <v>5.7000000000000002E-2</v>
      </c>
      <c r="BH453" s="94">
        <v>42737</v>
      </c>
      <c r="BI453" s="95">
        <v>7.0000000000000007E-2</v>
      </c>
      <c r="BJ453" s="96">
        <v>9.3699999999999992</v>
      </c>
    </row>
    <row r="454" spans="1:62" ht="15">
      <c r="A454" s="239"/>
      <c r="BB454" s="187">
        <v>42748</v>
      </c>
      <c r="BC454" s="180">
        <v>-0.23599999999999999</v>
      </c>
      <c r="BD454" s="191">
        <v>42748</v>
      </c>
      <c r="BE454" s="192">
        <v>5.6000000000000001E-2</v>
      </c>
      <c r="BH454" s="94">
        <v>42738</v>
      </c>
      <c r="BI454" s="95">
        <v>6.7000000000000004E-2</v>
      </c>
      <c r="BJ454" s="96">
        <v>9.36</v>
      </c>
    </row>
    <row r="455" spans="1:62" ht="15">
      <c r="A455" s="239"/>
      <c r="BB455" s="187">
        <v>42751</v>
      </c>
      <c r="BC455" s="180">
        <v>-0.23799999999999999</v>
      </c>
      <c r="BD455" s="191">
        <v>42751</v>
      </c>
      <c r="BE455" s="192">
        <v>0.10100000000000001</v>
      </c>
      <c r="BH455" s="94">
        <v>42739</v>
      </c>
      <c r="BI455" s="95">
        <v>6.4000000000000001E-2</v>
      </c>
      <c r="BJ455" s="96">
        <v>9.36</v>
      </c>
    </row>
    <row r="456" spans="1:62" ht="15">
      <c r="A456" s="239"/>
      <c r="BB456" s="187">
        <v>42752</v>
      </c>
      <c r="BC456" s="180">
        <v>-0.23899999999999999</v>
      </c>
      <c r="BD456" s="191">
        <v>42752</v>
      </c>
      <c r="BE456" s="192">
        <v>0.1</v>
      </c>
      <c r="BH456" s="94">
        <v>42740</v>
      </c>
      <c r="BI456" s="95">
        <v>6.2E-2</v>
      </c>
      <c r="BJ456" s="96">
        <v>9.36</v>
      </c>
    </row>
    <row r="457" spans="1:62" ht="15">
      <c r="A457" s="239"/>
      <c r="BB457" s="187">
        <v>42753</v>
      </c>
      <c r="BC457" s="180">
        <v>-0.24</v>
      </c>
      <c r="BD457" s="191">
        <v>42753</v>
      </c>
      <c r="BE457" s="192">
        <v>0.1</v>
      </c>
      <c r="BH457" s="94">
        <v>42744</v>
      </c>
      <c r="BI457" s="95">
        <v>0.06</v>
      </c>
      <c r="BJ457" s="96">
        <v>9.35</v>
      </c>
    </row>
    <row r="458" spans="1:62" ht="15">
      <c r="A458" s="239"/>
      <c r="BB458" s="187">
        <v>42754</v>
      </c>
      <c r="BC458" s="180">
        <v>-0.24</v>
      </c>
      <c r="BD458" s="191">
        <v>42754</v>
      </c>
      <c r="BE458" s="192">
        <v>0.10299999999999999</v>
      </c>
      <c r="BH458" s="94">
        <v>42745</v>
      </c>
      <c r="BI458" s="95">
        <v>5.8999999999999997E-2</v>
      </c>
      <c r="BJ458" s="96">
        <v>9.34</v>
      </c>
    </row>
    <row r="459" spans="1:62" ht="15">
      <c r="A459" s="239"/>
      <c r="BB459" s="187">
        <v>42755</v>
      </c>
      <c r="BC459" s="180">
        <v>-0.24099999999999999</v>
      </c>
      <c r="BD459" s="191">
        <v>42755</v>
      </c>
      <c r="BE459" s="192">
        <v>0.108</v>
      </c>
      <c r="BH459" s="94">
        <v>42746</v>
      </c>
      <c r="BI459" s="95">
        <v>5.5E-2</v>
      </c>
      <c r="BJ459" s="96">
        <v>9.34</v>
      </c>
    </row>
    <row r="460" spans="1:62" ht="15">
      <c r="A460" s="239"/>
      <c r="BB460" s="187">
        <v>42758</v>
      </c>
      <c r="BC460" s="180">
        <v>-0.24099999999999999</v>
      </c>
      <c r="BD460" s="191">
        <v>42758</v>
      </c>
      <c r="BE460" s="192">
        <v>0.113</v>
      </c>
      <c r="BH460" s="94">
        <v>42747</v>
      </c>
      <c r="BI460" s="95">
        <v>5.7000000000000002E-2</v>
      </c>
      <c r="BJ460" s="96">
        <v>9.39</v>
      </c>
    </row>
    <row r="461" spans="1:62" ht="15">
      <c r="A461" s="239"/>
      <c r="BB461" s="187">
        <v>42759</v>
      </c>
      <c r="BC461" s="180">
        <v>-0.24199999999999999</v>
      </c>
      <c r="BD461" s="191">
        <v>42759</v>
      </c>
      <c r="BE461" s="192">
        <v>0.11799999999999999</v>
      </c>
      <c r="BH461" s="94">
        <v>42748</v>
      </c>
      <c r="BI461" s="95">
        <v>5.6000000000000001E-2</v>
      </c>
      <c r="BJ461" s="96">
        <v>9.3800000000000008</v>
      </c>
    </row>
    <row r="462" spans="1:62" ht="15">
      <c r="A462" s="239"/>
      <c r="BB462" s="187">
        <v>42760</v>
      </c>
      <c r="BC462" s="180">
        <v>-0.24199999999999999</v>
      </c>
      <c r="BD462" s="191">
        <v>42760</v>
      </c>
      <c r="BE462" s="192">
        <v>0.127</v>
      </c>
      <c r="BH462" s="94">
        <v>42751</v>
      </c>
      <c r="BI462" s="95">
        <v>0.10100000000000001</v>
      </c>
      <c r="BJ462" s="96">
        <v>9.9600000000000009</v>
      </c>
    </row>
    <row r="463" spans="1:62" ht="15">
      <c r="A463" s="239"/>
      <c r="BB463" s="187">
        <v>42761</v>
      </c>
      <c r="BC463" s="180">
        <v>-0.24399999999999999</v>
      </c>
      <c r="BD463" s="191">
        <v>42761</v>
      </c>
      <c r="BE463" s="192">
        <v>0.13800000000000001</v>
      </c>
      <c r="BH463" s="94">
        <v>42752</v>
      </c>
      <c r="BI463" s="95">
        <v>0.1</v>
      </c>
      <c r="BJ463" s="96">
        <v>9.9600000000000009</v>
      </c>
    </row>
    <row r="464" spans="1:62" ht="15">
      <c r="A464" s="239"/>
      <c r="BB464" s="187">
        <v>42762</v>
      </c>
      <c r="BC464" s="180">
        <v>-0.24299999999999999</v>
      </c>
      <c r="BD464" s="191">
        <v>42762</v>
      </c>
      <c r="BE464" s="192">
        <v>0.14899999999999999</v>
      </c>
      <c r="BH464" s="94">
        <v>42753</v>
      </c>
      <c r="BI464" s="95">
        <v>0.1</v>
      </c>
      <c r="BJ464" s="96">
        <v>9.9499999999999993</v>
      </c>
    </row>
    <row r="465" spans="1:62" ht="15">
      <c r="A465" s="239"/>
      <c r="BB465" s="187">
        <v>42765</v>
      </c>
      <c r="BC465" s="180">
        <v>-0.24399999999999999</v>
      </c>
      <c r="BD465" s="191">
        <v>42765</v>
      </c>
      <c r="BE465" s="192">
        <v>0.161</v>
      </c>
      <c r="BH465" s="94">
        <v>42754</v>
      </c>
      <c r="BI465" s="95">
        <v>0.10299999999999999</v>
      </c>
      <c r="BJ465" s="96">
        <v>9.9499999999999993</v>
      </c>
    </row>
    <row r="466" spans="1:62" ht="15">
      <c r="A466" s="239"/>
      <c r="BB466" s="187">
        <v>42766</v>
      </c>
      <c r="BC466" s="180">
        <v>-0.24299999999999999</v>
      </c>
      <c r="BD466" s="191">
        <v>42766</v>
      </c>
      <c r="BE466" s="192">
        <v>0.17199999999999999</v>
      </c>
      <c r="BH466" s="94">
        <v>42755</v>
      </c>
      <c r="BI466" s="95">
        <v>0.108</v>
      </c>
      <c r="BJ466" s="96">
        <v>9.9499999999999993</v>
      </c>
    </row>
    <row r="467" spans="1:62" ht="15">
      <c r="A467" s="239"/>
      <c r="BB467" s="187">
        <v>42767</v>
      </c>
      <c r="BC467" s="180">
        <v>-0.24399999999999999</v>
      </c>
      <c r="BD467" s="191">
        <v>42767</v>
      </c>
      <c r="BE467" s="192">
        <v>0.18099999999999999</v>
      </c>
      <c r="BH467" s="94">
        <v>42758</v>
      </c>
      <c r="BI467" s="95">
        <v>0.113</v>
      </c>
      <c r="BJ467" s="96">
        <v>9.94</v>
      </c>
    </row>
    <row r="468" spans="1:62" ht="15">
      <c r="A468" s="239"/>
      <c r="BB468" s="187">
        <v>42768</v>
      </c>
      <c r="BC468" s="180">
        <v>-0.24399999999999999</v>
      </c>
      <c r="BD468" s="191">
        <v>42768</v>
      </c>
      <c r="BE468" s="192">
        <v>0.188</v>
      </c>
      <c r="BH468" s="94">
        <v>42759</v>
      </c>
      <c r="BI468" s="95">
        <v>0.11799999999999999</v>
      </c>
      <c r="BJ468" s="96">
        <v>9.94</v>
      </c>
    </row>
    <row r="469" spans="1:62" ht="15">
      <c r="A469" s="239"/>
      <c r="BB469" s="187">
        <v>42769</v>
      </c>
      <c r="BC469" s="180">
        <v>-0.24399999999999999</v>
      </c>
      <c r="BD469" s="191">
        <v>42769</v>
      </c>
      <c r="BE469" s="192">
        <v>0.192</v>
      </c>
      <c r="BH469" s="94">
        <v>42760</v>
      </c>
      <c r="BI469" s="95">
        <v>0.127</v>
      </c>
      <c r="BJ469" s="96">
        <v>9.94</v>
      </c>
    </row>
    <row r="470" spans="1:62" ht="15">
      <c r="A470" s="239"/>
      <c r="BB470" s="187">
        <v>42772</v>
      </c>
      <c r="BC470" s="180">
        <v>-0.24399999999999999</v>
      </c>
      <c r="BD470" s="191">
        <v>42772</v>
      </c>
      <c r="BE470" s="192">
        <v>0.19500000000000001</v>
      </c>
      <c r="BH470" s="94">
        <v>42761</v>
      </c>
      <c r="BI470" s="95">
        <v>0.13800000000000001</v>
      </c>
      <c r="BJ470" s="96">
        <v>9.93</v>
      </c>
    </row>
    <row r="471" spans="1:62" ht="15">
      <c r="A471" s="239"/>
      <c r="BB471" s="187">
        <v>42773</v>
      </c>
      <c r="BC471" s="180">
        <v>-0.24399999999999999</v>
      </c>
      <c r="BD471" s="191">
        <v>42773</v>
      </c>
      <c r="BE471" s="192">
        <v>0.19700000000000001</v>
      </c>
      <c r="BH471" s="94">
        <v>42762</v>
      </c>
      <c r="BI471" s="95">
        <v>0.14899999999999999</v>
      </c>
      <c r="BJ471" s="96">
        <v>9.93</v>
      </c>
    </row>
    <row r="472" spans="1:62" ht="15">
      <c r="A472" s="239"/>
      <c r="BB472" s="187">
        <v>42774</v>
      </c>
      <c r="BC472" s="180">
        <v>-0.24199999999999999</v>
      </c>
      <c r="BD472" s="191">
        <v>42774</v>
      </c>
      <c r="BE472" s="192">
        <v>0.19800000000000001</v>
      </c>
      <c r="BH472" s="94">
        <v>42765</v>
      </c>
      <c r="BI472" s="95">
        <v>0.161</v>
      </c>
      <c r="BJ472" s="96">
        <v>9.92</v>
      </c>
    </row>
    <row r="473" spans="1:62" ht="15">
      <c r="A473" s="239"/>
      <c r="BB473" s="187">
        <v>42775</v>
      </c>
      <c r="BC473" s="180">
        <v>-0.24099999999999999</v>
      </c>
      <c r="BD473" s="191">
        <v>42775</v>
      </c>
      <c r="BE473" s="192">
        <v>0.2</v>
      </c>
      <c r="BH473" s="94">
        <v>42766</v>
      </c>
      <c r="BI473" s="95">
        <v>0.17199999999999999</v>
      </c>
      <c r="BJ473" s="96">
        <v>9.92</v>
      </c>
    </row>
    <row r="474" spans="1:62" ht="15">
      <c r="A474" s="239"/>
      <c r="BB474" s="187">
        <v>42776</v>
      </c>
      <c r="BC474" s="180">
        <v>-0.24</v>
      </c>
      <c r="BD474" s="191">
        <v>42776</v>
      </c>
      <c r="BE474" s="192">
        <v>0.20200000000000001</v>
      </c>
      <c r="BH474" s="94">
        <v>42767</v>
      </c>
      <c r="BI474" s="95">
        <v>0.18099999999999999</v>
      </c>
      <c r="BJ474" s="96">
        <v>9.92</v>
      </c>
    </row>
    <row r="475" spans="1:62" ht="15">
      <c r="A475" s="239"/>
      <c r="BB475" s="187">
        <v>42779</v>
      </c>
      <c r="BC475" s="180">
        <v>-0.24</v>
      </c>
      <c r="BD475" s="191">
        <v>42779</v>
      </c>
      <c r="BE475" s="192">
        <v>0.20399999999999999</v>
      </c>
      <c r="BH475" s="94">
        <v>42768</v>
      </c>
      <c r="BI475" s="95">
        <v>0.188</v>
      </c>
      <c r="BJ475" s="96">
        <v>9.91</v>
      </c>
    </row>
    <row r="476" spans="1:62" ht="15">
      <c r="A476" s="239"/>
      <c r="BB476" s="187">
        <v>42780</v>
      </c>
      <c r="BC476" s="180">
        <v>-0.24099999999999999</v>
      </c>
      <c r="BD476" s="191">
        <v>42780</v>
      </c>
      <c r="BE476" s="192">
        <v>0.20799999999999999</v>
      </c>
      <c r="BH476" s="94">
        <v>42769</v>
      </c>
      <c r="BI476" s="95">
        <v>0.192</v>
      </c>
      <c r="BJ476" s="96">
        <v>9.91</v>
      </c>
    </row>
    <row r="477" spans="1:62" ht="15">
      <c r="A477" s="239"/>
      <c r="BB477" s="187">
        <v>42781</v>
      </c>
      <c r="BC477" s="180">
        <v>-0.24099999999999999</v>
      </c>
      <c r="BD477" s="191">
        <v>42781</v>
      </c>
      <c r="BE477" s="192">
        <v>0.21099999999999999</v>
      </c>
      <c r="BH477" s="94">
        <v>42772</v>
      </c>
      <c r="BI477" s="95">
        <v>0.19500000000000001</v>
      </c>
      <c r="BJ477" s="96">
        <v>9.9</v>
      </c>
    </row>
    <row r="478" spans="1:62" ht="15">
      <c r="A478" s="239"/>
      <c r="BB478" s="187">
        <v>42782</v>
      </c>
      <c r="BC478" s="180">
        <v>-0.23899999999999999</v>
      </c>
      <c r="BD478" s="191">
        <v>42782</v>
      </c>
      <c r="BE478" s="192">
        <v>0.21199999999999999</v>
      </c>
      <c r="BH478" s="94">
        <v>42773</v>
      </c>
      <c r="BI478" s="95">
        <v>0.19700000000000001</v>
      </c>
      <c r="BJ478" s="96">
        <v>9.9</v>
      </c>
    </row>
    <row r="479" spans="1:62" ht="15">
      <c r="A479" s="239"/>
      <c r="BB479" s="187">
        <v>42783</v>
      </c>
      <c r="BC479" s="180">
        <v>-0.23899999999999999</v>
      </c>
      <c r="BD479" s="191">
        <v>42783</v>
      </c>
      <c r="BE479" s="192">
        <v>0.21</v>
      </c>
      <c r="BH479" s="94">
        <v>42774</v>
      </c>
      <c r="BI479" s="95">
        <v>0.19800000000000001</v>
      </c>
      <c r="BJ479" s="96">
        <v>9.9</v>
      </c>
    </row>
    <row r="480" spans="1:62" ht="15">
      <c r="A480" s="239"/>
      <c r="BB480" s="187">
        <v>42786</v>
      </c>
      <c r="BC480" s="180">
        <v>-0.23799999999999999</v>
      </c>
      <c r="BD480" s="191">
        <v>42786</v>
      </c>
      <c r="BE480" s="192">
        <v>0.20899999999999999</v>
      </c>
      <c r="BH480" s="94">
        <v>42775</v>
      </c>
      <c r="BI480" s="95">
        <v>0.2</v>
      </c>
      <c r="BJ480" s="96">
        <v>9.8800000000000008</v>
      </c>
    </row>
    <row r="481" spans="1:62" ht="15">
      <c r="A481" s="239"/>
      <c r="BB481" s="187">
        <v>42787</v>
      </c>
      <c r="BC481" s="180">
        <v>-0.23799999999999999</v>
      </c>
      <c r="BD481" s="191">
        <v>42787</v>
      </c>
      <c r="BE481" s="192">
        <v>0.20899999999999999</v>
      </c>
      <c r="BH481" s="94">
        <v>42776</v>
      </c>
      <c r="BI481" s="95">
        <v>0.20200000000000001</v>
      </c>
      <c r="BJ481" s="96">
        <v>9.8800000000000008</v>
      </c>
    </row>
    <row r="482" spans="1:62" ht="15">
      <c r="A482" s="239"/>
      <c r="BB482" s="187">
        <v>42788</v>
      </c>
      <c r="BC482" s="180">
        <v>-0.23899999999999999</v>
      </c>
      <c r="BD482" s="191">
        <v>42788</v>
      </c>
      <c r="BE482" s="192">
        <v>0.20399999999999999</v>
      </c>
      <c r="BH482" s="94">
        <v>42779</v>
      </c>
      <c r="BI482" s="95">
        <v>0.20399999999999999</v>
      </c>
      <c r="BJ482" s="96">
        <v>9.8699999999999992</v>
      </c>
    </row>
    <row r="483" spans="1:62" ht="15">
      <c r="A483" s="239"/>
      <c r="BB483" s="187">
        <v>42789</v>
      </c>
      <c r="BC483" s="180">
        <v>-0.23799999999999999</v>
      </c>
      <c r="BD483" s="191">
        <v>42789</v>
      </c>
      <c r="BE483" s="192">
        <v>0.19600000000000001</v>
      </c>
      <c r="BH483" s="94">
        <v>42780</v>
      </c>
      <c r="BI483" s="95">
        <v>0.20799999999999999</v>
      </c>
      <c r="BJ483" s="96">
        <v>9.8699999999999992</v>
      </c>
    </row>
    <row r="484" spans="1:62" ht="15">
      <c r="A484" s="239"/>
      <c r="BB484" s="187">
        <v>42790</v>
      </c>
      <c r="BC484" s="180">
        <v>-0.23799999999999999</v>
      </c>
      <c r="BD484" s="191">
        <v>42790</v>
      </c>
      <c r="BE484" s="192">
        <v>0.186</v>
      </c>
      <c r="BH484" s="94">
        <v>42781</v>
      </c>
      <c r="BI484" s="95">
        <v>0.21099999999999999</v>
      </c>
      <c r="BJ484" s="96">
        <v>9.86</v>
      </c>
    </row>
    <row r="485" spans="1:62" ht="15">
      <c r="A485" s="239"/>
      <c r="BB485" s="187">
        <v>42793</v>
      </c>
      <c r="BC485" s="180">
        <v>-0.23799999999999999</v>
      </c>
      <c r="BD485" s="191">
        <v>42793</v>
      </c>
      <c r="BE485" s="192">
        <v>0.17399999999999999</v>
      </c>
      <c r="BH485" s="94">
        <v>42782</v>
      </c>
      <c r="BI485" s="95">
        <v>0.21199999999999999</v>
      </c>
      <c r="BJ485" s="96">
        <v>9.86</v>
      </c>
    </row>
    <row r="486" spans="1:62" ht="15">
      <c r="A486" s="239"/>
      <c r="BB486" s="187">
        <v>42794</v>
      </c>
      <c r="BC486" s="180">
        <v>-0.23899999999999999</v>
      </c>
      <c r="BD486" s="191">
        <v>42794</v>
      </c>
      <c r="BE486" s="192">
        <v>0.16400000000000001</v>
      </c>
      <c r="BH486" s="94">
        <v>42783</v>
      </c>
      <c r="BI486" s="95">
        <v>0.21</v>
      </c>
      <c r="BJ486" s="96">
        <v>9.86</v>
      </c>
    </row>
    <row r="487" spans="1:62" ht="15">
      <c r="A487" s="239"/>
      <c r="BB487" s="187">
        <v>42795</v>
      </c>
      <c r="BC487" s="180">
        <v>-0.23699999999999999</v>
      </c>
      <c r="BD487" s="191">
        <v>42795</v>
      </c>
      <c r="BE487" s="192">
        <v>0.155</v>
      </c>
      <c r="BH487" s="94">
        <v>42786</v>
      </c>
      <c r="BI487" s="95">
        <v>0.20899999999999999</v>
      </c>
      <c r="BJ487" s="96">
        <v>9.85</v>
      </c>
    </row>
    <row r="488" spans="1:62" ht="15">
      <c r="A488" s="239"/>
      <c r="BB488" s="187">
        <v>42796</v>
      </c>
      <c r="BC488" s="180">
        <v>-0.23799999999999999</v>
      </c>
      <c r="BD488" s="191">
        <v>42796</v>
      </c>
      <c r="BE488" s="192">
        <v>0.15</v>
      </c>
      <c r="BH488" s="94">
        <v>42787</v>
      </c>
      <c r="BI488" s="95">
        <v>0.20899999999999999</v>
      </c>
      <c r="BJ488" s="96">
        <v>9.85</v>
      </c>
    </row>
    <row r="489" spans="1:62" ht="15">
      <c r="A489" s="239"/>
      <c r="BB489" s="187">
        <v>42797</v>
      </c>
      <c r="BC489" s="180">
        <v>-0.23699999999999999</v>
      </c>
      <c r="BD489" s="191">
        <v>42797</v>
      </c>
      <c r="BE489" s="192">
        <v>0.14499999999999999</v>
      </c>
      <c r="BH489" s="94">
        <v>42788</v>
      </c>
      <c r="BI489" s="95">
        <v>0.20399999999999999</v>
      </c>
      <c r="BJ489" s="96">
        <v>9.85</v>
      </c>
    </row>
    <row r="490" spans="1:62" ht="15">
      <c r="A490" s="239"/>
      <c r="BB490" s="187">
        <v>42800</v>
      </c>
      <c r="BC490" s="180">
        <v>-0.24099999999999999</v>
      </c>
      <c r="BD490" s="191">
        <v>42800</v>
      </c>
      <c r="BE490" s="192">
        <v>0.14199999999999999</v>
      </c>
      <c r="BH490" s="94">
        <v>42789</v>
      </c>
      <c r="BI490" s="95">
        <v>0.19600000000000001</v>
      </c>
      <c r="BJ490" s="96">
        <v>9.84</v>
      </c>
    </row>
    <row r="491" spans="1:62" ht="15">
      <c r="A491" s="239"/>
      <c r="BB491" s="187">
        <v>42801</v>
      </c>
      <c r="BC491" s="180">
        <v>-0.24</v>
      </c>
      <c r="BD491" s="191">
        <v>42801</v>
      </c>
      <c r="BE491" s="192">
        <v>0.13900000000000001</v>
      </c>
      <c r="BH491" s="94">
        <v>42790</v>
      </c>
      <c r="BI491" s="95">
        <v>0.186</v>
      </c>
      <c r="BJ491" s="96">
        <v>9.84</v>
      </c>
    </row>
    <row r="492" spans="1:62" ht="15">
      <c r="A492" s="239"/>
      <c r="BB492" s="187">
        <v>42802</v>
      </c>
      <c r="BC492" s="180">
        <v>-0.24099999999999999</v>
      </c>
      <c r="BD492" s="191">
        <v>42802</v>
      </c>
      <c r="BE492" s="192">
        <v>0.13800000000000001</v>
      </c>
      <c r="BH492" s="94">
        <v>42793</v>
      </c>
      <c r="BI492" s="95">
        <v>0.17399999999999999</v>
      </c>
      <c r="BJ492" s="96">
        <v>9.83</v>
      </c>
    </row>
    <row r="493" spans="1:62" ht="15">
      <c r="A493" s="239"/>
      <c r="BB493" s="187">
        <v>42803</v>
      </c>
      <c r="BC493" s="180">
        <v>-0.24099999999999999</v>
      </c>
      <c r="BD493" s="191">
        <v>42803</v>
      </c>
      <c r="BE493" s="192">
        <v>0.14499999999999999</v>
      </c>
      <c r="BH493" s="94">
        <v>42794</v>
      </c>
      <c r="BI493" s="95">
        <v>0.16400000000000001</v>
      </c>
      <c r="BJ493" s="96">
        <v>9.83</v>
      </c>
    </row>
    <row r="494" spans="1:62" ht="15">
      <c r="A494" s="239"/>
      <c r="BB494" s="187">
        <v>42804</v>
      </c>
      <c r="BC494" s="180">
        <v>-0.24099999999999999</v>
      </c>
      <c r="BD494" s="191">
        <v>42804</v>
      </c>
      <c r="BE494" s="192">
        <v>0.14699999999999999</v>
      </c>
      <c r="BH494" s="94">
        <v>42795</v>
      </c>
      <c r="BI494" s="95">
        <v>0.155</v>
      </c>
      <c r="BJ494" s="96">
        <v>9.83</v>
      </c>
    </row>
    <row r="495" spans="1:62" ht="15">
      <c r="A495" s="239"/>
      <c r="BB495" s="187">
        <v>42807</v>
      </c>
      <c r="BC495" s="180">
        <v>-0.24099999999999999</v>
      </c>
      <c r="BD495" s="191">
        <v>42807</v>
      </c>
      <c r="BE495" s="192">
        <v>0.14799999999999999</v>
      </c>
      <c r="BH495" s="94">
        <v>42796</v>
      </c>
      <c r="BI495" s="95">
        <v>0.15</v>
      </c>
      <c r="BJ495" s="96">
        <v>9.82</v>
      </c>
    </row>
    <row r="496" spans="1:62" ht="15">
      <c r="A496" s="239"/>
      <c r="BB496" s="187">
        <v>42808</v>
      </c>
      <c r="BC496" s="180">
        <v>-0.24099999999999999</v>
      </c>
      <c r="BD496" s="191">
        <v>42808</v>
      </c>
      <c r="BE496" s="192">
        <v>0.15</v>
      </c>
      <c r="BH496" s="94">
        <v>42797</v>
      </c>
      <c r="BI496" s="95">
        <v>0.14499999999999999</v>
      </c>
      <c r="BJ496" s="96">
        <v>9.82</v>
      </c>
    </row>
    <row r="497" spans="1:62" ht="15">
      <c r="A497" s="239"/>
      <c r="BB497" s="187">
        <v>42809</v>
      </c>
      <c r="BC497" s="180">
        <v>-0.24099999999999999</v>
      </c>
      <c r="BD497" s="191">
        <v>42809</v>
      </c>
      <c r="BE497" s="192">
        <v>0.14899999999999999</v>
      </c>
      <c r="BH497" s="94">
        <v>42800</v>
      </c>
      <c r="BI497" s="95">
        <v>0.14199999999999999</v>
      </c>
      <c r="BJ497" s="96">
        <v>9.81</v>
      </c>
    </row>
    <row r="498" spans="1:62" ht="15">
      <c r="A498" s="239"/>
      <c r="BB498" s="187">
        <v>42810</v>
      </c>
      <c r="BC498" s="180">
        <v>-0.24099999999999999</v>
      </c>
      <c r="BD498" s="191">
        <v>42810</v>
      </c>
      <c r="BE498" s="192">
        <v>0.15</v>
      </c>
      <c r="BH498" s="94">
        <v>42801</v>
      </c>
      <c r="BI498" s="95">
        <v>0.13900000000000001</v>
      </c>
      <c r="BJ498" s="96">
        <v>9.81</v>
      </c>
    </row>
    <row r="499" spans="1:62" ht="15">
      <c r="A499" s="239"/>
      <c r="BB499" s="187">
        <v>42811</v>
      </c>
      <c r="BC499" s="180">
        <v>-0.24099999999999999</v>
      </c>
      <c r="BD499" s="191">
        <v>42811</v>
      </c>
      <c r="BE499" s="192">
        <v>0.152</v>
      </c>
      <c r="BH499" s="94">
        <v>42802</v>
      </c>
      <c r="BI499" s="95">
        <v>0.13800000000000001</v>
      </c>
      <c r="BJ499" s="96">
        <v>9.81</v>
      </c>
    </row>
    <row r="500" spans="1:62" ht="15">
      <c r="A500" s="239"/>
      <c r="BB500" s="187">
        <v>42814</v>
      </c>
      <c r="BC500" s="180">
        <v>-0.24099999999999999</v>
      </c>
      <c r="BD500" s="191">
        <v>42814</v>
      </c>
      <c r="BE500" s="192">
        <v>0.155</v>
      </c>
      <c r="BH500" s="94">
        <v>42803</v>
      </c>
      <c r="BI500" s="95">
        <v>0.14499999999999999</v>
      </c>
      <c r="BJ500" s="96">
        <v>9.83</v>
      </c>
    </row>
    <row r="501" spans="1:62" ht="15">
      <c r="A501" s="239"/>
      <c r="BB501" s="187">
        <v>42815</v>
      </c>
      <c r="BC501" s="180">
        <v>-0.24099999999999999</v>
      </c>
      <c r="BD501" s="191">
        <v>42815</v>
      </c>
      <c r="BE501" s="192">
        <v>0.158</v>
      </c>
      <c r="BH501" s="94">
        <v>42804</v>
      </c>
      <c r="BI501" s="95">
        <v>0.14699999999999999</v>
      </c>
      <c r="BJ501" s="96">
        <v>9.83</v>
      </c>
    </row>
    <row r="502" spans="1:62" ht="15">
      <c r="A502" s="239"/>
      <c r="BB502" s="187">
        <v>42816</v>
      </c>
      <c r="BC502" s="180">
        <v>-0.24199999999999999</v>
      </c>
      <c r="BD502" s="191">
        <v>42816</v>
      </c>
      <c r="BE502" s="192">
        <v>0.161</v>
      </c>
      <c r="BH502" s="94">
        <v>42807</v>
      </c>
      <c r="BI502" s="95">
        <v>0.14799999999999999</v>
      </c>
      <c r="BJ502" s="96">
        <v>9.82</v>
      </c>
    </row>
    <row r="503" spans="1:62" ht="15">
      <c r="A503" s="239"/>
      <c r="BB503" s="187">
        <v>42817</v>
      </c>
      <c r="BC503" s="180">
        <v>-0.24199999999999999</v>
      </c>
      <c r="BD503" s="191">
        <v>42817</v>
      </c>
      <c r="BE503" s="192">
        <v>0.16500000000000001</v>
      </c>
      <c r="BH503" s="94">
        <v>42808</v>
      </c>
      <c r="BI503" s="95">
        <v>0.15</v>
      </c>
      <c r="BJ503" s="96">
        <v>9.82</v>
      </c>
    </row>
    <row r="504" spans="1:62" ht="15">
      <c r="A504" s="239"/>
      <c r="BB504" s="187">
        <v>42818</v>
      </c>
      <c r="BC504" s="180">
        <v>-0.24199999999999999</v>
      </c>
      <c r="BD504" s="191">
        <v>42818</v>
      </c>
      <c r="BE504" s="192">
        <v>0.17299999999999999</v>
      </c>
      <c r="BH504" s="94">
        <v>42809</v>
      </c>
      <c r="BI504" s="95">
        <v>0.14899999999999999</v>
      </c>
      <c r="BJ504" s="96">
        <v>9.82</v>
      </c>
    </row>
    <row r="505" spans="1:62" ht="15">
      <c r="A505" s="239"/>
      <c r="BB505" s="187">
        <v>42821</v>
      </c>
      <c r="BC505" s="180">
        <v>-0.24199999999999999</v>
      </c>
      <c r="BD505" s="191">
        <v>42821</v>
      </c>
      <c r="BE505" s="192">
        <v>0.18</v>
      </c>
      <c r="BH505" s="94">
        <v>42810</v>
      </c>
      <c r="BI505" s="95">
        <v>0.15</v>
      </c>
      <c r="BJ505" s="96">
        <v>9.81</v>
      </c>
    </row>
    <row r="506" spans="1:62" ht="15">
      <c r="A506" s="239"/>
      <c r="BB506" s="187">
        <v>42822</v>
      </c>
      <c r="BC506" s="180">
        <v>-0.24199999999999999</v>
      </c>
      <c r="BD506" s="191">
        <v>42822</v>
      </c>
      <c r="BE506" s="192">
        <v>0.186</v>
      </c>
      <c r="BH506" s="94">
        <v>42811</v>
      </c>
      <c r="BI506" s="95">
        <v>0.152</v>
      </c>
      <c r="BJ506" s="96">
        <v>9.81</v>
      </c>
    </row>
    <row r="507" spans="1:62" ht="15">
      <c r="A507" s="239"/>
      <c r="BB507" s="187">
        <v>42823</v>
      </c>
      <c r="BC507" s="180">
        <v>-0.24199999999999999</v>
      </c>
      <c r="BD507" s="191">
        <v>42823</v>
      </c>
      <c r="BE507" s="192">
        <v>0.19</v>
      </c>
      <c r="BH507" s="94">
        <v>42814</v>
      </c>
      <c r="BI507" s="95">
        <v>0.155</v>
      </c>
      <c r="BJ507" s="96">
        <v>9.8000000000000007</v>
      </c>
    </row>
    <row r="508" spans="1:62" ht="15">
      <c r="A508" s="239"/>
      <c r="BB508" s="187">
        <v>42824</v>
      </c>
      <c r="BC508" s="180">
        <v>-0.24099999999999999</v>
      </c>
      <c r="BD508" s="191">
        <v>42824</v>
      </c>
      <c r="BE508" s="192">
        <v>0.19</v>
      </c>
      <c r="BH508" s="94">
        <v>42815</v>
      </c>
      <c r="BI508" s="95">
        <v>0.158</v>
      </c>
      <c r="BJ508" s="96">
        <v>9.8000000000000007</v>
      </c>
    </row>
    <row r="509" spans="1:62" ht="15">
      <c r="A509" s="239"/>
      <c r="BB509" s="187">
        <v>42825</v>
      </c>
      <c r="BC509" s="180">
        <v>-0.24099999999999999</v>
      </c>
      <c r="BD509" s="191">
        <v>42825</v>
      </c>
      <c r="BE509" s="192">
        <v>0.19</v>
      </c>
      <c r="BH509" s="94">
        <v>42816</v>
      </c>
      <c r="BI509" s="95">
        <v>0.161</v>
      </c>
      <c r="BJ509" s="96">
        <v>9.8000000000000007</v>
      </c>
    </row>
    <row r="510" spans="1:62" ht="15">
      <c r="A510" s="239"/>
      <c r="BB510" s="187">
        <v>42828</v>
      </c>
      <c r="BC510" s="180">
        <v>-0.24299999999999999</v>
      </c>
      <c r="BD510" s="191">
        <v>42828</v>
      </c>
      <c r="BE510" s="192">
        <v>0.189</v>
      </c>
      <c r="BH510" s="94">
        <v>42817</v>
      </c>
      <c r="BI510" s="95">
        <v>0.16500000000000001</v>
      </c>
      <c r="BJ510" s="96">
        <v>9.7899999999999991</v>
      </c>
    </row>
    <row r="511" spans="1:62" ht="15">
      <c r="A511" s="239"/>
      <c r="BB511" s="187">
        <v>42829</v>
      </c>
      <c r="BC511" s="180">
        <v>-0.24199999999999999</v>
      </c>
      <c r="BD511" s="191">
        <v>42829</v>
      </c>
      <c r="BE511" s="192">
        <v>0.186</v>
      </c>
      <c r="BH511" s="94">
        <v>42818</v>
      </c>
      <c r="BI511" s="95">
        <v>0.17299999999999999</v>
      </c>
      <c r="BJ511" s="96">
        <v>9.7899999999999991</v>
      </c>
    </row>
    <row r="512" spans="1:62" ht="15">
      <c r="A512" s="239"/>
      <c r="BB512" s="187">
        <v>42830</v>
      </c>
      <c r="BC512" s="180">
        <v>-0.24099999999999999</v>
      </c>
      <c r="BD512" s="191">
        <v>42830</v>
      </c>
      <c r="BE512" s="192">
        <v>0.182</v>
      </c>
      <c r="BH512" s="94">
        <v>42821</v>
      </c>
      <c r="BI512" s="95">
        <v>0.18</v>
      </c>
      <c r="BJ512" s="96">
        <v>9.7799999999999994</v>
      </c>
    </row>
    <row r="513" spans="1:62" ht="15">
      <c r="A513" s="239"/>
      <c r="BB513" s="187">
        <v>42831</v>
      </c>
      <c r="BC513" s="180">
        <v>-0.24199999999999999</v>
      </c>
      <c r="BD513" s="191">
        <v>42831</v>
      </c>
      <c r="BE513" s="192">
        <v>0.17799999999999999</v>
      </c>
      <c r="BH513" s="94">
        <v>42822</v>
      </c>
      <c r="BI513" s="95">
        <v>0.186</v>
      </c>
      <c r="BJ513" s="96">
        <v>9.7799999999999994</v>
      </c>
    </row>
    <row r="514" spans="1:62" ht="15">
      <c r="A514" s="239"/>
      <c r="BB514" s="187">
        <v>42832</v>
      </c>
      <c r="BC514" s="180">
        <v>-0.24099999999999999</v>
      </c>
      <c r="BD514" s="191">
        <v>42832</v>
      </c>
      <c r="BE514" s="192">
        <v>0.17</v>
      </c>
      <c r="BH514" s="94">
        <v>42823</v>
      </c>
      <c r="BI514" s="95">
        <v>0.19</v>
      </c>
      <c r="BJ514" s="96">
        <v>9.7799999999999994</v>
      </c>
    </row>
    <row r="515" spans="1:62" ht="15">
      <c r="A515" s="239"/>
      <c r="BB515" s="187">
        <v>42835</v>
      </c>
      <c r="BC515" s="180">
        <v>-0.24099999999999999</v>
      </c>
      <c r="BD515" s="191">
        <v>42835</v>
      </c>
      <c r="BE515" s="192">
        <v>0.16200000000000001</v>
      </c>
      <c r="BH515" s="94">
        <v>42824</v>
      </c>
      <c r="BI515" s="95">
        <v>0.19</v>
      </c>
      <c r="BJ515" s="96">
        <v>9.77</v>
      </c>
    </row>
    <row r="516" spans="1:62" ht="15">
      <c r="A516" s="239"/>
      <c r="BB516" s="187">
        <v>42836</v>
      </c>
      <c r="BC516" s="180">
        <v>-0.24199999999999999</v>
      </c>
      <c r="BD516" s="191">
        <v>42836</v>
      </c>
      <c r="BE516" s="192">
        <v>0.154</v>
      </c>
      <c r="BH516" s="94">
        <v>42825</v>
      </c>
      <c r="BI516" s="95">
        <v>0.19</v>
      </c>
      <c r="BJ516" s="96">
        <v>9.77</v>
      </c>
    </row>
    <row r="517" spans="1:62" ht="15">
      <c r="A517" s="239"/>
      <c r="BB517" s="187">
        <v>42837</v>
      </c>
      <c r="BC517" s="180">
        <v>-0.24199999999999999</v>
      </c>
      <c r="BD517" s="191">
        <v>42837</v>
      </c>
      <c r="BE517" s="192">
        <v>0.14699999999999999</v>
      </c>
      <c r="BH517" s="94">
        <v>42828</v>
      </c>
      <c r="BI517" s="95">
        <v>0.189</v>
      </c>
      <c r="BJ517" s="96">
        <v>9.76</v>
      </c>
    </row>
    <row r="518" spans="1:62" ht="15">
      <c r="A518" s="239"/>
      <c r="BB518" s="187">
        <v>42838</v>
      </c>
      <c r="BC518" s="180">
        <v>-0.246</v>
      </c>
      <c r="BD518" s="191">
        <v>42838</v>
      </c>
      <c r="BE518" s="192">
        <v>0.13800000000000001</v>
      </c>
      <c r="BH518" s="94">
        <v>42829</v>
      </c>
      <c r="BI518" s="95">
        <v>0.186</v>
      </c>
      <c r="BJ518" s="96">
        <v>9.76</v>
      </c>
    </row>
    <row r="519" spans="1:62" ht="15">
      <c r="A519" s="239"/>
      <c r="BB519" s="187">
        <v>42839</v>
      </c>
      <c r="BC519" s="180">
        <v>-0.246</v>
      </c>
      <c r="BD519" s="191"/>
      <c r="BE519" s="193">
        <f>+BE518</f>
        <v>0.13800000000000001</v>
      </c>
      <c r="BH519" s="94">
        <v>42830</v>
      </c>
      <c r="BI519" s="95">
        <v>0.182</v>
      </c>
      <c r="BJ519" s="96">
        <v>9.76</v>
      </c>
    </row>
    <row r="520" spans="1:62" ht="15">
      <c r="A520" s="239"/>
      <c r="BB520" s="187">
        <v>42842</v>
      </c>
      <c r="BC520" s="180">
        <v>-0.246</v>
      </c>
      <c r="BD520" s="191"/>
      <c r="BE520" s="193">
        <f>+BE519</f>
        <v>0.13800000000000001</v>
      </c>
      <c r="BH520" s="94">
        <v>42831</v>
      </c>
      <c r="BI520" s="95">
        <v>0.17799999999999999</v>
      </c>
      <c r="BJ520" s="96">
        <v>9.74</v>
      </c>
    </row>
    <row r="521" spans="1:62" ht="15">
      <c r="A521" s="239"/>
      <c r="BB521" s="187">
        <v>42843</v>
      </c>
      <c r="BC521" s="180">
        <v>-0.25</v>
      </c>
      <c r="BD521" s="191">
        <v>42843</v>
      </c>
      <c r="BE521" s="192">
        <v>0.123</v>
      </c>
      <c r="BH521" s="94">
        <v>42832</v>
      </c>
      <c r="BI521" s="95">
        <v>0.17</v>
      </c>
      <c r="BJ521" s="96">
        <v>9.74</v>
      </c>
    </row>
    <row r="522" spans="1:62" ht="15">
      <c r="A522" s="239"/>
      <c r="BB522" s="187">
        <v>42844</v>
      </c>
      <c r="BC522" s="180">
        <v>-0.251</v>
      </c>
      <c r="BD522" s="191">
        <v>42844</v>
      </c>
      <c r="BE522" s="192">
        <v>0.113</v>
      </c>
      <c r="BH522" s="94">
        <v>42835</v>
      </c>
      <c r="BI522" s="95">
        <v>0.16200000000000001</v>
      </c>
      <c r="BJ522" s="96">
        <v>9.73</v>
      </c>
    </row>
    <row r="523" spans="1:62" ht="15">
      <c r="A523" s="239"/>
      <c r="BB523" s="187">
        <v>42845</v>
      </c>
      <c r="BC523" s="180">
        <v>-0.249</v>
      </c>
      <c r="BD523" s="191">
        <v>42845</v>
      </c>
      <c r="BE523" s="192">
        <v>0.11799999999999999</v>
      </c>
      <c r="BH523" s="94">
        <v>42836</v>
      </c>
      <c r="BI523" s="95">
        <v>0.154</v>
      </c>
      <c r="BJ523" s="96">
        <v>9.73</v>
      </c>
    </row>
    <row r="524" spans="1:62" ht="15">
      <c r="A524" s="239"/>
      <c r="BB524" s="187">
        <v>42846</v>
      </c>
      <c r="BC524" s="180">
        <v>-0.249</v>
      </c>
      <c r="BD524" s="191">
        <v>42846</v>
      </c>
      <c r="BE524" s="192">
        <v>0.113</v>
      </c>
      <c r="BH524" s="94">
        <v>42837</v>
      </c>
      <c r="BI524" s="95">
        <v>0.14699999999999999</v>
      </c>
      <c r="BJ524" s="96">
        <v>9.73</v>
      </c>
    </row>
    <row r="525" spans="1:62" ht="15">
      <c r="A525" s="239"/>
      <c r="BB525" s="187">
        <v>42849</v>
      </c>
      <c r="BC525" s="180">
        <v>-0.247</v>
      </c>
      <c r="BD525" s="191">
        <v>42849</v>
      </c>
      <c r="BE525" s="192">
        <v>0.111</v>
      </c>
      <c r="BH525" s="94">
        <v>42838</v>
      </c>
      <c r="BI525" s="95">
        <v>0.13800000000000001</v>
      </c>
      <c r="BJ525" s="96">
        <v>9.7200000000000006</v>
      </c>
    </row>
    <row r="526" spans="1:62" ht="15">
      <c r="A526" s="239"/>
      <c r="BB526" s="187">
        <v>42850</v>
      </c>
      <c r="BC526" s="180">
        <v>-0.248</v>
      </c>
      <c r="BD526" s="191">
        <v>42850</v>
      </c>
      <c r="BE526" s="192">
        <v>0.112</v>
      </c>
      <c r="BH526" s="94">
        <v>42843</v>
      </c>
      <c r="BI526" s="95">
        <v>0.123</v>
      </c>
      <c r="BJ526" s="96">
        <v>9.7100000000000009</v>
      </c>
    </row>
    <row r="527" spans="1:62" ht="15">
      <c r="A527" s="239"/>
      <c r="BB527" s="187">
        <v>42851</v>
      </c>
      <c r="BC527" s="180">
        <v>-0.248</v>
      </c>
      <c r="BD527" s="191">
        <v>42851</v>
      </c>
      <c r="BE527" s="192">
        <v>0.112</v>
      </c>
      <c r="BH527" s="94">
        <v>42844</v>
      </c>
      <c r="BI527" s="95">
        <v>0.113</v>
      </c>
      <c r="BJ527" s="96">
        <v>9.7100000000000009</v>
      </c>
    </row>
    <row r="528" spans="1:62" ht="15">
      <c r="A528" s="239"/>
      <c r="BB528" s="187">
        <v>42852</v>
      </c>
      <c r="BC528" s="180">
        <v>-0.248</v>
      </c>
      <c r="BD528" s="191">
        <v>42852</v>
      </c>
      <c r="BE528" s="192">
        <v>0.112</v>
      </c>
      <c r="BH528" s="94">
        <v>42845</v>
      </c>
      <c r="BI528" s="95">
        <v>0.11799999999999999</v>
      </c>
      <c r="BJ528" s="96">
        <v>9.7100000000000009</v>
      </c>
    </row>
    <row r="529" spans="1:62" ht="15">
      <c r="A529" s="239"/>
      <c r="BB529" s="187">
        <v>42853</v>
      </c>
      <c r="BC529" s="180">
        <v>-0.249</v>
      </c>
      <c r="BD529" s="191">
        <v>42853</v>
      </c>
      <c r="BE529" s="192">
        <v>0.112</v>
      </c>
      <c r="BH529" s="94">
        <v>42846</v>
      </c>
      <c r="BI529" s="95">
        <v>0.113</v>
      </c>
      <c r="BJ529" s="96">
        <v>9.7100000000000009</v>
      </c>
    </row>
    <row r="530" spans="1:62" ht="15">
      <c r="A530" s="239"/>
      <c r="BB530" s="187">
        <v>42856</v>
      </c>
      <c r="BC530" s="180">
        <v>-0.249</v>
      </c>
      <c r="BD530" s="191"/>
      <c r="BE530" s="193">
        <f>+BE529</f>
        <v>0.112</v>
      </c>
      <c r="BF530" s="111">
        <f>+(BC530+BE530)/2+0.37</f>
        <v>0.30149999999999999</v>
      </c>
      <c r="BH530" s="94">
        <v>42849</v>
      </c>
      <c r="BI530" s="95">
        <v>0.111</v>
      </c>
      <c r="BJ530" s="96">
        <v>9.6999999999999993</v>
      </c>
    </row>
    <row r="531" spans="1:62" ht="15">
      <c r="BB531" s="187">
        <v>42857</v>
      </c>
      <c r="BC531" s="180">
        <v>-0.249</v>
      </c>
      <c r="BD531" s="191">
        <v>42857</v>
      </c>
      <c r="BE531" s="192">
        <v>0.112</v>
      </c>
      <c r="BH531" s="94">
        <v>42850</v>
      </c>
      <c r="BI531" s="95">
        <v>0.112</v>
      </c>
      <c r="BJ531" s="96">
        <v>9.6999999999999993</v>
      </c>
    </row>
    <row r="532" spans="1:62" ht="15">
      <c r="BB532" s="187">
        <v>42858</v>
      </c>
      <c r="BC532" s="180">
        <v>-0.251</v>
      </c>
      <c r="BD532" s="191">
        <v>42858</v>
      </c>
      <c r="BE532" s="192">
        <v>0.114</v>
      </c>
      <c r="BH532" s="94">
        <v>42851</v>
      </c>
      <c r="BI532" s="95">
        <v>0.112</v>
      </c>
      <c r="BJ532" s="96">
        <v>9.6999999999999993</v>
      </c>
    </row>
    <row r="533" spans="1:62" ht="15">
      <c r="BB533" s="187">
        <v>42859</v>
      </c>
      <c r="BC533" s="180">
        <v>-0.25</v>
      </c>
      <c r="BD533" s="191">
        <v>42859</v>
      </c>
      <c r="BE533" s="192">
        <v>0.12</v>
      </c>
      <c r="BH533" s="94">
        <v>42852</v>
      </c>
      <c r="BI533" s="95">
        <v>0.112</v>
      </c>
      <c r="BJ533" s="96">
        <v>9.69</v>
      </c>
    </row>
    <row r="534" spans="1:62" ht="15">
      <c r="BB534" s="187">
        <v>42860</v>
      </c>
      <c r="BC534" s="180">
        <v>-0.248</v>
      </c>
      <c r="BD534" s="191">
        <v>42860</v>
      </c>
      <c r="BE534" s="192">
        <v>0.126</v>
      </c>
      <c r="BH534" s="94">
        <v>42853</v>
      </c>
      <c r="BI534" s="95">
        <v>0.112</v>
      </c>
      <c r="BJ534" s="96">
        <v>9.69</v>
      </c>
    </row>
    <row r="535" spans="1:62" ht="15">
      <c r="BB535" s="187">
        <v>42863</v>
      </c>
      <c r="BC535" s="180">
        <v>-0.249</v>
      </c>
      <c r="BD535" s="191">
        <v>42863</v>
      </c>
      <c r="BE535" s="192">
        <v>0.13300000000000001</v>
      </c>
      <c r="BH535" s="94">
        <v>42857</v>
      </c>
      <c r="BI535" s="95">
        <v>0.112</v>
      </c>
      <c r="BJ535" s="96">
        <v>9.68</v>
      </c>
    </row>
    <row r="536" spans="1:62" ht="15">
      <c r="BB536" s="187">
        <v>42864</v>
      </c>
      <c r="BC536" s="180">
        <v>-0.249</v>
      </c>
      <c r="BD536" s="191">
        <v>42864</v>
      </c>
      <c r="BE536" s="192">
        <v>0.14099999999999999</v>
      </c>
      <c r="BH536" s="94">
        <v>42858</v>
      </c>
      <c r="BI536" s="95">
        <v>0.114</v>
      </c>
      <c r="BJ536" s="96">
        <v>9.68</v>
      </c>
    </row>
    <row r="537" spans="1:62" ht="15">
      <c r="BB537" s="187">
        <v>42865</v>
      </c>
      <c r="BC537" s="180">
        <v>-0.249</v>
      </c>
      <c r="BD537" s="191">
        <v>42865</v>
      </c>
      <c r="BE537" s="192">
        <v>0.14899999999999999</v>
      </c>
      <c r="BH537" s="94">
        <v>42859</v>
      </c>
      <c r="BI537" s="95">
        <v>0.12</v>
      </c>
      <c r="BJ537" s="96">
        <v>9.67</v>
      </c>
    </row>
    <row r="538" spans="1:62" ht="15">
      <c r="BB538" s="187">
        <v>42866</v>
      </c>
      <c r="BC538" s="180">
        <v>-0.25</v>
      </c>
      <c r="BD538" s="191">
        <v>42866</v>
      </c>
      <c r="BE538" s="192">
        <v>0.16300000000000001</v>
      </c>
      <c r="BH538" s="94">
        <v>42860</v>
      </c>
      <c r="BI538" s="95">
        <v>0.126</v>
      </c>
      <c r="BJ538" s="96">
        <v>9.67</v>
      </c>
    </row>
    <row r="539" spans="1:62" ht="15">
      <c r="BB539" s="187">
        <v>42867</v>
      </c>
      <c r="BC539" s="180">
        <v>-0.251</v>
      </c>
      <c r="BD539" s="191">
        <v>42867</v>
      </c>
      <c r="BE539" s="192">
        <v>0.17100000000000001</v>
      </c>
      <c r="BH539" s="94">
        <v>42863</v>
      </c>
      <c r="BI539" s="95">
        <v>0.13300000000000001</v>
      </c>
      <c r="BJ539" s="96">
        <v>9.66</v>
      </c>
    </row>
    <row r="540" spans="1:62" ht="15">
      <c r="BB540" s="187">
        <v>42870</v>
      </c>
      <c r="BC540" s="180">
        <v>-0.251</v>
      </c>
      <c r="BD540" s="191">
        <v>42870</v>
      </c>
      <c r="BE540" s="192">
        <v>0.17899999999999999</v>
      </c>
      <c r="BH540" s="94">
        <v>42864</v>
      </c>
      <c r="BI540" s="95">
        <v>0.14099999999999999</v>
      </c>
      <c r="BJ540" s="96">
        <v>9.66</v>
      </c>
    </row>
    <row r="541" spans="1:62" ht="15">
      <c r="BB541" s="187">
        <v>42871</v>
      </c>
      <c r="BC541" s="180">
        <v>-0.25</v>
      </c>
      <c r="BD541" s="191">
        <v>42871</v>
      </c>
      <c r="BE541" s="192">
        <v>0.182</v>
      </c>
      <c r="BH541" s="94">
        <v>42865</v>
      </c>
      <c r="BI541" s="95">
        <v>0.14899999999999999</v>
      </c>
      <c r="BJ541" s="96">
        <v>9.66</v>
      </c>
    </row>
    <row r="542" spans="1:62" ht="15">
      <c r="BB542" s="187">
        <v>42872</v>
      </c>
      <c r="BC542" s="180">
        <v>-0.251</v>
      </c>
      <c r="BD542" s="191">
        <v>42872</v>
      </c>
      <c r="BE542" s="192">
        <v>0.19</v>
      </c>
      <c r="BH542" s="94">
        <v>42866</v>
      </c>
      <c r="BI542" s="95">
        <v>0.16300000000000001</v>
      </c>
      <c r="BJ542" s="96">
        <v>9.7100000000000009</v>
      </c>
    </row>
    <row r="543" spans="1:62" ht="15">
      <c r="BB543" s="187">
        <v>42873</v>
      </c>
      <c r="BC543" s="180">
        <v>-0.251</v>
      </c>
      <c r="BD543" s="191">
        <v>42873</v>
      </c>
      <c r="BE543" s="192">
        <v>0.19600000000000001</v>
      </c>
      <c r="BH543" s="94">
        <v>42867</v>
      </c>
      <c r="BI543" s="95">
        <v>0.17100000000000001</v>
      </c>
      <c r="BJ543" s="96">
        <v>9.7100000000000009</v>
      </c>
    </row>
    <row r="544" spans="1:62" ht="15">
      <c r="BB544" s="187">
        <v>42874</v>
      </c>
      <c r="BC544" s="180">
        <v>-0.251</v>
      </c>
      <c r="BD544" s="191">
        <v>42874</v>
      </c>
      <c r="BE544" s="192">
        <v>0.2</v>
      </c>
      <c r="BH544" s="94">
        <v>42870</v>
      </c>
      <c r="BI544" s="95">
        <v>0.17899999999999999</v>
      </c>
      <c r="BJ544" s="96">
        <v>9.6999999999999993</v>
      </c>
    </row>
    <row r="545" spans="54:62" ht="15">
      <c r="BB545" s="187">
        <v>42877</v>
      </c>
      <c r="BC545" s="180">
        <v>-0.251</v>
      </c>
      <c r="BD545" s="191">
        <v>42877</v>
      </c>
      <c r="BE545" s="192">
        <v>0.20499999999999999</v>
      </c>
      <c r="BH545" s="94">
        <v>42871</v>
      </c>
      <c r="BI545" s="95">
        <v>0.182</v>
      </c>
      <c r="BJ545" s="96">
        <v>9.6999999999999993</v>
      </c>
    </row>
    <row r="546" spans="54:62" ht="15">
      <c r="BB546" s="187">
        <v>42878</v>
      </c>
      <c r="BC546" s="180">
        <v>-0.251</v>
      </c>
      <c r="BD546" s="191">
        <v>42878</v>
      </c>
      <c r="BE546" s="192">
        <v>0.20699999999999999</v>
      </c>
      <c r="BH546" s="94">
        <v>42872</v>
      </c>
      <c r="BI546" s="95">
        <v>0.19</v>
      </c>
      <c r="BJ546" s="96">
        <v>9.6999999999999993</v>
      </c>
    </row>
    <row r="547" spans="54:62" ht="15">
      <c r="BB547" s="187">
        <v>42879</v>
      </c>
      <c r="BC547" s="180">
        <v>-0.25</v>
      </c>
      <c r="BD547" s="191">
        <v>42879</v>
      </c>
      <c r="BE547" s="192">
        <v>0.20699999999999999</v>
      </c>
      <c r="BH547" s="94">
        <v>42873</v>
      </c>
      <c r="BI547" s="95">
        <v>0.19600000000000001</v>
      </c>
      <c r="BJ547" s="96">
        <v>9.69</v>
      </c>
    </row>
    <row r="548" spans="54:62" ht="15">
      <c r="BB548" s="187">
        <v>42880</v>
      </c>
      <c r="BC548" s="180">
        <v>-0.251</v>
      </c>
      <c r="BD548" s="191"/>
      <c r="BE548" s="193">
        <f>+BE547</f>
        <v>0.20699999999999999</v>
      </c>
      <c r="BH548" s="94">
        <v>42874</v>
      </c>
      <c r="BI548" s="95">
        <v>0.2</v>
      </c>
      <c r="BJ548" s="96">
        <v>9.69</v>
      </c>
    </row>
    <row r="549" spans="54:62" ht="15">
      <c r="BB549" s="187">
        <v>42881</v>
      </c>
      <c r="BC549" s="180">
        <v>-0.254</v>
      </c>
      <c r="BD549" s="191">
        <v>42881</v>
      </c>
      <c r="BE549" s="192">
        <v>0.20599999999999999</v>
      </c>
      <c r="BH549" s="94">
        <v>42877</v>
      </c>
      <c r="BI549" s="95">
        <v>0.20499999999999999</v>
      </c>
      <c r="BJ549" s="96">
        <v>9.68</v>
      </c>
    </row>
    <row r="550" spans="54:62" ht="15">
      <c r="BB550" s="187">
        <v>42884</v>
      </c>
      <c r="BC550" s="180">
        <v>-0.254</v>
      </c>
      <c r="BD550" s="191">
        <v>42884</v>
      </c>
      <c r="BE550" s="192">
        <v>0.20499999999999999</v>
      </c>
      <c r="BH550" s="94">
        <v>42878</v>
      </c>
      <c r="BI550" s="95">
        <v>0.20699999999999999</v>
      </c>
      <c r="BJ550" s="96">
        <v>9.68</v>
      </c>
    </row>
    <row r="551" spans="54:62" ht="15">
      <c r="BB551" s="187">
        <v>42885</v>
      </c>
      <c r="BC551" s="180">
        <v>-0.254</v>
      </c>
      <c r="BD551" s="191">
        <v>42885</v>
      </c>
      <c r="BE551" s="192">
        <v>0.20300000000000001</v>
      </c>
      <c r="BH551" s="94">
        <v>42879</v>
      </c>
      <c r="BI551" s="95">
        <v>0.20699999999999999</v>
      </c>
      <c r="BJ551" s="96">
        <v>9.68</v>
      </c>
    </row>
    <row r="552" spans="54:62" ht="15">
      <c r="BB552" s="187">
        <v>42886</v>
      </c>
      <c r="BC552" s="180">
        <v>-0.254</v>
      </c>
      <c r="BD552" s="191">
        <v>42886</v>
      </c>
      <c r="BE552" s="192">
        <v>0.20200000000000001</v>
      </c>
      <c r="BH552" s="94">
        <v>42881</v>
      </c>
      <c r="BI552" s="95">
        <v>0.20599999999999999</v>
      </c>
      <c r="BJ552" s="96">
        <v>9.67</v>
      </c>
    </row>
    <row r="553" spans="54:62" ht="15">
      <c r="BB553" s="187">
        <v>42887</v>
      </c>
      <c r="BC553" s="180">
        <v>-0.254</v>
      </c>
      <c r="BD553" s="191">
        <v>42887</v>
      </c>
      <c r="BE553" s="192">
        <v>0.20200000000000001</v>
      </c>
      <c r="BH553" s="94">
        <v>42884</v>
      </c>
      <c r="BI553" s="95">
        <v>0.20499999999999999</v>
      </c>
      <c r="BJ553" s="96">
        <v>9.66</v>
      </c>
    </row>
    <row r="554" spans="54:62" ht="15">
      <c r="BB554" s="187">
        <v>42888</v>
      </c>
      <c r="BC554" s="180">
        <v>-0.255</v>
      </c>
      <c r="BD554" s="191">
        <v>42888</v>
      </c>
      <c r="BE554" s="192">
        <v>0.19800000000000001</v>
      </c>
      <c r="BH554" s="94">
        <v>42885</v>
      </c>
      <c r="BI554" s="95">
        <v>0.20300000000000001</v>
      </c>
      <c r="BJ554" s="96">
        <v>9.66</v>
      </c>
    </row>
    <row r="555" spans="54:62" ht="15">
      <c r="BB555" s="187">
        <v>42891</v>
      </c>
      <c r="BC555" s="180">
        <v>-0.25600000000000001</v>
      </c>
      <c r="BD555" s="191"/>
      <c r="BE555" s="193">
        <f>+BE554</f>
        <v>0.19800000000000001</v>
      </c>
      <c r="BH555" s="94">
        <v>42886</v>
      </c>
      <c r="BI555" s="95">
        <v>0.20200000000000001</v>
      </c>
      <c r="BJ555" s="96">
        <v>9.66</v>
      </c>
    </row>
    <row r="556" spans="54:62" ht="15">
      <c r="BB556" s="187">
        <v>42892</v>
      </c>
      <c r="BC556" s="180">
        <v>-0.25700000000000001</v>
      </c>
      <c r="BD556" s="191">
        <v>42892</v>
      </c>
      <c r="BE556" s="192">
        <v>0.193</v>
      </c>
      <c r="BH556" s="94">
        <v>42887</v>
      </c>
      <c r="BI556" s="95">
        <v>0.20200000000000001</v>
      </c>
      <c r="BJ556" s="96">
        <v>9.65</v>
      </c>
    </row>
    <row r="557" spans="54:62" ht="15">
      <c r="BB557" s="187">
        <v>42893</v>
      </c>
      <c r="BC557" s="180">
        <v>-0.25900000000000001</v>
      </c>
      <c r="BD557" s="191">
        <v>42893</v>
      </c>
      <c r="BE557" s="192">
        <v>0.188</v>
      </c>
      <c r="BH557" s="94">
        <v>42888</v>
      </c>
      <c r="BI557" s="95">
        <v>0.19800000000000001</v>
      </c>
      <c r="BJ557" s="96">
        <v>9.65</v>
      </c>
    </row>
    <row r="558" spans="54:62" ht="15">
      <c r="BB558" s="187">
        <v>42894</v>
      </c>
      <c r="BC558" s="180">
        <v>-0.26</v>
      </c>
      <c r="BD558" s="191">
        <v>42894</v>
      </c>
      <c r="BE558" s="192">
        <v>0.184</v>
      </c>
      <c r="BH558" s="94">
        <v>42892</v>
      </c>
      <c r="BI558" s="95">
        <v>0.193</v>
      </c>
      <c r="BJ558" s="96">
        <v>9.64</v>
      </c>
    </row>
    <row r="559" spans="54:62" ht="15">
      <c r="BB559" s="187">
        <v>42895</v>
      </c>
      <c r="BC559" s="180">
        <v>-0.26400000000000001</v>
      </c>
      <c r="BD559" s="191">
        <v>42895</v>
      </c>
      <c r="BE559" s="192">
        <v>0.17799999999999999</v>
      </c>
      <c r="BH559" s="94">
        <v>42893</v>
      </c>
      <c r="BI559" s="95">
        <v>0.188</v>
      </c>
      <c r="BJ559" s="96">
        <v>9.64</v>
      </c>
    </row>
    <row r="560" spans="54:62" ht="15">
      <c r="BB560" s="187">
        <v>42898</v>
      </c>
      <c r="BC560" s="180">
        <v>-0.26600000000000001</v>
      </c>
      <c r="BD560" s="191">
        <v>42898</v>
      </c>
      <c r="BE560" s="192">
        <v>0.17199999999999999</v>
      </c>
      <c r="BH560" s="94">
        <v>42894</v>
      </c>
      <c r="BI560" s="95">
        <v>0.184</v>
      </c>
      <c r="BJ560" s="96">
        <v>9.6199999999999992</v>
      </c>
    </row>
    <row r="561" spans="54:62" ht="15">
      <c r="BB561" s="187">
        <v>42899</v>
      </c>
      <c r="BC561" s="180">
        <v>-0.27</v>
      </c>
      <c r="BD561" s="191">
        <v>42899</v>
      </c>
      <c r="BE561" s="192">
        <v>0.16700000000000001</v>
      </c>
      <c r="BH561" s="94">
        <v>42895</v>
      </c>
      <c r="BI561" s="95">
        <v>0.17799999999999999</v>
      </c>
      <c r="BJ561" s="96">
        <v>9.6199999999999992</v>
      </c>
    </row>
    <row r="562" spans="54:62" ht="15">
      <c r="BB562" s="187">
        <v>42900</v>
      </c>
      <c r="BC562" s="180">
        <v>-0.27100000000000002</v>
      </c>
      <c r="BD562" s="191">
        <v>42900</v>
      </c>
      <c r="BE562" s="192">
        <v>0.161</v>
      </c>
      <c r="BH562" s="94">
        <v>42898</v>
      </c>
      <c r="BI562" s="95">
        <v>0.17199999999999999</v>
      </c>
      <c r="BJ562" s="96">
        <v>9.61</v>
      </c>
    </row>
    <row r="563" spans="54:62" ht="15">
      <c r="BB563" s="187">
        <v>42901</v>
      </c>
      <c r="BC563" s="180">
        <v>-0.27100000000000002</v>
      </c>
      <c r="BD563" s="191"/>
      <c r="BE563" s="193">
        <f>+BE562</f>
        <v>0.161</v>
      </c>
      <c r="BH563" s="94">
        <v>42899</v>
      </c>
      <c r="BI563" s="95">
        <v>0.16700000000000001</v>
      </c>
      <c r="BJ563" s="96">
        <v>9.61</v>
      </c>
    </row>
    <row r="564" spans="54:62" ht="15">
      <c r="BB564" s="187">
        <v>42902</v>
      </c>
      <c r="BC564" s="180">
        <v>-0.27100000000000002</v>
      </c>
      <c r="BD564" s="191">
        <v>42902</v>
      </c>
      <c r="BE564" s="192">
        <v>0.157</v>
      </c>
      <c r="BH564" s="94">
        <v>42900</v>
      </c>
      <c r="BI564" s="95">
        <v>0.161</v>
      </c>
      <c r="BJ564" s="96">
        <v>9.61</v>
      </c>
    </row>
    <row r="565" spans="54:62" ht="15">
      <c r="BB565" s="187">
        <v>42905</v>
      </c>
      <c r="BC565" s="180">
        <v>-0.27100000000000002</v>
      </c>
      <c r="BD565" s="191">
        <v>42905</v>
      </c>
      <c r="BE565" s="192">
        <v>0.152</v>
      </c>
      <c r="BH565" s="94">
        <v>42902</v>
      </c>
      <c r="BI565" s="95">
        <v>0.157</v>
      </c>
      <c r="BJ565" s="96">
        <v>9.6</v>
      </c>
    </row>
    <row r="566" spans="54:62" ht="15">
      <c r="BB566" s="187">
        <v>42906</v>
      </c>
      <c r="BC566" s="180">
        <v>-0.27100000000000002</v>
      </c>
      <c r="BD566" s="191">
        <v>42906</v>
      </c>
      <c r="BE566" s="192">
        <v>0.15</v>
      </c>
      <c r="BH566" s="94">
        <v>42905</v>
      </c>
      <c r="BI566" s="95">
        <v>0.152</v>
      </c>
      <c r="BJ566" s="96">
        <v>9.58</v>
      </c>
    </row>
    <row r="567" spans="54:62" ht="15">
      <c r="BB567" s="187">
        <v>42907</v>
      </c>
      <c r="BC567" s="180">
        <v>-0.27100000000000002</v>
      </c>
      <c r="BD567" s="191">
        <v>42907</v>
      </c>
      <c r="BE567" s="192">
        <v>0.14499999999999999</v>
      </c>
      <c r="BH567" s="94">
        <v>42906</v>
      </c>
      <c r="BI567" s="95">
        <v>0.15</v>
      </c>
      <c r="BJ567" s="96">
        <v>9.58</v>
      </c>
    </row>
    <row r="568" spans="54:62" ht="15">
      <c r="BB568" s="187">
        <v>42908</v>
      </c>
      <c r="BC568" s="180">
        <v>-0.27200000000000002</v>
      </c>
      <c r="BD568" s="191">
        <v>42908</v>
      </c>
      <c r="BE568" s="192">
        <v>0.14099999999999999</v>
      </c>
      <c r="BH568" s="94">
        <v>42907</v>
      </c>
      <c r="BI568" s="95">
        <v>0.14499999999999999</v>
      </c>
      <c r="BJ568" s="96">
        <v>9.58</v>
      </c>
    </row>
    <row r="569" spans="54:62" ht="15">
      <c r="BB569" s="187">
        <v>42909</v>
      </c>
      <c r="BC569" s="180">
        <v>-0.27300000000000002</v>
      </c>
      <c r="BD569" s="191">
        <v>42909</v>
      </c>
      <c r="BE569" s="192">
        <v>0.13600000000000001</v>
      </c>
      <c r="BH569" s="94">
        <v>42908</v>
      </c>
      <c r="BI569" s="95">
        <v>0.14099999999999999</v>
      </c>
      <c r="BJ569" s="96">
        <v>9.58</v>
      </c>
    </row>
    <row r="570" spans="54:62" ht="15">
      <c r="BB570" s="187">
        <v>42912</v>
      </c>
      <c r="BC570" s="180">
        <v>-0.27300000000000002</v>
      </c>
      <c r="BD570" s="191">
        <v>42912</v>
      </c>
      <c r="BE570" s="192">
        <v>0.13100000000000001</v>
      </c>
      <c r="BH570" s="94">
        <v>42909</v>
      </c>
      <c r="BI570" s="95">
        <v>0.13600000000000001</v>
      </c>
      <c r="BJ570" s="96">
        <v>9.57</v>
      </c>
    </row>
    <row r="571" spans="54:62" ht="15">
      <c r="BB571" s="187">
        <v>42913</v>
      </c>
      <c r="BC571" s="180">
        <v>-0.27300000000000002</v>
      </c>
      <c r="BD571" s="191">
        <v>42913</v>
      </c>
      <c r="BE571" s="192">
        <v>0.13200000000000001</v>
      </c>
      <c r="BH571" s="94">
        <v>42912</v>
      </c>
      <c r="BI571" s="95">
        <v>0.13100000000000001</v>
      </c>
      <c r="BJ571" s="96">
        <v>9.56</v>
      </c>
    </row>
    <row r="572" spans="54:62" ht="15">
      <c r="BB572" s="187">
        <v>42914</v>
      </c>
      <c r="BC572" s="180">
        <v>-0.27100000000000002</v>
      </c>
      <c r="BD572" s="191">
        <v>42914</v>
      </c>
      <c r="BE572" s="192">
        <v>0.13500000000000001</v>
      </c>
      <c r="BH572" s="94">
        <v>42913</v>
      </c>
      <c r="BI572" s="95">
        <v>0.13200000000000001</v>
      </c>
      <c r="BJ572" s="96">
        <v>9.56</v>
      </c>
    </row>
    <row r="573" spans="54:62" ht="15">
      <c r="BB573" s="187">
        <v>42915</v>
      </c>
      <c r="BC573" s="180">
        <v>-0.27</v>
      </c>
      <c r="BD573" s="191">
        <v>42915</v>
      </c>
      <c r="BE573" s="192">
        <v>0.14099999999999999</v>
      </c>
      <c r="BH573" s="94">
        <v>42914</v>
      </c>
      <c r="BI573" s="95">
        <v>0.13500000000000001</v>
      </c>
      <c r="BJ573" s="96">
        <v>9.56</v>
      </c>
    </row>
    <row r="574" spans="54:62" ht="15">
      <c r="BB574" s="187">
        <v>42916</v>
      </c>
      <c r="BC574" s="180">
        <v>-0.27100000000000002</v>
      </c>
      <c r="BD574" s="191">
        <v>42916</v>
      </c>
      <c r="BE574" s="192">
        <v>0.14899999999999999</v>
      </c>
      <c r="BH574" s="94">
        <v>42915</v>
      </c>
      <c r="BI574" s="95">
        <v>0.14099999999999999</v>
      </c>
      <c r="BJ574" s="96">
        <v>9.56</v>
      </c>
    </row>
    <row r="575" spans="54:62" ht="15">
      <c r="BB575" s="187">
        <v>42919</v>
      </c>
      <c r="BC575" s="180">
        <v>-0.27100000000000002</v>
      </c>
      <c r="BD575" s="191">
        <v>42919</v>
      </c>
      <c r="BE575" s="192">
        <v>0.155</v>
      </c>
      <c r="BH575" s="94">
        <v>42916</v>
      </c>
      <c r="BI575" s="95">
        <v>0.14899999999999999</v>
      </c>
      <c r="BJ575" s="96">
        <v>9.5500000000000007</v>
      </c>
    </row>
    <row r="576" spans="54:62" ht="15">
      <c r="BB576" s="187">
        <v>42920</v>
      </c>
      <c r="BC576" s="180">
        <v>-0.27200000000000002</v>
      </c>
      <c r="BD576" s="191">
        <v>42920</v>
      </c>
      <c r="BE576" s="192">
        <v>0.16200000000000001</v>
      </c>
      <c r="BH576" s="94">
        <v>42919</v>
      </c>
      <c r="BI576" s="95">
        <v>0.155</v>
      </c>
      <c r="BJ576" s="96">
        <v>9.5500000000000007</v>
      </c>
    </row>
    <row r="577" spans="54:62" ht="15">
      <c r="BB577" s="187">
        <v>42921</v>
      </c>
      <c r="BC577" s="180">
        <v>-0.27400000000000002</v>
      </c>
      <c r="BD577" s="191">
        <v>42921</v>
      </c>
      <c r="BE577" s="192">
        <v>0.17</v>
      </c>
      <c r="BH577" s="94">
        <v>42920</v>
      </c>
      <c r="BI577" s="95">
        <v>0.16200000000000001</v>
      </c>
      <c r="BJ577" s="96">
        <v>9.5399999999999991</v>
      </c>
    </row>
    <row r="578" spans="54:62" ht="15">
      <c r="BB578" s="187">
        <v>42922</v>
      </c>
      <c r="BC578" s="180">
        <v>-0.27300000000000002</v>
      </c>
      <c r="BD578" s="191">
        <v>42922</v>
      </c>
      <c r="BE578" s="192">
        <v>0.185</v>
      </c>
      <c r="BH578" s="94">
        <v>42921</v>
      </c>
      <c r="BI578" s="95">
        <v>0.17</v>
      </c>
      <c r="BJ578" s="96">
        <v>9.5399999999999991</v>
      </c>
    </row>
    <row r="579" spans="54:62" ht="15">
      <c r="BB579" s="187">
        <v>42923</v>
      </c>
      <c r="BC579" s="180">
        <v>-0.27200000000000002</v>
      </c>
      <c r="BD579" s="191">
        <v>42923</v>
      </c>
      <c r="BE579" s="192">
        <v>0.19600000000000001</v>
      </c>
      <c r="BH579" s="94">
        <v>42922</v>
      </c>
      <c r="BI579" s="95">
        <v>0.185</v>
      </c>
      <c r="BJ579" s="96">
        <v>9.6</v>
      </c>
    </row>
    <row r="580" spans="54:62" ht="15">
      <c r="BB580" s="187">
        <v>42926</v>
      </c>
      <c r="BC580" s="180">
        <v>-0.27300000000000002</v>
      </c>
      <c r="BD580" s="191">
        <v>42926</v>
      </c>
      <c r="BE580" s="192">
        <v>0.20699999999999999</v>
      </c>
      <c r="BH580" s="94">
        <v>42923</v>
      </c>
      <c r="BI580" s="95">
        <v>0.19600000000000001</v>
      </c>
      <c r="BJ580" s="96">
        <v>9.6</v>
      </c>
    </row>
    <row r="581" spans="54:62" ht="15">
      <c r="BB581" s="187">
        <v>42927</v>
      </c>
      <c r="BC581" s="180">
        <v>-0.27300000000000002</v>
      </c>
      <c r="BD581" s="191">
        <v>42927</v>
      </c>
      <c r="BE581" s="192">
        <v>0.218</v>
      </c>
      <c r="BH581" s="94">
        <v>42926</v>
      </c>
      <c r="BI581" s="95">
        <v>0.20699999999999999</v>
      </c>
      <c r="BJ581" s="96">
        <v>9.59</v>
      </c>
    </row>
    <row r="582" spans="54:62" ht="15">
      <c r="BB582" s="187">
        <v>42928</v>
      </c>
      <c r="BC582" s="180">
        <v>-0.27300000000000002</v>
      </c>
      <c r="BD582" s="191">
        <v>42928</v>
      </c>
      <c r="BE582" s="192">
        <v>0.22700000000000001</v>
      </c>
      <c r="BH582" s="94">
        <v>42927</v>
      </c>
      <c r="BI582" s="95">
        <v>0.218</v>
      </c>
      <c r="BJ582" s="96">
        <v>9.59</v>
      </c>
    </row>
    <row r="583" spans="54:62" ht="15">
      <c r="BB583" s="187">
        <v>42929</v>
      </c>
      <c r="BC583" s="180">
        <v>-0.27300000000000002</v>
      </c>
      <c r="BD583" s="191">
        <v>42929</v>
      </c>
      <c r="BE583" s="192">
        <v>0.23599999999999999</v>
      </c>
      <c r="BH583" s="94">
        <v>42928</v>
      </c>
      <c r="BI583" s="95">
        <v>0.22700000000000001</v>
      </c>
      <c r="BJ583" s="96">
        <v>9.58</v>
      </c>
    </row>
    <row r="584" spans="54:62" ht="15">
      <c r="BB584" s="187">
        <v>42930</v>
      </c>
      <c r="BC584" s="180">
        <v>-0.27300000000000002</v>
      </c>
      <c r="BD584" s="191">
        <v>42930</v>
      </c>
      <c r="BE584" s="192">
        <v>0.24299999999999999</v>
      </c>
      <c r="BH584" s="94">
        <v>42929</v>
      </c>
      <c r="BI584" s="95">
        <v>0.23599999999999999</v>
      </c>
      <c r="BJ584" s="96">
        <v>9.58</v>
      </c>
    </row>
    <row r="585" spans="54:62" ht="15">
      <c r="BB585" s="187">
        <v>42933</v>
      </c>
      <c r="BC585" s="180">
        <v>-0.27400000000000002</v>
      </c>
      <c r="BD585" s="191">
        <v>42933</v>
      </c>
      <c r="BE585" s="192">
        <v>0.25</v>
      </c>
      <c r="BH585" s="94">
        <v>42930</v>
      </c>
      <c r="BI585" s="95">
        <v>0.24299999999999999</v>
      </c>
      <c r="BJ585" s="96">
        <v>9.58</v>
      </c>
    </row>
    <row r="586" spans="54:62" ht="15">
      <c r="BB586" s="187">
        <v>42934</v>
      </c>
      <c r="BC586" s="180">
        <v>-0.27400000000000002</v>
      </c>
      <c r="BD586" s="191">
        <v>42934</v>
      </c>
      <c r="BE586" s="192">
        <v>0.25700000000000001</v>
      </c>
      <c r="BH586" s="94">
        <v>42933</v>
      </c>
      <c r="BI586" s="95">
        <v>0.25</v>
      </c>
      <c r="BJ586" s="96">
        <v>9.57</v>
      </c>
    </row>
    <row r="587" spans="54:62" ht="15">
      <c r="BB587" s="187">
        <v>42935</v>
      </c>
      <c r="BC587" s="180">
        <v>-0.27400000000000002</v>
      </c>
      <c r="BD587" s="191">
        <v>42935</v>
      </c>
      <c r="BE587" s="192">
        <v>0.26500000000000001</v>
      </c>
      <c r="BH587" s="94">
        <v>42934</v>
      </c>
      <c r="BI587" s="95">
        <v>0.25700000000000001</v>
      </c>
      <c r="BJ587" s="96">
        <v>9.57</v>
      </c>
    </row>
    <row r="588" spans="54:62" ht="15">
      <c r="BB588" s="187">
        <v>42936</v>
      </c>
      <c r="BC588" s="180">
        <v>-0.27400000000000002</v>
      </c>
      <c r="BD588" s="191">
        <v>42936</v>
      </c>
      <c r="BE588" s="192">
        <v>0.27100000000000002</v>
      </c>
      <c r="BH588" s="94">
        <v>42935</v>
      </c>
      <c r="BI588" s="95">
        <v>0.26500000000000001</v>
      </c>
      <c r="BJ588" s="96">
        <v>9.56</v>
      </c>
    </row>
    <row r="589" spans="54:62" ht="15">
      <c r="BB589" s="187">
        <v>42937</v>
      </c>
      <c r="BC589" s="180">
        <v>-0.27200000000000002</v>
      </c>
      <c r="BD589" s="191">
        <v>42937</v>
      </c>
      <c r="BE589" s="192">
        <v>0.27500000000000002</v>
      </c>
      <c r="BH589" s="94">
        <v>42936</v>
      </c>
      <c r="BI589" s="95">
        <v>0.27100000000000002</v>
      </c>
      <c r="BJ589" s="96">
        <v>9.56</v>
      </c>
    </row>
    <row r="590" spans="54:62" ht="15">
      <c r="BB590" s="187">
        <v>42940</v>
      </c>
      <c r="BC590" s="180">
        <v>-0.27100000000000002</v>
      </c>
      <c r="BD590" s="191">
        <v>42940</v>
      </c>
      <c r="BE590" s="192">
        <v>0.28000000000000003</v>
      </c>
      <c r="BH590" s="94">
        <v>42937</v>
      </c>
      <c r="BI590" s="95">
        <v>0.27500000000000002</v>
      </c>
      <c r="BJ590" s="96">
        <v>9.56</v>
      </c>
    </row>
    <row r="591" spans="54:62" ht="15">
      <c r="BB591" s="187">
        <v>42941</v>
      </c>
      <c r="BC591" s="180">
        <v>-0.27200000000000002</v>
      </c>
      <c r="BD591" s="191">
        <v>42941</v>
      </c>
      <c r="BE591" s="192">
        <v>0.28299999999999997</v>
      </c>
      <c r="BH591" s="94">
        <v>42940</v>
      </c>
      <c r="BI591" s="95">
        <v>0.28000000000000003</v>
      </c>
      <c r="BJ591" s="96">
        <v>9.5500000000000007</v>
      </c>
    </row>
    <row r="592" spans="54:62" ht="15">
      <c r="BB592" s="187">
        <v>42942</v>
      </c>
      <c r="BC592" s="180">
        <v>-0.27200000000000002</v>
      </c>
      <c r="BD592" s="191">
        <v>42942</v>
      </c>
      <c r="BE592" s="192">
        <v>0.28399999999999997</v>
      </c>
      <c r="BH592" s="94">
        <v>42941</v>
      </c>
      <c r="BI592" s="95">
        <v>0.28299999999999997</v>
      </c>
      <c r="BJ592" s="96">
        <v>9.5500000000000007</v>
      </c>
    </row>
    <row r="593" spans="54:62" ht="15">
      <c r="BB593" s="187">
        <v>42943</v>
      </c>
      <c r="BC593" s="180">
        <v>-0.27200000000000002</v>
      </c>
      <c r="BD593" s="191">
        <v>42943</v>
      </c>
      <c r="BE593" s="192">
        <v>0.28199999999999997</v>
      </c>
      <c r="BH593" s="94">
        <v>42942</v>
      </c>
      <c r="BI593" s="95">
        <v>0.28399999999999997</v>
      </c>
      <c r="BJ593" s="96">
        <v>9.5500000000000007</v>
      </c>
    </row>
    <row r="594" spans="54:62" ht="15">
      <c r="BB594" s="187">
        <v>42944</v>
      </c>
      <c r="BC594" s="180">
        <v>-0.27200000000000002</v>
      </c>
      <c r="BD594" s="191">
        <v>42944</v>
      </c>
      <c r="BE594" s="192">
        <v>0.28100000000000003</v>
      </c>
      <c r="BH594" s="94">
        <v>42943</v>
      </c>
      <c r="BI594" s="95">
        <v>0.28199999999999997</v>
      </c>
      <c r="BJ594" s="96">
        <v>9.5399999999999991</v>
      </c>
    </row>
    <row r="595" spans="54:62" ht="15">
      <c r="BB595" s="187">
        <v>42947</v>
      </c>
      <c r="BC595" s="180">
        <v>-0.27100000000000002</v>
      </c>
      <c r="BD595" s="191">
        <v>42947</v>
      </c>
      <c r="BE595" s="192">
        <v>0.27900000000000003</v>
      </c>
      <c r="BH595" s="94">
        <v>42944</v>
      </c>
      <c r="BI595" s="95">
        <v>0.28100000000000003</v>
      </c>
      <c r="BJ595" s="96">
        <v>9.5399999999999991</v>
      </c>
    </row>
    <row r="596" spans="54:62" ht="15">
      <c r="BB596" s="187">
        <v>42948</v>
      </c>
      <c r="BC596" s="180">
        <v>-0.27200000000000002</v>
      </c>
      <c r="BD596" s="191">
        <v>42948</v>
      </c>
      <c r="BE596" s="192">
        <v>0.27700000000000002</v>
      </c>
      <c r="BH596" s="94">
        <v>42947</v>
      </c>
      <c r="BI596" s="95">
        <v>0.27900000000000003</v>
      </c>
      <c r="BJ596" s="96">
        <v>9.5299999999999994</v>
      </c>
    </row>
    <row r="597" spans="54:62" ht="15">
      <c r="BB597" s="187">
        <v>42949</v>
      </c>
      <c r="BC597" s="180">
        <v>-0.27300000000000002</v>
      </c>
      <c r="BD597" s="191">
        <v>42949</v>
      </c>
      <c r="BE597" s="192">
        <v>0.27300000000000002</v>
      </c>
      <c r="BH597" s="94">
        <v>42948</v>
      </c>
      <c r="BI597" s="95">
        <v>0.27700000000000002</v>
      </c>
      <c r="BJ597" s="96">
        <v>9.5299999999999994</v>
      </c>
    </row>
    <row r="598" spans="54:62" ht="15">
      <c r="BB598" s="187">
        <v>42950</v>
      </c>
      <c r="BC598" s="180">
        <v>-0.27200000000000002</v>
      </c>
      <c r="BD598" s="191">
        <v>42950</v>
      </c>
      <c r="BE598" s="192">
        <v>0.26700000000000002</v>
      </c>
      <c r="BH598" s="94">
        <v>42949</v>
      </c>
      <c r="BI598" s="95">
        <v>0.27300000000000002</v>
      </c>
      <c r="BJ598" s="96">
        <v>9.5299999999999994</v>
      </c>
    </row>
    <row r="599" spans="54:62" ht="15">
      <c r="BB599" s="187">
        <v>42951</v>
      </c>
      <c r="BC599" s="180">
        <v>-0.27100000000000002</v>
      </c>
      <c r="BD599" s="191">
        <v>42951</v>
      </c>
      <c r="BE599" s="192">
        <v>0.26</v>
      </c>
      <c r="BH599" s="94">
        <v>42950</v>
      </c>
      <c r="BI599" s="95">
        <v>0.26700000000000002</v>
      </c>
      <c r="BJ599" s="96">
        <v>9.52</v>
      </c>
    </row>
    <row r="600" spans="54:62" ht="15">
      <c r="BB600" s="187">
        <v>42954</v>
      </c>
      <c r="BC600" s="180">
        <v>-0.27</v>
      </c>
      <c r="BD600" s="191">
        <v>42954</v>
      </c>
      <c r="BE600" s="192">
        <v>0.253</v>
      </c>
      <c r="BH600" s="94">
        <v>42951</v>
      </c>
      <c r="BI600" s="95">
        <v>0.26</v>
      </c>
      <c r="BJ600" s="96">
        <v>9.52</v>
      </c>
    </row>
    <row r="601" spans="54:62" ht="15">
      <c r="BB601" s="187">
        <v>42955</v>
      </c>
      <c r="BC601" s="180">
        <v>-0.26900000000000002</v>
      </c>
      <c r="BD601" s="191">
        <v>42955</v>
      </c>
      <c r="BE601" s="192">
        <v>0.246</v>
      </c>
      <c r="BH601" s="94">
        <v>42954</v>
      </c>
      <c r="BI601" s="95">
        <v>0.253</v>
      </c>
      <c r="BJ601" s="96">
        <v>9.51</v>
      </c>
    </row>
    <row r="602" spans="54:62" ht="15">
      <c r="BB602" s="187">
        <v>42956</v>
      </c>
      <c r="BC602" s="180">
        <v>-0.27100000000000002</v>
      </c>
      <c r="BD602" s="191">
        <v>42956</v>
      </c>
      <c r="BE602" s="192">
        <v>0.24</v>
      </c>
      <c r="BH602" s="94">
        <v>42955</v>
      </c>
      <c r="BI602" s="95">
        <v>0.246</v>
      </c>
      <c r="BJ602" s="96">
        <v>9.51</v>
      </c>
    </row>
    <row r="603" spans="54:62" ht="15">
      <c r="BB603" s="187">
        <v>42957</v>
      </c>
      <c r="BC603" s="180">
        <v>-0.27100000000000002</v>
      </c>
      <c r="BD603" s="191">
        <v>42957</v>
      </c>
      <c r="BE603" s="192">
        <v>0.23499999999999999</v>
      </c>
      <c r="BH603" s="94">
        <v>42956</v>
      </c>
      <c r="BI603" s="95">
        <v>0.24</v>
      </c>
      <c r="BJ603" s="96">
        <v>9.51</v>
      </c>
    </row>
    <row r="604" spans="54:62" ht="15">
      <c r="BB604" s="187">
        <v>42958</v>
      </c>
      <c r="BC604" s="180">
        <v>-0.27100000000000002</v>
      </c>
      <c r="BD604" s="191">
        <v>42958</v>
      </c>
      <c r="BE604" s="192">
        <v>0.22700000000000001</v>
      </c>
      <c r="BH604" s="94">
        <v>42957</v>
      </c>
      <c r="BI604" s="95">
        <v>0.23499999999999999</v>
      </c>
      <c r="BJ604" s="96">
        <v>9.5299999999999994</v>
      </c>
    </row>
    <row r="605" spans="54:62" ht="15">
      <c r="BB605" s="187">
        <v>42961</v>
      </c>
      <c r="BC605" s="180">
        <v>-0.27100000000000002</v>
      </c>
      <c r="BD605" s="191">
        <v>42961</v>
      </c>
      <c r="BE605" s="192">
        <v>0.221</v>
      </c>
      <c r="BH605" s="94">
        <v>42958</v>
      </c>
      <c r="BI605" s="95">
        <v>0.22700000000000001</v>
      </c>
      <c r="BJ605" s="96">
        <v>9.5299999999999994</v>
      </c>
    </row>
    <row r="606" spans="54:62" ht="15">
      <c r="BB606" s="187">
        <v>42962</v>
      </c>
      <c r="BC606" s="180">
        <v>-0.27100000000000002</v>
      </c>
      <c r="BD606" s="191"/>
      <c r="BE606" s="193">
        <f>+BE605</f>
        <v>0.221</v>
      </c>
      <c r="BH606" s="94">
        <v>42961</v>
      </c>
      <c r="BI606" s="95">
        <v>0.221</v>
      </c>
      <c r="BJ606" s="96">
        <v>9.52</v>
      </c>
    </row>
    <row r="607" spans="54:62" ht="15">
      <c r="BB607" s="187">
        <v>42963</v>
      </c>
      <c r="BC607" s="180">
        <v>-0.27100000000000002</v>
      </c>
      <c r="BD607" s="191">
        <v>42963</v>
      </c>
      <c r="BE607" s="192">
        <v>0.22</v>
      </c>
      <c r="BH607" s="94">
        <v>42963</v>
      </c>
      <c r="BI607" s="95">
        <v>0.22</v>
      </c>
      <c r="BJ607" s="96">
        <v>9.65</v>
      </c>
    </row>
    <row r="608" spans="54:62" ht="15">
      <c r="BB608" s="187">
        <v>42964</v>
      </c>
      <c r="BC608" s="180">
        <v>-0.27100000000000002</v>
      </c>
      <c r="BD608" s="191">
        <v>42964</v>
      </c>
      <c r="BE608" s="192">
        <v>0.216</v>
      </c>
      <c r="BH608" s="94">
        <v>42964</v>
      </c>
      <c r="BI608" s="95">
        <v>0.216</v>
      </c>
      <c r="BJ608" s="96">
        <v>9.65</v>
      </c>
    </row>
    <row r="609" spans="54:62" ht="15">
      <c r="BB609" s="187">
        <v>42965</v>
      </c>
      <c r="BC609" s="180">
        <v>-0.27100000000000002</v>
      </c>
      <c r="BD609" s="191">
        <v>42965</v>
      </c>
      <c r="BE609" s="192">
        <v>0.21099999999999999</v>
      </c>
      <c r="BH609" s="94">
        <v>42965</v>
      </c>
      <c r="BI609" s="95">
        <v>0.21099999999999999</v>
      </c>
      <c r="BJ609" s="96">
        <v>9.65</v>
      </c>
    </row>
    <row r="610" spans="54:62" ht="15">
      <c r="BB610" s="187">
        <v>42968</v>
      </c>
      <c r="BC610" s="180">
        <v>-0.27100000000000002</v>
      </c>
      <c r="BD610" s="191">
        <v>42968</v>
      </c>
      <c r="BE610" s="192">
        <v>0.20799999999999999</v>
      </c>
      <c r="BH610" s="94">
        <v>42968</v>
      </c>
      <c r="BI610" s="95">
        <v>0.20799999999999999</v>
      </c>
      <c r="BJ610" s="96">
        <v>9.64</v>
      </c>
    </row>
    <row r="611" spans="54:62" ht="15">
      <c r="BB611" s="187">
        <v>42969</v>
      </c>
      <c r="BC611" s="180">
        <v>-0.27300000000000002</v>
      </c>
      <c r="BD611" s="191">
        <v>42969</v>
      </c>
      <c r="BE611" s="192">
        <v>0.20499999999999999</v>
      </c>
      <c r="BH611" s="94">
        <v>42969</v>
      </c>
      <c r="BI611" s="95">
        <v>0.20499999999999999</v>
      </c>
      <c r="BJ611" s="96">
        <v>9.64</v>
      </c>
    </row>
    <row r="612" spans="54:62" ht="15">
      <c r="BB612" s="187">
        <v>42970</v>
      </c>
      <c r="BC612" s="180">
        <v>-0.27300000000000002</v>
      </c>
      <c r="BD612" s="191">
        <v>42970</v>
      </c>
      <c r="BE612" s="192">
        <v>0.20100000000000001</v>
      </c>
      <c r="BH612" s="94">
        <v>42970</v>
      </c>
      <c r="BI612" s="95">
        <v>0.20100000000000001</v>
      </c>
      <c r="BJ612" s="96">
        <v>9.6300000000000008</v>
      </c>
    </row>
    <row r="613" spans="54:62" ht="15">
      <c r="BB613" s="187">
        <v>42971</v>
      </c>
      <c r="BC613" s="180">
        <v>-0.27200000000000002</v>
      </c>
      <c r="BD613" s="191">
        <v>42971</v>
      </c>
      <c r="BE613" s="192">
        <v>0.19600000000000001</v>
      </c>
      <c r="BH613" s="94">
        <v>42971</v>
      </c>
      <c r="BI613" s="95">
        <v>0.19600000000000001</v>
      </c>
      <c r="BJ613" s="96">
        <v>9.6300000000000008</v>
      </c>
    </row>
    <row r="614" spans="54:62" ht="15">
      <c r="BB614" s="187">
        <v>42972</v>
      </c>
      <c r="BC614" s="180">
        <v>-0.27200000000000002</v>
      </c>
      <c r="BD614" s="191">
        <v>42972</v>
      </c>
      <c r="BE614" s="192">
        <v>0.192</v>
      </c>
      <c r="BH614" s="94">
        <v>42972</v>
      </c>
      <c r="BI614" s="95">
        <v>0.192</v>
      </c>
      <c r="BJ614" s="96">
        <v>9.6300000000000008</v>
      </c>
    </row>
    <row r="615" spans="54:62" ht="15">
      <c r="BB615" s="187">
        <v>42975</v>
      </c>
      <c r="BC615" s="180">
        <v>-0.27300000000000002</v>
      </c>
      <c r="BD615" s="191">
        <v>42975</v>
      </c>
      <c r="BE615" s="192">
        <v>0.187</v>
      </c>
      <c r="BH615" s="94">
        <v>42975</v>
      </c>
      <c r="BI615" s="95">
        <v>0.187</v>
      </c>
      <c r="BJ615" s="96">
        <v>9.6199999999999992</v>
      </c>
    </row>
    <row r="616" spans="54:62" ht="15">
      <c r="BB616" s="187">
        <v>42976</v>
      </c>
      <c r="BC616" s="180">
        <v>-0.27300000000000002</v>
      </c>
      <c r="BD616" s="191">
        <v>42976</v>
      </c>
      <c r="BE616" s="192">
        <v>0.18099999999999999</v>
      </c>
      <c r="BH616" s="94">
        <v>42976</v>
      </c>
      <c r="BI616" s="95">
        <v>0.18099999999999999</v>
      </c>
      <c r="BJ616" s="96">
        <v>9.6199999999999992</v>
      </c>
    </row>
    <row r="617" spans="54:62" ht="15">
      <c r="BB617" s="187">
        <v>42977</v>
      </c>
      <c r="BC617" s="180">
        <v>-0.27300000000000002</v>
      </c>
      <c r="BD617" s="191">
        <v>42977</v>
      </c>
      <c r="BE617" s="192">
        <v>0.17599999999999999</v>
      </c>
      <c r="BH617" s="94">
        <v>42977</v>
      </c>
      <c r="BI617" s="95">
        <v>0.17599999999999999</v>
      </c>
      <c r="BJ617" s="96">
        <v>9.61</v>
      </c>
    </row>
    <row r="618" spans="54:62" ht="15">
      <c r="BB618" s="187">
        <v>42978</v>
      </c>
      <c r="BC618" s="180">
        <v>-0.27300000000000002</v>
      </c>
      <c r="BD618" s="191">
        <v>42978</v>
      </c>
      <c r="BE618" s="192">
        <v>0.17299999999999999</v>
      </c>
      <c r="BH618" s="94">
        <v>42978</v>
      </c>
      <c r="BI618" s="95">
        <v>0.17299999999999999</v>
      </c>
      <c r="BJ618" s="96">
        <v>9.61</v>
      </c>
    </row>
    <row r="619" spans="54:62" ht="15">
      <c r="BB619" s="187">
        <v>42979</v>
      </c>
      <c r="BC619" s="180">
        <v>-0.27300000000000002</v>
      </c>
      <c r="BD619" s="191">
        <v>42979</v>
      </c>
      <c r="BE619" s="192">
        <v>0.17</v>
      </c>
      <c r="BH619" s="94">
        <v>42979</v>
      </c>
      <c r="BI619" s="95">
        <v>0.17</v>
      </c>
      <c r="BJ619" s="96">
        <v>9.61</v>
      </c>
    </row>
    <row r="620" spans="54:62" ht="15">
      <c r="BB620" s="187">
        <v>42982</v>
      </c>
      <c r="BC620" s="180">
        <v>-0.27400000000000002</v>
      </c>
      <c r="BD620" s="191">
        <v>42982</v>
      </c>
      <c r="BE620" s="192">
        <v>0.16700000000000001</v>
      </c>
      <c r="BH620" s="94">
        <v>42982</v>
      </c>
      <c r="BI620" s="95">
        <v>0.16700000000000001</v>
      </c>
      <c r="BJ620" s="96">
        <v>9.6</v>
      </c>
    </row>
    <row r="621" spans="54:62" ht="15">
      <c r="BB621" s="187">
        <v>42983</v>
      </c>
      <c r="BC621" s="180">
        <v>-0.27400000000000002</v>
      </c>
      <c r="BD621" s="191">
        <v>42983</v>
      </c>
      <c r="BE621" s="192">
        <v>0.16400000000000001</v>
      </c>
      <c r="BH621" s="94">
        <v>42983</v>
      </c>
      <c r="BI621" s="95">
        <v>0.16400000000000001</v>
      </c>
      <c r="BJ621" s="96">
        <v>9.6</v>
      </c>
    </row>
    <row r="622" spans="54:62" ht="15">
      <c r="BB622" s="187">
        <v>42984</v>
      </c>
      <c r="BC622" s="180">
        <v>-0.27400000000000002</v>
      </c>
      <c r="BD622" s="191">
        <v>42984</v>
      </c>
      <c r="BE622" s="192">
        <v>0.159</v>
      </c>
      <c r="BH622" s="94">
        <v>42984</v>
      </c>
      <c r="BI622" s="95">
        <v>0.159</v>
      </c>
      <c r="BJ622" s="96">
        <v>9.59</v>
      </c>
    </row>
    <row r="623" spans="54:62" ht="15">
      <c r="BB623" s="187">
        <v>42985</v>
      </c>
      <c r="BC623" s="180">
        <v>-0.27300000000000002</v>
      </c>
      <c r="BD623" s="191">
        <v>42985</v>
      </c>
      <c r="BE623" s="192">
        <v>0.16200000000000001</v>
      </c>
      <c r="BH623" s="94">
        <v>42985</v>
      </c>
      <c r="BI623" s="95">
        <v>0.16200000000000001</v>
      </c>
      <c r="BJ623" s="96">
        <v>9.6300000000000008</v>
      </c>
    </row>
    <row r="624" spans="54:62" ht="15">
      <c r="BB624" s="187">
        <v>42986</v>
      </c>
      <c r="BC624" s="180">
        <v>-0.27500000000000002</v>
      </c>
      <c r="BD624" s="191">
        <v>42986</v>
      </c>
      <c r="BE624" s="192">
        <v>0.159</v>
      </c>
      <c r="BH624" s="94">
        <v>42986</v>
      </c>
      <c r="BI624" s="95">
        <v>0.159</v>
      </c>
      <c r="BJ624" s="96">
        <v>9.6199999999999992</v>
      </c>
    </row>
    <row r="625" spans="54:62" ht="15">
      <c r="BB625" s="187">
        <v>42989</v>
      </c>
      <c r="BC625" s="180">
        <v>-0.27400000000000002</v>
      </c>
      <c r="BD625" s="191">
        <v>42989</v>
      </c>
      <c r="BE625" s="192">
        <v>0.157</v>
      </c>
      <c r="BH625" s="94">
        <v>42989</v>
      </c>
      <c r="BI625" s="95">
        <v>0.157</v>
      </c>
      <c r="BJ625" s="96">
        <v>9.61</v>
      </c>
    </row>
    <row r="626" spans="54:62" ht="15">
      <c r="BB626" s="187">
        <v>42990</v>
      </c>
      <c r="BC626" s="180">
        <v>-0.27200000000000002</v>
      </c>
      <c r="BD626" s="191">
        <v>42990</v>
      </c>
      <c r="BE626" s="192">
        <v>0.157</v>
      </c>
      <c r="BH626" s="94">
        <v>42990</v>
      </c>
      <c r="BI626" s="95">
        <v>0.157</v>
      </c>
      <c r="BJ626" s="96">
        <v>9.61</v>
      </c>
    </row>
    <row r="627" spans="54:62" ht="15">
      <c r="BB627" s="187">
        <v>42991</v>
      </c>
      <c r="BC627" s="180">
        <v>-0.27200000000000002</v>
      </c>
      <c r="BD627" s="191">
        <v>42991</v>
      </c>
      <c r="BE627" s="192">
        <v>0.156</v>
      </c>
      <c r="BH627" s="94">
        <v>42991</v>
      </c>
      <c r="BI627" s="95">
        <v>0.156</v>
      </c>
      <c r="BJ627" s="96">
        <v>9.61</v>
      </c>
    </row>
    <row r="628" spans="54:62" ht="15">
      <c r="BB628" s="187">
        <v>42992</v>
      </c>
      <c r="BC628" s="180">
        <v>-0.27200000000000002</v>
      </c>
      <c r="BD628" s="191">
        <v>42992</v>
      </c>
      <c r="BE628" s="192">
        <v>0.155</v>
      </c>
      <c r="BH628" s="94">
        <v>42992</v>
      </c>
      <c r="BI628" s="95">
        <v>0.155</v>
      </c>
      <c r="BJ628" s="96">
        <v>9.61</v>
      </c>
    </row>
    <row r="629" spans="54:62" ht="15">
      <c r="BB629" s="187">
        <v>42993</v>
      </c>
      <c r="BC629" s="180">
        <v>-0.27100000000000002</v>
      </c>
      <c r="BD629" s="191">
        <v>42993</v>
      </c>
      <c r="BE629" s="192">
        <v>0.156</v>
      </c>
      <c r="BH629" s="94">
        <v>42993</v>
      </c>
      <c r="BI629" s="95">
        <v>0.156</v>
      </c>
      <c r="BJ629" s="96">
        <v>9.6</v>
      </c>
    </row>
    <row r="630" spans="54:62" ht="15">
      <c r="BB630" s="187">
        <v>42996</v>
      </c>
      <c r="BC630" s="180">
        <v>-0.27100000000000002</v>
      </c>
      <c r="BD630" s="191">
        <v>42996</v>
      </c>
      <c r="BE630" s="192">
        <v>0.157</v>
      </c>
      <c r="BH630" s="94">
        <v>42996</v>
      </c>
      <c r="BI630" s="95">
        <v>0.157</v>
      </c>
      <c r="BJ630" s="96">
        <v>9.6</v>
      </c>
    </row>
    <row r="631" spans="54:62" ht="15">
      <c r="BB631" s="187">
        <v>42997</v>
      </c>
      <c r="BC631" s="180">
        <v>-0.27200000000000002</v>
      </c>
      <c r="BD631" s="191">
        <v>42997</v>
      </c>
      <c r="BE631" s="192">
        <v>0.159</v>
      </c>
      <c r="BH631" s="94">
        <v>42997</v>
      </c>
      <c r="BI631" s="95">
        <v>0.159</v>
      </c>
      <c r="BJ631" s="96">
        <v>9.59</v>
      </c>
    </row>
    <row r="632" spans="54:62" ht="15">
      <c r="BB632" s="187">
        <v>42998</v>
      </c>
      <c r="BC632" s="180">
        <v>-0.27100000000000002</v>
      </c>
      <c r="BD632" s="191">
        <v>42998</v>
      </c>
      <c r="BE632" s="192">
        <v>0.187</v>
      </c>
      <c r="BH632" s="94">
        <v>42998</v>
      </c>
      <c r="BI632" s="95">
        <v>0.187</v>
      </c>
      <c r="BJ632" s="96">
        <v>11.08</v>
      </c>
    </row>
    <row r="633" spans="54:62" ht="15">
      <c r="BB633" s="187">
        <v>42999</v>
      </c>
      <c r="BC633" s="180">
        <v>-0.27200000000000002</v>
      </c>
      <c r="BD633" s="191">
        <v>42999</v>
      </c>
      <c r="BE633" s="192">
        <v>0.19</v>
      </c>
      <c r="BH633" s="94">
        <v>42999</v>
      </c>
      <c r="BI633" s="95">
        <v>0.19</v>
      </c>
      <c r="BJ633" s="96">
        <v>11.08</v>
      </c>
    </row>
    <row r="634" spans="54:62" ht="15">
      <c r="BB634" s="187">
        <v>43000</v>
      </c>
      <c r="BC634" s="180">
        <v>-0.27100000000000002</v>
      </c>
      <c r="BD634" s="191">
        <v>43000</v>
      </c>
      <c r="BE634" s="192">
        <v>0.192</v>
      </c>
      <c r="BH634" s="94">
        <v>43000</v>
      </c>
      <c r="BI634" s="95">
        <v>0.192</v>
      </c>
      <c r="BJ634" s="96">
        <v>11.07</v>
      </c>
    </row>
    <row r="635" spans="54:62" ht="15">
      <c r="BB635" s="187">
        <v>43003</v>
      </c>
      <c r="BC635" s="180">
        <v>-0.27200000000000002</v>
      </c>
      <c r="BD635" s="191">
        <v>43003</v>
      </c>
      <c r="BE635" s="192">
        <v>0.192</v>
      </c>
      <c r="BH635" s="94">
        <v>43003</v>
      </c>
      <c r="BI635" s="95">
        <v>0.192</v>
      </c>
      <c r="BJ635" s="96">
        <v>11.07</v>
      </c>
    </row>
    <row r="636" spans="54:62" ht="15">
      <c r="BB636" s="187">
        <v>43004</v>
      </c>
      <c r="BC636" s="180">
        <v>-0.27300000000000002</v>
      </c>
      <c r="BD636" s="191">
        <v>43004</v>
      </c>
      <c r="BE636" s="192">
        <v>0.193</v>
      </c>
      <c r="BH636" s="94">
        <v>43004</v>
      </c>
      <c r="BI636" s="95">
        <v>0.193</v>
      </c>
      <c r="BJ636" s="96">
        <v>11.06</v>
      </c>
    </row>
    <row r="637" spans="54:62" ht="15">
      <c r="BB637" s="187">
        <v>43005</v>
      </c>
      <c r="BC637" s="180">
        <v>-0.27300000000000002</v>
      </c>
      <c r="BD637" s="191">
        <v>43005</v>
      </c>
      <c r="BE637" s="192">
        <v>0.19600000000000001</v>
      </c>
      <c r="BH637" s="94">
        <v>43005</v>
      </c>
      <c r="BI637" s="95">
        <v>0.19600000000000001</v>
      </c>
      <c r="BJ637" s="96">
        <v>11.06</v>
      </c>
    </row>
    <row r="638" spans="54:62" ht="15">
      <c r="BB638" s="187">
        <v>43006</v>
      </c>
      <c r="BC638" s="180">
        <v>-0.27300000000000002</v>
      </c>
      <c r="BD638" s="191">
        <v>43006</v>
      </c>
      <c r="BE638" s="192">
        <v>0.2</v>
      </c>
      <c r="BH638" s="94">
        <v>43006</v>
      </c>
      <c r="BI638" s="95">
        <v>0.2</v>
      </c>
      <c r="BJ638" s="96">
        <v>11.06</v>
      </c>
    </row>
    <row r="639" spans="54:62" ht="15">
      <c r="BB639" s="187">
        <v>43007</v>
      </c>
      <c r="BC639" s="180">
        <v>-0.27300000000000002</v>
      </c>
      <c r="BD639" s="191">
        <v>43007</v>
      </c>
      <c r="BE639" s="192">
        <v>0.20200000000000001</v>
      </c>
      <c r="BH639" s="94">
        <v>43007</v>
      </c>
      <c r="BI639" s="95">
        <v>0.20200000000000001</v>
      </c>
      <c r="BJ639" s="96">
        <v>11.05</v>
      </c>
    </row>
    <row r="640" spans="54:62" ht="15">
      <c r="BB640" s="187">
        <v>43010</v>
      </c>
      <c r="BC640" s="180">
        <v>-0.27200000000000002</v>
      </c>
      <c r="BD640" s="191">
        <v>43010</v>
      </c>
      <c r="BE640" s="192">
        <v>0.20300000000000001</v>
      </c>
      <c r="BH640" s="94">
        <v>43010</v>
      </c>
      <c r="BI640" s="95">
        <v>0.20300000000000001</v>
      </c>
      <c r="BJ640" s="96">
        <v>11.05</v>
      </c>
    </row>
    <row r="641" spans="54:62" ht="15">
      <c r="BB641" s="187">
        <v>43011</v>
      </c>
      <c r="BC641" s="180">
        <v>-0.27300000000000002</v>
      </c>
      <c r="BD641" s="191">
        <v>43011</v>
      </c>
      <c r="BE641" s="192">
        <v>0.20599999999999999</v>
      </c>
      <c r="BH641" s="94">
        <v>43011</v>
      </c>
      <c r="BI641" s="95">
        <v>0.20599999999999999</v>
      </c>
      <c r="BJ641" s="96">
        <v>11.04</v>
      </c>
    </row>
    <row r="642" spans="54:62" ht="15">
      <c r="BB642" s="187">
        <v>43012</v>
      </c>
      <c r="BC642" s="180">
        <v>-0.27300000000000002</v>
      </c>
      <c r="BD642" s="191">
        <v>43012</v>
      </c>
      <c r="BE642" s="192">
        <v>0.20899999999999999</v>
      </c>
      <c r="BH642" s="94">
        <v>43012</v>
      </c>
      <c r="BI642" s="95">
        <v>0.20899999999999999</v>
      </c>
      <c r="BJ642" s="96">
        <v>11.04</v>
      </c>
    </row>
    <row r="643" spans="54:62" ht="15">
      <c r="BB643" s="187">
        <v>43013</v>
      </c>
      <c r="BC643" s="180">
        <v>-0.27200000000000002</v>
      </c>
      <c r="BD643" s="191">
        <v>43013</v>
      </c>
      <c r="BE643" s="192">
        <v>0.21199999999999999</v>
      </c>
      <c r="BH643" s="94">
        <v>43013</v>
      </c>
      <c r="BI643" s="95">
        <v>0.21199999999999999</v>
      </c>
      <c r="BJ643" s="96">
        <v>11.04</v>
      </c>
    </row>
    <row r="644" spans="54:62" ht="15">
      <c r="BB644" s="187">
        <v>43014</v>
      </c>
      <c r="BC644" s="180">
        <v>-0.27300000000000002</v>
      </c>
      <c r="BD644" s="191">
        <v>43014</v>
      </c>
      <c r="BE644" s="192">
        <v>0.217</v>
      </c>
      <c r="BH644" s="94">
        <v>43014</v>
      </c>
      <c r="BI644" s="95">
        <v>0.217</v>
      </c>
      <c r="BJ644" s="96">
        <v>11.04</v>
      </c>
    </row>
    <row r="645" spans="54:62" ht="15">
      <c r="BB645" s="187">
        <v>43017</v>
      </c>
      <c r="BC645" s="180">
        <v>-0.27400000000000002</v>
      </c>
      <c r="BD645" s="191">
        <v>43017</v>
      </c>
      <c r="BE645" s="192">
        <v>0.221</v>
      </c>
      <c r="BH645" s="94">
        <v>43017</v>
      </c>
      <c r="BI645" s="95">
        <v>0.221</v>
      </c>
      <c r="BJ645" s="96">
        <v>11.03</v>
      </c>
    </row>
    <row r="646" spans="54:62" ht="15">
      <c r="BB646" s="187">
        <v>43018</v>
      </c>
      <c r="BC646" s="180">
        <v>-0.27400000000000002</v>
      </c>
      <c r="BD646" s="191">
        <v>43018</v>
      </c>
      <c r="BE646" s="192">
        <v>0.222</v>
      </c>
      <c r="BH646" s="94">
        <v>43018</v>
      </c>
      <c r="BI646" s="95">
        <v>0.222</v>
      </c>
      <c r="BJ646" s="96">
        <v>11.02</v>
      </c>
    </row>
    <row r="647" spans="54:62" ht="15">
      <c r="BB647" s="187">
        <v>43019</v>
      </c>
      <c r="BC647" s="180">
        <v>-0.27400000000000002</v>
      </c>
      <c r="BD647" s="191">
        <v>43019</v>
      </c>
      <c r="BE647" s="192">
        <v>0.223</v>
      </c>
      <c r="BH647" s="94">
        <v>43019</v>
      </c>
      <c r="BI647" s="95">
        <v>0.223</v>
      </c>
      <c r="BJ647" s="96">
        <v>11.02</v>
      </c>
    </row>
    <row r="648" spans="54:62" ht="15">
      <c r="BB648" s="187">
        <v>43020</v>
      </c>
      <c r="BC648" s="180">
        <v>-0.27400000000000002</v>
      </c>
      <c r="BD648" s="191">
        <v>43020</v>
      </c>
      <c r="BE648" s="192">
        <v>0.22500000000000001</v>
      </c>
      <c r="BH648" s="94">
        <v>43020</v>
      </c>
      <c r="BI648" s="95">
        <v>0.22500000000000001</v>
      </c>
      <c r="BJ648" s="96">
        <v>11.02</v>
      </c>
    </row>
    <row r="649" spans="54:62" ht="15">
      <c r="BB649" s="187">
        <v>43021</v>
      </c>
      <c r="BC649" s="180">
        <v>-0.27400000000000002</v>
      </c>
      <c r="BD649" s="191">
        <v>43021</v>
      </c>
      <c r="BE649" s="192">
        <v>0.223</v>
      </c>
      <c r="BH649" s="94">
        <v>43021</v>
      </c>
      <c r="BI649" s="95">
        <v>0.223</v>
      </c>
      <c r="BJ649" s="96">
        <v>11.02</v>
      </c>
    </row>
    <row r="650" spans="54:62" ht="15">
      <c r="BB650" s="187">
        <v>43024</v>
      </c>
      <c r="BC650" s="180">
        <v>-0.27400000000000002</v>
      </c>
      <c r="BD650" s="191">
        <v>43024</v>
      </c>
      <c r="BE650" s="192">
        <v>0.22</v>
      </c>
      <c r="BH650" s="94">
        <v>43024</v>
      </c>
      <c r="BI650" s="95">
        <v>0.22</v>
      </c>
      <c r="BJ650" s="96">
        <v>11.01</v>
      </c>
    </row>
    <row r="651" spans="54:62" ht="15">
      <c r="BB651" s="187">
        <v>43025</v>
      </c>
      <c r="BC651" s="180">
        <v>-0.27400000000000002</v>
      </c>
      <c r="BD651" s="191">
        <v>43025</v>
      </c>
      <c r="BE651" s="192">
        <v>0.216</v>
      </c>
      <c r="BH651" s="94">
        <v>43025</v>
      </c>
      <c r="BI651" s="95">
        <v>0.216</v>
      </c>
      <c r="BJ651" s="96">
        <v>11.01</v>
      </c>
    </row>
    <row r="652" spans="54:62" ht="15">
      <c r="BB652" s="187">
        <v>43026</v>
      </c>
      <c r="BC652" s="180">
        <v>-0.27400000000000002</v>
      </c>
      <c r="BD652" s="191">
        <v>43026</v>
      </c>
      <c r="BE652" s="192">
        <v>0.214</v>
      </c>
      <c r="BH652" s="94">
        <v>43026</v>
      </c>
      <c r="BI652" s="95">
        <v>0.214</v>
      </c>
      <c r="BJ652" s="96">
        <v>11</v>
      </c>
    </row>
    <row r="653" spans="54:62" ht="15">
      <c r="BB653" s="187">
        <v>43027</v>
      </c>
      <c r="BC653" s="180">
        <v>-0.27400000000000002</v>
      </c>
      <c r="BD653" s="191">
        <v>43027</v>
      </c>
      <c r="BE653" s="192">
        <v>0.24099999999999999</v>
      </c>
      <c r="BH653" s="94">
        <v>43027</v>
      </c>
      <c r="BI653" s="95">
        <v>0.24099999999999999</v>
      </c>
      <c r="BJ653" s="96">
        <v>11.37</v>
      </c>
    </row>
    <row r="654" spans="54:62" ht="15">
      <c r="BB654" s="187">
        <v>43028</v>
      </c>
      <c r="BC654" s="180">
        <v>-0.27400000000000002</v>
      </c>
      <c r="BD654" s="191">
        <v>43028</v>
      </c>
      <c r="BE654" s="192">
        <v>0.24</v>
      </c>
      <c r="BH654" s="94">
        <v>43028</v>
      </c>
      <c r="BI654" s="95">
        <v>0.24</v>
      </c>
      <c r="BJ654" s="96">
        <v>11.36</v>
      </c>
    </row>
    <row r="655" spans="54:62" ht="15">
      <c r="BB655" s="187">
        <v>43031</v>
      </c>
      <c r="BC655" s="180">
        <v>-0.27400000000000002</v>
      </c>
      <c r="BD655" s="191">
        <v>43031</v>
      </c>
      <c r="BE655" s="192">
        <v>0.24</v>
      </c>
      <c r="BH655" s="94">
        <v>43031</v>
      </c>
      <c r="BI655" s="95">
        <v>0.24</v>
      </c>
      <c r="BJ655" s="96">
        <v>11.36</v>
      </c>
    </row>
    <row r="656" spans="54:62" ht="15">
      <c r="BB656" s="187">
        <v>43032</v>
      </c>
      <c r="BC656" s="180">
        <v>-0.27400000000000002</v>
      </c>
      <c r="BD656" s="191">
        <v>43032</v>
      </c>
      <c r="BE656" s="192">
        <v>0.24099999999999999</v>
      </c>
      <c r="BH656" s="94">
        <v>43032</v>
      </c>
      <c r="BI656" s="95">
        <v>0.24099999999999999</v>
      </c>
      <c r="BJ656" s="96">
        <v>11.35</v>
      </c>
    </row>
    <row r="657" spans="54:62" ht="15">
      <c r="BB657" s="187">
        <v>43033</v>
      </c>
      <c r="BC657" s="180">
        <v>-0.27400000000000002</v>
      </c>
      <c r="BD657" s="191">
        <v>43033</v>
      </c>
      <c r="BE657" s="192">
        <v>0.24199999999999999</v>
      </c>
      <c r="BH657" s="94">
        <v>43033</v>
      </c>
      <c r="BI657" s="95">
        <v>0.24199999999999999</v>
      </c>
      <c r="BJ657" s="96">
        <v>11.35</v>
      </c>
    </row>
    <row r="658" spans="54:62" ht="15">
      <c r="BB658" s="187">
        <v>43034</v>
      </c>
      <c r="BC658" s="180">
        <v>-0.27400000000000002</v>
      </c>
      <c r="BD658" s="191"/>
      <c r="BE658" s="193">
        <f>+BE657</f>
        <v>0.24199999999999999</v>
      </c>
      <c r="BH658" s="94">
        <v>43035</v>
      </c>
      <c r="BI658" s="95">
        <v>0.23799999999999999</v>
      </c>
      <c r="BJ658" s="96">
        <v>11.34</v>
      </c>
    </row>
    <row r="659" spans="54:62" ht="15">
      <c r="BB659" s="187">
        <v>43035</v>
      </c>
      <c r="BC659" s="180">
        <v>-0.27500000000000002</v>
      </c>
      <c r="BD659" s="191">
        <v>43035</v>
      </c>
      <c r="BE659" s="192">
        <v>0.23799999999999999</v>
      </c>
      <c r="BH659" s="94">
        <v>43038</v>
      </c>
      <c r="BI659" s="95">
        <v>0.23499999999999999</v>
      </c>
      <c r="BJ659" s="96">
        <v>11.34</v>
      </c>
    </row>
    <row r="660" spans="54:62" ht="15">
      <c r="BB660" s="187">
        <v>43038</v>
      </c>
      <c r="BC660" s="180">
        <v>-0.27600000000000002</v>
      </c>
      <c r="BD660" s="191">
        <v>43038</v>
      </c>
      <c r="BE660" s="192">
        <v>0.23499999999999999</v>
      </c>
      <c r="BH660" s="94">
        <v>43039</v>
      </c>
      <c r="BI660" s="95">
        <v>0.23200000000000001</v>
      </c>
      <c r="BJ660" s="96">
        <v>11.33</v>
      </c>
    </row>
    <row r="661" spans="54:62" ht="15">
      <c r="BB661" s="187">
        <v>43039</v>
      </c>
      <c r="BC661" s="180">
        <v>-0.27600000000000002</v>
      </c>
      <c r="BD661" s="191">
        <v>43039</v>
      </c>
      <c r="BE661" s="192">
        <v>0.23200000000000001</v>
      </c>
      <c r="BH661" s="94">
        <v>43041</v>
      </c>
      <c r="BI661" s="95">
        <v>0.22800000000000001</v>
      </c>
      <c r="BJ661" s="96">
        <v>11.33</v>
      </c>
    </row>
    <row r="662" spans="54:62" ht="15">
      <c r="BB662" s="187">
        <v>43040</v>
      </c>
      <c r="BC662" s="180">
        <v>-0.27600000000000002</v>
      </c>
      <c r="BD662" s="191"/>
      <c r="BE662" s="193">
        <f>+BE661</f>
        <v>0.23200000000000001</v>
      </c>
      <c r="BF662" s="111">
        <f>+(BC662+BE662)/2+0.37</f>
        <v>0.34799999999999998</v>
      </c>
      <c r="BH662" s="94">
        <v>43042</v>
      </c>
      <c r="BI662" s="95">
        <v>0.22600000000000001</v>
      </c>
      <c r="BJ662" s="96">
        <v>11.33</v>
      </c>
    </row>
    <row r="663" spans="54:62" ht="15">
      <c r="BB663" s="187">
        <v>43041</v>
      </c>
      <c r="BC663" s="180">
        <v>-0.27600000000000002</v>
      </c>
      <c r="BD663" s="191">
        <v>43041</v>
      </c>
      <c r="BE663" s="192">
        <v>0.22800000000000001</v>
      </c>
      <c r="BH663" s="94">
        <v>43045</v>
      </c>
      <c r="BI663" s="95">
        <v>0.22</v>
      </c>
      <c r="BJ663" s="96">
        <v>11.32</v>
      </c>
    </row>
    <row r="664" spans="54:62" ht="15">
      <c r="BB664" s="187">
        <v>43042</v>
      </c>
      <c r="BC664" s="180">
        <v>-0.27600000000000002</v>
      </c>
      <c r="BD664" s="191">
        <v>43042</v>
      </c>
      <c r="BE664" s="192">
        <v>0.22600000000000001</v>
      </c>
      <c r="BH664" s="94">
        <v>43046</v>
      </c>
      <c r="BI664" s="95">
        <v>0.214</v>
      </c>
      <c r="BJ664" s="96">
        <v>11.31</v>
      </c>
    </row>
    <row r="665" spans="54:62" ht="15">
      <c r="BB665" s="187">
        <v>43045</v>
      </c>
      <c r="BC665" s="180">
        <v>-0.27600000000000002</v>
      </c>
      <c r="BD665" s="191">
        <v>43045</v>
      </c>
      <c r="BE665" s="192">
        <v>0.22</v>
      </c>
      <c r="BH665" s="94">
        <v>43047</v>
      </c>
      <c r="BI665" s="95">
        <v>0.20699999999999999</v>
      </c>
      <c r="BJ665" s="96">
        <v>11.31</v>
      </c>
    </row>
    <row r="666" spans="54:62" ht="15">
      <c r="BB666" s="187">
        <v>43046</v>
      </c>
      <c r="BC666" s="180">
        <v>-0.27500000000000002</v>
      </c>
      <c r="BD666" s="191">
        <v>43046</v>
      </c>
      <c r="BE666" s="192">
        <v>0.214</v>
      </c>
      <c r="BH666" s="94">
        <v>43048</v>
      </c>
      <c r="BI666" s="95">
        <v>0.20300000000000001</v>
      </c>
      <c r="BJ666" s="96">
        <v>11.31</v>
      </c>
    </row>
    <row r="667" spans="54:62" ht="15">
      <c r="BB667" s="187">
        <v>43047</v>
      </c>
      <c r="BC667" s="180">
        <v>-0.27600000000000002</v>
      </c>
      <c r="BD667" s="191">
        <v>43047</v>
      </c>
      <c r="BE667" s="192">
        <v>0.20699999999999999</v>
      </c>
      <c r="BH667" s="94">
        <v>43049</v>
      </c>
      <c r="BI667" s="95">
        <v>0.19900000000000001</v>
      </c>
      <c r="BJ667" s="96">
        <v>11.31</v>
      </c>
    </row>
    <row r="668" spans="54:62" ht="15">
      <c r="BB668" s="187">
        <v>43048</v>
      </c>
      <c r="BC668" s="180">
        <v>-0.27600000000000002</v>
      </c>
      <c r="BD668" s="191">
        <v>43048</v>
      </c>
      <c r="BE668" s="192">
        <v>0.20300000000000001</v>
      </c>
      <c r="BH668" s="94">
        <v>43052</v>
      </c>
      <c r="BI668" s="95">
        <v>0.19600000000000001</v>
      </c>
      <c r="BJ668" s="96">
        <v>11.3</v>
      </c>
    </row>
    <row r="669" spans="54:62" ht="15">
      <c r="BB669" s="187">
        <v>43049</v>
      </c>
      <c r="BC669" s="180">
        <v>-0.27500000000000002</v>
      </c>
      <c r="BD669" s="191">
        <v>43049</v>
      </c>
      <c r="BE669" s="192">
        <v>0.19900000000000001</v>
      </c>
      <c r="BH669" s="94">
        <v>43053</v>
      </c>
      <c r="BI669" s="95">
        <v>0.19400000000000001</v>
      </c>
      <c r="BJ669" s="96">
        <v>11.3</v>
      </c>
    </row>
    <row r="670" spans="54:62" ht="15">
      <c r="BB670" s="187">
        <v>43052</v>
      </c>
      <c r="BC670" s="180">
        <v>-0.27500000000000002</v>
      </c>
      <c r="BD670" s="191">
        <v>43052</v>
      </c>
      <c r="BE670" s="192">
        <v>0.19600000000000001</v>
      </c>
      <c r="BH670" s="94">
        <v>43054</v>
      </c>
      <c r="BI670" s="95">
        <v>0.192</v>
      </c>
      <c r="BJ670" s="96">
        <v>11.3</v>
      </c>
    </row>
    <row r="671" spans="54:62" ht="15">
      <c r="BB671" s="187">
        <v>43053</v>
      </c>
      <c r="BC671" s="180">
        <v>-0.27500000000000002</v>
      </c>
      <c r="BD671" s="191">
        <v>43053</v>
      </c>
      <c r="BE671" s="192">
        <v>0.19400000000000001</v>
      </c>
      <c r="BH671" s="94">
        <v>43055</v>
      </c>
      <c r="BI671" s="95">
        <v>0.192</v>
      </c>
      <c r="BJ671" s="96">
        <v>11.29</v>
      </c>
    </row>
    <row r="672" spans="54:62" ht="15">
      <c r="BB672" s="187">
        <v>43054</v>
      </c>
      <c r="BC672" s="180">
        <v>-0.27500000000000002</v>
      </c>
      <c r="BD672" s="191">
        <v>43054</v>
      </c>
      <c r="BE672" s="192">
        <v>0.192</v>
      </c>
      <c r="BH672" s="94">
        <v>43056</v>
      </c>
      <c r="BI672" s="95">
        <v>0.19</v>
      </c>
      <c r="BJ672" s="96">
        <v>11.29</v>
      </c>
    </row>
    <row r="673" spans="54:62" ht="15">
      <c r="BB673" s="187">
        <v>43055</v>
      </c>
      <c r="BC673" s="180">
        <v>-0.27500000000000002</v>
      </c>
      <c r="BD673" s="191">
        <v>43055</v>
      </c>
      <c r="BE673" s="192">
        <v>0.192</v>
      </c>
      <c r="BH673" s="94">
        <v>43059</v>
      </c>
      <c r="BI673" s="95">
        <v>0.187</v>
      </c>
      <c r="BJ673" s="96">
        <v>11.28</v>
      </c>
    </row>
    <row r="674" spans="54:62" ht="15">
      <c r="BB674" s="187">
        <v>43056</v>
      </c>
      <c r="BC674" s="180">
        <v>-0.27400000000000002</v>
      </c>
      <c r="BD674" s="191">
        <v>43056</v>
      </c>
      <c r="BE674" s="192">
        <v>0.19</v>
      </c>
      <c r="BH674" s="94">
        <v>43060</v>
      </c>
      <c r="BI674" s="95">
        <v>0.182</v>
      </c>
      <c r="BJ674" s="96">
        <v>11.28</v>
      </c>
    </row>
    <row r="675" spans="54:62" ht="15">
      <c r="BB675" s="187">
        <v>43059</v>
      </c>
      <c r="BC675" s="180">
        <v>-0.27400000000000002</v>
      </c>
      <c r="BD675" s="191">
        <v>43059</v>
      </c>
      <c r="BE675" s="192">
        <v>0.187</v>
      </c>
      <c r="BH675" s="94">
        <v>43061</v>
      </c>
      <c r="BI675" s="95">
        <v>0.17899999999999999</v>
      </c>
      <c r="BJ675" s="96">
        <v>11.28</v>
      </c>
    </row>
    <row r="676" spans="54:62" ht="15">
      <c r="BB676" s="187">
        <v>43060</v>
      </c>
      <c r="BC676" s="180">
        <v>-0.27300000000000002</v>
      </c>
      <c r="BD676" s="191">
        <v>43060</v>
      </c>
      <c r="BE676" s="192">
        <v>0.182</v>
      </c>
      <c r="BH676" s="94">
        <v>43062</v>
      </c>
      <c r="BI676" s="95">
        <v>0.17399999999999999</v>
      </c>
      <c r="BJ676" s="96">
        <v>11.27</v>
      </c>
    </row>
    <row r="677" spans="54:62" ht="15">
      <c r="BB677" s="187">
        <v>43061</v>
      </c>
      <c r="BC677" s="180">
        <v>-0.27200000000000002</v>
      </c>
      <c r="BD677" s="191">
        <v>43061</v>
      </c>
      <c r="BE677" s="192">
        <v>0.17899999999999999</v>
      </c>
      <c r="BH677" s="94">
        <v>43063</v>
      </c>
      <c r="BI677" s="95">
        <v>0.16700000000000001</v>
      </c>
      <c r="BJ677" s="96">
        <v>11.26</v>
      </c>
    </row>
    <row r="678" spans="54:62" ht="15">
      <c r="BB678" s="187">
        <v>43062</v>
      </c>
      <c r="BC678" s="180">
        <v>-0.27100000000000002</v>
      </c>
      <c r="BD678" s="191">
        <v>43062</v>
      </c>
      <c r="BE678" s="192">
        <v>0.17399999999999999</v>
      </c>
      <c r="BH678" s="94">
        <v>43066</v>
      </c>
      <c r="BI678" s="95">
        <v>0.16400000000000001</v>
      </c>
      <c r="BJ678" s="96">
        <v>11.25</v>
      </c>
    </row>
    <row r="679" spans="54:62" ht="15">
      <c r="BB679" s="187">
        <v>43063</v>
      </c>
      <c r="BC679" s="180">
        <v>-0.27200000000000002</v>
      </c>
      <c r="BD679" s="191">
        <v>43063</v>
      </c>
      <c r="BE679" s="192">
        <v>0.16700000000000001</v>
      </c>
      <c r="BH679" s="94">
        <v>43067</v>
      </c>
      <c r="BI679" s="95">
        <v>0.16200000000000001</v>
      </c>
      <c r="BJ679" s="96">
        <v>11.25</v>
      </c>
    </row>
    <row r="680" spans="54:62" ht="15">
      <c r="BB680" s="187">
        <v>43066</v>
      </c>
      <c r="BC680" s="180">
        <v>-0.27200000000000002</v>
      </c>
      <c r="BD680" s="191">
        <v>43066</v>
      </c>
      <c r="BE680" s="192">
        <v>0.16400000000000001</v>
      </c>
      <c r="BH680" s="94">
        <v>43068</v>
      </c>
      <c r="BI680" s="95">
        <v>0.16200000000000001</v>
      </c>
      <c r="BJ680" s="96">
        <v>11.24</v>
      </c>
    </row>
    <row r="681" spans="54:62" ht="15">
      <c r="BB681" s="187">
        <v>43067</v>
      </c>
      <c r="BC681" s="180">
        <v>-0.27400000000000002</v>
      </c>
      <c r="BD681" s="191">
        <v>43067</v>
      </c>
      <c r="BE681" s="192">
        <v>0.16200000000000001</v>
      </c>
      <c r="BH681" s="94">
        <v>43069</v>
      </c>
      <c r="BI681" s="95">
        <v>0.161</v>
      </c>
      <c r="BJ681" s="96">
        <v>11.24</v>
      </c>
    </row>
    <row r="682" spans="54:62" ht="15">
      <c r="BB682" s="187">
        <v>43068</v>
      </c>
      <c r="BC682" s="180">
        <v>-0.27400000000000002</v>
      </c>
      <c r="BD682" s="191">
        <v>43068</v>
      </c>
      <c r="BE682" s="192">
        <v>0.16200000000000001</v>
      </c>
      <c r="BH682" s="94">
        <v>43070</v>
      </c>
      <c r="BI682" s="95">
        <v>0.159</v>
      </c>
      <c r="BJ682" s="96">
        <v>11.24</v>
      </c>
    </row>
    <row r="683" spans="54:62" ht="15">
      <c r="BB683" s="187">
        <v>43069</v>
      </c>
      <c r="BC683" s="180">
        <v>-0.27200000000000002</v>
      </c>
      <c r="BD683" s="191">
        <v>43069</v>
      </c>
      <c r="BE683" s="192">
        <v>0.161</v>
      </c>
      <c r="BH683" s="94">
        <v>43073</v>
      </c>
      <c r="BI683" s="95">
        <v>0.158</v>
      </c>
      <c r="BJ683" s="96">
        <v>11.23</v>
      </c>
    </row>
    <row r="684" spans="54:62" ht="15">
      <c r="BB684" s="187">
        <v>43070</v>
      </c>
      <c r="BC684" s="180">
        <v>-0.27100000000000002</v>
      </c>
      <c r="BD684" s="191">
        <v>43070</v>
      </c>
      <c r="BE684" s="192">
        <v>0.159</v>
      </c>
      <c r="BH684" s="94">
        <v>43074</v>
      </c>
      <c r="BI684" s="95">
        <v>0.157</v>
      </c>
      <c r="BJ684" s="96">
        <v>11.23</v>
      </c>
    </row>
    <row r="685" spans="54:62" ht="15">
      <c r="BB685" s="187">
        <v>43073</v>
      </c>
      <c r="BC685" s="180">
        <v>-0.27200000000000002</v>
      </c>
      <c r="BD685" s="191">
        <v>43073</v>
      </c>
      <c r="BE685" s="192">
        <v>0.158</v>
      </c>
      <c r="BH685" s="94">
        <v>43075</v>
      </c>
      <c r="BI685" s="95">
        <v>0.155</v>
      </c>
      <c r="BJ685" s="96">
        <v>11.22</v>
      </c>
    </row>
    <row r="686" spans="54:62" ht="15">
      <c r="BB686" s="187">
        <v>43074</v>
      </c>
      <c r="BC686" s="180">
        <v>-0.27100000000000002</v>
      </c>
      <c r="BD686" s="191">
        <v>43074</v>
      </c>
      <c r="BE686" s="192">
        <v>0.157</v>
      </c>
      <c r="BH686" s="94">
        <v>43076</v>
      </c>
      <c r="BI686" s="95">
        <v>0.152</v>
      </c>
      <c r="BJ686" s="96">
        <v>11.22</v>
      </c>
    </row>
    <row r="687" spans="54:62" ht="15">
      <c r="BB687" s="187">
        <v>43075</v>
      </c>
      <c r="BC687" s="180">
        <v>-0.27100000000000002</v>
      </c>
      <c r="BD687" s="191">
        <v>43075</v>
      </c>
      <c r="BE687" s="192">
        <v>0.155</v>
      </c>
      <c r="BH687" s="94">
        <v>43080</v>
      </c>
      <c r="BI687" s="95">
        <v>0.14799999999999999</v>
      </c>
      <c r="BJ687" s="96">
        <v>11.21</v>
      </c>
    </row>
    <row r="688" spans="54:62" ht="15">
      <c r="BB688" s="187">
        <v>43076</v>
      </c>
      <c r="BC688" s="180">
        <v>-0.27100000000000002</v>
      </c>
      <c r="BD688" s="191">
        <v>43076</v>
      </c>
      <c r="BE688" s="192">
        <v>0.152</v>
      </c>
      <c r="BH688" s="94">
        <v>43081</v>
      </c>
      <c r="BI688" s="95">
        <v>0.14499999999999999</v>
      </c>
      <c r="BJ688" s="96">
        <v>11.21</v>
      </c>
    </row>
    <row r="689" spans="54:62" ht="15">
      <c r="BB689" s="187">
        <v>43077</v>
      </c>
      <c r="BC689" s="180">
        <v>-0.27100000000000002</v>
      </c>
      <c r="BD689" s="191"/>
      <c r="BE689" s="193">
        <f>+BE688</f>
        <v>0.152</v>
      </c>
      <c r="BH689" s="94">
        <v>43082</v>
      </c>
      <c r="BI689" s="95">
        <v>0.14199999999999999</v>
      </c>
      <c r="BJ689" s="96">
        <v>11.21</v>
      </c>
    </row>
    <row r="690" spans="54:62" ht="15">
      <c r="BB690" s="187">
        <v>43080</v>
      </c>
      <c r="BC690" s="180">
        <v>-0.27100000000000002</v>
      </c>
      <c r="BD690" s="191">
        <v>43080</v>
      </c>
      <c r="BE690" s="192">
        <v>0.14799999999999999</v>
      </c>
      <c r="BH690" s="94">
        <v>43083</v>
      </c>
      <c r="BI690" s="95">
        <v>0.14199999999999999</v>
      </c>
      <c r="BJ690" s="96">
        <v>11.2</v>
      </c>
    </row>
    <row r="691" spans="54:62" ht="15">
      <c r="BB691" s="187">
        <v>43081</v>
      </c>
      <c r="BC691" s="180">
        <v>-0.27100000000000002</v>
      </c>
      <c r="BD691" s="191">
        <v>43081</v>
      </c>
      <c r="BE691" s="192">
        <v>0.14499999999999999</v>
      </c>
      <c r="BH691" s="94">
        <v>43084</v>
      </c>
      <c r="BI691" s="95">
        <v>0.14000000000000001</v>
      </c>
      <c r="BJ691" s="96">
        <v>11.2</v>
      </c>
    </row>
    <row r="692" spans="54:62" ht="15">
      <c r="BB692" s="187">
        <v>43082</v>
      </c>
      <c r="BC692" s="180">
        <v>-0.27300000000000002</v>
      </c>
      <c r="BD692" s="191">
        <v>43082</v>
      </c>
      <c r="BE692" s="192">
        <v>0.14199999999999999</v>
      </c>
      <c r="BH692" s="94">
        <v>43087</v>
      </c>
      <c r="BI692" s="95">
        <v>0.13900000000000001</v>
      </c>
      <c r="BJ692" s="96">
        <v>11.19</v>
      </c>
    </row>
    <row r="693" spans="54:62" ht="15">
      <c r="BB693" s="187">
        <v>43083</v>
      </c>
      <c r="BC693" s="180">
        <v>-0.27100000000000002</v>
      </c>
      <c r="BD693" s="191">
        <v>43083</v>
      </c>
      <c r="BE693" s="192">
        <v>0.14199999999999999</v>
      </c>
      <c r="BH693" s="94">
        <v>43088</v>
      </c>
      <c r="BI693" s="95">
        <v>0.14000000000000001</v>
      </c>
      <c r="BJ693" s="96">
        <v>11.19</v>
      </c>
    </row>
    <row r="694" spans="54:62" ht="15">
      <c r="BB694" s="187">
        <v>43084</v>
      </c>
      <c r="BC694" s="180">
        <v>-0.27200000000000002</v>
      </c>
      <c r="BD694" s="191">
        <v>43084</v>
      </c>
      <c r="BE694" s="192">
        <v>0.14000000000000001</v>
      </c>
      <c r="BH694" s="94">
        <v>43089</v>
      </c>
      <c r="BI694" s="95">
        <v>0.14299999999999999</v>
      </c>
      <c r="BJ694" s="96">
        <v>11.19</v>
      </c>
    </row>
    <row r="695" spans="54:62" ht="15">
      <c r="BB695" s="187">
        <v>43087</v>
      </c>
      <c r="BC695" s="180">
        <v>-0.27100000000000002</v>
      </c>
      <c r="BD695" s="191">
        <v>43087</v>
      </c>
      <c r="BE695" s="192">
        <v>0.13900000000000001</v>
      </c>
      <c r="BH695" s="94">
        <v>43090</v>
      </c>
      <c r="BI695" s="95">
        <v>0.14699999999999999</v>
      </c>
      <c r="BJ695" s="96">
        <v>11.18</v>
      </c>
    </row>
    <row r="696" spans="54:62" ht="15">
      <c r="BB696" s="187">
        <v>43088</v>
      </c>
      <c r="BC696" s="180">
        <v>-0.27400000000000002</v>
      </c>
      <c r="BD696" s="191">
        <v>43088</v>
      </c>
      <c r="BE696" s="192">
        <v>0.14000000000000001</v>
      </c>
      <c r="BH696" s="94">
        <v>43091</v>
      </c>
      <c r="BI696" s="95">
        <v>0.14599999999999999</v>
      </c>
      <c r="BJ696" s="96">
        <v>11.18</v>
      </c>
    </row>
    <row r="697" spans="54:62" ht="15">
      <c r="BB697" s="187">
        <v>43089</v>
      </c>
      <c r="BC697" s="180">
        <v>-0.27100000000000002</v>
      </c>
      <c r="BD697" s="191">
        <v>43089</v>
      </c>
      <c r="BE697" s="192">
        <v>0.14299999999999999</v>
      </c>
      <c r="BH697" s="94">
        <v>43096</v>
      </c>
      <c r="BI697" s="95">
        <v>0.14899999999999999</v>
      </c>
      <c r="BJ697" s="96">
        <v>11.17</v>
      </c>
    </row>
    <row r="698" spans="54:62" ht="15">
      <c r="BB698" s="187">
        <v>43090</v>
      </c>
      <c r="BC698" s="180">
        <v>-0.27100000000000002</v>
      </c>
      <c r="BD698" s="191">
        <v>43090</v>
      </c>
      <c r="BE698" s="192">
        <v>0.14699999999999999</v>
      </c>
      <c r="BH698" s="94">
        <v>43097</v>
      </c>
      <c r="BI698" s="95">
        <v>0.153</v>
      </c>
      <c r="BJ698" s="96">
        <v>11.16</v>
      </c>
    </row>
    <row r="699" spans="54:62" ht="15">
      <c r="BB699" s="187">
        <v>43091</v>
      </c>
      <c r="BC699" s="180">
        <v>-0.27100000000000002</v>
      </c>
      <c r="BD699" s="191">
        <v>43091</v>
      </c>
      <c r="BE699" s="192">
        <v>0.14599999999999999</v>
      </c>
      <c r="BH699" s="94">
        <v>43098</v>
      </c>
      <c r="BI699" s="95">
        <v>0.158</v>
      </c>
      <c r="BJ699" s="96">
        <v>11.16</v>
      </c>
    </row>
    <row r="700" spans="54:62" ht="15">
      <c r="BB700" s="187">
        <v>43094</v>
      </c>
      <c r="BC700" s="180">
        <v>-0.27100000000000002</v>
      </c>
      <c r="BD700" s="191"/>
      <c r="BE700" s="193">
        <f>+BE699</f>
        <v>0.14599999999999999</v>
      </c>
      <c r="BH700" s="94">
        <v>43102</v>
      </c>
      <c r="BI700" s="95">
        <v>0.16200000000000001</v>
      </c>
      <c r="BJ700" s="96">
        <v>11.15</v>
      </c>
    </row>
    <row r="701" spans="54:62" ht="15">
      <c r="BB701" s="187">
        <v>43095</v>
      </c>
      <c r="BC701" s="180">
        <v>-0.27100000000000002</v>
      </c>
      <c r="BD701" s="191"/>
      <c r="BE701" s="193">
        <f>+BE700</f>
        <v>0.14599999999999999</v>
      </c>
      <c r="BH701" s="94">
        <v>43103</v>
      </c>
      <c r="BI701" s="95">
        <v>0.16600000000000001</v>
      </c>
      <c r="BJ701" s="96">
        <v>11.15</v>
      </c>
    </row>
    <row r="702" spans="54:62" ht="15">
      <c r="BB702" s="187">
        <v>43096</v>
      </c>
      <c r="BC702" s="180">
        <v>-0.27100000000000002</v>
      </c>
      <c r="BD702" s="191">
        <v>43096</v>
      </c>
      <c r="BE702" s="192">
        <v>0.14899999999999999</v>
      </c>
      <c r="BH702" s="94">
        <v>43104</v>
      </c>
      <c r="BI702" s="95">
        <v>0.17100000000000001</v>
      </c>
      <c r="BJ702" s="96">
        <v>11.15</v>
      </c>
    </row>
    <row r="703" spans="54:62" ht="15">
      <c r="BB703" s="187">
        <v>43097</v>
      </c>
      <c r="BC703" s="180">
        <v>-0.27100000000000002</v>
      </c>
      <c r="BD703" s="191">
        <v>43097</v>
      </c>
      <c r="BE703" s="192">
        <v>0.153</v>
      </c>
      <c r="BH703" s="94">
        <v>43105</v>
      </c>
      <c r="BI703" s="95">
        <v>0.17699999999999999</v>
      </c>
      <c r="BJ703" s="96">
        <v>11.14</v>
      </c>
    </row>
    <row r="704" spans="54:62" ht="15">
      <c r="BB704" s="187">
        <v>43098</v>
      </c>
      <c r="BC704" s="180">
        <v>-0.27100000000000002</v>
      </c>
      <c r="BD704" s="191">
        <v>43098</v>
      </c>
      <c r="BE704" s="192">
        <v>0.158</v>
      </c>
      <c r="BH704" s="94">
        <v>43108</v>
      </c>
      <c r="BI704" s="95">
        <v>0.183</v>
      </c>
      <c r="BJ704" s="96">
        <v>11.13</v>
      </c>
    </row>
    <row r="705" spans="54:62" ht="15">
      <c r="BB705" s="187">
        <v>43101</v>
      </c>
      <c r="BC705" s="180">
        <v>-0.27100000000000002</v>
      </c>
      <c r="BD705" s="191"/>
      <c r="BE705" s="193">
        <f>+BE704</f>
        <v>0.158</v>
      </c>
      <c r="BH705" s="94">
        <v>43109</v>
      </c>
      <c r="BI705" s="95">
        <v>0.191</v>
      </c>
      <c r="BJ705" s="96">
        <v>11.13</v>
      </c>
    </row>
    <row r="706" spans="54:62" ht="15">
      <c r="BB706" s="187">
        <v>43102</v>
      </c>
      <c r="BC706" s="180">
        <v>-0.27100000000000002</v>
      </c>
      <c r="BD706" s="191">
        <v>43102</v>
      </c>
      <c r="BE706" s="192">
        <v>0.16200000000000001</v>
      </c>
      <c r="BH706" s="94">
        <v>43110</v>
      </c>
      <c r="BI706" s="95">
        <v>0.2</v>
      </c>
      <c r="BJ706" s="96">
        <v>11.13</v>
      </c>
    </row>
    <row r="707" spans="54:62" ht="15">
      <c r="BB707" s="187">
        <v>43103</v>
      </c>
      <c r="BC707" s="180">
        <v>-0.27100000000000002</v>
      </c>
      <c r="BD707" s="191">
        <v>43103</v>
      </c>
      <c r="BE707" s="192">
        <v>0.16600000000000001</v>
      </c>
      <c r="BH707" s="94">
        <v>43111</v>
      </c>
      <c r="BI707" s="95">
        <v>0.215</v>
      </c>
      <c r="BJ707" s="96">
        <v>11.17</v>
      </c>
    </row>
    <row r="708" spans="54:62" ht="15">
      <c r="BB708" s="187">
        <v>43104</v>
      </c>
      <c r="BC708" s="180">
        <v>-0.27100000000000002</v>
      </c>
      <c r="BD708" s="191">
        <v>43104</v>
      </c>
      <c r="BE708" s="192">
        <v>0.17100000000000001</v>
      </c>
      <c r="BH708" s="94">
        <v>43112</v>
      </c>
      <c r="BI708" s="95">
        <v>0.22600000000000001</v>
      </c>
      <c r="BJ708" s="96">
        <v>11.16</v>
      </c>
    </row>
    <row r="709" spans="54:62" ht="15">
      <c r="BB709" s="187">
        <v>43105</v>
      </c>
      <c r="BC709" s="180">
        <v>-0.27100000000000002</v>
      </c>
      <c r="BD709" s="191">
        <v>43105</v>
      </c>
      <c r="BE709" s="192">
        <v>0.17699999999999999</v>
      </c>
      <c r="BH709" s="94">
        <v>43115</v>
      </c>
      <c r="BI709" s="95">
        <v>0.23499999999999999</v>
      </c>
      <c r="BJ709" s="96">
        <v>11.15</v>
      </c>
    </row>
    <row r="710" spans="54:62" ht="15">
      <c r="BB710" s="187">
        <v>43108</v>
      </c>
      <c r="BC710" s="180">
        <v>-0.27100000000000002</v>
      </c>
      <c r="BD710" s="191">
        <v>43108</v>
      </c>
      <c r="BE710" s="192">
        <v>0.183</v>
      </c>
      <c r="BH710" s="94">
        <v>43116</v>
      </c>
      <c r="BI710" s="95">
        <v>0.24299999999999999</v>
      </c>
      <c r="BJ710" s="96">
        <v>11.15</v>
      </c>
    </row>
    <row r="711" spans="54:62" ht="15">
      <c r="BB711" s="187">
        <v>43109</v>
      </c>
      <c r="BC711" s="180">
        <v>-0.27100000000000002</v>
      </c>
      <c r="BD711" s="191">
        <v>43109</v>
      </c>
      <c r="BE711" s="192">
        <v>0.191</v>
      </c>
      <c r="BH711" s="94">
        <v>43117</v>
      </c>
      <c r="BI711" s="95">
        <v>0.251</v>
      </c>
      <c r="BJ711" s="96">
        <v>11.15</v>
      </c>
    </row>
    <row r="712" spans="54:62" ht="15">
      <c r="BB712" s="187">
        <v>43110</v>
      </c>
      <c r="BC712" s="180">
        <v>-0.27100000000000002</v>
      </c>
      <c r="BD712" s="191">
        <v>43110</v>
      </c>
      <c r="BE712" s="192">
        <v>0.2</v>
      </c>
      <c r="BH712" s="94">
        <v>43118</v>
      </c>
      <c r="BI712" s="95">
        <v>0.26100000000000001</v>
      </c>
      <c r="BJ712" s="96">
        <v>11.15</v>
      </c>
    </row>
    <row r="713" spans="54:62" ht="15">
      <c r="BB713" s="187">
        <v>43111</v>
      </c>
      <c r="BC713" s="180">
        <v>-0.27100000000000002</v>
      </c>
      <c r="BD713" s="191">
        <v>43111</v>
      </c>
      <c r="BE713" s="192">
        <v>0.215</v>
      </c>
      <c r="BH713" s="94">
        <v>43119</v>
      </c>
      <c r="BI713" s="95">
        <v>0.26900000000000002</v>
      </c>
      <c r="BJ713" s="96">
        <v>11.14</v>
      </c>
    </row>
    <row r="714" spans="54:62" ht="15">
      <c r="BB714" s="187">
        <v>43112</v>
      </c>
      <c r="BC714" s="180">
        <v>-0.27100000000000002</v>
      </c>
      <c r="BD714" s="191">
        <v>43112</v>
      </c>
      <c r="BE714" s="192">
        <v>0.22600000000000001</v>
      </c>
      <c r="BH714" s="94">
        <v>43122</v>
      </c>
      <c r="BI714" s="95">
        <v>0.27400000000000002</v>
      </c>
      <c r="BJ714" s="96">
        <v>11.14</v>
      </c>
    </row>
    <row r="715" spans="54:62" ht="15">
      <c r="BB715" s="187">
        <v>43115</v>
      </c>
      <c r="BC715" s="180">
        <v>-0.27400000000000002</v>
      </c>
      <c r="BD715" s="191">
        <v>43115</v>
      </c>
      <c r="BE715" s="192">
        <v>0.23499999999999999</v>
      </c>
      <c r="BH715" s="94">
        <v>43123</v>
      </c>
      <c r="BI715" s="95">
        <v>0.27800000000000002</v>
      </c>
      <c r="BJ715" s="96">
        <v>11.13</v>
      </c>
    </row>
    <row r="716" spans="54:62" ht="15">
      <c r="BB716" s="187">
        <v>43116</v>
      </c>
      <c r="BC716" s="180">
        <v>-0.27200000000000002</v>
      </c>
      <c r="BD716" s="191">
        <v>43116</v>
      </c>
      <c r="BE716" s="192">
        <v>0.24299999999999999</v>
      </c>
      <c r="BH716" s="94">
        <v>43124</v>
      </c>
      <c r="BI716" s="95">
        <v>0.28100000000000003</v>
      </c>
      <c r="BJ716" s="96">
        <v>11.13</v>
      </c>
    </row>
    <row r="717" spans="54:62" ht="15">
      <c r="BB717" s="187">
        <v>43117</v>
      </c>
      <c r="BC717" s="180">
        <v>-0.27400000000000002</v>
      </c>
      <c r="BD717" s="191">
        <v>43117</v>
      </c>
      <c r="BE717" s="192">
        <v>0.251</v>
      </c>
      <c r="BH717" s="94">
        <v>43125</v>
      </c>
      <c r="BI717" s="95">
        <v>0.29899999999999999</v>
      </c>
      <c r="BJ717" s="96">
        <v>11.11</v>
      </c>
    </row>
    <row r="718" spans="54:62" ht="15">
      <c r="BB718" s="187">
        <v>43118</v>
      </c>
      <c r="BC718" s="180">
        <v>-0.27500000000000002</v>
      </c>
      <c r="BD718" s="191">
        <v>43118</v>
      </c>
      <c r="BE718" s="192">
        <v>0.26100000000000001</v>
      </c>
      <c r="BH718" s="94">
        <v>43126</v>
      </c>
      <c r="BI718" s="95">
        <v>0.307</v>
      </c>
      <c r="BJ718" s="96">
        <v>11.09</v>
      </c>
    </row>
    <row r="719" spans="54:62" ht="15">
      <c r="BB719" s="187">
        <v>43119</v>
      </c>
      <c r="BC719" s="180">
        <v>-0.27600000000000002</v>
      </c>
      <c r="BD719" s="191">
        <v>43119</v>
      </c>
      <c r="BE719" s="192">
        <v>0.26900000000000002</v>
      </c>
      <c r="BH719" s="94">
        <v>43129</v>
      </c>
      <c r="BI719" s="95">
        <v>0.315</v>
      </c>
      <c r="BJ719" s="96">
        <v>11.08</v>
      </c>
    </row>
    <row r="720" spans="54:62" ht="15">
      <c r="BB720" s="187">
        <v>43122</v>
      </c>
      <c r="BC720" s="180">
        <v>-0.27700000000000002</v>
      </c>
      <c r="BD720" s="191">
        <v>43122</v>
      </c>
      <c r="BE720" s="192">
        <v>0.27400000000000002</v>
      </c>
      <c r="BH720" s="94">
        <v>43130</v>
      </c>
      <c r="BI720" s="95">
        <v>0.32300000000000001</v>
      </c>
      <c r="BJ720" s="96">
        <v>11.08</v>
      </c>
    </row>
    <row r="721" spans="54:62" ht="15">
      <c r="BB721" s="187">
        <v>43123</v>
      </c>
      <c r="BC721" s="180">
        <v>-0.27600000000000002</v>
      </c>
      <c r="BD721" s="191">
        <v>43123</v>
      </c>
      <c r="BE721" s="192">
        <v>0.27800000000000002</v>
      </c>
      <c r="BH721" s="94">
        <v>43131</v>
      </c>
      <c r="BI721" s="95">
        <v>0.33200000000000002</v>
      </c>
      <c r="BJ721" s="96">
        <v>11.07</v>
      </c>
    </row>
    <row r="722" spans="54:62" ht="15">
      <c r="BB722" s="187">
        <v>43124</v>
      </c>
      <c r="BC722" s="180">
        <v>-0.27800000000000002</v>
      </c>
      <c r="BD722" s="191">
        <v>43124</v>
      </c>
      <c r="BE722" s="192">
        <v>0.28100000000000003</v>
      </c>
      <c r="BH722" s="94">
        <v>43132</v>
      </c>
      <c r="BI722" s="95">
        <v>0.34100000000000003</v>
      </c>
      <c r="BJ722" s="96">
        <v>11.07</v>
      </c>
    </row>
    <row r="723" spans="54:62" ht="15">
      <c r="BB723" s="187">
        <v>43125</v>
      </c>
      <c r="BC723" s="180">
        <v>-0.27800000000000002</v>
      </c>
      <c r="BD723" s="191">
        <v>43125</v>
      </c>
      <c r="BE723" s="192">
        <v>0.29899999999999999</v>
      </c>
      <c r="BH723" s="94">
        <v>43133</v>
      </c>
      <c r="BI723" s="95">
        <v>0.35099999999999998</v>
      </c>
      <c r="BJ723" s="96">
        <v>11.07</v>
      </c>
    </row>
    <row r="724" spans="54:62" ht="15">
      <c r="BB724" s="187">
        <v>43126</v>
      </c>
      <c r="BC724" s="180">
        <v>-0.27800000000000002</v>
      </c>
      <c r="BD724" s="191">
        <v>43126</v>
      </c>
      <c r="BE724" s="192">
        <v>0.307</v>
      </c>
      <c r="BH724" s="94">
        <v>43136</v>
      </c>
      <c r="BI724" s="95">
        <v>0.36</v>
      </c>
      <c r="BJ724" s="96">
        <v>11.06</v>
      </c>
    </row>
    <row r="725" spans="54:62" ht="15">
      <c r="BB725" s="187">
        <v>43129</v>
      </c>
      <c r="BC725" s="180">
        <v>-0.27800000000000002</v>
      </c>
      <c r="BD725" s="191">
        <v>43129</v>
      </c>
      <c r="BE725" s="192">
        <v>0.315</v>
      </c>
      <c r="BH725" s="94">
        <v>43137</v>
      </c>
      <c r="BI725" s="95">
        <v>0.36699999999999999</v>
      </c>
      <c r="BJ725" s="96">
        <v>11.06</v>
      </c>
    </row>
    <row r="726" spans="54:62" ht="15">
      <c r="BB726" s="187">
        <v>43130</v>
      </c>
      <c r="BC726" s="180">
        <v>-0.27800000000000002</v>
      </c>
      <c r="BD726" s="191">
        <v>43130</v>
      </c>
      <c r="BE726" s="192">
        <v>0.32300000000000001</v>
      </c>
      <c r="BH726" s="94">
        <v>43138</v>
      </c>
      <c r="BI726" s="95">
        <v>0.374</v>
      </c>
      <c r="BJ726" s="96">
        <v>11.05</v>
      </c>
    </row>
    <row r="727" spans="54:62" ht="15">
      <c r="BB727" s="187">
        <v>43131</v>
      </c>
      <c r="BC727" s="180">
        <v>-0.27900000000000003</v>
      </c>
      <c r="BD727" s="191">
        <v>43131</v>
      </c>
      <c r="BE727" s="192">
        <v>0.33200000000000002</v>
      </c>
      <c r="BH727" s="94">
        <v>43139</v>
      </c>
      <c r="BI727" s="95">
        <v>0.38100000000000001</v>
      </c>
      <c r="BJ727" s="96">
        <v>11.03</v>
      </c>
    </row>
    <row r="728" spans="54:62" ht="15">
      <c r="BB728" s="187">
        <v>43132</v>
      </c>
      <c r="BC728" s="180">
        <v>-0.27800000000000002</v>
      </c>
      <c r="BD728" s="191">
        <v>43132</v>
      </c>
      <c r="BE728" s="192">
        <v>0.34100000000000003</v>
      </c>
      <c r="BH728" s="94">
        <v>43140</v>
      </c>
      <c r="BI728" s="95">
        <v>0.38600000000000001</v>
      </c>
      <c r="BJ728" s="96">
        <v>11.02</v>
      </c>
    </row>
    <row r="729" spans="54:62" ht="15">
      <c r="BB729" s="187">
        <v>43133</v>
      </c>
      <c r="BC729" s="180">
        <v>-0.27800000000000002</v>
      </c>
      <c r="BD729" s="191">
        <v>43133</v>
      </c>
      <c r="BE729" s="192">
        <v>0.35099999999999998</v>
      </c>
      <c r="BH729" s="94">
        <v>43143</v>
      </c>
      <c r="BI729" s="95">
        <v>0.39100000000000001</v>
      </c>
      <c r="BJ729" s="96">
        <v>11.02</v>
      </c>
    </row>
    <row r="730" spans="54:62" ht="15">
      <c r="BB730" s="187">
        <v>43136</v>
      </c>
      <c r="BC730" s="180">
        <v>-0.27800000000000002</v>
      </c>
      <c r="BD730" s="191">
        <v>43136</v>
      </c>
      <c r="BE730" s="192">
        <v>0.36</v>
      </c>
      <c r="BH730" s="94">
        <v>43144</v>
      </c>
      <c r="BI730" s="95">
        <v>0.39600000000000002</v>
      </c>
      <c r="BJ730" s="96">
        <v>11.01</v>
      </c>
    </row>
    <row r="731" spans="54:62" ht="15">
      <c r="BB731" s="187">
        <v>43137</v>
      </c>
      <c r="BC731" s="180">
        <v>-0.27900000000000003</v>
      </c>
      <c r="BD731" s="191">
        <v>43137</v>
      </c>
      <c r="BE731" s="192">
        <v>0.36699999999999999</v>
      </c>
      <c r="BH731" s="94">
        <v>43145</v>
      </c>
      <c r="BI731" s="95">
        <v>0.40200000000000002</v>
      </c>
      <c r="BJ731" s="96">
        <v>11.01</v>
      </c>
    </row>
    <row r="732" spans="54:62" ht="15">
      <c r="BB732" s="187">
        <v>43138</v>
      </c>
      <c r="BC732" s="180">
        <v>-0.27800000000000002</v>
      </c>
      <c r="BD732" s="191">
        <v>43138</v>
      </c>
      <c r="BE732" s="192">
        <v>0.374</v>
      </c>
      <c r="BH732" s="94">
        <v>43146</v>
      </c>
      <c r="BI732" s="95">
        <v>0.40899999999999997</v>
      </c>
      <c r="BJ732" s="96">
        <v>11.01</v>
      </c>
    </row>
    <row r="733" spans="54:62" ht="15">
      <c r="BB733" s="187">
        <v>43139</v>
      </c>
      <c r="BC733" s="180">
        <v>-0.27800000000000002</v>
      </c>
      <c r="BD733" s="191">
        <v>43139</v>
      </c>
      <c r="BE733" s="192">
        <v>0.38100000000000001</v>
      </c>
      <c r="BH733" s="94">
        <v>43147</v>
      </c>
      <c r="BI733" s="95">
        <v>0.41299999999999998</v>
      </c>
      <c r="BJ733" s="96">
        <v>11</v>
      </c>
    </row>
    <row r="734" spans="54:62" ht="15">
      <c r="BB734" s="187">
        <v>43140</v>
      </c>
      <c r="BC734" s="180">
        <v>-0.27800000000000002</v>
      </c>
      <c r="BD734" s="191">
        <v>43140</v>
      </c>
      <c r="BE734" s="192">
        <v>0.38600000000000001</v>
      </c>
      <c r="BH734" s="94">
        <v>43150</v>
      </c>
      <c r="BI734" s="95">
        <v>0.41899999999999998</v>
      </c>
      <c r="BJ734" s="96">
        <v>11</v>
      </c>
    </row>
    <row r="735" spans="54:62" ht="15">
      <c r="BB735" s="187">
        <v>43143</v>
      </c>
      <c r="BC735" s="180">
        <v>-0.27800000000000002</v>
      </c>
      <c r="BD735" s="191">
        <v>43143</v>
      </c>
      <c r="BE735" s="192">
        <v>0.39100000000000001</v>
      </c>
      <c r="BH735" s="94">
        <v>43151</v>
      </c>
      <c r="BI735" s="95">
        <v>0.42499999999999999</v>
      </c>
      <c r="BJ735" s="96">
        <v>10.99</v>
      </c>
    </row>
    <row r="736" spans="54:62" ht="15">
      <c r="BB736" s="187">
        <v>43144</v>
      </c>
      <c r="BC736" s="180">
        <v>-0.27600000000000002</v>
      </c>
      <c r="BD736" s="191">
        <v>43144</v>
      </c>
      <c r="BE736" s="192">
        <v>0.39600000000000002</v>
      </c>
      <c r="BH736" s="94">
        <v>43152</v>
      </c>
      <c r="BI736" s="95">
        <v>0.42899999999999999</v>
      </c>
      <c r="BJ736" s="96">
        <v>10.99</v>
      </c>
    </row>
    <row r="737" spans="54:62" ht="15">
      <c r="BB737" s="187">
        <v>43145</v>
      </c>
      <c r="BC737" s="180">
        <v>-0.27600000000000002</v>
      </c>
      <c r="BD737" s="191">
        <v>43145</v>
      </c>
      <c r="BE737" s="192">
        <v>0.40200000000000002</v>
      </c>
      <c r="BH737" s="94">
        <v>43153</v>
      </c>
      <c r="BI737" s="95">
        <v>0.432</v>
      </c>
      <c r="BJ737" s="96">
        <v>10.99</v>
      </c>
    </row>
    <row r="738" spans="54:62" ht="15">
      <c r="BB738" s="187">
        <v>43146</v>
      </c>
      <c r="BC738" s="180">
        <v>-0.27600000000000002</v>
      </c>
      <c r="BD738" s="191">
        <v>43146</v>
      </c>
      <c r="BE738" s="192">
        <v>0.40899999999999997</v>
      </c>
      <c r="BH738" s="94">
        <v>43154</v>
      </c>
      <c r="BI738" s="95">
        <v>0.433</v>
      </c>
      <c r="BJ738" s="96">
        <v>10.98</v>
      </c>
    </row>
    <row r="739" spans="54:62" ht="15">
      <c r="BB739" s="187">
        <v>43147</v>
      </c>
      <c r="BC739" s="180">
        <v>-0.27400000000000002</v>
      </c>
      <c r="BD739" s="191">
        <v>43147</v>
      </c>
      <c r="BE739" s="192">
        <v>0.41299999999999998</v>
      </c>
      <c r="BH739" s="94">
        <v>43157</v>
      </c>
      <c r="BI739" s="95">
        <v>0.43099999999999999</v>
      </c>
      <c r="BJ739" s="96">
        <v>10.98</v>
      </c>
    </row>
    <row r="740" spans="54:62" ht="15">
      <c r="BB740" s="187">
        <v>43150</v>
      </c>
      <c r="BC740" s="180">
        <v>-0.27400000000000002</v>
      </c>
      <c r="BD740" s="191">
        <v>43150</v>
      </c>
      <c r="BE740" s="192">
        <v>0.41899999999999998</v>
      </c>
      <c r="BH740" s="94">
        <v>43158</v>
      </c>
      <c r="BI740" s="95">
        <v>0.43</v>
      </c>
      <c r="BJ740" s="96">
        <v>10.97</v>
      </c>
    </row>
    <row r="741" spans="54:62" ht="15">
      <c r="BB741" s="187">
        <v>43151</v>
      </c>
      <c r="BC741" s="180">
        <v>-0.27300000000000002</v>
      </c>
      <c r="BD741" s="191">
        <v>43151</v>
      </c>
      <c r="BE741" s="192">
        <v>0.42499999999999999</v>
      </c>
      <c r="BH741" s="94">
        <v>43159</v>
      </c>
      <c r="BI741" s="95">
        <v>0.42799999999999999</v>
      </c>
      <c r="BJ741" s="96">
        <v>10.97</v>
      </c>
    </row>
    <row r="742" spans="54:62" ht="15">
      <c r="BB742" s="187">
        <v>43152</v>
      </c>
      <c r="BC742" s="180">
        <v>-0.27100000000000002</v>
      </c>
      <c r="BD742" s="191">
        <v>43152</v>
      </c>
      <c r="BE742" s="192">
        <v>0.42899999999999999</v>
      </c>
      <c r="BH742" s="94">
        <v>43160</v>
      </c>
      <c r="BI742" s="95">
        <v>0.42499999999999999</v>
      </c>
      <c r="BJ742" s="96">
        <v>10.97</v>
      </c>
    </row>
    <row r="743" spans="54:62" ht="15">
      <c r="BB743" s="187">
        <v>43153</v>
      </c>
      <c r="BC743" s="180">
        <v>-0.27</v>
      </c>
      <c r="BD743" s="191">
        <v>43153</v>
      </c>
      <c r="BE743" s="192">
        <v>0.432</v>
      </c>
      <c r="BH743" s="94">
        <v>43161</v>
      </c>
      <c r="BI743" s="95">
        <v>0.42</v>
      </c>
      <c r="BJ743" s="96">
        <v>10.97</v>
      </c>
    </row>
    <row r="744" spans="54:62" ht="15">
      <c r="BB744" s="187">
        <v>43154</v>
      </c>
      <c r="BC744" s="180">
        <v>-0.27100000000000002</v>
      </c>
      <c r="BD744" s="191">
        <v>43154</v>
      </c>
      <c r="BE744" s="192">
        <v>0.433</v>
      </c>
      <c r="BH744" s="94">
        <v>43164</v>
      </c>
      <c r="BI744" s="95">
        <v>0.41599999999999998</v>
      </c>
      <c r="BJ744" s="96">
        <v>10.96</v>
      </c>
    </row>
    <row r="745" spans="54:62" ht="15">
      <c r="BB745" s="187">
        <v>43157</v>
      </c>
      <c r="BC745" s="180">
        <v>-0.27100000000000002</v>
      </c>
      <c r="BD745" s="191">
        <v>43157</v>
      </c>
      <c r="BE745" s="192">
        <v>0.43099999999999999</v>
      </c>
      <c r="BH745" s="94">
        <v>43165</v>
      </c>
      <c r="BI745" s="95">
        <v>0.41599999999999998</v>
      </c>
      <c r="BJ745" s="96">
        <v>10.95</v>
      </c>
    </row>
    <row r="746" spans="54:62" ht="15">
      <c r="BB746" s="187">
        <v>43158</v>
      </c>
      <c r="BC746" s="180">
        <v>-0.27100000000000002</v>
      </c>
      <c r="BD746" s="191">
        <v>43158</v>
      </c>
      <c r="BE746" s="192">
        <v>0.43</v>
      </c>
      <c r="BH746" s="94">
        <v>43166</v>
      </c>
      <c r="BI746" s="95">
        <v>0.41499999999999998</v>
      </c>
      <c r="BJ746" s="96">
        <v>10.95</v>
      </c>
    </row>
    <row r="747" spans="54:62" ht="15">
      <c r="BB747" s="187">
        <v>43159</v>
      </c>
      <c r="BC747" s="180">
        <v>-0.27</v>
      </c>
      <c r="BD747" s="191">
        <v>43159</v>
      </c>
      <c r="BE747" s="192">
        <v>0.42799999999999999</v>
      </c>
      <c r="BH747" s="94">
        <v>43167</v>
      </c>
      <c r="BI747" s="95">
        <v>0.41199999999999998</v>
      </c>
      <c r="BJ747" s="96">
        <v>10.93</v>
      </c>
    </row>
    <row r="748" spans="54:62" ht="15">
      <c r="BB748" s="187">
        <v>43160</v>
      </c>
      <c r="BC748" s="180">
        <v>-0.27100000000000002</v>
      </c>
      <c r="BD748" s="191">
        <v>43160</v>
      </c>
      <c r="BE748" s="192">
        <v>0.42499999999999999</v>
      </c>
      <c r="BH748" s="94">
        <v>43168</v>
      </c>
      <c r="BI748" s="95">
        <v>0.40899999999999997</v>
      </c>
      <c r="BJ748" s="96">
        <v>10.92</v>
      </c>
    </row>
    <row r="749" spans="54:62" ht="15">
      <c r="BB749" s="187">
        <v>43161</v>
      </c>
      <c r="BC749" s="180">
        <v>-0.27100000000000002</v>
      </c>
      <c r="BD749" s="191">
        <v>43161</v>
      </c>
      <c r="BE749" s="192">
        <v>0.42</v>
      </c>
      <c r="BH749" s="94">
        <v>43171</v>
      </c>
      <c r="BI749" s="95">
        <v>0.40500000000000003</v>
      </c>
      <c r="BJ749" s="96">
        <v>10.91</v>
      </c>
    </row>
    <row r="750" spans="54:62" ht="15">
      <c r="BB750" s="187">
        <v>43164</v>
      </c>
      <c r="BC750" s="180">
        <v>-0.27200000000000002</v>
      </c>
      <c r="BD750" s="191">
        <v>43164</v>
      </c>
      <c r="BE750" s="192">
        <v>0.41599999999999998</v>
      </c>
      <c r="BH750" s="94">
        <v>43172</v>
      </c>
      <c r="BI750" s="95">
        <v>0.40100000000000002</v>
      </c>
      <c r="BJ750" s="96">
        <v>10.91</v>
      </c>
    </row>
    <row r="751" spans="54:62" ht="15">
      <c r="BB751" s="187">
        <v>43165</v>
      </c>
      <c r="BC751" s="180">
        <v>-0.27100000000000002</v>
      </c>
      <c r="BD751" s="191">
        <v>43165</v>
      </c>
      <c r="BE751" s="192">
        <v>0.41599999999999998</v>
      </c>
      <c r="BH751" s="94">
        <v>43173</v>
      </c>
      <c r="BI751" s="95">
        <v>0.39700000000000002</v>
      </c>
      <c r="BJ751" s="96">
        <v>10.91</v>
      </c>
    </row>
    <row r="752" spans="54:62" ht="15">
      <c r="BB752" s="187">
        <v>43166</v>
      </c>
      <c r="BC752" s="180">
        <v>-0.27200000000000002</v>
      </c>
      <c r="BD752" s="191">
        <v>43166</v>
      </c>
      <c r="BE752" s="192">
        <v>0.41499999999999998</v>
      </c>
      <c r="BH752" s="94">
        <v>43174</v>
      </c>
      <c r="BI752" s="95">
        <v>0.44500000000000001</v>
      </c>
      <c r="BJ752" s="96">
        <v>11.49</v>
      </c>
    </row>
    <row r="753" spans="54:62" ht="15">
      <c r="BB753" s="187">
        <v>43167</v>
      </c>
      <c r="BC753" s="180">
        <v>-0.27200000000000002</v>
      </c>
      <c r="BD753" s="191">
        <v>43167</v>
      </c>
      <c r="BE753" s="192">
        <v>0.41199999999999998</v>
      </c>
      <c r="BH753" s="94">
        <v>43175</v>
      </c>
      <c r="BI753" s="95">
        <v>0.439</v>
      </c>
      <c r="BJ753" s="96">
        <v>11.48</v>
      </c>
    </row>
    <row r="754" spans="54:62" ht="15">
      <c r="BB754" s="187">
        <v>43168</v>
      </c>
      <c r="BC754" s="180">
        <v>-0.27100000000000002</v>
      </c>
      <c r="BD754" s="191">
        <v>43168</v>
      </c>
      <c r="BE754" s="192">
        <v>0.40899999999999997</v>
      </c>
      <c r="BH754" s="94">
        <v>43178</v>
      </c>
      <c r="BI754" s="95">
        <v>0.434</v>
      </c>
      <c r="BJ754" s="96">
        <v>11.47</v>
      </c>
    </row>
    <row r="755" spans="54:62" ht="15">
      <c r="BB755" s="187">
        <v>43171</v>
      </c>
      <c r="BC755" s="180">
        <v>-0.27100000000000002</v>
      </c>
      <c r="BD755" s="191">
        <v>43171</v>
      </c>
      <c r="BE755" s="192">
        <v>0.40500000000000003</v>
      </c>
      <c r="BH755" s="94">
        <v>43179</v>
      </c>
      <c r="BI755" s="95">
        <v>0.42799999999999999</v>
      </c>
      <c r="BJ755" s="96">
        <v>11.47</v>
      </c>
    </row>
    <row r="756" spans="54:62" ht="15">
      <c r="BB756" s="187">
        <v>43172</v>
      </c>
      <c r="BC756" s="180">
        <v>-0.27100000000000002</v>
      </c>
      <c r="BD756" s="191">
        <v>43172</v>
      </c>
      <c r="BE756" s="192">
        <v>0.40100000000000002</v>
      </c>
      <c r="BH756" s="94">
        <v>43180</v>
      </c>
      <c r="BI756" s="95">
        <v>0.42299999999999999</v>
      </c>
      <c r="BJ756" s="96">
        <v>11.47</v>
      </c>
    </row>
    <row r="757" spans="54:62" ht="15">
      <c r="BB757" s="187">
        <v>43173</v>
      </c>
      <c r="BC757" s="180">
        <v>-0.27100000000000002</v>
      </c>
      <c r="BD757" s="191">
        <v>43173</v>
      </c>
      <c r="BE757" s="192">
        <v>0.39700000000000002</v>
      </c>
      <c r="BH757" s="94">
        <v>43181</v>
      </c>
      <c r="BI757" s="95">
        <v>0.41599999999999998</v>
      </c>
      <c r="BJ757" s="96">
        <v>11.47</v>
      </c>
    </row>
    <row r="758" spans="54:62" ht="15">
      <c r="BB758" s="187">
        <v>43174</v>
      </c>
      <c r="BC758" s="180">
        <v>-0.27100000000000002</v>
      </c>
      <c r="BD758" s="191">
        <v>43174</v>
      </c>
      <c r="BE758" s="192">
        <v>0.44500000000000001</v>
      </c>
      <c r="BH758" s="94">
        <v>43182</v>
      </c>
      <c r="BI758" s="95">
        <v>0.41</v>
      </c>
      <c r="BJ758" s="96">
        <v>11.46</v>
      </c>
    </row>
    <row r="759" spans="54:62" ht="15">
      <c r="BB759" s="187">
        <v>43175</v>
      </c>
      <c r="BC759" s="180">
        <v>-0.27200000000000002</v>
      </c>
      <c r="BD759" s="191">
        <v>43175</v>
      </c>
      <c r="BE759" s="192">
        <v>0.439</v>
      </c>
      <c r="BH759" s="94">
        <v>43185</v>
      </c>
      <c r="BI759" s="95">
        <v>0.40500000000000003</v>
      </c>
      <c r="BJ759" s="96">
        <v>11.45</v>
      </c>
    </row>
    <row r="760" spans="54:62" ht="15">
      <c r="BB760" s="187">
        <v>43178</v>
      </c>
      <c r="BC760" s="180">
        <v>-0.27200000000000002</v>
      </c>
      <c r="BD760" s="191">
        <v>43178</v>
      </c>
      <c r="BE760" s="192">
        <v>0.434</v>
      </c>
      <c r="BH760" s="94">
        <v>43186</v>
      </c>
      <c r="BI760" s="95">
        <v>0.39900000000000002</v>
      </c>
      <c r="BJ760" s="96">
        <v>11.45</v>
      </c>
    </row>
    <row r="761" spans="54:62" ht="15">
      <c r="BB761" s="187">
        <v>43179</v>
      </c>
      <c r="BC761" s="180">
        <v>-0.27300000000000002</v>
      </c>
      <c r="BD761" s="191">
        <v>43179</v>
      </c>
      <c r="BE761" s="192">
        <v>0.42799999999999999</v>
      </c>
      <c r="BH761" s="94">
        <v>43187</v>
      </c>
      <c r="BI761" s="95">
        <v>0.39300000000000002</v>
      </c>
      <c r="BJ761" s="96">
        <v>11.45</v>
      </c>
    </row>
    <row r="762" spans="54:62" ht="15">
      <c r="BB762" s="187">
        <v>43180</v>
      </c>
      <c r="BC762" s="180">
        <v>-0.27200000000000002</v>
      </c>
      <c r="BD762" s="191">
        <v>43180</v>
      </c>
      <c r="BE762" s="192">
        <v>0.42299999999999999</v>
      </c>
      <c r="BH762" s="94">
        <v>43188</v>
      </c>
      <c r="BI762" s="95">
        <v>0.38800000000000001</v>
      </c>
      <c r="BJ762" s="96">
        <v>11.45</v>
      </c>
    </row>
    <row r="763" spans="54:62" ht="15">
      <c r="BB763" s="187">
        <v>43181</v>
      </c>
      <c r="BC763" s="180">
        <v>-0.27100000000000002</v>
      </c>
      <c r="BD763" s="191">
        <v>43181</v>
      </c>
      <c r="BE763" s="192">
        <v>0.41599999999999998</v>
      </c>
      <c r="BH763" s="94">
        <v>43189</v>
      </c>
      <c r="BI763" s="95">
        <v>0.38600000000000001</v>
      </c>
      <c r="BJ763" s="96">
        <v>11.44</v>
      </c>
    </row>
    <row r="764" spans="54:62" ht="15">
      <c r="BB764" s="187">
        <v>43182</v>
      </c>
      <c r="BC764" s="180">
        <v>-0.27</v>
      </c>
      <c r="BD764" s="191">
        <v>43182</v>
      </c>
      <c r="BE764" s="192">
        <v>0.41</v>
      </c>
      <c r="BH764" s="94">
        <v>43193</v>
      </c>
      <c r="BI764" s="95">
        <v>0.38100000000000001</v>
      </c>
      <c r="BJ764" s="96">
        <v>11.43</v>
      </c>
    </row>
    <row r="765" spans="54:62" ht="15">
      <c r="BB765" s="187">
        <v>43185</v>
      </c>
      <c r="BC765" s="180">
        <v>-0.27100000000000002</v>
      </c>
      <c r="BD765" s="191">
        <v>43185</v>
      </c>
      <c r="BE765" s="192">
        <v>0.40500000000000003</v>
      </c>
      <c r="BH765" s="94">
        <v>43194</v>
      </c>
      <c r="BI765" s="95">
        <v>0.374</v>
      </c>
      <c r="BJ765" s="96">
        <v>11.43</v>
      </c>
    </row>
    <row r="766" spans="54:62" ht="15">
      <c r="BB766" s="187">
        <v>43186</v>
      </c>
      <c r="BC766" s="180">
        <v>-0.27100000000000002</v>
      </c>
      <c r="BD766" s="191">
        <v>43186</v>
      </c>
      <c r="BE766" s="192">
        <v>0.39900000000000002</v>
      </c>
      <c r="BH766" s="94">
        <v>43195</v>
      </c>
      <c r="BI766" s="95">
        <v>0.36899999999999999</v>
      </c>
      <c r="BJ766" s="96">
        <v>11.43</v>
      </c>
    </row>
    <row r="767" spans="54:62" ht="15">
      <c r="BB767" s="187">
        <v>43187</v>
      </c>
      <c r="BC767" s="180">
        <v>-0.27100000000000002</v>
      </c>
      <c r="BD767" s="191">
        <v>43187</v>
      </c>
      <c r="BE767" s="192">
        <v>0.39300000000000002</v>
      </c>
      <c r="BH767" s="94">
        <v>43196</v>
      </c>
      <c r="BI767" s="95">
        <v>0.36299999999999999</v>
      </c>
      <c r="BJ767" s="96">
        <v>11.42</v>
      </c>
    </row>
    <row r="768" spans="54:62" ht="15">
      <c r="BB768" s="187">
        <v>43188</v>
      </c>
      <c r="BC768" s="180">
        <v>-0.27100000000000002</v>
      </c>
      <c r="BD768" s="191">
        <v>43188</v>
      </c>
      <c r="BE768" s="192">
        <v>0.38800000000000001</v>
      </c>
      <c r="BH768" s="94">
        <v>43199</v>
      </c>
      <c r="BI768" s="95">
        <v>0.35799999999999998</v>
      </c>
      <c r="BJ768" s="96">
        <v>11.42</v>
      </c>
    </row>
    <row r="769" spans="54:62" ht="15">
      <c r="BB769" s="187">
        <v>43189</v>
      </c>
      <c r="BC769" s="180">
        <v>-0.27100000000000002</v>
      </c>
      <c r="BD769" s="191">
        <v>43189</v>
      </c>
      <c r="BE769" s="192">
        <v>0.38600000000000001</v>
      </c>
      <c r="BH769" s="94">
        <v>43200</v>
      </c>
      <c r="BI769" s="95">
        <v>0.35399999999999998</v>
      </c>
      <c r="BJ769" s="96">
        <v>11.41</v>
      </c>
    </row>
    <row r="770" spans="54:62" ht="15">
      <c r="BB770" s="187">
        <v>43192</v>
      </c>
      <c r="BC770" s="180">
        <v>-0.27100000000000002</v>
      </c>
      <c r="BD770" s="191"/>
      <c r="BE770" s="193">
        <f>+BE769</f>
        <v>0.38600000000000001</v>
      </c>
      <c r="BH770" s="94">
        <v>43201</v>
      </c>
      <c r="BI770" s="95">
        <v>0.35</v>
      </c>
      <c r="BJ770" s="96">
        <v>11.41</v>
      </c>
    </row>
    <row r="771" spans="54:62" ht="15">
      <c r="BB771" s="187">
        <v>43193</v>
      </c>
      <c r="BC771" s="180">
        <v>-0.27</v>
      </c>
      <c r="BD771" s="191">
        <v>43193</v>
      </c>
      <c r="BE771" s="192">
        <v>0.38100000000000001</v>
      </c>
      <c r="BH771" s="94">
        <v>43202</v>
      </c>
      <c r="BI771" s="95">
        <v>0.35</v>
      </c>
      <c r="BJ771" s="96">
        <v>11.42</v>
      </c>
    </row>
    <row r="772" spans="54:62" ht="15">
      <c r="BB772" s="187">
        <v>43194</v>
      </c>
      <c r="BC772" s="180">
        <v>-0.27100000000000002</v>
      </c>
      <c r="BD772" s="191">
        <v>43194</v>
      </c>
      <c r="BE772" s="192">
        <v>0.374</v>
      </c>
      <c r="BH772" s="94">
        <v>43203</v>
      </c>
      <c r="BI772" s="95">
        <v>0.34699999999999998</v>
      </c>
      <c r="BJ772" s="96">
        <v>11.42</v>
      </c>
    </row>
    <row r="773" spans="54:62" ht="15">
      <c r="BB773" s="187">
        <v>43195</v>
      </c>
      <c r="BC773" s="180">
        <v>-0.27100000000000002</v>
      </c>
      <c r="BD773" s="191">
        <v>43195</v>
      </c>
      <c r="BE773" s="192">
        <v>0.36899999999999999</v>
      </c>
      <c r="BH773" s="94">
        <v>43206</v>
      </c>
      <c r="BI773" s="95">
        <v>0.34599999999999997</v>
      </c>
      <c r="BJ773" s="96">
        <v>11.41</v>
      </c>
    </row>
    <row r="774" spans="54:62" ht="15">
      <c r="BB774" s="187">
        <v>43196</v>
      </c>
      <c r="BC774" s="180">
        <v>-0.27</v>
      </c>
      <c r="BD774" s="191">
        <v>43196</v>
      </c>
      <c r="BE774" s="192">
        <v>0.36299999999999999</v>
      </c>
      <c r="BH774" s="94">
        <v>43207</v>
      </c>
      <c r="BI774" s="95">
        <v>0.34499999999999997</v>
      </c>
      <c r="BJ774" s="96">
        <v>11.4</v>
      </c>
    </row>
    <row r="775" spans="54:62" ht="15">
      <c r="BB775" s="187">
        <v>43199</v>
      </c>
      <c r="BC775" s="180">
        <v>-0.27</v>
      </c>
      <c r="BD775" s="191">
        <v>43199</v>
      </c>
      <c r="BE775" s="192">
        <v>0.35799999999999998</v>
      </c>
      <c r="BH775" s="94">
        <v>43208</v>
      </c>
      <c r="BI775" s="95">
        <v>0.34200000000000003</v>
      </c>
      <c r="BJ775" s="96">
        <v>11.4</v>
      </c>
    </row>
    <row r="776" spans="54:62" ht="15">
      <c r="BB776" s="187">
        <v>43200</v>
      </c>
      <c r="BC776" s="180">
        <v>-0.27100000000000002</v>
      </c>
      <c r="BD776" s="191">
        <v>43200</v>
      </c>
      <c r="BE776" s="192">
        <v>0.35399999999999998</v>
      </c>
      <c r="BH776" s="94">
        <v>43209</v>
      </c>
      <c r="BI776" s="95">
        <v>0.34200000000000003</v>
      </c>
      <c r="BJ776" s="96">
        <v>11.4</v>
      </c>
    </row>
    <row r="777" spans="54:62" ht="15">
      <c r="BB777" s="187">
        <v>43201</v>
      </c>
      <c r="BC777" s="180">
        <v>-0.27</v>
      </c>
      <c r="BD777" s="191">
        <v>43201</v>
      </c>
      <c r="BE777" s="192">
        <v>0.35</v>
      </c>
      <c r="BH777" s="94">
        <v>43210</v>
      </c>
      <c r="BI777" s="95">
        <v>0.34499999999999997</v>
      </c>
      <c r="BJ777" s="96">
        <v>11.4</v>
      </c>
    </row>
    <row r="778" spans="54:62" ht="15">
      <c r="BB778" s="187">
        <v>43202</v>
      </c>
      <c r="BC778" s="180">
        <v>-0.27100000000000002</v>
      </c>
      <c r="BD778" s="191">
        <v>43202</v>
      </c>
      <c r="BE778" s="192">
        <v>0.35</v>
      </c>
      <c r="BH778" s="94">
        <v>43213</v>
      </c>
      <c r="BI778" s="95">
        <v>0.34799999999999998</v>
      </c>
      <c r="BJ778" s="96">
        <v>11.39</v>
      </c>
    </row>
    <row r="779" spans="54:62" ht="15">
      <c r="BB779" s="187">
        <v>43203</v>
      </c>
      <c r="BC779" s="180">
        <v>-0.27100000000000002</v>
      </c>
      <c r="BD779" s="191">
        <v>43203</v>
      </c>
      <c r="BE779" s="192">
        <v>0.34699999999999998</v>
      </c>
      <c r="BH779" s="94">
        <v>43214</v>
      </c>
      <c r="BI779" s="95">
        <v>0.35199999999999998</v>
      </c>
      <c r="BJ779" s="96">
        <v>11.39</v>
      </c>
    </row>
    <row r="780" spans="54:62" ht="15">
      <c r="BB780" s="187">
        <v>43206</v>
      </c>
      <c r="BC780" s="180">
        <v>-0.27</v>
      </c>
      <c r="BD780" s="191">
        <v>43206</v>
      </c>
      <c r="BE780" s="192">
        <v>0.34599999999999997</v>
      </c>
      <c r="BH780" s="94">
        <v>43215</v>
      </c>
      <c r="BI780" s="95">
        <v>0.35599999999999998</v>
      </c>
      <c r="BJ780" s="96">
        <v>11.38</v>
      </c>
    </row>
    <row r="781" spans="54:62" ht="15">
      <c r="BB781" s="187">
        <v>43207</v>
      </c>
      <c r="BC781" s="180">
        <v>-0.27</v>
      </c>
      <c r="BD781" s="191">
        <v>43207</v>
      </c>
      <c r="BE781" s="192">
        <v>0.34499999999999997</v>
      </c>
      <c r="BH781" s="94">
        <v>43216</v>
      </c>
      <c r="BI781" s="95">
        <v>0.36</v>
      </c>
      <c r="BJ781" s="96">
        <v>11.38</v>
      </c>
    </row>
    <row r="782" spans="54:62" ht="15">
      <c r="BB782" s="187">
        <v>43208</v>
      </c>
      <c r="BC782" s="180">
        <v>-0.27100000000000002</v>
      </c>
      <c r="BD782" s="191">
        <v>43208</v>
      </c>
      <c r="BE782" s="192">
        <v>0.34200000000000003</v>
      </c>
      <c r="BH782" s="94">
        <v>43217</v>
      </c>
      <c r="BI782" s="95">
        <v>0.36299999999999999</v>
      </c>
      <c r="BJ782" s="96">
        <v>11.38</v>
      </c>
    </row>
    <row r="783" spans="54:62" ht="15">
      <c r="BB783" s="187">
        <v>43209</v>
      </c>
      <c r="BC783" s="180">
        <v>-0.27</v>
      </c>
      <c r="BD783" s="191">
        <v>43209</v>
      </c>
      <c r="BE783" s="192">
        <v>0.34200000000000003</v>
      </c>
      <c r="BH783" s="94">
        <v>43220</v>
      </c>
      <c r="BI783" s="95">
        <v>0.36299999999999999</v>
      </c>
      <c r="BJ783" s="96">
        <v>11.37</v>
      </c>
    </row>
    <row r="784" spans="54:62" ht="15">
      <c r="BB784" s="187">
        <v>43210</v>
      </c>
      <c r="BC784" s="180">
        <v>-0.27100000000000002</v>
      </c>
      <c r="BD784" s="191">
        <v>43210</v>
      </c>
      <c r="BE784" s="192">
        <v>0.34499999999999997</v>
      </c>
      <c r="BH784" s="94">
        <v>43222</v>
      </c>
      <c r="BI784" s="95">
        <v>0.36499999999999999</v>
      </c>
      <c r="BJ784" s="96">
        <v>11.36</v>
      </c>
    </row>
    <row r="785" spans="54:62" ht="15">
      <c r="BB785" s="187">
        <v>43213</v>
      </c>
      <c r="BC785" s="180">
        <v>-0.27</v>
      </c>
      <c r="BD785" s="191">
        <v>43213</v>
      </c>
      <c r="BE785" s="192">
        <v>0.34799999999999998</v>
      </c>
      <c r="BH785" s="94">
        <v>43223</v>
      </c>
      <c r="BI785" s="95">
        <v>0.36699999999999999</v>
      </c>
      <c r="BJ785" s="96">
        <v>11.36</v>
      </c>
    </row>
    <row r="786" spans="54:62" ht="15">
      <c r="BB786" s="187">
        <v>43214</v>
      </c>
      <c r="BC786" s="180">
        <v>-0.27</v>
      </c>
      <c r="BD786" s="191">
        <v>43214</v>
      </c>
      <c r="BE786" s="192">
        <v>0.35199999999999998</v>
      </c>
      <c r="BH786" s="94">
        <v>43224</v>
      </c>
      <c r="BI786" s="95">
        <v>0.36799999999999999</v>
      </c>
      <c r="BJ786" s="96">
        <v>11.36</v>
      </c>
    </row>
    <row r="787" spans="54:62" ht="15">
      <c r="BB787" s="187">
        <v>43215</v>
      </c>
      <c r="BC787" s="180">
        <v>-0.27</v>
      </c>
      <c r="BD787" s="191">
        <v>43215</v>
      </c>
      <c r="BE787" s="192">
        <v>0.35599999999999998</v>
      </c>
      <c r="BH787" s="94">
        <v>43227</v>
      </c>
      <c r="BI787" s="95">
        <v>0.36799999999999999</v>
      </c>
      <c r="BJ787" s="96">
        <v>11.35</v>
      </c>
    </row>
    <row r="788" spans="54:62" ht="15">
      <c r="BB788" s="187">
        <v>43216</v>
      </c>
      <c r="BC788" s="180">
        <v>-0.26900000000000002</v>
      </c>
      <c r="BD788" s="191">
        <v>43216</v>
      </c>
      <c r="BE788" s="192">
        <v>0.36</v>
      </c>
      <c r="BH788" s="94">
        <v>43228</v>
      </c>
      <c r="BI788" s="95">
        <v>0.36899999999999999</v>
      </c>
      <c r="BJ788" s="96">
        <v>11.35</v>
      </c>
    </row>
    <row r="789" spans="54:62" ht="15">
      <c r="BB789" s="187">
        <v>43217</v>
      </c>
      <c r="BC789" s="180">
        <v>-0.26900000000000002</v>
      </c>
      <c r="BD789" s="191">
        <v>43217</v>
      </c>
      <c r="BE789" s="192">
        <v>0.36299999999999999</v>
      </c>
      <c r="BH789" s="94">
        <v>43229</v>
      </c>
      <c r="BI789" s="95">
        <v>0.372</v>
      </c>
      <c r="BJ789" s="96">
        <v>11.34</v>
      </c>
    </row>
    <row r="790" spans="54:62" ht="15">
      <c r="BB790" s="187">
        <v>43220</v>
      </c>
      <c r="BC790" s="180">
        <v>-0.26900000000000002</v>
      </c>
      <c r="BD790" s="191">
        <v>43220</v>
      </c>
      <c r="BE790" s="192">
        <v>0.36299999999999999</v>
      </c>
      <c r="BH790" s="94">
        <v>43231</v>
      </c>
      <c r="BI790" s="95">
        <v>0.377</v>
      </c>
      <c r="BJ790" s="96">
        <v>11.37</v>
      </c>
    </row>
    <row r="791" spans="54:62" ht="15">
      <c r="BB791" s="187">
        <v>43221</v>
      </c>
      <c r="BC791" s="180">
        <v>-0.26900000000000002</v>
      </c>
      <c r="BD791" s="191"/>
      <c r="BE791" s="193">
        <f>+BE790</f>
        <v>0.36299999999999999</v>
      </c>
      <c r="BF791" s="111">
        <f>+(BC791+BE791)/2+0.37</f>
        <v>0.41699999999999998</v>
      </c>
      <c r="BH791" s="94">
        <v>43234</v>
      </c>
      <c r="BI791" s="95">
        <v>0.38</v>
      </c>
      <c r="BJ791" s="96">
        <v>11.36</v>
      </c>
    </row>
    <row r="792" spans="54:62" ht="15">
      <c r="BB792" s="187">
        <v>43222</v>
      </c>
      <c r="BC792" s="180">
        <v>-0.26900000000000002</v>
      </c>
      <c r="BD792" s="191">
        <v>43222</v>
      </c>
      <c r="BE792" s="192">
        <v>0.36499999999999999</v>
      </c>
      <c r="BH792" s="94">
        <v>43235</v>
      </c>
      <c r="BI792" s="95">
        <v>0.38500000000000001</v>
      </c>
      <c r="BJ792" s="96">
        <v>11.36</v>
      </c>
    </row>
    <row r="793" spans="54:62" ht="15">
      <c r="BB793" s="187">
        <v>43223</v>
      </c>
      <c r="BC793" s="180">
        <v>-0.26900000000000002</v>
      </c>
      <c r="BD793" s="191">
        <v>43223</v>
      </c>
      <c r="BE793" s="192">
        <v>0.36699999999999999</v>
      </c>
      <c r="BH793" s="94">
        <v>43236</v>
      </c>
      <c r="BI793" s="95">
        <v>0.38700000000000001</v>
      </c>
      <c r="BJ793" s="96">
        <v>11.35</v>
      </c>
    </row>
    <row r="794" spans="54:62" ht="15">
      <c r="BB794" s="187">
        <v>43224</v>
      </c>
      <c r="BC794" s="180">
        <v>-0.26900000000000002</v>
      </c>
      <c r="BD794" s="191">
        <v>43224</v>
      </c>
      <c r="BE794" s="192">
        <v>0.36799999999999999</v>
      </c>
      <c r="BH794" s="94">
        <v>43237</v>
      </c>
      <c r="BI794" s="95">
        <v>0.39100000000000001</v>
      </c>
      <c r="BJ794" s="96">
        <v>11.35</v>
      </c>
    </row>
    <row r="795" spans="54:62" ht="15">
      <c r="BB795" s="187">
        <v>43227</v>
      </c>
      <c r="BC795" s="180">
        <v>-0.26900000000000002</v>
      </c>
      <c r="BD795" s="191">
        <v>43227</v>
      </c>
      <c r="BE795" s="192">
        <v>0.36799999999999999</v>
      </c>
      <c r="BH795" s="94">
        <v>43238</v>
      </c>
      <c r="BI795" s="95">
        <v>0.39500000000000002</v>
      </c>
      <c r="BJ795" s="96">
        <v>11.35</v>
      </c>
    </row>
    <row r="796" spans="54:62" ht="15">
      <c r="BB796" s="187">
        <v>43228</v>
      </c>
      <c r="BC796" s="180">
        <v>-0.26900000000000002</v>
      </c>
      <c r="BD796" s="191">
        <v>43228</v>
      </c>
      <c r="BE796" s="192">
        <v>0.36899999999999999</v>
      </c>
      <c r="BH796" s="94">
        <v>43242</v>
      </c>
      <c r="BI796" s="95">
        <v>0.39500000000000002</v>
      </c>
      <c r="BJ796" s="96">
        <v>11.34</v>
      </c>
    </row>
    <row r="797" spans="54:62" ht="15">
      <c r="BB797" s="187">
        <v>43229</v>
      </c>
      <c r="BC797" s="180">
        <v>-0.26900000000000002</v>
      </c>
      <c r="BD797" s="191">
        <v>43229</v>
      </c>
      <c r="BE797" s="192">
        <v>0.372</v>
      </c>
      <c r="BH797" s="94">
        <v>43243</v>
      </c>
      <c r="BI797" s="95">
        <v>0.39200000000000002</v>
      </c>
      <c r="BJ797" s="96">
        <v>11.34</v>
      </c>
    </row>
    <row r="798" spans="54:62" ht="15">
      <c r="BB798" s="187">
        <v>43230</v>
      </c>
      <c r="BC798" s="180">
        <v>-0.27100000000000002</v>
      </c>
      <c r="BD798" s="191"/>
      <c r="BE798" s="193">
        <f>+BE797</f>
        <v>0.372</v>
      </c>
      <c r="BH798" s="94">
        <v>43244</v>
      </c>
      <c r="BI798" s="95">
        <v>0.39</v>
      </c>
      <c r="BJ798" s="96">
        <v>11.33</v>
      </c>
    </row>
    <row r="799" spans="54:62" ht="15">
      <c r="BB799" s="187">
        <v>43231</v>
      </c>
      <c r="BC799" s="180">
        <v>-0.27100000000000002</v>
      </c>
      <c r="BD799" s="191">
        <v>43231</v>
      </c>
      <c r="BE799" s="192">
        <v>0.377</v>
      </c>
      <c r="BH799" s="94">
        <v>43245</v>
      </c>
      <c r="BI799" s="95">
        <v>0.38500000000000001</v>
      </c>
      <c r="BJ799" s="96">
        <v>11.33</v>
      </c>
    </row>
    <row r="800" spans="54:62" ht="15">
      <c r="BB800" s="187">
        <v>43234</v>
      </c>
      <c r="BC800" s="180">
        <v>-0.27100000000000002</v>
      </c>
      <c r="BD800" s="191">
        <v>43234</v>
      </c>
      <c r="BE800" s="192">
        <v>0.38</v>
      </c>
      <c r="BH800" s="94">
        <v>43248</v>
      </c>
      <c r="BI800" s="95">
        <v>0.378</v>
      </c>
      <c r="BJ800" s="96">
        <v>11.32</v>
      </c>
    </row>
    <row r="801" spans="54:62" ht="15">
      <c r="BB801" s="187">
        <v>43235</v>
      </c>
      <c r="BC801" s="180">
        <v>-0.27100000000000002</v>
      </c>
      <c r="BD801" s="191">
        <v>43235</v>
      </c>
      <c r="BE801" s="192">
        <v>0.38500000000000001</v>
      </c>
      <c r="BH801" s="94">
        <v>43249</v>
      </c>
      <c r="BI801" s="95">
        <v>0.37</v>
      </c>
      <c r="BJ801" s="96">
        <v>11.32</v>
      </c>
    </row>
    <row r="802" spans="54:62" ht="15">
      <c r="BB802" s="187">
        <v>43236</v>
      </c>
      <c r="BC802" s="180">
        <v>-0.27200000000000002</v>
      </c>
      <c r="BD802" s="191">
        <v>43236</v>
      </c>
      <c r="BE802" s="192">
        <v>0.38700000000000001</v>
      </c>
      <c r="BH802" s="94">
        <v>43250</v>
      </c>
      <c r="BI802" s="95">
        <v>0.36599999999999999</v>
      </c>
      <c r="BJ802" s="96">
        <v>11.32</v>
      </c>
    </row>
    <row r="803" spans="54:62" ht="15">
      <c r="BB803" s="187">
        <v>43237</v>
      </c>
      <c r="BC803" s="180">
        <v>-0.27</v>
      </c>
      <c r="BD803" s="191">
        <v>43237</v>
      </c>
      <c r="BE803" s="192">
        <v>0.39100000000000001</v>
      </c>
      <c r="BH803" s="94">
        <v>43252</v>
      </c>
      <c r="BI803" s="95">
        <v>0.36199999999999999</v>
      </c>
      <c r="BJ803" s="96">
        <v>11.31</v>
      </c>
    </row>
    <row r="804" spans="54:62" ht="15">
      <c r="BB804" s="187">
        <v>43238</v>
      </c>
      <c r="BC804" s="180">
        <v>-0.27100000000000002</v>
      </c>
      <c r="BD804" s="191">
        <v>43238</v>
      </c>
      <c r="BE804" s="192">
        <v>0.39500000000000002</v>
      </c>
      <c r="BH804" s="94">
        <v>43255</v>
      </c>
      <c r="BI804" s="95">
        <v>0.35799999999999998</v>
      </c>
      <c r="BJ804" s="96">
        <v>11.3</v>
      </c>
    </row>
    <row r="805" spans="54:62" ht="15">
      <c r="BB805" s="187">
        <v>43241</v>
      </c>
      <c r="BC805" s="180">
        <v>-0.27</v>
      </c>
      <c r="BD805" s="191"/>
      <c r="BE805" s="193">
        <f>+BE804</f>
        <v>0.39500000000000002</v>
      </c>
      <c r="BH805" s="94">
        <v>43256</v>
      </c>
      <c r="BI805" s="95">
        <v>0.35399999999999998</v>
      </c>
      <c r="BJ805" s="96">
        <v>11.3</v>
      </c>
    </row>
    <row r="806" spans="54:62" ht="15">
      <c r="BB806" s="187">
        <v>43242</v>
      </c>
      <c r="BC806" s="180">
        <v>-0.27100000000000002</v>
      </c>
      <c r="BD806" s="191">
        <v>43242</v>
      </c>
      <c r="BE806" s="192">
        <v>0.39500000000000002</v>
      </c>
      <c r="BH806" s="94">
        <v>43257</v>
      </c>
      <c r="BI806" s="95">
        <v>0.35299999999999998</v>
      </c>
      <c r="BJ806" s="96">
        <v>11.3</v>
      </c>
    </row>
    <row r="807" spans="54:62" ht="15">
      <c r="BB807" s="187">
        <v>43243</v>
      </c>
      <c r="BC807" s="180">
        <v>-0.27</v>
      </c>
      <c r="BD807" s="191">
        <v>43243</v>
      </c>
      <c r="BE807" s="192">
        <v>0.39200000000000002</v>
      </c>
      <c r="BH807" s="94">
        <v>43258</v>
      </c>
      <c r="BI807" s="95">
        <v>0.35399999999999998</v>
      </c>
      <c r="BJ807" s="96">
        <v>11.27</v>
      </c>
    </row>
    <row r="808" spans="54:62" ht="15">
      <c r="BB808" s="187">
        <v>43244</v>
      </c>
      <c r="BC808" s="180">
        <v>-0.27100000000000002</v>
      </c>
      <c r="BD808" s="191">
        <v>43244</v>
      </c>
      <c r="BE808" s="192">
        <v>0.39</v>
      </c>
      <c r="BH808" s="94">
        <v>43259</v>
      </c>
      <c r="BI808" s="95">
        <v>0.35199999999999998</v>
      </c>
      <c r="BJ808" s="96">
        <v>11.27</v>
      </c>
    </row>
    <row r="809" spans="54:62" ht="15">
      <c r="BB809" s="187">
        <v>43245</v>
      </c>
      <c r="BC809" s="180">
        <v>-0.27100000000000002</v>
      </c>
      <c r="BD809" s="191">
        <v>43245</v>
      </c>
      <c r="BE809" s="192">
        <v>0.38500000000000001</v>
      </c>
      <c r="BH809" s="94">
        <v>43262</v>
      </c>
      <c r="BI809" s="95">
        <v>0.35099999999999998</v>
      </c>
      <c r="BJ809" s="96">
        <v>11.26</v>
      </c>
    </row>
    <row r="810" spans="54:62" ht="15">
      <c r="BB810" s="187">
        <v>43248</v>
      </c>
      <c r="BC810" s="180">
        <v>-0.26900000000000002</v>
      </c>
      <c r="BD810" s="191">
        <v>43248</v>
      </c>
      <c r="BE810" s="192">
        <v>0.378</v>
      </c>
      <c r="BH810" s="94">
        <v>43263</v>
      </c>
      <c r="BI810" s="95">
        <v>0.35199999999999998</v>
      </c>
      <c r="BJ810" s="96">
        <v>11.26</v>
      </c>
    </row>
    <row r="811" spans="54:62" ht="15">
      <c r="BB811" s="187">
        <v>43249</v>
      </c>
      <c r="BC811" s="180">
        <v>-0.26900000000000002</v>
      </c>
      <c r="BD811" s="191">
        <v>43249</v>
      </c>
      <c r="BE811" s="192">
        <v>0.37</v>
      </c>
      <c r="BH811" s="94">
        <v>43264</v>
      </c>
      <c r="BI811" s="95">
        <v>0.34899999999999998</v>
      </c>
      <c r="BJ811" s="96">
        <v>11.26</v>
      </c>
    </row>
    <row r="812" spans="54:62" ht="15">
      <c r="BB812" s="187">
        <v>43250</v>
      </c>
      <c r="BC812" s="180">
        <v>-0.26900000000000002</v>
      </c>
      <c r="BD812" s="191">
        <v>43250</v>
      </c>
      <c r="BE812" s="192">
        <v>0.36599999999999999</v>
      </c>
      <c r="BH812" s="94">
        <v>43265</v>
      </c>
      <c r="BI812" s="95">
        <v>0.34399999999999997</v>
      </c>
      <c r="BJ812" s="96">
        <v>11.25</v>
      </c>
    </row>
    <row r="813" spans="54:62" ht="15">
      <c r="BB813" s="187">
        <v>43251</v>
      </c>
      <c r="BC813" s="180">
        <v>-0.26900000000000002</v>
      </c>
      <c r="BD813" s="191"/>
      <c r="BE813" s="193">
        <f>+BE812</f>
        <v>0.36599999999999999</v>
      </c>
      <c r="BH813" s="94">
        <v>43266</v>
      </c>
      <c r="BI813" s="95">
        <v>0.33700000000000002</v>
      </c>
      <c r="BJ813" s="96">
        <v>11.25</v>
      </c>
    </row>
    <row r="814" spans="54:62" ht="15">
      <c r="BB814" s="187">
        <v>43252</v>
      </c>
      <c r="BC814" s="180">
        <v>-0.26900000000000002</v>
      </c>
      <c r="BD814" s="191">
        <v>43252</v>
      </c>
      <c r="BE814" s="192">
        <v>0.36199999999999999</v>
      </c>
      <c r="BH814" s="94">
        <v>43269</v>
      </c>
      <c r="BI814" s="95">
        <v>0.36199999999999999</v>
      </c>
      <c r="BJ814" s="96">
        <v>11.63</v>
      </c>
    </row>
    <row r="815" spans="54:62" ht="15">
      <c r="BB815" s="187">
        <v>43255</v>
      </c>
      <c r="BC815" s="180">
        <v>-0.26900000000000002</v>
      </c>
      <c r="BD815" s="191">
        <v>43255</v>
      </c>
      <c r="BE815" s="192">
        <v>0.35799999999999998</v>
      </c>
      <c r="BH815" s="94">
        <v>43270</v>
      </c>
      <c r="BI815" s="95">
        <v>0.35299999999999998</v>
      </c>
      <c r="BJ815" s="96">
        <v>11.63</v>
      </c>
    </row>
    <row r="816" spans="54:62" ht="15">
      <c r="BB816" s="187">
        <v>43256</v>
      </c>
      <c r="BC816" s="180">
        <v>-0.26900000000000002</v>
      </c>
      <c r="BD816" s="191">
        <v>43256</v>
      </c>
      <c r="BE816" s="192">
        <v>0.35399999999999998</v>
      </c>
      <c r="BH816" s="94">
        <v>43271</v>
      </c>
      <c r="BI816" s="95">
        <v>0.34699999999999998</v>
      </c>
      <c r="BJ816" s="96">
        <v>11.63</v>
      </c>
    </row>
    <row r="817" spans="54:62" ht="15">
      <c r="BB817" s="187">
        <v>43257</v>
      </c>
      <c r="BC817" s="180">
        <v>-0.26900000000000002</v>
      </c>
      <c r="BD817" s="191">
        <v>43257</v>
      </c>
      <c r="BE817" s="192">
        <v>0.35299999999999998</v>
      </c>
      <c r="BH817" s="94">
        <v>43272</v>
      </c>
      <c r="BI817" s="95">
        <v>0.34</v>
      </c>
      <c r="BJ817" s="96">
        <v>11.63</v>
      </c>
    </row>
    <row r="818" spans="54:62" ht="15">
      <c r="BB818" s="187">
        <v>43258</v>
      </c>
      <c r="BC818" s="180">
        <v>-0.26900000000000002</v>
      </c>
      <c r="BD818" s="191">
        <v>43258</v>
      </c>
      <c r="BE818" s="192">
        <v>0.35399999999999998</v>
      </c>
      <c r="BH818" s="94">
        <v>43273</v>
      </c>
      <c r="BI818" s="95">
        <v>0.33400000000000002</v>
      </c>
      <c r="BJ818" s="96">
        <v>11.62</v>
      </c>
    </row>
    <row r="819" spans="54:62" ht="15">
      <c r="BB819" s="187">
        <v>43259</v>
      </c>
      <c r="BC819" s="180">
        <v>-0.26700000000000002</v>
      </c>
      <c r="BD819" s="191">
        <v>43259</v>
      </c>
      <c r="BE819" s="192">
        <v>0.35199999999999998</v>
      </c>
      <c r="BH819" s="94">
        <v>43276</v>
      </c>
      <c r="BI819" s="95">
        <v>0.33</v>
      </c>
      <c r="BJ819" s="96">
        <v>11.61</v>
      </c>
    </row>
    <row r="820" spans="54:62" ht="15">
      <c r="BB820" s="187">
        <v>43262</v>
      </c>
      <c r="BC820" s="180">
        <v>-0.26700000000000002</v>
      </c>
      <c r="BD820" s="191">
        <v>43262</v>
      </c>
      <c r="BE820" s="192">
        <v>0.35099999999999998</v>
      </c>
      <c r="BH820" s="94">
        <v>43277</v>
      </c>
      <c r="BI820" s="95">
        <v>0.32700000000000001</v>
      </c>
      <c r="BJ820" s="96">
        <v>11.61</v>
      </c>
    </row>
    <row r="821" spans="54:62" ht="15">
      <c r="BB821" s="187">
        <v>43263</v>
      </c>
      <c r="BC821" s="180">
        <v>-0.26700000000000002</v>
      </c>
      <c r="BD821" s="191">
        <v>43263</v>
      </c>
      <c r="BE821" s="192">
        <v>0.35199999999999998</v>
      </c>
      <c r="BH821" s="94">
        <v>43278</v>
      </c>
      <c r="BI821" s="95">
        <v>0.32600000000000001</v>
      </c>
      <c r="BJ821" s="96">
        <v>11.61</v>
      </c>
    </row>
    <row r="822" spans="54:62" ht="15">
      <c r="BB822" s="187">
        <v>43264</v>
      </c>
      <c r="BC822" s="180">
        <v>-0.26800000000000002</v>
      </c>
      <c r="BD822" s="191">
        <v>43264</v>
      </c>
      <c r="BE822" s="192">
        <v>0.34899999999999998</v>
      </c>
      <c r="BH822" s="94">
        <v>43279</v>
      </c>
      <c r="BI822" s="95">
        <v>0.32700000000000001</v>
      </c>
      <c r="BJ822" s="96">
        <v>11.84</v>
      </c>
    </row>
    <row r="823" spans="54:62" ht="15">
      <c r="BB823" s="187">
        <v>43265</v>
      </c>
      <c r="BC823" s="180">
        <v>-0.26800000000000002</v>
      </c>
      <c r="BD823" s="191">
        <v>43265</v>
      </c>
      <c r="BE823" s="192">
        <v>0.34399999999999997</v>
      </c>
      <c r="BH823" s="94">
        <v>43280</v>
      </c>
      <c r="BI823" s="95">
        <v>0.32200000000000001</v>
      </c>
      <c r="BJ823" s="96">
        <v>11.83</v>
      </c>
    </row>
    <row r="824" spans="54:62" ht="15">
      <c r="BB824" s="187">
        <v>43266</v>
      </c>
      <c r="BC824" s="180">
        <v>-0.26800000000000002</v>
      </c>
      <c r="BD824" s="191">
        <v>43266</v>
      </c>
      <c r="BE824" s="192">
        <v>0.33700000000000002</v>
      </c>
      <c r="BH824" s="94">
        <v>43283</v>
      </c>
      <c r="BI824" s="95">
        <v>0.317</v>
      </c>
      <c r="BJ824" s="96">
        <v>11.83</v>
      </c>
    </row>
    <row r="825" spans="54:62" ht="15">
      <c r="BB825" s="187">
        <v>43269</v>
      </c>
      <c r="BC825" s="180">
        <v>-0.26800000000000002</v>
      </c>
      <c r="BD825" s="191">
        <v>43269</v>
      </c>
      <c r="BE825" s="192">
        <v>0.36199999999999999</v>
      </c>
      <c r="BH825" s="94">
        <v>43284</v>
      </c>
      <c r="BI825" s="95">
        <v>0.312</v>
      </c>
      <c r="BJ825" s="96">
        <v>11.82</v>
      </c>
    </row>
    <row r="826" spans="54:62" ht="15">
      <c r="BB826" s="187">
        <v>43270</v>
      </c>
      <c r="BC826" s="180">
        <v>-0.26800000000000002</v>
      </c>
      <c r="BD826" s="191">
        <v>43270</v>
      </c>
      <c r="BE826" s="192">
        <v>0.35299999999999998</v>
      </c>
      <c r="BH826" s="94">
        <v>43285</v>
      </c>
      <c r="BI826" s="95">
        <v>0.30399999999999999</v>
      </c>
      <c r="BJ826" s="96">
        <v>11.82</v>
      </c>
    </row>
    <row r="827" spans="54:62" ht="15">
      <c r="BB827" s="187">
        <v>43271</v>
      </c>
      <c r="BC827" s="180">
        <v>-0.26800000000000002</v>
      </c>
      <c r="BD827" s="191">
        <v>43271</v>
      </c>
      <c r="BE827" s="192">
        <v>0.34699999999999998</v>
      </c>
      <c r="BH827" s="94">
        <v>43286</v>
      </c>
      <c r="BI827" s="95">
        <v>0.29899999999999999</v>
      </c>
      <c r="BJ827" s="96">
        <v>11.83</v>
      </c>
    </row>
    <row r="828" spans="54:62" ht="15">
      <c r="BB828" s="187">
        <v>43272</v>
      </c>
      <c r="BC828" s="180">
        <v>-0.26800000000000002</v>
      </c>
      <c r="BD828" s="191">
        <v>43272</v>
      </c>
      <c r="BE828" s="192">
        <v>0.34</v>
      </c>
      <c r="BH828" s="94">
        <v>43287</v>
      </c>
      <c r="BI828" s="95">
        <v>0.29199999999999998</v>
      </c>
      <c r="BJ828" s="96">
        <v>11.83</v>
      </c>
    </row>
    <row r="829" spans="54:62" ht="15">
      <c r="BB829" s="187">
        <v>43273</v>
      </c>
      <c r="BC829" s="180">
        <v>-0.26800000000000002</v>
      </c>
      <c r="BD829" s="191">
        <v>43273</v>
      </c>
      <c r="BE829" s="192">
        <v>0.33400000000000002</v>
      </c>
      <c r="BH829" s="94">
        <v>43290</v>
      </c>
      <c r="BI829" s="95">
        <v>0.28299999999999997</v>
      </c>
      <c r="BJ829" s="96">
        <v>11.82</v>
      </c>
    </row>
    <row r="830" spans="54:62" ht="15">
      <c r="BB830" s="187">
        <v>43276</v>
      </c>
      <c r="BC830" s="180">
        <v>-0.26900000000000002</v>
      </c>
      <c r="BD830" s="191">
        <v>43276</v>
      </c>
      <c r="BE830" s="192">
        <v>0.33</v>
      </c>
      <c r="BH830" s="94">
        <v>43291</v>
      </c>
      <c r="BI830" s="95">
        <v>0.27400000000000002</v>
      </c>
      <c r="BJ830" s="96">
        <v>11.82</v>
      </c>
    </row>
    <row r="831" spans="54:62" ht="15">
      <c r="BB831" s="187">
        <v>43277</v>
      </c>
      <c r="BC831" s="180">
        <v>-0.27</v>
      </c>
      <c r="BD831" s="191">
        <v>43277</v>
      </c>
      <c r="BE831" s="192">
        <v>0.32700000000000001</v>
      </c>
      <c r="BH831" s="94">
        <v>43292</v>
      </c>
      <c r="BI831" s="95">
        <v>0.26600000000000001</v>
      </c>
      <c r="BJ831" s="96">
        <v>11.82</v>
      </c>
    </row>
    <row r="832" spans="54:62" ht="15">
      <c r="BB832" s="187">
        <v>43278</v>
      </c>
      <c r="BC832" s="180">
        <v>-0.27</v>
      </c>
      <c r="BD832" s="191">
        <v>43278</v>
      </c>
      <c r="BE832" s="192">
        <v>0.32600000000000001</v>
      </c>
      <c r="BH832" s="94">
        <v>43293</v>
      </c>
      <c r="BI832" s="95">
        <v>0.26200000000000001</v>
      </c>
      <c r="BJ832" s="96">
        <v>11.93</v>
      </c>
    </row>
    <row r="833" spans="54:62" ht="15">
      <c r="BB833" s="187">
        <v>43279</v>
      </c>
      <c r="BC833" s="180">
        <v>-0.27</v>
      </c>
      <c r="BD833" s="191">
        <v>43279</v>
      </c>
      <c r="BE833" s="192">
        <v>0.32700000000000001</v>
      </c>
      <c r="BH833" s="94">
        <v>43294</v>
      </c>
      <c r="BI833" s="95">
        <v>0.25600000000000001</v>
      </c>
      <c r="BJ833" s="96">
        <v>11.92</v>
      </c>
    </row>
    <row r="834" spans="54:62" ht="15">
      <c r="BB834" s="187">
        <v>43280</v>
      </c>
      <c r="BC834" s="180">
        <v>-0.27</v>
      </c>
      <c r="BD834" s="191">
        <v>43280</v>
      </c>
      <c r="BE834" s="192">
        <v>0.32200000000000001</v>
      </c>
      <c r="BH834" s="94">
        <v>43297</v>
      </c>
      <c r="BI834" s="95">
        <v>0.252</v>
      </c>
      <c r="BJ834" s="96">
        <v>11.92</v>
      </c>
    </row>
    <row r="835" spans="54:62" ht="15">
      <c r="BB835" s="187">
        <v>43283</v>
      </c>
      <c r="BC835" s="180">
        <v>-0.26900000000000002</v>
      </c>
      <c r="BD835" s="191">
        <v>43283</v>
      </c>
      <c r="BE835" s="192">
        <v>0.317</v>
      </c>
      <c r="BH835" s="94">
        <v>43298</v>
      </c>
      <c r="BI835" s="95">
        <v>0.25</v>
      </c>
      <c r="BJ835" s="96">
        <v>11.91</v>
      </c>
    </row>
    <row r="836" spans="54:62" ht="15">
      <c r="BB836" s="187">
        <v>43284</v>
      </c>
      <c r="BC836" s="180">
        <v>-0.27</v>
      </c>
      <c r="BD836" s="191">
        <v>43284</v>
      </c>
      <c r="BE836" s="192">
        <v>0.312</v>
      </c>
      <c r="BH836" s="94">
        <v>43299</v>
      </c>
      <c r="BI836" s="95">
        <v>0.246</v>
      </c>
      <c r="BJ836" s="96">
        <v>11.91</v>
      </c>
    </row>
    <row r="837" spans="54:62" ht="15">
      <c r="BB837" s="187">
        <v>43285</v>
      </c>
      <c r="BC837" s="180">
        <v>-0.26900000000000002</v>
      </c>
      <c r="BD837" s="191">
        <v>43285</v>
      </c>
      <c r="BE837" s="192">
        <v>0.30399999999999999</v>
      </c>
      <c r="BH837" s="94">
        <v>43300</v>
      </c>
      <c r="BI837" s="95">
        <v>0.24399999999999999</v>
      </c>
      <c r="BJ837" s="96">
        <v>11.91</v>
      </c>
    </row>
    <row r="838" spans="54:62" ht="15">
      <c r="BB838" s="187">
        <v>43286</v>
      </c>
      <c r="BC838" s="180">
        <v>-0.26900000000000002</v>
      </c>
      <c r="BD838" s="191">
        <v>43286</v>
      </c>
      <c r="BE838" s="192">
        <v>0.29899999999999999</v>
      </c>
      <c r="BH838" s="94">
        <v>43301</v>
      </c>
      <c r="BI838" s="95">
        <v>0.24199999999999999</v>
      </c>
      <c r="BJ838" s="96">
        <v>11.9</v>
      </c>
    </row>
    <row r="839" spans="54:62" ht="15">
      <c r="BB839" s="187">
        <v>43287</v>
      </c>
      <c r="BC839" s="180">
        <v>-0.27</v>
      </c>
      <c r="BD839" s="191">
        <v>43287</v>
      </c>
      <c r="BE839" s="192">
        <v>0.29199999999999998</v>
      </c>
      <c r="BH839" s="94">
        <v>43304</v>
      </c>
      <c r="BI839" s="95">
        <v>0.24199999999999999</v>
      </c>
      <c r="BJ839" s="96">
        <v>11.9</v>
      </c>
    </row>
    <row r="840" spans="54:62" ht="15">
      <c r="BB840" s="187">
        <v>43290</v>
      </c>
      <c r="BC840" s="180">
        <v>-0.27</v>
      </c>
      <c r="BD840" s="191">
        <v>43290</v>
      </c>
      <c r="BE840" s="192">
        <v>0.28299999999999997</v>
      </c>
      <c r="BH840" s="94">
        <v>43305</v>
      </c>
      <c r="BI840" s="95">
        <v>0.24199999999999999</v>
      </c>
      <c r="BJ840" s="96">
        <v>11.89</v>
      </c>
    </row>
    <row r="841" spans="54:62" ht="15">
      <c r="BB841" s="187">
        <v>43291</v>
      </c>
      <c r="BC841" s="180">
        <v>-0.26900000000000002</v>
      </c>
      <c r="BD841" s="191">
        <v>43291</v>
      </c>
      <c r="BE841" s="192">
        <v>0.27400000000000002</v>
      </c>
      <c r="BH841" s="94">
        <v>43306</v>
      </c>
      <c r="BI841" s="95">
        <v>0.24199999999999999</v>
      </c>
      <c r="BJ841" s="96">
        <v>11.89</v>
      </c>
    </row>
    <row r="842" spans="54:62" ht="15">
      <c r="BB842" s="187">
        <v>43292</v>
      </c>
      <c r="BC842" s="180">
        <v>-0.27100000000000002</v>
      </c>
      <c r="BD842" s="191">
        <v>43292</v>
      </c>
      <c r="BE842" s="192">
        <v>0.26600000000000001</v>
      </c>
      <c r="BH842" s="94">
        <v>43307</v>
      </c>
      <c r="BI842" s="95">
        <v>0.24299999999999999</v>
      </c>
      <c r="BJ842" s="96">
        <v>11.89</v>
      </c>
    </row>
    <row r="843" spans="54:62" ht="15">
      <c r="BB843" s="187">
        <v>43293</v>
      </c>
      <c r="BC843" s="180">
        <v>-0.27100000000000002</v>
      </c>
      <c r="BD843" s="191">
        <v>43293</v>
      </c>
      <c r="BE843" s="192">
        <v>0.26200000000000001</v>
      </c>
      <c r="BH843" s="94">
        <v>43308</v>
      </c>
      <c r="BI843" s="95">
        <v>0.24399999999999999</v>
      </c>
      <c r="BJ843" s="96">
        <v>11.89</v>
      </c>
    </row>
    <row r="844" spans="54:62" ht="15">
      <c r="BB844" s="187">
        <v>43294</v>
      </c>
      <c r="BC844" s="180">
        <v>-0.26800000000000002</v>
      </c>
      <c r="BD844" s="191">
        <v>43294</v>
      </c>
      <c r="BE844" s="192">
        <v>0.25600000000000001</v>
      </c>
      <c r="BH844" s="94">
        <v>43311</v>
      </c>
      <c r="BI844" s="95">
        <v>0.248</v>
      </c>
      <c r="BJ844" s="96">
        <v>11.88</v>
      </c>
    </row>
    <row r="845" spans="54:62" ht="15">
      <c r="BB845" s="187">
        <v>43297</v>
      </c>
      <c r="BC845" s="180">
        <v>-0.26900000000000002</v>
      </c>
      <c r="BD845" s="191">
        <v>43297</v>
      </c>
      <c r="BE845" s="192">
        <v>0.252</v>
      </c>
      <c r="BH845" s="94">
        <v>43312</v>
      </c>
      <c r="BI845" s="95">
        <v>0.252</v>
      </c>
      <c r="BJ845" s="96">
        <v>11.87</v>
      </c>
    </row>
    <row r="846" spans="54:62" ht="15">
      <c r="BB846" s="187">
        <v>43298</v>
      </c>
      <c r="BC846" s="180">
        <v>-0.26900000000000002</v>
      </c>
      <c r="BD846" s="191">
        <v>43298</v>
      </c>
      <c r="BE846" s="192">
        <v>0.25</v>
      </c>
      <c r="BH846" s="94">
        <v>43313</v>
      </c>
      <c r="BI846" s="95">
        <v>0.25700000000000001</v>
      </c>
      <c r="BJ846" s="96">
        <v>11.87</v>
      </c>
    </row>
    <row r="847" spans="54:62" ht="15">
      <c r="BB847" s="187">
        <v>43299</v>
      </c>
      <c r="BC847" s="180">
        <v>-0.26900000000000002</v>
      </c>
      <c r="BD847" s="191">
        <v>43299</v>
      </c>
      <c r="BE847" s="192">
        <v>0.246</v>
      </c>
      <c r="BH847" s="94">
        <v>43314</v>
      </c>
      <c r="BI847" s="95">
        <v>0.26200000000000001</v>
      </c>
      <c r="BJ847" s="96">
        <v>11.87</v>
      </c>
    </row>
    <row r="848" spans="54:62" ht="15">
      <c r="BB848" s="187">
        <v>43300</v>
      </c>
      <c r="BC848" s="180">
        <v>-0.26900000000000002</v>
      </c>
      <c r="BD848" s="191">
        <v>43300</v>
      </c>
      <c r="BE848" s="192">
        <v>0.24399999999999999</v>
      </c>
      <c r="BH848" s="94">
        <v>43315</v>
      </c>
      <c r="BI848" s="95">
        <v>0.26500000000000001</v>
      </c>
      <c r="BJ848" s="96">
        <v>11.87</v>
      </c>
    </row>
    <row r="849" spans="54:62" ht="15">
      <c r="BB849" s="187">
        <v>43301</v>
      </c>
      <c r="BC849" s="180">
        <v>-0.26900000000000002</v>
      </c>
      <c r="BD849" s="191">
        <v>43301</v>
      </c>
      <c r="BE849" s="192">
        <v>0.24199999999999999</v>
      </c>
      <c r="BH849" s="94">
        <v>43318</v>
      </c>
      <c r="BI849" s="95">
        <v>0.26800000000000002</v>
      </c>
      <c r="BJ849" s="96">
        <v>11.86</v>
      </c>
    </row>
    <row r="850" spans="54:62" ht="15">
      <c r="BB850" s="187">
        <v>43304</v>
      </c>
      <c r="BC850" s="180">
        <v>-0.26900000000000002</v>
      </c>
      <c r="BD850" s="191">
        <v>43304</v>
      </c>
      <c r="BE850" s="192">
        <v>0.24199999999999999</v>
      </c>
      <c r="BH850" s="94">
        <v>43319</v>
      </c>
      <c r="BI850" s="95">
        <v>0.26900000000000002</v>
      </c>
      <c r="BJ850" s="96">
        <v>11.86</v>
      </c>
    </row>
    <row r="851" spans="54:62" ht="15">
      <c r="BB851" s="187">
        <v>43305</v>
      </c>
      <c r="BC851" s="180">
        <v>-0.26900000000000002</v>
      </c>
      <c r="BD851" s="191">
        <v>43305</v>
      </c>
      <c r="BE851" s="192">
        <v>0.24199999999999999</v>
      </c>
      <c r="BH851" s="94">
        <v>43320</v>
      </c>
      <c r="BI851" s="95">
        <v>0.27200000000000002</v>
      </c>
      <c r="BJ851" s="96">
        <v>11.85</v>
      </c>
    </row>
    <row r="852" spans="54:62" ht="15">
      <c r="BB852" s="187">
        <v>43306</v>
      </c>
      <c r="BC852" s="180">
        <v>-0.26900000000000002</v>
      </c>
      <c r="BD852" s="191">
        <v>43306</v>
      </c>
      <c r="BE852" s="192">
        <v>0.24199999999999999</v>
      </c>
      <c r="BH852" s="94">
        <v>43321</v>
      </c>
      <c r="BI852" s="95">
        <v>0.27400000000000002</v>
      </c>
      <c r="BJ852" s="96">
        <v>11.85</v>
      </c>
    </row>
    <row r="853" spans="54:62" ht="15">
      <c r="BB853" s="187">
        <v>43307</v>
      </c>
      <c r="BC853" s="180">
        <v>-0.26900000000000002</v>
      </c>
      <c r="BD853" s="191">
        <v>43307</v>
      </c>
      <c r="BE853" s="192">
        <v>0.24299999999999999</v>
      </c>
      <c r="BH853" s="94">
        <v>43322</v>
      </c>
      <c r="BI853" s="95">
        <v>0.27500000000000002</v>
      </c>
      <c r="BJ853" s="96">
        <v>11.85</v>
      </c>
    </row>
    <row r="854" spans="54:62" ht="15">
      <c r="BB854" s="187">
        <v>43308</v>
      </c>
      <c r="BC854" s="180">
        <v>-0.26900000000000002</v>
      </c>
      <c r="BD854" s="191">
        <v>43308</v>
      </c>
      <c r="BE854" s="192">
        <v>0.24399999999999999</v>
      </c>
      <c r="BH854" s="94">
        <v>43325</v>
      </c>
      <c r="BI854" s="95">
        <v>0.27400000000000002</v>
      </c>
      <c r="BJ854" s="96">
        <v>11.84</v>
      </c>
    </row>
    <row r="855" spans="54:62" ht="15">
      <c r="BB855" s="187">
        <v>43311</v>
      </c>
      <c r="BC855" s="180">
        <v>-0.26800000000000002</v>
      </c>
      <c r="BD855" s="191">
        <v>43311</v>
      </c>
      <c r="BE855" s="192">
        <v>0.248</v>
      </c>
      <c r="BH855" s="94">
        <v>43326</v>
      </c>
      <c r="BI855" s="95">
        <v>0.27400000000000002</v>
      </c>
      <c r="BJ855" s="96">
        <v>11.84</v>
      </c>
    </row>
    <row r="856" spans="54:62" ht="15">
      <c r="BB856" s="187">
        <v>43312</v>
      </c>
      <c r="BC856" s="180">
        <v>-0.26800000000000002</v>
      </c>
      <c r="BD856" s="191">
        <v>43312</v>
      </c>
      <c r="BE856" s="192">
        <v>0.252</v>
      </c>
      <c r="BH856" s="94">
        <v>43328</v>
      </c>
      <c r="BI856" s="95">
        <v>0.27400000000000002</v>
      </c>
      <c r="BJ856" s="96">
        <v>11.83</v>
      </c>
    </row>
    <row r="857" spans="54:62" ht="15">
      <c r="BB857" s="187">
        <v>43313</v>
      </c>
      <c r="BC857" s="180">
        <v>-0.26900000000000002</v>
      </c>
      <c r="BD857" s="191">
        <v>43313</v>
      </c>
      <c r="BE857" s="192">
        <v>0.25700000000000001</v>
      </c>
      <c r="BH857" s="94">
        <v>43329</v>
      </c>
      <c r="BI857" s="95">
        <v>0.27400000000000002</v>
      </c>
      <c r="BJ857" s="96">
        <v>11.83</v>
      </c>
    </row>
    <row r="858" spans="54:62" ht="15">
      <c r="BB858" s="187">
        <v>43314</v>
      </c>
      <c r="BC858" s="180">
        <v>-0.26900000000000002</v>
      </c>
      <c r="BD858" s="191">
        <v>43314</v>
      </c>
      <c r="BE858" s="192">
        <v>0.26200000000000001</v>
      </c>
      <c r="BH858" s="94">
        <v>43332</v>
      </c>
      <c r="BI858" s="95">
        <v>0.27300000000000002</v>
      </c>
      <c r="BJ858" s="96">
        <v>11.82</v>
      </c>
    </row>
    <row r="859" spans="54:62" ht="15">
      <c r="BB859" s="187">
        <v>43315</v>
      </c>
      <c r="BC859" s="180">
        <v>-0.26800000000000002</v>
      </c>
      <c r="BD859" s="191">
        <v>43315</v>
      </c>
      <c r="BE859" s="192">
        <v>0.26500000000000001</v>
      </c>
      <c r="BH859" s="94">
        <v>43333</v>
      </c>
      <c r="BI859" s="95">
        <v>0.27</v>
      </c>
      <c r="BJ859" s="96">
        <v>11.82</v>
      </c>
    </row>
    <row r="860" spans="54:62" ht="15">
      <c r="BB860" s="187">
        <v>43318</v>
      </c>
      <c r="BC860" s="180">
        <v>-0.26800000000000002</v>
      </c>
      <c r="BD860" s="191">
        <v>43318</v>
      </c>
      <c r="BE860" s="192">
        <v>0.26800000000000002</v>
      </c>
      <c r="BH860" s="94">
        <v>43334</v>
      </c>
      <c r="BI860" s="95">
        <v>0.26900000000000002</v>
      </c>
      <c r="BJ860" s="96">
        <v>11.81</v>
      </c>
    </row>
    <row r="861" spans="54:62" ht="15">
      <c r="BB861" s="187">
        <v>43319</v>
      </c>
      <c r="BC861" s="180">
        <v>-0.26800000000000002</v>
      </c>
      <c r="BD861" s="191">
        <v>43319</v>
      </c>
      <c r="BE861" s="192">
        <v>0.26900000000000002</v>
      </c>
      <c r="BH861" s="94">
        <v>43335</v>
      </c>
      <c r="BI861" s="95">
        <v>0.26800000000000002</v>
      </c>
      <c r="BJ861" s="96">
        <v>11.81</v>
      </c>
    </row>
    <row r="862" spans="54:62" ht="15">
      <c r="BB862" s="187">
        <v>43320</v>
      </c>
      <c r="BC862" s="180">
        <v>-0.26800000000000002</v>
      </c>
      <c r="BD862" s="191">
        <v>43320</v>
      </c>
      <c r="BE862" s="192">
        <v>0.27200000000000002</v>
      </c>
      <c r="BH862" s="94">
        <v>43336</v>
      </c>
      <c r="BI862" s="95">
        <v>0.26700000000000002</v>
      </c>
      <c r="BJ862" s="96">
        <v>11.81</v>
      </c>
    </row>
    <row r="863" spans="54:62" ht="15">
      <c r="BB863" s="187">
        <v>43321</v>
      </c>
      <c r="BC863" s="180">
        <v>-0.26600000000000001</v>
      </c>
      <c r="BD863" s="191">
        <v>43321</v>
      </c>
      <c r="BE863" s="192">
        <v>0.27400000000000002</v>
      </c>
      <c r="BH863" s="94">
        <v>43339</v>
      </c>
      <c r="BI863" s="95">
        <v>0.26600000000000001</v>
      </c>
      <c r="BJ863" s="96">
        <v>11.8</v>
      </c>
    </row>
    <row r="864" spans="54:62" ht="15">
      <c r="BB864" s="187">
        <v>43322</v>
      </c>
      <c r="BC864" s="180">
        <v>-0.26700000000000002</v>
      </c>
      <c r="BD864" s="191">
        <v>43322</v>
      </c>
      <c r="BE864" s="192">
        <v>0.27500000000000002</v>
      </c>
      <c r="BH864" s="94">
        <v>43340</v>
      </c>
      <c r="BI864" s="95">
        <v>0.26600000000000001</v>
      </c>
      <c r="BJ864" s="96">
        <v>11.8</v>
      </c>
    </row>
    <row r="865" spans="54:62" ht="15">
      <c r="BB865" s="187">
        <v>43325</v>
      </c>
      <c r="BC865" s="180">
        <v>-0.26600000000000001</v>
      </c>
      <c r="BD865" s="191">
        <v>43325</v>
      </c>
      <c r="BE865" s="192">
        <v>0.27400000000000002</v>
      </c>
      <c r="BH865" s="94">
        <v>43341</v>
      </c>
      <c r="BI865" s="95">
        <v>0.26500000000000001</v>
      </c>
      <c r="BJ865" s="96">
        <v>11.8</v>
      </c>
    </row>
    <row r="866" spans="54:62" ht="15">
      <c r="BB866" s="187">
        <v>43326</v>
      </c>
      <c r="BC866" s="180">
        <v>-0.26600000000000001</v>
      </c>
      <c r="BD866" s="191">
        <v>43326</v>
      </c>
      <c r="BE866" s="192">
        <v>0.27400000000000002</v>
      </c>
      <c r="BH866" s="94">
        <v>43342</v>
      </c>
      <c r="BI866" s="95">
        <v>0.26300000000000001</v>
      </c>
      <c r="BJ866" s="96">
        <v>11.79</v>
      </c>
    </row>
    <row r="867" spans="54:62" ht="15">
      <c r="BB867" s="187">
        <v>43327</v>
      </c>
      <c r="BC867" s="180">
        <v>-0.26600000000000001</v>
      </c>
      <c r="BD867" s="191"/>
      <c r="BE867" s="193">
        <f>+BE866</f>
        <v>0.27400000000000002</v>
      </c>
      <c r="BH867" s="94">
        <v>43343</v>
      </c>
      <c r="BI867" s="95">
        <v>0.26</v>
      </c>
      <c r="BJ867" s="96">
        <v>11.79</v>
      </c>
    </row>
    <row r="868" spans="54:62" ht="15">
      <c r="BB868" s="187">
        <v>43328</v>
      </c>
      <c r="BC868" s="180">
        <v>-0.26600000000000001</v>
      </c>
      <c r="BD868" s="191">
        <v>43328</v>
      </c>
      <c r="BE868" s="192">
        <v>0.27400000000000002</v>
      </c>
      <c r="BH868" s="94">
        <v>43346</v>
      </c>
      <c r="BI868" s="95">
        <v>0.25800000000000001</v>
      </c>
      <c r="BJ868" s="96">
        <v>11.78</v>
      </c>
    </row>
    <row r="869" spans="54:62" ht="15">
      <c r="BB869" s="187">
        <v>43329</v>
      </c>
      <c r="BC869" s="180">
        <v>-0.26600000000000001</v>
      </c>
      <c r="BD869" s="191">
        <v>43329</v>
      </c>
      <c r="BE869" s="192">
        <v>0.27400000000000002</v>
      </c>
      <c r="BH869" s="94">
        <v>43347</v>
      </c>
      <c r="BI869" s="95">
        <v>0.25700000000000001</v>
      </c>
      <c r="BJ869" s="96">
        <v>11.78</v>
      </c>
    </row>
    <row r="870" spans="54:62" ht="15">
      <c r="BB870" s="187">
        <v>43332</v>
      </c>
      <c r="BC870" s="180">
        <v>-0.26600000000000001</v>
      </c>
      <c r="BD870" s="191">
        <v>43332</v>
      </c>
      <c r="BE870" s="192">
        <v>0.27300000000000002</v>
      </c>
      <c r="BH870" s="94">
        <v>43348</v>
      </c>
      <c r="BI870" s="95">
        <v>0.25700000000000001</v>
      </c>
      <c r="BJ870" s="96">
        <v>11.78</v>
      </c>
    </row>
    <row r="871" spans="54:62" ht="15">
      <c r="BB871" s="187">
        <v>43333</v>
      </c>
      <c r="BC871" s="180">
        <v>-0.26600000000000001</v>
      </c>
      <c r="BD871" s="191">
        <v>43333</v>
      </c>
      <c r="BE871" s="192">
        <v>0.27</v>
      </c>
      <c r="BH871" s="94">
        <v>43349</v>
      </c>
      <c r="BI871" s="95">
        <v>0.255</v>
      </c>
      <c r="BJ871" s="96">
        <v>11.74</v>
      </c>
    </row>
    <row r="872" spans="54:62" ht="15">
      <c r="BB872" s="187">
        <v>43334</v>
      </c>
      <c r="BC872" s="180">
        <v>-0.26600000000000001</v>
      </c>
      <c r="BD872" s="191">
        <v>43334</v>
      </c>
      <c r="BE872" s="192">
        <v>0.26900000000000002</v>
      </c>
      <c r="BH872" s="94">
        <v>43350</v>
      </c>
      <c r="BI872" s="95">
        <v>0.25600000000000001</v>
      </c>
      <c r="BJ872" s="96">
        <v>11.74</v>
      </c>
    </row>
    <row r="873" spans="54:62" ht="15">
      <c r="BB873" s="187">
        <v>43335</v>
      </c>
      <c r="BC873" s="180">
        <v>-0.26600000000000001</v>
      </c>
      <c r="BD873" s="191">
        <v>43335</v>
      </c>
      <c r="BE873" s="192">
        <v>0.26800000000000002</v>
      </c>
      <c r="BH873" s="94">
        <v>43353</v>
      </c>
      <c r="BI873" s="95">
        <v>0.25900000000000001</v>
      </c>
      <c r="BJ873" s="96">
        <v>11.73</v>
      </c>
    </row>
    <row r="874" spans="54:62" ht="15">
      <c r="BB874" s="187">
        <v>43336</v>
      </c>
      <c r="BC874" s="180">
        <v>-0.26600000000000001</v>
      </c>
      <c r="BD874" s="191">
        <v>43336</v>
      </c>
      <c r="BE874" s="192">
        <v>0.26700000000000002</v>
      </c>
      <c r="BH874" s="94">
        <v>43354</v>
      </c>
      <c r="BI874" s="95">
        <v>0.26400000000000001</v>
      </c>
      <c r="BJ874" s="96">
        <v>11.72</v>
      </c>
    </row>
    <row r="875" spans="54:62" ht="15">
      <c r="BB875" s="187">
        <v>43339</v>
      </c>
      <c r="BC875" s="180">
        <v>-0.26500000000000001</v>
      </c>
      <c r="BD875" s="191">
        <v>43339</v>
      </c>
      <c r="BE875" s="192">
        <v>0.26600000000000001</v>
      </c>
      <c r="BH875" s="94">
        <v>43355</v>
      </c>
      <c r="BI875" s="95">
        <v>0.26800000000000002</v>
      </c>
      <c r="BJ875" s="96">
        <v>11.72</v>
      </c>
    </row>
    <row r="876" spans="54:62" ht="15">
      <c r="BB876" s="187">
        <v>43340</v>
      </c>
      <c r="BC876" s="180">
        <v>-0.26600000000000001</v>
      </c>
      <c r="BD876" s="191">
        <v>43340</v>
      </c>
      <c r="BE876" s="192">
        <v>0.26600000000000001</v>
      </c>
      <c r="BH876" s="94">
        <v>43356</v>
      </c>
      <c r="BI876" s="95">
        <v>0.27200000000000002</v>
      </c>
      <c r="BJ876" s="96">
        <v>11.72</v>
      </c>
    </row>
    <row r="877" spans="54:62" ht="15">
      <c r="BB877" s="187">
        <v>43341</v>
      </c>
      <c r="BC877" s="180">
        <v>-0.26600000000000001</v>
      </c>
      <c r="BD877" s="191">
        <v>43341</v>
      </c>
      <c r="BE877" s="192">
        <v>0.26500000000000001</v>
      </c>
      <c r="BH877" s="94">
        <v>43357</v>
      </c>
      <c r="BI877" s="95">
        <v>0.27700000000000002</v>
      </c>
      <c r="BJ877" s="96">
        <v>11.72</v>
      </c>
    </row>
    <row r="878" spans="54:62" ht="15">
      <c r="BB878" s="187">
        <v>43342</v>
      </c>
      <c r="BC878" s="180">
        <v>-0.26800000000000002</v>
      </c>
      <c r="BD878" s="191">
        <v>43342</v>
      </c>
      <c r="BE878" s="192">
        <v>0.26300000000000001</v>
      </c>
      <c r="BH878" s="94">
        <v>43360</v>
      </c>
      <c r="BI878" s="95">
        <v>0.28299999999999997</v>
      </c>
      <c r="BJ878" s="96">
        <v>11.71</v>
      </c>
    </row>
    <row r="879" spans="54:62" ht="15">
      <c r="BB879" s="187">
        <v>43343</v>
      </c>
      <c r="BC879" s="180">
        <v>-0.26800000000000002</v>
      </c>
      <c r="BD879" s="191">
        <v>43343</v>
      </c>
      <c r="BE879" s="192">
        <v>0.26</v>
      </c>
      <c r="BH879" s="94">
        <v>43361</v>
      </c>
      <c r="BI879" s="95">
        <v>0.28899999999999998</v>
      </c>
      <c r="BJ879" s="96">
        <v>11.71</v>
      </c>
    </row>
    <row r="880" spans="54:62" ht="15">
      <c r="BB880" s="187">
        <v>43346</v>
      </c>
      <c r="BC880" s="180">
        <v>-0.26800000000000002</v>
      </c>
      <c r="BD880" s="191">
        <v>43346</v>
      </c>
      <c r="BE880" s="192">
        <v>0.25800000000000001</v>
      </c>
      <c r="BH880" s="94">
        <v>43362</v>
      </c>
      <c r="BI880" s="95">
        <v>0.29399999999999998</v>
      </c>
      <c r="BJ880" s="96">
        <v>11.7</v>
      </c>
    </row>
    <row r="881" spans="54:62" ht="15">
      <c r="BB881" s="187">
        <v>43347</v>
      </c>
      <c r="BC881" s="180">
        <v>-0.26900000000000002</v>
      </c>
      <c r="BD881" s="191">
        <v>43347</v>
      </c>
      <c r="BE881" s="192">
        <v>0.25700000000000001</v>
      </c>
      <c r="BH881" s="94">
        <v>43363</v>
      </c>
      <c r="BI881" s="95">
        <v>0.29899999999999999</v>
      </c>
      <c r="BJ881" s="96">
        <v>11.7</v>
      </c>
    </row>
    <row r="882" spans="54:62" ht="15">
      <c r="BB882" s="187">
        <v>43348</v>
      </c>
      <c r="BC882" s="180">
        <v>-0.26900000000000002</v>
      </c>
      <c r="BD882" s="191">
        <v>43348</v>
      </c>
      <c r="BE882" s="192">
        <v>0.25700000000000001</v>
      </c>
      <c r="BH882" s="94">
        <v>43364</v>
      </c>
      <c r="BI882" s="95">
        <v>0.30399999999999999</v>
      </c>
      <c r="BJ882" s="96">
        <v>11.7</v>
      </c>
    </row>
    <row r="883" spans="54:62" ht="15">
      <c r="BB883" s="187">
        <v>43349</v>
      </c>
      <c r="BC883" s="180">
        <v>-0.26900000000000002</v>
      </c>
      <c r="BD883" s="191">
        <v>43349</v>
      </c>
      <c r="BE883" s="192">
        <v>0.255</v>
      </c>
      <c r="BH883" s="94">
        <v>43367</v>
      </c>
      <c r="BI883" s="95">
        <v>0.308</v>
      </c>
      <c r="BJ883" s="96">
        <v>11.69</v>
      </c>
    </row>
    <row r="884" spans="54:62" ht="15">
      <c r="BB884" s="187">
        <v>43350</v>
      </c>
      <c r="BC884" s="180">
        <v>-0.26900000000000002</v>
      </c>
      <c r="BD884" s="191">
        <v>43350</v>
      </c>
      <c r="BE884" s="192">
        <v>0.25600000000000001</v>
      </c>
      <c r="BH884" s="94">
        <v>43368</v>
      </c>
      <c r="BI884" s="95">
        <v>0.314</v>
      </c>
      <c r="BJ884" s="96">
        <v>11.69</v>
      </c>
    </row>
    <row r="885" spans="54:62" ht="15">
      <c r="BB885" s="187">
        <v>43353</v>
      </c>
      <c r="BC885" s="180">
        <v>-0.26900000000000002</v>
      </c>
      <c r="BD885" s="191">
        <v>43353</v>
      </c>
      <c r="BE885" s="192">
        <v>0.25900000000000001</v>
      </c>
      <c r="BH885" s="94">
        <v>43369</v>
      </c>
      <c r="BI885" s="95">
        <v>0.31900000000000001</v>
      </c>
      <c r="BJ885" s="96">
        <v>11.68</v>
      </c>
    </row>
    <row r="886" spans="54:62" ht="15">
      <c r="BB886" s="187">
        <v>43354</v>
      </c>
      <c r="BC886" s="180">
        <v>-0.26900000000000002</v>
      </c>
      <c r="BD886" s="191">
        <v>43354</v>
      </c>
      <c r="BE886" s="192">
        <v>0.26400000000000001</v>
      </c>
      <c r="BH886" s="94">
        <v>43370</v>
      </c>
      <c r="BI886" s="95">
        <v>0.32400000000000001</v>
      </c>
      <c r="BJ886" s="96">
        <v>11.68</v>
      </c>
    </row>
    <row r="887" spans="54:62" ht="15">
      <c r="BB887" s="187">
        <v>43355</v>
      </c>
      <c r="BC887" s="180">
        <v>-0.26900000000000002</v>
      </c>
      <c r="BD887" s="191">
        <v>43355</v>
      </c>
      <c r="BE887" s="192">
        <v>0.26800000000000002</v>
      </c>
      <c r="BH887" s="94">
        <v>43371</v>
      </c>
      <c r="BI887" s="95">
        <v>0.32900000000000001</v>
      </c>
      <c r="BJ887" s="96">
        <v>11.68</v>
      </c>
    </row>
    <row r="888" spans="54:62" ht="15">
      <c r="BB888" s="187">
        <v>43356</v>
      </c>
      <c r="BC888" s="180">
        <v>-0.26900000000000002</v>
      </c>
      <c r="BD888" s="191">
        <v>43356</v>
      </c>
      <c r="BE888" s="192">
        <v>0.27200000000000002</v>
      </c>
      <c r="BH888" s="94">
        <v>43374</v>
      </c>
      <c r="BI888" s="95">
        <v>0.33500000000000002</v>
      </c>
      <c r="BJ888" s="96">
        <v>11.67</v>
      </c>
    </row>
    <row r="889" spans="54:62" ht="15">
      <c r="BB889" s="187">
        <v>43357</v>
      </c>
      <c r="BC889" s="180">
        <v>-0.26900000000000002</v>
      </c>
      <c r="BD889" s="191">
        <v>43357</v>
      </c>
      <c r="BE889" s="192">
        <v>0.27700000000000002</v>
      </c>
      <c r="BH889" s="94">
        <v>43375</v>
      </c>
      <c r="BI889" s="95">
        <v>0.33800000000000002</v>
      </c>
      <c r="BJ889" s="96">
        <v>11.67</v>
      </c>
    </row>
    <row r="890" spans="54:62" ht="15">
      <c r="BB890" s="187">
        <v>43360</v>
      </c>
      <c r="BC890" s="180">
        <v>-0.26800000000000002</v>
      </c>
      <c r="BD890" s="191">
        <v>43360</v>
      </c>
      <c r="BE890" s="192">
        <v>0.28299999999999997</v>
      </c>
      <c r="BH890" s="94">
        <v>43376</v>
      </c>
      <c r="BI890" s="95">
        <v>0.34100000000000003</v>
      </c>
      <c r="BJ890" s="96">
        <v>11.66</v>
      </c>
    </row>
    <row r="891" spans="54:62" ht="15">
      <c r="BB891" s="187">
        <v>43361</v>
      </c>
      <c r="BC891" s="180">
        <v>-0.26800000000000002</v>
      </c>
      <c r="BD891" s="191">
        <v>43361</v>
      </c>
      <c r="BE891" s="192">
        <v>0.28899999999999998</v>
      </c>
      <c r="BH891" s="94">
        <v>43377</v>
      </c>
      <c r="BI891" s="95">
        <v>0.34599999999999997</v>
      </c>
      <c r="BJ891" s="96">
        <v>11.63</v>
      </c>
    </row>
    <row r="892" spans="54:62" ht="15">
      <c r="BB892" s="187">
        <v>43362</v>
      </c>
      <c r="BC892" s="180">
        <v>-0.26700000000000002</v>
      </c>
      <c r="BD892" s="191">
        <v>43362</v>
      </c>
      <c r="BE892" s="192">
        <v>0.29399999999999998</v>
      </c>
      <c r="BH892" s="94">
        <v>43378</v>
      </c>
      <c r="BI892" s="95">
        <v>0.35199999999999998</v>
      </c>
      <c r="BJ892" s="96">
        <v>11.63</v>
      </c>
    </row>
    <row r="893" spans="54:62" ht="15">
      <c r="BB893" s="187">
        <v>43363</v>
      </c>
      <c r="BC893" s="180">
        <v>-0.26800000000000002</v>
      </c>
      <c r="BD893" s="191">
        <v>43363</v>
      </c>
      <c r="BE893" s="192">
        <v>0.29899999999999999</v>
      </c>
      <c r="BH893" s="94">
        <v>43381</v>
      </c>
      <c r="BI893" s="95">
        <v>0.35699999999999998</v>
      </c>
      <c r="BJ893" s="96">
        <v>11.62</v>
      </c>
    </row>
    <row r="894" spans="54:62" ht="15">
      <c r="BB894" s="187">
        <v>43364</v>
      </c>
      <c r="BC894" s="180">
        <v>-0.26800000000000002</v>
      </c>
      <c r="BD894" s="191">
        <v>43364</v>
      </c>
      <c r="BE894" s="192">
        <v>0.30399999999999999</v>
      </c>
      <c r="BH894" s="94">
        <v>43382</v>
      </c>
      <c r="BI894" s="95">
        <v>0.36099999999999999</v>
      </c>
      <c r="BJ894" s="96">
        <v>11.62</v>
      </c>
    </row>
    <row r="895" spans="54:62" ht="15">
      <c r="BB895" s="187">
        <v>43367</v>
      </c>
      <c r="BC895" s="180">
        <v>-0.26700000000000002</v>
      </c>
      <c r="BD895" s="191">
        <v>43367</v>
      </c>
      <c r="BE895" s="192">
        <v>0.308</v>
      </c>
      <c r="BH895" s="94">
        <v>43383</v>
      </c>
      <c r="BI895" s="95">
        <v>0.36599999999999999</v>
      </c>
      <c r="BJ895" s="96">
        <v>11.62</v>
      </c>
    </row>
    <row r="896" spans="54:62" ht="15">
      <c r="BB896" s="187">
        <v>43368</v>
      </c>
      <c r="BC896" s="180">
        <v>-0.26700000000000002</v>
      </c>
      <c r="BD896" s="191">
        <v>43368</v>
      </c>
      <c r="BE896" s="192">
        <v>0.314</v>
      </c>
      <c r="BH896" s="94">
        <v>43384</v>
      </c>
      <c r="BI896" s="95">
        <v>0.36899999999999999</v>
      </c>
      <c r="BJ896" s="96">
        <v>11.61</v>
      </c>
    </row>
    <row r="897" spans="54:62" ht="15">
      <c r="BB897" s="187">
        <v>43369</v>
      </c>
      <c r="BC897" s="180">
        <v>-0.26700000000000002</v>
      </c>
      <c r="BD897" s="191">
        <v>43369</v>
      </c>
      <c r="BE897" s="192">
        <v>0.31900000000000001</v>
      </c>
      <c r="BH897" s="94">
        <v>43385</v>
      </c>
      <c r="BI897" s="95">
        <v>0.372</v>
      </c>
      <c r="BJ897" s="96">
        <v>11.61</v>
      </c>
    </row>
    <row r="898" spans="54:62" ht="15">
      <c r="BB898" s="187">
        <v>43370</v>
      </c>
      <c r="BC898" s="180">
        <v>-0.26800000000000002</v>
      </c>
      <c r="BD898" s="191">
        <v>43370</v>
      </c>
      <c r="BE898" s="192">
        <v>0.32400000000000001</v>
      </c>
      <c r="BH898" s="94">
        <v>43388</v>
      </c>
      <c r="BI898" s="95">
        <v>0.373</v>
      </c>
      <c r="BJ898" s="96">
        <v>11.6</v>
      </c>
    </row>
    <row r="899" spans="54:62" ht="15">
      <c r="BB899" s="187">
        <v>43371</v>
      </c>
      <c r="BC899" s="180">
        <v>-0.26800000000000002</v>
      </c>
      <c r="BD899" s="191">
        <v>43371</v>
      </c>
      <c r="BE899" s="192">
        <v>0.32900000000000001</v>
      </c>
      <c r="BH899" s="94">
        <v>43389</v>
      </c>
      <c r="BI899" s="95">
        <v>0.374</v>
      </c>
      <c r="BJ899" s="96">
        <v>11.6</v>
      </c>
    </row>
    <row r="900" spans="54:62" ht="15">
      <c r="BB900" s="187">
        <v>43374</v>
      </c>
      <c r="BC900" s="180">
        <v>-0.26800000000000002</v>
      </c>
      <c r="BD900" s="191">
        <v>43374</v>
      </c>
      <c r="BE900" s="192">
        <v>0.33500000000000002</v>
      </c>
      <c r="BH900" s="94">
        <v>43390</v>
      </c>
      <c r="BI900" s="95">
        <v>0.372</v>
      </c>
      <c r="BJ900" s="96">
        <v>11.6</v>
      </c>
    </row>
    <row r="901" spans="54:62" ht="15">
      <c r="BB901" s="187">
        <v>43375</v>
      </c>
      <c r="BC901" s="180">
        <v>-0.26800000000000002</v>
      </c>
      <c r="BD901" s="191">
        <v>43375</v>
      </c>
      <c r="BE901" s="192">
        <v>0.33800000000000002</v>
      </c>
      <c r="BH901" s="94">
        <v>43391</v>
      </c>
      <c r="BI901" s="95">
        <v>0.40500000000000003</v>
      </c>
      <c r="BJ901" s="96">
        <v>12</v>
      </c>
    </row>
    <row r="902" spans="54:62" ht="15">
      <c r="BB902" s="187">
        <v>43376</v>
      </c>
      <c r="BC902" s="180">
        <v>-0.26700000000000002</v>
      </c>
      <c r="BD902" s="191">
        <v>43376</v>
      </c>
      <c r="BE902" s="192">
        <v>0.34100000000000003</v>
      </c>
      <c r="BH902" s="94">
        <v>43392</v>
      </c>
      <c r="BI902" s="95">
        <v>0.40300000000000002</v>
      </c>
      <c r="BJ902" s="96">
        <v>12</v>
      </c>
    </row>
    <row r="903" spans="54:62" ht="15">
      <c r="BB903" s="187">
        <v>43377</v>
      </c>
      <c r="BC903" s="180">
        <v>-0.26800000000000002</v>
      </c>
      <c r="BD903" s="191">
        <v>43377</v>
      </c>
      <c r="BE903" s="192">
        <v>0.34599999999999997</v>
      </c>
      <c r="BH903" s="94">
        <v>43395</v>
      </c>
      <c r="BI903" s="95">
        <v>0.40200000000000002</v>
      </c>
      <c r="BJ903" s="96">
        <v>11.99</v>
      </c>
    </row>
    <row r="904" spans="54:62" ht="15">
      <c r="BB904" s="187">
        <v>43378</v>
      </c>
      <c r="BC904" s="180">
        <v>-0.26700000000000002</v>
      </c>
      <c r="BD904" s="191">
        <v>43378</v>
      </c>
      <c r="BE904" s="192">
        <v>0.35199999999999998</v>
      </c>
      <c r="BH904" s="94">
        <v>43396</v>
      </c>
      <c r="BI904" s="95">
        <v>0.39700000000000002</v>
      </c>
      <c r="BJ904" s="96">
        <v>11.99</v>
      </c>
    </row>
    <row r="905" spans="54:62" ht="15">
      <c r="BB905" s="187">
        <v>43381</v>
      </c>
      <c r="BC905" s="180">
        <v>-0.26700000000000002</v>
      </c>
      <c r="BD905" s="191">
        <v>43381</v>
      </c>
      <c r="BE905" s="192">
        <v>0.35699999999999998</v>
      </c>
      <c r="BH905" s="94">
        <v>43397</v>
      </c>
      <c r="BI905" s="95">
        <v>0.39200000000000002</v>
      </c>
      <c r="BJ905" s="96">
        <v>11.98</v>
      </c>
    </row>
    <row r="906" spans="54:62" ht="15">
      <c r="BB906" s="187">
        <v>43382</v>
      </c>
      <c r="BC906" s="180">
        <v>-0.26800000000000002</v>
      </c>
      <c r="BD906" s="191">
        <v>43382</v>
      </c>
      <c r="BE906" s="192">
        <v>0.36099999999999999</v>
      </c>
      <c r="BH906" s="94">
        <v>43398</v>
      </c>
      <c r="BI906" s="95">
        <v>0.38700000000000001</v>
      </c>
      <c r="BJ906" s="96">
        <v>11.98</v>
      </c>
    </row>
    <row r="907" spans="54:62" ht="15">
      <c r="BB907" s="187">
        <v>43383</v>
      </c>
      <c r="BC907" s="180">
        <v>-0.26800000000000002</v>
      </c>
      <c r="BD907" s="191">
        <v>43383</v>
      </c>
      <c r="BE907" s="192">
        <v>0.36599999999999999</v>
      </c>
      <c r="BH907" s="94">
        <v>43402</v>
      </c>
      <c r="BI907" s="95">
        <v>0.38300000000000001</v>
      </c>
      <c r="BJ907" s="96">
        <v>11.97</v>
      </c>
    </row>
    <row r="908" spans="54:62" ht="15">
      <c r="BB908" s="187">
        <v>43384</v>
      </c>
      <c r="BC908" s="180">
        <v>-0.26700000000000002</v>
      </c>
      <c r="BD908" s="191">
        <v>43384</v>
      </c>
      <c r="BE908" s="192">
        <v>0.36899999999999999</v>
      </c>
      <c r="BH908" s="94">
        <v>43403</v>
      </c>
      <c r="BI908" s="95">
        <v>0.378</v>
      </c>
      <c r="BJ908" s="96">
        <v>11.97</v>
      </c>
    </row>
    <row r="909" spans="54:62" ht="15">
      <c r="BB909" s="187">
        <v>43385</v>
      </c>
      <c r="BC909" s="180">
        <v>-0.26700000000000002</v>
      </c>
      <c r="BD909" s="191">
        <v>43385</v>
      </c>
      <c r="BE909" s="192">
        <v>0.372</v>
      </c>
      <c r="BH909" s="94">
        <v>43404</v>
      </c>
      <c r="BI909" s="95">
        <v>0.375</v>
      </c>
      <c r="BJ909" s="96">
        <v>11.96</v>
      </c>
    </row>
    <row r="910" spans="54:62" ht="15">
      <c r="BB910" s="187">
        <v>43388</v>
      </c>
      <c r="BC910" s="180">
        <v>-0.26600000000000001</v>
      </c>
      <c r="BD910" s="191">
        <v>43388</v>
      </c>
      <c r="BE910" s="192">
        <v>0.373</v>
      </c>
      <c r="BH910" s="94">
        <v>43406</v>
      </c>
      <c r="BI910" s="95">
        <v>0.373</v>
      </c>
      <c r="BJ910" s="96">
        <v>11.96</v>
      </c>
    </row>
    <row r="911" spans="54:62" ht="15">
      <c r="BB911" s="187">
        <v>43389</v>
      </c>
      <c r="BC911" s="180">
        <v>-0.26500000000000001</v>
      </c>
      <c r="BD911" s="191">
        <v>43389</v>
      </c>
      <c r="BE911" s="192">
        <v>0.374</v>
      </c>
      <c r="BH911" s="94">
        <v>43409</v>
      </c>
      <c r="BI911" s="95">
        <v>0.36899999999999999</v>
      </c>
      <c r="BJ911" s="96">
        <v>11.95</v>
      </c>
    </row>
    <row r="912" spans="54:62" ht="15">
      <c r="BB912" s="187">
        <v>43390</v>
      </c>
      <c r="BC912" s="180">
        <v>-0.26600000000000001</v>
      </c>
      <c r="BD912" s="191">
        <v>43390</v>
      </c>
      <c r="BE912" s="192">
        <v>0.372</v>
      </c>
      <c r="BH912" s="94">
        <v>43410</v>
      </c>
      <c r="BI912" s="95">
        <v>0.36299999999999999</v>
      </c>
      <c r="BJ912" s="96">
        <v>11.95</v>
      </c>
    </row>
    <row r="913" spans="54:62" ht="15">
      <c r="BB913" s="187">
        <v>43391</v>
      </c>
      <c r="BC913" s="180">
        <v>-0.26500000000000001</v>
      </c>
      <c r="BD913" s="191">
        <v>43391</v>
      </c>
      <c r="BE913" s="192">
        <v>0.40500000000000003</v>
      </c>
      <c r="BH913" s="94">
        <v>43411</v>
      </c>
      <c r="BI913" s="95">
        <v>0.35899999999999999</v>
      </c>
      <c r="BJ913" s="96">
        <v>11.95</v>
      </c>
    </row>
    <row r="914" spans="54:62" ht="15">
      <c r="BB914" s="187">
        <v>43392</v>
      </c>
      <c r="BC914" s="180">
        <v>-0.26200000000000001</v>
      </c>
      <c r="BD914" s="191">
        <v>43392</v>
      </c>
      <c r="BE914" s="192">
        <v>0.40300000000000002</v>
      </c>
      <c r="BH914" s="94">
        <v>43412</v>
      </c>
      <c r="BI914" s="95">
        <v>0.35499999999999998</v>
      </c>
      <c r="BJ914" s="96">
        <v>11.94</v>
      </c>
    </row>
    <row r="915" spans="54:62" ht="15">
      <c r="BB915" s="187">
        <v>43395</v>
      </c>
      <c r="BC915" s="180">
        <v>-0.26100000000000001</v>
      </c>
      <c r="BD915" s="191">
        <v>43395</v>
      </c>
      <c r="BE915" s="192">
        <v>0.40200000000000002</v>
      </c>
      <c r="BH915" s="94">
        <v>43413</v>
      </c>
      <c r="BI915" s="95">
        <v>0.34899999999999998</v>
      </c>
      <c r="BJ915" s="96">
        <v>11.94</v>
      </c>
    </row>
    <row r="916" spans="54:62" ht="15">
      <c r="BB916" s="187">
        <v>43396</v>
      </c>
      <c r="BC916" s="180">
        <v>-0.25900000000000001</v>
      </c>
      <c r="BD916" s="191">
        <v>43396</v>
      </c>
      <c r="BE916" s="192">
        <v>0.39700000000000002</v>
      </c>
      <c r="BH916" s="94">
        <v>43416</v>
      </c>
      <c r="BI916" s="95">
        <v>0.34399999999999997</v>
      </c>
      <c r="BJ916" s="96">
        <v>11.93</v>
      </c>
    </row>
    <row r="917" spans="54:62" ht="15">
      <c r="BB917" s="187">
        <v>43397</v>
      </c>
      <c r="BC917" s="180">
        <v>-0.25900000000000001</v>
      </c>
      <c r="BD917" s="191">
        <v>43397</v>
      </c>
      <c r="BE917" s="192">
        <v>0.39200000000000002</v>
      </c>
      <c r="BH917" s="94">
        <v>43417</v>
      </c>
      <c r="BI917" s="95">
        <v>0.34</v>
      </c>
      <c r="BJ917" s="96">
        <v>11.93</v>
      </c>
    </row>
    <row r="918" spans="54:62" ht="15">
      <c r="BB918" s="187">
        <v>43398</v>
      </c>
      <c r="BC918" s="180">
        <v>-0.25900000000000001</v>
      </c>
      <c r="BD918" s="191">
        <v>43398</v>
      </c>
      <c r="BE918" s="192">
        <v>0.38700000000000001</v>
      </c>
      <c r="BH918" s="94">
        <v>43418</v>
      </c>
      <c r="BI918" s="95">
        <v>0.33700000000000002</v>
      </c>
      <c r="BJ918" s="96">
        <v>11.93</v>
      </c>
    </row>
    <row r="919" spans="54:62" ht="15">
      <c r="BB919" s="187">
        <v>43399</v>
      </c>
      <c r="BC919" s="180">
        <v>-0.25900000000000001</v>
      </c>
      <c r="BD919" s="191"/>
      <c r="BE919" s="193">
        <f>+BE918</f>
        <v>0.38700000000000001</v>
      </c>
      <c r="BH919" s="94">
        <v>43419</v>
      </c>
      <c r="BI919" s="95">
        <v>0.33300000000000002</v>
      </c>
      <c r="BJ919" s="96">
        <v>11.92</v>
      </c>
    </row>
    <row r="920" spans="54:62" ht="15">
      <c r="BB920" s="187">
        <v>43402</v>
      </c>
      <c r="BC920" s="180">
        <v>-0.25900000000000001</v>
      </c>
      <c r="BD920" s="191">
        <v>43402</v>
      </c>
      <c r="BE920" s="192">
        <v>0.38300000000000001</v>
      </c>
      <c r="BH920" s="94">
        <v>43420</v>
      </c>
      <c r="BI920" s="95">
        <v>0.33</v>
      </c>
      <c r="BJ920" s="96">
        <v>11.92</v>
      </c>
    </row>
    <row r="921" spans="54:62" ht="15">
      <c r="BB921" s="187">
        <v>43403</v>
      </c>
      <c r="BC921" s="180">
        <v>-0.25900000000000001</v>
      </c>
      <c r="BD921" s="191">
        <v>43403</v>
      </c>
      <c r="BE921" s="192">
        <v>0.378</v>
      </c>
      <c r="BH921" s="94">
        <v>43423</v>
      </c>
      <c r="BI921" s="95">
        <v>0.32800000000000001</v>
      </c>
      <c r="BJ921" s="96">
        <v>11.91</v>
      </c>
    </row>
    <row r="922" spans="54:62" ht="15">
      <c r="BB922" s="187">
        <v>43404</v>
      </c>
      <c r="BC922" s="180">
        <v>-0.25900000000000001</v>
      </c>
      <c r="BD922" s="191">
        <v>43404</v>
      </c>
      <c r="BE922" s="192">
        <v>0.375</v>
      </c>
      <c r="BH922" s="94">
        <v>43424</v>
      </c>
      <c r="BI922" s="95">
        <v>0.32700000000000001</v>
      </c>
      <c r="BJ922" s="96">
        <v>11.91</v>
      </c>
    </row>
    <row r="923" spans="54:62" ht="15">
      <c r="BB923" s="187">
        <v>43405</v>
      </c>
      <c r="BC923" s="180">
        <v>-0.25800000000000001</v>
      </c>
      <c r="BD923" s="191"/>
      <c r="BE923" s="193">
        <f>+BE922</f>
        <v>0.375</v>
      </c>
      <c r="BF923" s="111">
        <f>+(BC923+BE923)/2+0.37</f>
        <v>0.42849999999999999</v>
      </c>
      <c r="BH923" s="94">
        <v>43425</v>
      </c>
      <c r="BI923" s="95">
        <v>0.32400000000000001</v>
      </c>
      <c r="BJ923" s="96">
        <v>11.91</v>
      </c>
    </row>
    <row r="924" spans="54:62" ht="15">
      <c r="BB924" s="187">
        <v>43406</v>
      </c>
      <c r="BC924" s="180">
        <v>-0.25800000000000001</v>
      </c>
      <c r="BD924" s="191">
        <v>43406</v>
      </c>
      <c r="BE924" s="192">
        <v>0.373</v>
      </c>
      <c r="BH924" s="94">
        <v>43426</v>
      </c>
      <c r="BI924" s="95">
        <v>0.32600000000000001</v>
      </c>
      <c r="BJ924" s="96">
        <v>12.04</v>
      </c>
    </row>
    <row r="925" spans="54:62" ht="15">
      <c r="BB925" s="187">
        <v>43409</v>
      </c>
      <c r="BC925" s="180">
        <v>-0.25700000000000001</v>
      </c>
      <c r="BD925" s="191">
        <v>43409</v>
      </c>
      <c r="BE925" s="192">
        <v>0.36899999999999999</v>
      </c>
      <c r="BH925" s="94">
        <v>43427</v>
      </c>
      <c r="BI925" s="95">
        <v>0.32500000000000001</v>
      </c>
      <c r="BJ925" s="96">
        <v>12.04</v>
      </c>
    </row>
    <row r="926" spans="54:62" ht="15">
      <c r="BB926" s="187">
        <v>43410</v>
      </c>
      <c r="BC926" s="180">
        <v>-0.25800000000000001</v>
      </c>
      <c r="BD926" s="191">
        <v>43410</v>
      </c>
      <c r="BE926" s="192">
        <v>0.36299999999999999</v>
      </c>
      <c r="BH926" s="94">
        <v>43430</v>
      </c>
      <c r="BI926" s="95">
        <v>0.32500000000000001</v>
      </c>
      <c r="BJ926" s="96">
        <v>12.03</v>
      </c>
    </row>
    <row r="927" spans="54:62" ht="15">
      <c r="BB927" s="187">
        <v>43411</v>
      </c>
      <c r="BC927" s="180">
        <v>-0.25800000000000001</v>
      </c>
      <c r="BD927" s="191">
        <v>43411</v>
      </c>
      <c r="BE927" s="192">
        <v>0.35899999999999999</v>
      </c>
      <c r="BH927" s="94">
        <v>43431</v>
      </c>
      <c r="BI927" s="95">
        <v>0.32500000000000001</v>
      </c>
      <c r="BJ927" s="96">
        <v>12.03</v>
      </c>
    </row>
    <row r="928" spans="54:62" ht="15">
      <c r="BB928" s="187">
        <v>43412</v>
      </c>
      <c r="BC928" s="180">
        <v>-0.25700000000000001</v>
      </c>
      <c r="BD928" s="191">
        <v>43412</v>
      </c>
      <c r="BE928" s="192">
        <v>0.35499999999999998</v>
      </c>
      <c r="BH928" s="94">
        <v>43432</v>
      </c>
      <c r="BI928" s="95">
        <v>0.32600000000000001</v>
      </c>
      <c r="BJ928" s="96">
        <v>12.03</v>
      </c>
    </row>
    <row r="929" spans="54:62" ht="15">
      <c r="BB929" s="187">
        <v>43413</v>
      </c>
      <c r="BC929" s="180">
        <v>-0.25700000000000001</v>
      </c>
      <c r="BD929" s="191">
        <v>43413</v>
      </c>
      <c r="BE929" s="192">
        <v>0.34899999999999998</v>
      </c>
      <c r="BH929" s="94">
        <v>43433</v>
      </c>
      <c r="BI929" s="95">
        <v>0.32500000000000001</v>
      </c>
      <c r="BJ929" s="96">
        <v>12.02</v>
      </c>
    </row>
    <row r="930" spans="54:62" ht="15">
      <c r="BB930" s="187">
        <v>43416</v>
      </c>
      <c r="BC930" s="180">
        <v>-0.25700000000000001</v>
      </c>
      <c r="BD930" s="191">
        <v>43416</v>
      </c>
      <c r="BE930" s="192">
        <v>0.34399999999999997</v>
      </c>
      <c r="BH930" s="94">
        <v>43434</v>
      </c>
      <c r="BI930" s="95">
        <v>0.32200000000000001</v>
      </c>
      <c r="BJ930" s="96">
        <v>12.02</v>
      </c>
    </row>
    <row r="931" spans="54:62" ht="15">
      <c r="BB931" s="187">
        <v>43417</v>
      </c>
      <c r="BC931" s="180">
        <v>-0.25700000000000001</v>
      </c>
      <c r="BD931" s="191">
        <v>43417</v>
      </c>
      <c r="BE931" s="192">
        <v>0.34</v>
      </c>
      <c r="BH931" s="94">
        <v>43437</v>
      </c>
      <c r="BI931" s="95">
        <v>0.32</v>
      </c>
      <c r="BJ931" s="96">
        <v>12.01</v>
      </c>
    </row>
    <row r="932" spans="54:62" ht="15">
      <c r="BB932" s="187">
        <v>43418</v>
      </c>
      <c r="BC932" s="180">
        <v>-0.25700000000000001</v>
      </c>
      <c r="BD932" s="191">
        <v>43418</v>
      </c>
      <c r="BE932" s="192">
        <v>0.33700000000000002</v>
      </c>
      <c r="BH932" s="94">
        <v>43438</v>
      </c>
      <c r="BI932" s="95">
        <v>0.316</v>
      </c>
      <c r="BJ932" s="96">
        <v>12.01</v>
      </c>
    </row>
    <row r="933" spans="54:62" ht="15">
      <c r="BB933" s="187">
        <v>43419</v>
      </c>
      <c r="BC933" s="180">
        <v>-0.25700000000000001</v>
      </c>
      <c r="BD933" s="191">
        <v>43419</v>
      </c>
      <c r="BE933" s="192">
        <v>0.33300000000000002</v>
      </c>
      <c r="BH933" s="94">
        <v>43439</v>
      </c>
      <c r="BI933" s="95">
        <v>0.311</v>
      </c>
      <c r="BJ933" s="96">
        <v>12.01</v>
      </c>
    </row>
    <row r="934" spans="54:62" ht="15">
      <c r="BB934" s="187">
        <v>43420</v>
      </c>
      <c r="BC934" s="180">
        <v>-0.25700000000000001</v>
      </c>
      <c r="BD934" s="191">
        <v>43420</v>
      </c>
      <c r="BE934" s="192">
        <v>0.33</v>
      </c>
      <c r="BH934" s="94">
        <v>43440</v>
      </c>
      <c r="BI934" s="95">
        <v>0.30399999999999999</v>
      </c>
      <c r="BJ934" s="96">
        <v>12.01</v>
      </c>
    </row>
    <row r="935" spans="54:62" ht="15">
      <c r="BB935" s="187">
        <v>43423</v>
      </c>
      <c r="BC935" s="180">
        <v>-0.25700000000000001</v>
      </c>
      <c r="BD935" s="191">
        <v>43423</v>
      </c>
      <c r="BE935" s="192">
        <v>0.32800000000000001</v>
      </c>
      <c r="BH935" s="94">
        <v>43441</v>
      </c>
      <c r="BI935" s="95">
        <v>0.3</v>
      </c>
      <c r="BJ935" s="96">
        <v>12</v>
      </c>
    </row>
    <row r="936" spans="54:62" ht="15">
      <c r="BB936" s="187">
        <v>43424</v>
      </c>
      <c r="BC936" s="180">
        <v>-0.25700000000000001</v>
      </c>
      <c r="BD936" s="191">
        <v>43424</v>
      </c>
      <c r="BE936" s="192">
        <v>0.32700000000000001</v>
      </c>
      <c r="BH936" s="94">
        <v>43444</v>
      </c>
      <c r="BI936" s="95">
        <v>0.29599999999999999</v>
      </c>
      <c r="BJ936" s="96">
        <v>11.99</v>
      </c>
    </row>
    <row r="937" spans="54:62" ht="15">
      <c r="BB937" s="187">
        <v>43425</v>
      </c>
      <c r="BC937" s="180">
        <v>-0.25700000000000001</v>
      </c>
      <c r="BD937" s="191">
        <v>43425</v>
      </c>
      <c r="BE937" s="192">
        <v>0.32400000000000001</v>
      </c>
      <c r="BH937" s="94">
        <v>43445</v>
      </c>
      <c r="BI937" s="95">
        <v>0.29299999999999998</v>
      </c>
      <c r="BJ937" s="96">
        <v>11.99</v>
      </c>
    </row>
    <row r="938" spans="54:62" ht="15">
      <c r="BB938" s="187">
        <v>43426</v>
      </c>
      <c r="BC938" s="180">
        <v>-0.25700000000000001</v>
      </c>
      <c r="BD938" s="191">
        <v>43426</v>
      </c>
      <c r="BE938" s="192">
        <v>0.32600000000000001</v>
      </c>
      <c r="BH938" s="94">
        <v>43446</v>
      </c>
      <c r="BI938" s="95">
        <v>0.28899999999999998</v>
      </c>
      <c r="BJ938" s="96">
        <v>11.99</v>
      </c>
    </row>
    <row r="939" spans="54:62" ht="15">
      <c r="BB939" s="187">
        <v>43427</v>
      </c>
      <c r="BC939" s="180">
        <v>-0.25700000000000001</v>
      </c>
      <c r="BD939" s="191">
        <v>43427</v>
      </c>
      <c r="BE939" s="192">
        <v>0.32500000000000001</v>
      </c>
      <c r="BH939" s="94">
        <v>43447</v>
      </c>
      <c r="BI939" s="95">
        <v>0.28799999999999998</v>
      </c>
      <c r="BJ939" s="96">
        <v>11.99</v>
      </c>
    </row>
    <row r="940" spans="54:62" ht="15">
      <c r="BB940" s="187">
        <v>43430</v>
      </c>
      <c r="BC940" s="180">
        <v>-0.25600000000000001</v>
      </c>
      <c r="BD940" s="191">
        <v>43430</v>
      </c>
      <c r="BE940" s="192">
        <v>0.32500000000000001</v>
      </c>
      <c r="BH940" s="94">
        <v>43448</v>
      </c>
      <c r="BI940" s="95">
        <v>0.28499999999999998</v>
      </c>
      <c r="BJ940" s="96">
        <v>11.98</v>
      </c>
    </row>
    <row r="941" spans="54:62" ht="15">
      <c r="BB941" s="187">
        <v>43431</v>
      </c>
      <c r="BC941" s="180">
        <v>-0.25600000000000001</v>
      </c>
      <c r="BD941" s="191">
        <v>43431</v>
      </c>
      <c r="BE941" s="192">
        <v>0.32500000000000001</v>
      </c>
      <c r="BH941" s="94">
        <v>43451</v>
      </c>
      <c r="BI941" s="95">
        <v>0.28100000000000003</v>
      </c>
      <c r="BJ941" s="96">
        <v>11.98</v>
      </c>
    </row>
    <row r="942" spans="54:62" ht="15">
      <c r="BB942" s="187">
        <v>43432</v>
      </c>
      <c r="BC942" s="180">
        <v>-0.25600000000000001</v>
      </c>
      <c r="BD942" s="191">
        <v>43432</v>
      </c>
      <c r="BE942" s="192">
        <v>0.32600000000000001</v>
      </c>
      <c r="BH942" s="94">
        <v>43452</v>
      </c>
      <c r="BI942" s="95">
        <v>0.27700000000000002</v>
      </c>
      <c r="BJ942" s="96">
        <v>11.97</v>
      </c>
    </row>
    <row r="943" spans="54:62" ht="15">
      <c r="BB943" s="187">
        <v>43433</v>
      </c>
      <c r="BC943" s="180">
        <v>-0.253</v>
      </c>
      <c r="BD943" s="191">
        <v>43433</v>
      </c>
      <c r="BE943" s="192">
        <v>0.32500000000000001</v>
      </c>
      <c r="BH943" s="94">
        <v>43453</v>
      </c>
      <c r="BI943" s="95">
        <v>0.27300000000000002</v>
      </c>
      <c r="BJ943" s="96">
        <v>11.97</v>
      </c>
    </row>
    <row r="944" spans="54:62" ht="15">
      <c r="BB944" s="187">
        <v>43434</v>
      </c>
      <c r="BC944" s="180">
        <v>-0.251</v>
      </c>
      <c r="BD944" s="191">
        <v>43434</v>
      </c>
      <c r="BE944" s="192">
        <v>0.32200000000000001</v>
      </c>
      <c r="BH944" s="94">
        <v>43454</v>
      </c>
      <c r="BI944" s="95">
        <v>0.26800000000000002</v>
      </c>
      <c r="BJ944" s="96">
        <v>11.97</v>
      </c>
    </row>
    <row r="945" spans="54:62" ht="15">
      <c r="BB945" s="187">
        <v>43437</v>
      </c>
      <c r="BC945" s="180">
        <v>-0.248</v>
      </c>
      <c r="BD945" s="191">
        <v>43437</v>
      </c>
      <c r="BE945" s="192">
        <v>0.32</v>
      </c>
      <c r="BH945" s="94">
        <v>43455</v>
      </c>
      <c r="BI945" s="95">
        <v>0.26400000000000001</v>
      </c>
      <c r="BJ945" s="96">
        <v>11.96</v>
      </c>
    </row>
    <row r="946" spans="54:62" ht="15">
      <c r="BB946" s="187">
        <v>43438</v>
      </c>
      <c r="BC946" s="180">
        <v>-0.247</v>
      </c>
      <c r="BD946" s="191">
        <v>43438</v>
      </c>
      <c r="BE946" s="192">
        <v>0.316</v>
      </c>
      <c r="BH946" s="94">
        <v>43461</v>
      </c>
      <c r="BI946" s="95">
        <v>0.25900000000000001</v>
      </c>
      <c r="BJ946" s="96">
        <v>11.95</v>
      </c>
    </row>
    <row r="947" spans="54:62" ht="15">
      <c r="BB947" s="187">
        <v>43439</v>
      </c>
      <c r="BC947" s="180">
        <v>-0.246</v>
      </c>
      <c r="BD947" s="191">
        <v>43439</v>
      </c>
      <c r="BE947" s="192">
        <v>0.311</v>
      </c>
      <c r="BH947" s="94">
        <v>43462</v>
      </c>
      <c r="BI947" s="95">
        <v>0.255</v>
      </c>
      <c r="BJ947" s="96">
        <v>11.95</v>
      </c>
    </row>
    <row r="948" spans="54:62" ht="15">
      <c r="BB948" s="187">
        <v>43440</v>
      </c>
      <c r="BC948" s="180">
        <v>-0.246</v>
      </c>
      <c r="BD948" s="191">
        <v>43440</v>
      </c>
      <c r="BE948" s="192">
        <v>0.30399999999999999</v>
      </c>
      <c r="BH948" s="94">
        <v>43465</v>
      </c>
      <c r="BI948" s="95">
        <v>0.251</v>
      </c>
      <c r="BJ948" s="96">
        <v>11.94</v>
      </c>
    </row>
    <row r="949" spans="54:62" ht="15">
      <c r="BB949" s="187">
        <v>43441</v>
      </c>
      <c r="BC949" s="180">
        <v>-0.246</v>
      </c>
      <c r="BD949" s="191">
        <v>43441</v>
      </c>
      <c r="BE949" s="192">
        <v>0.3</v>
      </c>
      <c r="BH949" s="94">
        <v>43467</v>
      </c>
      <c r="BI949" s="95">
        <v>0.245</v>
      </c>
      <c r="BJ949" s="96">
        <v>11.93</v>
      </c>
    </row>
    <row r="950" spans="54:62" ht="15">
      <c r="BB950" s="187">
        <v>43444</v>
      </c>
      <c r="BC950" s="180">
        <v>-0.245</v>
      </c>
      <c r="BD950" s="191">
        <v>43444</v>
      </c>
      <c r="BE950" s="192">
        <v>0.29599999999999999</v>
      </c>
      <c r="BH950" s="94">
        <v>43468</v>
      </c>
      <c r="BI950" s="95">
        <v>0.24</v>
      </c>
      <c r="BJ950" s="96">
        <v>11.93</v>
      </c>
    </row>
    <row r="951" spans="54:62" ht="15">
      <c r="BB951" s="187">
        <v>43445</v>
      </c>
      <c r="BC951" s="180">
        <v>-0.24399999999999999</v>
      </c>
      <c r="BD951" s="191">
        <v>43445</v>
      </c>
      <c r="BE951" s="192">
        <v>0.29299999999999998</v>
      </c>
      <c r="BH951" s="94">
        <v>43469</v>
      </c>
      <c r="BI951" s="95">
        <v>0.23599999999999999</v>
      </c>
      <c r="BJ951" s="96">
        <v>11.93</v>
      </c>
    </row>
    <row r="952" spans="54:62" ht="15">
      <c r="BB952" s="187">
        <v>43446</v>
      </c>
      <c r="BC952" s="180">
        <v>-0.24099999999999999</v>
      </c>
      <c r="BD952" s="191">
        <v>43446</v>
      </c>
      <c r="BE952" s="192">
        <v>0.28899999999999998</v>
      </c>
      <c r="BH952" s="94">
        <v>43472</v>
      </c>
      <c r="BI952" s="95">
        <v>0.23400000000000001</v>
      </c>
      <c r="BJ952" s="96">
        <v>11.92</v>
      </c>
    </row>
    <row r="953" spans="54:62" ht="15">
      <c r="BB953" s="187">
        <v>43447</v>
      </c>
      <c r="BC953" s="180">
        <v>-0.23899999999999999</v>
      </c>
      <c r="BD953" s="191">
        <v>43447</v>
      </c>
      <c r="BE953" s="192">
        <v>0.28799999999999998</v>
      </c>
      <c r="BH953" s="94">
        <v>43473</v>
      </c>
      <c r="BI953" s="95">
        <v>0.23499999999999999</v>
      </c>
      <c r="BJ953" s="96">
        <v>11.91</v>
      </c>
    </row>
    <row r="954" spans="54:62" ht="15">
      <c r="BB954" s="187">
        <v>43448</v>
      </c>
      <c r="BC954" s="180">
        <v>-0.23799999999999999</v>
      </c>
      <c r="BD954" s="191">
        <v>43448</v>
      </c>
      <c r="BE954" s="192">
        <v>0.28499999999999998</v>
      </c>
      <c r="BH954" s="94">
        <v>43474</v>
      </c>
      <c r="BI954" s="95">
        <v>0.23499999999999999</v>
      </c>
      <c r="BJ954" s="96">
        <v>11.91</v>
      </c>
    </row>
    <row r="955" spans="54:62" ht="15">
      <c r="BB955" s="187">
        <v>43451</v>
      </c>
      <c r="BC955" s="180">
        <v>-0.23699999999999999</v>
      </c>
      <c r="BD955" s="191">
        <v>43451</v>
      </c>
      <c r="BE955" s="192">
        <v>0.28100000000000003</v>
      </c>
      <c r="BH955" s="94">
        <v>43475</v>
      </c>
      <c r="BI955" s="95">
        <v>0.23899999999999999</v>
      </c>
      <c r="BJ955" s="96">
        <v>11.95</v>
      </c>
    </row>
    <row r="956" spans="54:62" ht="15">
      <c r="BB956" s="187">
        <v>43452</v>
      </c>
      <c r="BC956" s="180">
        <v>-0.23799999999999999</v>
      </c>
      <c r="BD956" s="191">
        <v>43452</v>
      </c>
      <c r="BE956" s="192">
        <v>0.27700000000000002</v>
      </c>
      <c r="BH956" s="94">
        <v>43476</v>
      </c>
      <c r="BI956" s="95">
        <v>0.23699999999999999</v>
      </c>
      <c r="BJ956" s="96">
        <v>11.95</v>
      </c>
    </row>
    <row r="957" spans="54:62" ht="15">
      <c r="BB957" s="187">
        <v>43453</v>
      </c>
      <c r="BC957" s="180">
        <v>-0.23799999999999999</v>
      </c>
      <c r="BD957" s="191">
        <v>43453</v>
      </c>
      <c r="BE957" s="192">
        <v>0.27300000000000002</v>
      </c>
      <c r="BH957" s="94">
        <v>43479</v>
      </c>
      <c r="BI957" s="95">
        <v>0.23400000000000001</v>
      </c>
      <c r="BJ957" s="96">
        <v>11.94</v>
      </c>
    </row>
    <row r="958" spans="54:62" ht="15">
      <c r="BB958" s="187">
        <v>43454</v>
      </c>
      <c r="BC958" s="180">
        <v>-0.23799999999999999</v>
      </c>
      <c r="BD958" s="191">
        <v>43454</v>
      </c>
      <c r="BE958" s="192">
        <v>0.26800000000000002</v>
      </c>
      <c r="BH958" s="94">
        <v>43480</v>
      </c>
      <c r="BI958" s="95">
        <v>0.23</v>
      </c>
      <c r="BJ958" s="96">
        <v>11.93</v>
      </c>
    </row>
    <row r="959" spans="54:62" ht="15">
      <c r="BB959" s="187">
        <v>43455</v>
      </c>
      <c r="BC959" s="180">
        <v>-0.23799999999999999</v>
      </c>
      <c r="BD959" s="191">
        <v>43455</v>
      </c>
      <c r="BE959" s="192">
        <v>0.26400000000000001</v>
      </c>
      <c r="BH959" s="94">
        <v>43481</v>
      </c>
      <c r="BI959" s="95">
        <v>0.22600000000000001</v>
      </c>
      <c r="BJ959" s="96">
        <v>11.93</v>
      </c>
    </row>
    <row r="960" spans="54:62" ht="15">
      <c r="BB960" s="187">
        <v>43458</v>
      </c>
      <c r="BC960" s="180">
        <v>-0.23699999999999999</v>
      </c>
      <c r="BD960" s="191"/>
      <c r="BE960" s="193">
        <f>+BE959</f>
        <v>0.26400000000000001</v>
      </c>
      <c r="BH960" s="94">
        <v>43482</v>
      </c>
      <c r="BI960" s="95">
        <v>0.224</v>
      </c>
      <c r="BJ960" s="96">
        <v>11.93</v>
      </c>
    </row>
    <row r="961" spans="54:62" ht="15">
      <c r="BB961" s="187">
        <v>43459</v>
      </c>
      <c r="BC961" s="180">
        <v>-0.23699999999999999</v>
      </c>
      <c r="BD961" s="191"/>
      <c r="BE961" s="193">
        <f>+BE960</f>
        <v>0.26400000000000001</v>
      </c>
      <c r="BH961" s="94">
        <v>43483</v>
      </c>
      <c r="BI961" s="95">
        <v>0.223</v>
      </c>
      <c r="BJ961" s="96">
        <v>11.93</v>
      </c>
    </row>
    <row r="962" spans="54:62" ht="15">
      <c r="BB962" s="187">
        <v>43460</v>
      </c>
      <c r="BC962" s="180">
        <v>-0.23699999999999999</v>
      </c>
      <c r="BD962" s="191"/>
      <c r="BE962" s="193">
        <f>+BE961</f>
        <v>0.26400000000000001</v>
      </c>
      <c r="BH962" s="94">
        <v>43486</v>
      </c>
      <c r="BI962" s="95">
        <v>0.222</v>
      </c>
      <c r="BJ962" s="96">
        <v>11.92</v>
      </c>
    </row>
    <row r="963" spans="54:62" ht="15">
      <c r="BB963" s="187">
        <v>43461</v>
      </c>
      <c r="BC963" s="180">
        <v>-0.23699999999999999</v>
      </c>
      <c r="BD963" s="191">
        <v>43461</v>
      </c>
      <c r="BE963" s="192">
        <v>0.25900000000000001</v>
      </c>
      <c r="BH963" s="94">
        <v>43487</v>
      </c>
      <c r="BI963" s="95">
        <v>0.221</v>
      </c>
      <c r="BJ963" s="96">
        <v>11.92</v>
      </c>
    </row>
    <row r="964" spans="54:62" ht="15">
      <c r="BB964" s="187">
        <v>43462</v>
      </c>
      <c r="BC964" s="180">
        <v>-0.23599999999999999</v>
      </c>
      <c r="BD964" s="191">
        <v>43462</v>
      </c>
      <c r="BE964" s="192">
        <v>0.255</v>
      </c>
      <c r="BH964" s="94">
        <v>43488</v>
      </c>
      <c r="BI964" s="95">
        <v>0.22</v>
      </c>
      <c r="BJ964" s="96">
        <v>11.91</v>
      </c>
    </row>
    <row r="965" spans="54:62" ht="15">
      <c r="BB965" s="187">
        <v>43465</v>
      </c>
      <c r="BC965" s="180">
        <v>-0.23699999999999999</v>
      </c>
      <c r="BD965" s="191">
        <v>43465</v>
      </c>
      <c r="BE965" s="192">
        <v>0.251</v>
      </c>
      <c r="BH965" s="94">
        <v>43489</v>
      </c>
      <c r="BI965" s="95">
        <v>0.217</v>
      </c>
      <c r="BJ965" s="96">
        <v>11.91</v>
      </c>
    </row>
    <row r="966" spans="54:62" ht="15">
      <c r="BB966" s="187">
        <v>43466</v>
      </c>
      <c r="BC966" s="180">
        <v>-0.23699999999999999</v>
      </c>
      <c r="BD966" s="191"/>
      <c r="BE966" s="193">
        <f>+BE965</f>
        <v>0.251</v>
      </c>
      <c r="BH966" s="94">
        <v>43490</v>
      </c>
      <c r="BI966" s="95">
        <v>0.216</v>
      </c>
      <c r="BJ966" s="96">
        <v>11.91</v>
      </c>
    </row>
    <row r="967" spans="54:62" ht="15">
      <c r="BB967" s="187">
        <v>43467</v>
      </c>
      <c r="BC967" s="180">
        <v>-0.23799999999999999</v>
      </c>
      <c r="BD967" s="191">
        <v>43467</v>
      </c>
      <c r="BE967" s="192">
        <v>0.245</v>
      </c>
      <c r="BH967" s="94">
        <v>43493</v>
      </c>
      <c r="BI967" s="95">
        <v>0.214</v>
      </c>
      <c r="BJ967" s="96">
        <v>11.9</v>
      </c>
    </row>
    <row r="968" spans="54:62" ht="15">
      <c r="BB968" s="187">
        <v>43468</v>
      </c>
      <c r="BC968" s="180">
        <v>-0.23699999999999999</v>
      </c>
      <c r="BD968" s="191">
        <v>43468</v>
      </c>
      <c r="BE968" s="192">
        <v>0.24</v>
      </c>
      <c r="BH968" s="94">
        <v>43494</v>
      </c>
      <c r="BI968" s="95">
        <v>0.21299999999999999</v>
      </c>
      <c r="BJ968" s="96">
        <v>11.9</v>
      </c>
    </row>
    <row r="969" spans="54:62" ht="15">
      <c r="BB969" s="187">
        <v>43469</v>
      </c>
      <c r="BC969" s="180">
        <v>-0.23699999999999999</v>
      </c>
      <c r="BD969" s="191">
        <v>43469</v>
      </c>
      <c r="BE969" s="192">
        <v>0.23599999999999999</v>
      </c>
      <c r="BH969" s="94">
        <v>43495</v>
      </c>
      <c r="BI969" s="95">
        <v>0.214</v>
      </c>
      <c r="BJ969" s="96">
        <v>11.89</v>
      </c>
    </row>
    <row r="970" spans="54:62" ht="15">
      <c r="BB970" s="187">
        <v>43472</v>
      </c>
      <c r="BC970" s="180">
        <v>-0.23599999999999999</v>
      </c>
      <c r="BD970" s="191">
        <v>43472</v>
      </c>
      <c r="BE970" s="192">
        <v>0.23400000000000001</v>
      </c>
      <c r="BH970" s="94">
        <v>43496</v>
      </c>
      <c r="BI970" s="95">
        <v>0.214</v>
      </c>
      <c r="BJ970" s="96">
        <v>11.89</v>
      </c>
    </row>
    <row r="971" spans="54:62" ht="15">
      <c r="BB971" s="187">
        <v>43473</v>
      </c>
      <c r="BC971" s="180">
        <v>-0.23599999999999999</v>
      </c>
      <c r="BD971" s="191">
        <v>43473</v>
      </c>
      <c r="BE971" s="192">
        <v>0.23499999999999999</v>
      </c>
      <c r="BH971" s="94">
        <v>43497</v>
      </c>
      <c r="BI971" s="95">
        <v>0.21199999999999999</v>
      </c>
      <c r="BJ971" s="96">
        <v>11.89</v>
      </c>
    </row>
    <row r="972" spans="54:62" ht="15">
      <c r="BB972" s="187">
        <v>43474</v>
      </c>
      <c r="BC972" s="180">
        <v>-0.23599999999999999</v>
      </c>
      <c r="BD972" s="191">
        <v>43474</v>
      </c>
      <c r="BE972" s="192">
        <v>0.23499999999999999</v>
      </c>
      <c r="BH972" s="94">
        <v>43500</v>
      </c>
      <c r="BI972" s="95">
        <v>0.20899999999999999</v>
      </c>
      <c r="BJ972" s="96">
        <v>11.88</v>
      </c>
    </row>
    <row r="973" spans="54:62" ht="15">
      <c r="BB973" s="187">
        <v>43475</v>
      </c>
      <c r="BC973" s="180">
        <v>-0.23599999999999999</v>
      </c>
      <c r="BD973" s="191">
        <v>43475</v>
      </c>
      <c r="BE973" s="192">
        <v>0.23899999999999999</v>
      </c>
      <c r="BH973" s="94">
        <v>43501</v>
      </c>
      <c r="BI973" s="95">
        <v>0.215</v>
      </c>
      <c r="BJ973" s="96">
        <v>11.83</v>
      </c>
    </row>
    <row r="974" spans="54:62" ht="15">
      <c r="BB974" s="187">
        <v>43476</v>
      </c>
      <c r="BC974" s="180">
        <v>-0.23599999999999999</v>
      </c>
      <c r="BD974" s="191">
        <v>43476</v>
      </c>
      <c r="BE974" s="192">
        <v>0.23699999999999999</v>
      </c>
      <c r="BH974" s="94">
        <v>43502</v>
      </c>
      <c r="BI974" s="95">
        <v>0.21199999999999999</v>
      </c>
      <c r="BJ974" s="96">
        <v>11.83</v>
      </c>
    </row>
    <row r="975" spans="54:62" ht="15">
      <c r="BB975" s="187">
        <v>43479</v>
      </c>
      <c r="BC975" s="180">
        <v>-0.23599999999999999</v>
      </c>
      <c r="BD975" s="191">
        <v>43479</v>
      </c>
      <c r="BE975" s="192">
        <v>0.23400000000000001</v>
      </c>
      <c r="BH975" s="94">
        <v>43503</v>
      </c>
      <c r="BI975" s="95">
        <v>0.20799999999999999</v>
      </c>
      <c r="BJ975" s="96">
        <v>11.82</v>
      </c>
    </row>
    <row r="976" spans="54:62" ht="15">
      <c r="BB976" s="187">
        <v>43480</v>
      </c>
      <c r="BC976" s="180">
        <v>-0.23599999999999999</v>
      </c>
      <c r="BD976" s="191">
        <v>43480</v>
      </c>
      <c r="BE976" s="192">
        <v>0.23</v>
      </c>
      <c r="BH976" s="94">
        <v>43504</v>
      </c>
      <c r="BI976" s="95">
        <v>0.20399999999999999</v>
      </c>
      <c r="BJ976" s="96">
        <v>11.82</v>
      </c>
    </row>
    <row r="977" spans="54:62" ht="15">
      <c r="BB977" s="187">
        <v>43481</v>
      </c>
      <c r="BC977" s="180">
        <v>-0.23599999999999999</v>
      </c>
      <c r="BD977" s="191">
        <v>43481</v>
      </c>
      <c r="BE977" s="192">
        <v>0.22600000000000001</v>
      </c>
      <c r="BH977" s="94">
        <v>43507</v>
      </c>
      <c r="BI977" s="95">
        <v>0.20200000000000001</v>
      </c>
      <c r="BJ977" s="96">
        <v>11.81</v>
      </c>
    </row>
    <row r="978" spans="54:62" ht="15">
      <c r="BB978" s="187">
        <v>43482</v>
      </c>
      <c r="BC978" s="180">
        <v>-0.23599999999999999</v>
      </c>
      <c r="BD978" s="191">
        <v>43482</v>
      </c>
      <c r="BE978" s="192">
        <v>0.224</v>
      </c>
      <c r="BH978" s="94">
        <v>43508</v>
      </c>
      <c r="BI978" s="95">
        <v>0.2</v>
      </c>
      <c r="BJ978" s="96">
        <v>11.81</v>
      </c>
    </row>
    <row r="979" spans="54:62" ht="15">
      <c r="BB979" s="187">
        <v>43483</v>
      </c>
      <c r="BC979" s="180">
        <v>-0.23499999999999999</v>
      </c>
      <c r="BD979" s="191">
        <v>43483</v>
      </c>
      <c r="BE979" s="192">
        <v>0.223</v>
      </c>
      <c r="BH979" s="94">
        <v>43509</v>
      </c>
      <c r="BI979" s="95">
        <v>0.19900000000000001</v>
      </c>
      <c r="BJ979" s="96">
        <v>11.81</v>
      </c>
    </row>
    <row r="980" spans="54:62" ht="15">
      <c r="BB980" s="187">
        <v>43486</v>
      </c>
      <c r="BC980" s="180">
        <v>-0.23599999999999999</v>
      </c>
      <c r="BD980" s="191">
        <v>43486</v>
      </c>
      <c r="BE980" s="192">
        <v>0.222</v>
      </c>
      <c r="BH980" s="94">
        <v>43510</v>
      </c>
      <c r="BI980" s="95">
        <v>0.19600000000000001</v>
      </c>
      <c r="BJ980" s="96">
        <v>11.81</v>
      </c>
    </row>
    <row r="981" spans="54:62" ht="15">
      <c r="BB981" s="187">
        <v>43487</v>
      </c>
      <c r="BC981" s="180">
        <v>-0.23699999999999999</v>
      </c>
      <c r="BD981" s="191">
        <v>43487</v>
      </c>
      <c r="BE981" s="192">
        <v>0.221</v>
      </c>
      <c r="BH981" s="94">
        <v>43511</v>
      </c>
      <c r="BI981" s="95">
        <v>0.192</v>
      </c>
      <c r="BJ981" s="96">
        <v>11.8</v>
      </c>
    </row>
    <row r="982" spans="54:62" ht="15">
      <c r="BB982" s="187">
        <v>43488</v>
      </c>
      <c r="BC982" s="180">
        <v>-0.23699999999999999</v>
      </c>
      <c r="BD982" s="191">
        <v>43488</v>
      </c>
      <c r="BE982" s="192">
        <v>0.22</v>
      </c>
      <c r="BH982" s="94">
        <v>43514</v>
      </c>
      <c r="BI982" s="95">
        <v>0.189</v>
      </c>
      <c r="BJ982" s="96">
        <v>11.79</v>
      </c>
    </row>
    <row r="983" spans="54:62" ht="15">
      <c r="BB983" s="187">
        <v>43489</v>
      </c>
      <c r="BC983" s="180">
        <v>-0.23599999999999999</v>
      </c>
      <c r="BD983" s="191">
        <v>43489</v>
      </c>
      <c r="BE983" s="192">
        <v>0.217</v>
      </c>
      <c r="BH983" s="94">
        <v>43515</v>
      </c>
      <c r="BI983" s="95">
        <v>0.185</v>
      </c>
      <c r="BJ983" s="96">
        <v>11.79</v>
      </c>
    </row>
    <row r="984" spans="54:62" ht="15">
      <c r="BB984" s="187">
        <v>43490</v>
      </c>
      <c r="BC984" s="180">
        <v>-0.23699999999999999</v>
      </c>
      <c r="BD984" s="191">
        <v>43490</v>
      </c>
      <c r="BE984" s="192">
        <v>0.216</v>
      </c>
      <c r="BH984" s="94">
        <v>43516</v>
      </c>
      <c r="BI984" s="95">
        <v>0.182</v>
      </c>
      <c r="BJ984" s="96">
        <v>11.79</v>
      </c>
    </row>
    <row r="985" spans="54:62" ht="15">
      <c r="BB985" s="187">
        <v>43493</v>
      </c>
      <c r="BC985" s="180">
        <v>-0.23699999999999999</v>
      </c>
      <c r="BD985" s="191">
        <v>43493</v>
      </c>
      <c r="BE985" s="192">
        <v>0.214</v>
      </c>
      <c r="BH985" s="94">
        <v>43517</v>
      </c>
      <c r="BI985" s="95">
        <v>0.18099999999999999</v>
      </c>
      <c r="BJ985" s="96">
        <v>11.79</v>
      </c>
    </row>
    <row r="986" spans="54:62" ht="15">
      <c r="BB986" s="187">
        <v>43494</v>
      </c>
      <c r="BC986" s="180">
        <v>-0.23699999999999999</v>
      </c>
      <c r="BD986" s="191">
        <v>43494</v>
      </c>
      <c r="BE986" s="192">
        <v>0.21299999999999999</v>
      </c>
      <c r="BH986" s="94">
        <v>43518</v>
      </c>
      <c r="BI986" s="95">
        <v>0.17899999999999999</v>
      </c>
      <c r="BJ986" s="96">
        <v>11.78</v>
      </c>
    </row>
    <row r="987" spans="54:62" ht="15">
      <c r="BB987" s="187">
        <v>43495</v>
      </c>
      <c r="BC987" s="180">
        <v>-0.23599999999999999</v>
      </c>
      <c r="BD987" s="191">
        <v>43495</v>
      </c>
      <c r="BE987" s="192">
        <v>0.214</v>
      </c>
      <c r="BH987" s="94">
        <v>43521</v>
      </c>
      <c r="BI987" s="95">
        <v>0.17699999999999999</v>
      </c>
      <c r="BJ987" s="96">
        <v>11.78</v>
      </c>
    </row>
    <row r="988" spans="54:62" ht="15">
      <c r="BB988" s="187">
        <v>43496</v>
      </c>
      <c r="BC988" s="180">
        <v>-0.23599999999999999</v>
      </c>
      <c r="BD988" s="191">
        <v>43496</v>
      </c>
      <c r="BE988" s="192">
        <v>0.214</v>
      </c>
      <c r="BH988" s="94">
        <v>43522</v>
      </c>
      <c r="BI988" s="95">
        <v>0.17499999999999999</v>
      </c>
      <c r="BJ988" s="96">
        <v>11.77</v>
      </c>
    </row>
    <row r="989" spans="54:62" ht="15">
      <c r="BB989" s="187">
        <v>43497</v>
      </c>
      <c r="BC989" s="180">
        <v>-0.23499999999999999</v>
      </c>
      <c r="BD989" s="191">
        <v>43497</v>
      </c>
      <c r="BE989" s="192">
        <v>0.21199999999999999</v>
      </c>
      <c r="BH989" s="94">
        <v>43523</v>
      </c>
      <c r="BI989" s="95">
        <v>0.17399999999999999</v>
      </c>
      <c r="BJ989" s="96">
        <v>11.77</v>
      </c>
    </row>
    <row r="990" spans="54:62" ht="15">
      <c r="BB990" s="187">
        <v>43500</v>
      </c>
      <c r="BC990" s="180">
        <v>-0.23499999999999999</v>
      </c>
      <c r="BD990" s="191">
        <v>43500</v>
      </c>
      <c r="BE990" s="192">
        <v>0.20899999999999999</v>
      </c>
      <c r="BH990" s="94">
        <v>43524</v>
      </c>
      <c r="BI990" s="95">
        <v>0.17499999999999999</v>
      </c>
      <c r="BJ990" s="96">
        <v>11.77</v>
      </c>
    </row>
    <row r="991" spans="54:62" ht="15">
      <c r="BB991" s="187">
        <v>43501</v>
      </c>
      <c r="BC991" s="180">
        <v>-0.23400000000000001</v>
      </c>
      <c r="BD991" s="191">
        <v>43501</v>
      </c>
      <c r="BE991" s="192">
        <v>0.215</v>
      </c>
      <c r="BH991" s="94">
        <v>43525</v>
      </c>
      <c r="BI991" s="95">
        <v>0.17799999999999999</v>
      </c>
      <c r="BJ991" s="96">
        <v>11.76</v>
      </c>
    </row>
    <row r="992" spans="54:62" ht="15">
      <c r="BB992" s="187">
        <v>43502</v>
      </c>
      <c r="BC992" s="180">
        <v>-0.23400000000000001</v>
      </c>
      <c r="BD992" s="191">
        <v>43502</v>
      </c>
      <c r="BE992" s="192">
        <v>0.21199999999999999</v>
      </c>
      <c r="BH992" s="94">
        <v>43528</v>
      </c>
      <c r="BI992" s="95">
        <v>0.17899999999999999</v>
      </c>
      <c r="BJ992" s="96">
        <v>11.76</v>
      </c>
    </row>
    <row r="993" spans="54:62" ht="15">
      <c r="BB993" s="187">
        <v>43503</v>
      </c>
      <c r="BC993" s="180">
        <v>-0.23300000000000001</v>
      </c>
      <c r="BD993" s="191">
        <v>43503</v>
      </c>
      <c r="BE993" s="192">
        <v>0.20799999999999999</v>
      </c>
      <c r="BH993" s="94">
        <v>43529</v>
      </c>
      <c r="BI993" s="95">
        <v>0.18</v>
      </c>
      <c r="BJ993" s="96">
        <v>11.75</v>
      </c>
    </row>
    <row r="994" spans="54:62" ht="15">
      <c r="BB994" s="187">
        <v>43504</v>
      </c>
      <c r="BC994" s="180">
        <v>-0.23300000000000001</v>
      </c>
      <c r="BD994" s="191">
        <v>43504</v>
      </c>
      <c r="BE994" s="192">
        <v>0.20399999999999999</v>
      </c>
      <c r="BH994" s="94">
        <v>43530</v>
      </c>
      <c r="BI994" s="95">
        <v>0.17899999999999999</v>
      </c>
      <c r="BJ994" s="96">
        <v>11.75</v>
      </c>
    </row>
    <row r="995" spans="54:62" ht="15">
      <c r="BB995" s="187">
        <v>43507</v>
      </c>
      <c r="BC995" s="180">
        <v>-0.23200000000000001</v>
      </c>
      <c r="BD995" s="191">
        <v>43507</v>
      </c>
      <c r="BE995" s="192">
        <v>0.20200000000000001</v>
      </c>
      <c r="BH995" s="94">
        <v>43531</v>
      </c>
      <c r="BI995" s="95">
        <v>0.18099999999999999</v>
      </c>
      <c r="BJ995" s="96">
        <v>11.77</v>
      </c>
    </row>
    <row r="996" spans="54:62" ht="15">
      <c r="BB996" s="187">
        <v>43508</v>
      </c>
      <c r="BC996" s="180">
        <v>-0.23100000000000001</v>
      </c>
      <c r="BD996" s="191">
        <v>43508</v>
      </c>
      <c r="BE996" s="192">
        <v>0.2</v>
      </c>
      <c r="BH996" s="94">
        <v>43532</v>
      </c>
      <c r="BI996" s="95">
        <v>0.18</v>
      </c>
      <c r="BJ996" s="96">
        <v>11.77</v>
      </c>
    </row>
    <row r="997" spans="54:62" ht="15">
      <c r="BB997" s="187">
        <v>43509</v>
      </c>
      <c r="BC997" s="180">
        <v>-0.23100000000000001</v>
      </c>
      <c r="BD997" s="191">
        <v>43509</v>
      </c>
      <c r="BE997" s="192">
        <v>0.19900000000000001</v>
      </c>
      <c r="BH997" s="94">
        <v>43535</v>
      </c>
      <c r="BI997" s="95">
        <v>0.17799999999999999</v>
      </c>
      <c r="BJ997" s="96">
        <v>11.76</v>
      </c>
    </row>
    <row r="998" spans="54:62" ht="15">
      <c r="BB998" s="187">
        <v>43510</v>
      </c>
      <c r="BC998" s="180">
        <v>-0.23100000000000001</v>
      </c>
      <c r="BD998" s="191">
        <v>43510</v>
      </c>
      <c r="BE998" s="192">
        <v>0.19600000000000001</v>
      </c>
      <c r="BH998" s="94">
        <v>43536</v>
      </c>
      <c r="BI998" s="95">
        <v>0.17599999999999999</v>
      </c>
      <c r="BJ998" s="96">
        <v>11.76</v>
      </c>
    </row>
    <row r="999" spans="54:62" ht="15">
      <c r="BB999" s="187">
        <v>43511</v>
      </c>
      <c r="BC999" s="180">
        <v>-0.23200000000000001</v>
      </c>
      <c r="BD999" s="191">
        <v>43511</v>
      </c>
      <c r="BE999" s="192">
        <v>0.192</v>
      </c>
      <c r="BH999" s="94">
        <v>43537</v>
      </c>
      <c r="BI999" s="95">
        <v>0.17299999999999999</v>
      </c>
      <c r="BJ999" s="96">
        <v>11.76</v>
      </c>
    </row>
    <row r="1000" spans="54:62" ht="15">
      <c r="BB1000" s="187">
        <v>43514</v>
      </c>
      <c r="BC1000" s="180">
        <v>-0.23200000000000001</v>
      </c>
      <c r="BD1000" s="191">
        <v>43514</v>
      </c>
      <c r="BE1000" s="192">
        <v>0.189</v>
      </c>
      <c r="BH1000" s="94">
        <v>43538</v>
      </c>
      <c r="BI1000" s="95">
        <v>0.17100000000000001</v>
      </c>
      <c r="BJ1000" s="96">
        <v>11.75</v>
      </c>
    </row>
    <row r="1001" spans="54:62" ht="15">
      <c r="BB1001" s="187">
        <v>43515</v>
      </c>
      <c r="BC1001" s="180">
        <v>-0.23200000000000001</v>
      </c>
      <c r="BD1001" s="191">
        <v>43515</v>
      </c>
      <c r="BE1001" s="192">
        <v>0.185</v>
      </c>
      <c r="BH1001" s="94">
        <v>43539</v>
      </c>
      <c r="BI1001" s="95">
        <v>0.16900000000000001</v>
      </c>
      <c r="BJ1001" s="96">
        <v>11.75</v>
      </c>
    </row>
    <row r="1002" spans="54:62" ht="15">
      <c r="BB1002" s="187">
        <v>43516</v>
      </c>
      <c r="BC1002" s="180">
        <v>-0.23100000000000001</v>
      </c>
      <c r="BD1002" s="191">
        <v>43516</v>
      </c>
      <c r="BE1002" s="192">
        <v>0.182</v>
      </c>
      <c r="BH1002" s="94">
        <v>43542</v>
      </c>
      <c r="BI1002" s="95">
        <v>0.16800000000000001</v>
      </c>
      <c r="BJ1002" s="96">
        <v>11.74</v>
      </c>
    </row>
    <row r="1003" spans="54:62" ht="15">
      <c r="BB1003" s="187">
        <v>43517</v>
      </c>
      <c r="BC1003" s="180">
        <v>-0.23100000000000001</v>
      </c>
      <c r="BD1003" s="191">
        <v>43517</v>
      </c>
      <c r="BE1003" s="192">
        <v>0.18099999999999999</v>
      </c>
      <c r="BH1003" s="94">
        <v>43543</v>
      </c>
      <c r="BI1003" s="95">
        <v>0.16600000000000001</v>
      </c>
      <c r="BJ1003" s="96">
        <v>11.74</v>
      </c>
    </row>
    <row r="1004" spans="54:62" ht="15">
      <c r="BB1004" s="187">
        <v>43518</v>
      </c>
      <c r="BC1004" s="180">
        <v>-0.23100000000000001</v>
      </c>
      <c r="BD1004" s="191">
        <v>43518</v>
      </c>
      <c r="BE1004" s="192">
        <v>0.17899999999999999</v>
      </c>
      <c r="BH1004" s="94">
        <v>43544</v>
      </c>
      <c r="BI1004" s="95">
        <v>0.16500000000000001</v>
      </c>
      <c r="BJ1004" s="96">
        <v>11.74</v>
      </c>
    </row>
    <row r="1005" spans="54:62" ht="15">
      <c r="BB1005" s="187">
        <v>43521</v>
      </c>
      <c r="BC1005" s="180">
        <v>-0.23</v>
      </c>
      <c r="BD1005" s="191">
        <v>43521</v>
      </c>
      <c r="BE1005" s="192">
        <v>0.17699999999999999</v>
      </c>
      <c r="BH1005" s="94">
        <v>43545</v>
      </c>
      <c r="BI1005" s="95">
        <v>0.161</v>
      </c>
      <c r="BJ1005" s="96">
        <v>11.73</v>
      </c>
    </row>
    <row r="1006" spans="54:62" ht="15">
      <c r="BB1006" s="187">
        <v>43522</v>
      </c>
      <c r="BC1006" s="180">
        <v>-0.23</v>
      </c>
      <c r="BD1006" s="191">
        <v>43522</v>
      </c>
      <c r="BE1006" s="192">
        <v>0.17499999999999999</v>
      </c>
      <c r="BH1006" s="94">
        <v>43546</v>
      </c>
      <c r="BI1006" s="95">
        <v>0.155</v>
      </c>
      <c r="BJ1006" s="96">
        <v>11.73</v>
      </c>
    </row>
    <row r="1007" spans="54:62" ht="15">
      <c r="BB1007" s="187">
        <v>43523</v>
      </c>
      <c r="BC1007" s="180">
        <v>-0.22900000000000001</v>
      </c>
      <c r="BD1007" s="191">
        <v>43523</v>
      </c>
      <c r="BE1007" s="192">
        <v>0.17399999999999999</v>
      </c>
      <c r="BH1007" s="94">
        <v>43549</v>
      </c>
      <c r="BI1007" s="95">
        <v>0.14899999999999999</v>
      </c>
      <c r="BJ1007" s="96">
        <v>11.72</v>
      </c>
    </row>
    <row r="1008" spans="54:62" ht="15">
      <c r="BB1008" s="187">
        <v>43524</v>
      </c>
      <c r="BC1008" s="180">
        <v>-0.22900000000000001</v>
      </c>
      <c r="BD1008" s="191">
        <v>43524</v>
      </c>
      <c r="BE1008" s="192">
        <v>0.17499999999999999</v>
      </c>
      <c r="BH1008" s="94">
        <v>43550</v>
      </c>
      <c r="BI1008" s="95">
        <v>0.14199999999999999</v>
      </c>
      <c r="BJ1008" s="96">
        <v>11.72</v>
      </c>
    </row>
    <row r="1009" spans="54:62" ht="15">
      <c r="BB1009" s="187">
        <v>43525</v>
      </c>
      <c r="BC1009" s="180">
        <v>-0.23</v>
      </c>
      <c r="BD1009" s="191">
        <v>43525</v>
      </c>
      <c r="BE1009" s="192">
        <v>0.17799999999999999</v>
      </c>
      <c r="BH1009" s="94">
        <v>43551</v>
      </c>
      <c r="BI1009" s="95">
        <v>0.13300000000000001</v>
      </c>
      <c r="BJ1009" s="96">
        <v>11.72</v>
      </c>
    </row>
    <row r="1010" spans="54:62" ht="15">
      <c r="BB1010" s="187">
        <v>43528</v>
      </c>
      <c r="BC1010" s="180">
        <v>-0.23</v>
      </c>
      <c r="BD1010" s="191">
        <v>43528</v>
      </c>
      <c r="BE1010" s="192">
        <v>0.17899999999999999</v>
      </c>
      <c r="BH1010" s="94">
        <v>43552</v>
      </c>
      <c r="BI1010" s="95">
        <v>0.123</v>
      </c>
      <c r="BJ1010" s="96">
        <v>11.72</v>
      </c>
    </row>
    <row r="1011" spans="54:62" ht="15">
      <c r="BB1011" s="187">
        <v>43529</v>
      </c>
      <c r="BC1011" s="180">
        <v>-0.23100000000000001</v>
      </c>
      <c r="BD1011" s="191">
        <v>43529</v>
      </c>
      <c r="BE1011" s="192">
        <v>0.18</v>
      </c>
      <c r="BH1011" s="94">
        <v>43553</v>
      </c>
      <c r="BI1011" s="95">
        <v>0.112</v>
      </c>
      <c r="BJ1011" s="96">
        <v>11.71</v>
      </c>
    </row>
    <row r="1012" spans="54:62" ht="15">
      <c r="BB1012" s="187">
        <v>43530</v>
      </c>
      <c r="BC1012" s="180">
        <v>-0.23200000000000001</v>
      </c>
      <c r="BD1012" s="191">
        <v>43530</v>
      </c>
      <c r="BE1012" s="192">
        <v>0.17899999999999999</v>
      </c>
      <c r="BH1012" s="94">
        <v>43556</v>
      </c>
      <c r="BI1012" s="95">
        <v>0.10299999999999999</v>
      </c>
      <c r="BJ1012" s="96">
        <v>11.7</v>
      </c>
    </row>
    <row r="1013" spans="54:62" ht="15">
      <c r="BB1013" s="187">
        <v>43531</v>
      </c>
      <c r="BC1013" s="180">
        <v>-0.23100000000000001</v>
      </c>
      <c r="BD1013" s="191">
        <v>43531</v>
      </c>
      <c r="BE1013" s="192">
        <v>0.18099999999999999</v>
      </c>
      <c r="BH1013" s="94">
        <v>43557</v>
      </c>
      <c r="BI1013" s="95">
        <v>9.2999999999999999E-2</v>
      </c>
      <c r="BJ1013" s="96">
        <v>11.7</v>
      </c>
    </row>
    <row r="1014" spans="54:62" ht="15">
      <c r="BB1014" s="187">
        <v>43532</v>
      </c>
      <c r="BC1014" s="180">
        <v>-0.23200000000000001</v>
      </c>
      <c r="BD1014" s="191">
        <v>43532</v>
      </c>
      <c r="BE1014" s="192">
        <v>0.18</v>
      </c>
      <c r="BH1014" s="94">
        <v>43558</v>
      </c>
      <c r="BI1014" s="95">
        <v>8.6999999999999994E-2</v>
      </c>
      <c r="BJ1014" s="96">
        <v>11.7</v>
      </c>
    </row>
    <row r="1015" spans="54:62" ht="15">
      <c r="BB1015" s="187">
        <v>43535</v>
      </c>
      <c r="BC1015" s="180">
        <v>-0.23200000000000001</v>
      </c>
      <c r="BD1015" s="191">
        <v>43535</v>
      </c>
      <c r="BE1015" s="192">
        <v>0.17799999999999999</v>
      </c>
      <c r="BH1015" s="94">
        <v>43559</v>
      </c>
      <c r="BI1015" s="95">
        <v>8.3000000000000004E-2</v>
      </c>
      <c r="BJ1015" s="96">
        <v>11.7</v>
      </c>
    </row>
    <row r="1016" spans="54:62" ht="15">
      <c r="BB1016" s="187">
        <v>43536</v>
      </c>
      <c r="BC1016" s="180">
        <v>-0.23100000000000001</v>
      </c>
      <c r="BD1016" s="191">
        <v>43536</v>
      </c>
      <c r="BE1016" s="192">
        <v>0.17599999999999999</v>
      </c>
      <c r="BH1016" s="94">
        <v>43560</v>
      </c>
      <c r="BI1016" s="95">
        <v>0.08</v>
      </c>
      <c r="BJ1016" s="96">
        <v>11.69</v>
      </c>
    </row>
    <row r="1017" spans="54:62" ht="15">
      <c r="BB1017" s="187">
        <v>43537</v>
      </c>
      <c r="BC1017" s="180">
        <v>-0.23200000000000001</v>
      </c>
      <c r="BD1017" s="191">
        <v>43537</v>
      </c>
      <c r="BE1017" s="192">
        <v>0.17299999999999999</v>
      </c>
      <c r="BH1017" s="94">
        <v>43563</v>
      </c>
      <c r="BI1017" s="95">
        <v>7.5999999999999998E-2</v>
      </c>
      <c r="BJ1017" s="96">
        <v>11.69</v>
      </c>
    </row>
    <row r="1018" spans="54:62" ht="15">
      <c r="BB1018" s="187">
        <v>43538</v>
      </c>
      <c r="BC1018" s="180">
        <v>-0.23200000000000001</v>
      </c>
      <c r="BD1018" s="191">
        <v>43538</v>
      </c>
      <c r="BE1018" s="192">
        <v>0.17100000000000001</v>
      </c>
      <c r="BH1018" s="94">
        <v>43564</v>
      </c>
      <c r="BI1018" s="95">
        <v>7.1999999999999995E-2</v>
      </c>
      <c r="BJ1018" s="96">
        <v>11.68</v>
      </c>
    </row>
    <row r="1019" spans="54:62" ht="15">
      <c r="BB1019" s="187">
        <v>43539</v>
      </c>
      <c r="BC1019" s="180">
        <v>-0.23200000000000001</v>
      </c>
      <c r="BD1019" s="191">
        <v>43539</v>
      </c>
      <c r="BE1019" s="192">
        <v>0.16900000000000001</v>
      </c>
      <c r="BH1019" s="94">
        <v>43565</v>
      </c>
      <c r="BI1019" s="95">
        <v>6.8000000000000005E-2</v>
      </c>
      <c r="BJ1019" s="96">
        <v>11.68</v>
      </c>
    </row>
    <row r="1020" spans="54:62" ht="15">
      <c r="BB1020" s="187">
        <v>43542</v>
      </c>
      <c r="BC1020" s="180">
        <v>-0.23100000000000001</v>
      </c>
      <c r="BD1020" s="191">
        <v>43542</v>
      </c>
      <c r="BE1020" s="192">
        <v>0.16800000000000001</v>
      </c>
      <c r="BH1020" s="94">
        <v>43566</v>
      </c>
      <c r="BI1020" s="95">
        <v>6.3E-2</v>
      </c>
      <c r="BJ1020" s="96">
        <v>11.65</v>
      </c>
    </row>
    <row r="1021" spans="54:62" ht="15">
      <c r="BB1021" s="187">
        <v>43543</v>
      </c>
      <c r="BC1021" s="180">
        <v>-0.23200000000000001</v>
      </c>
      <c r="BD1021" s="191">
        <v>43543</v>
      </c>
      <c r="BE1021" s="192">
        <v>0.16600000000000001</v>
      </c>
      <c r="BH1021" s="94">
        <v>43567</v>
      </c>
      <c r="BI1021" s="95">
        <v>0.06</v>
      </c>
      <c r="BJ1021" s="96">
        <v>11.65</v>
      </c>
    </row>
    <row r="1022" spans="54:62" ht="15">
      <c r="BB1022" s="187">
        <v>43544</v>
      </c>
      <c r="BC1022" s="180">
        <v>-0.23100000000000001</v>
      </c>
      <c r="BD1022" s="191">
        <v>43544</v>
      </c>
      <c r="BE1022" s="192">
        <v>0.16500000000000001</v>
      </c>
      <c r="BH1022" s="94">
        <v>43570</v>
      </c>
      <c r="BI1022" s="95">
        <v>5.8000000000000003E-2</v>
      </c>
      <c r="BJ1022" s="96">
        <v>11.64</v>
      </c>
    </row>
    <row r="1023" spans="54:62" ht="15">
      <c r="BB1023" s="187">
        <v>43545</v>
      </c>
      <c r="BC1023" s="180">
        <v>-0.22900000000000001</v>
      </c>
      <c r="BD1023" s="191">
        <v>43545</v>
      </c>
      <c r="BE1023" s="192">
        <v>0.161</v>
      </c>
      <c r="BH1023" s="94">
        <v>43571</v>
      </c>
      <c r="BI1023" s="95">
        <v>5.6000000000000001E-2</v>
      </c>
      <c r="BJ1023" s="96">
        <v>11.64</v>
      </c>
    </row>
    <row r="1024" spans="54:62" ht="15">
      <c r="BB1024" s="187">
        <v>43546</v>
      </c>
      <c r="BC1024" s="180">
        <v>-0.22800000000000001</v>
      </c>
      <c r="BD1024" s="191">
        <v>43546</v>
      </c>
      <c r="BE1024" s="192">
        <v>0.155</v>
      </c>
      <c r="BH1024" s="94">
        <v>43572</v>
      </c>
      <c r="BI1024" s="95">
        <v>5.5E-2</v>
      </c>
      <c r="BJ1024" s="96">
        <v>11.63</v>
      </c>
    </row>
    <row r="1025" spans="54:62" ht="15">
      <c r="BB1025" s="187">
        <v>43549</v>
      </c>
      <c r="BC1025" s="180">
        <v>-0.22800000000000001</v>
      </c>
      <c r="BD1025" s="191">
        <v>43549</v>
      </c>
      <c r="BE1025" s="192">
        <v>0.14899999999999999</v>
      </c>
      <c r="BH1025" s="94">
        <v>43573</v>
      </c>
      <c r="BI1025" s="95">
        <v>5.3999999999999999E-2</v>
      </c>
      <c r="BJ1025" s="96">
        <v>11.63</v>
      </c>
    </row>
    <row r="1026" spans="54:62" ht="15">
      <c r="BB1026" s="187">
        <v>43550</v>
      </c>
      <c r="BC1026" s="180">
        <v>-0.22800000000000001</v>
      </c>
      <c r="BD1026" s="191">
        <v>43550</v>
      </c>
      <c r="BE1026" s="192">
        <v>0.14199999999999999</v>
      </c>
      <c r="BH1026" s="94">
        <v>43574</v>
      </c>
      <c r="BI1026" s="95">
        <v>5.5E-2</v>
      </c>
      <c r="BJ1026" s="96">
        <v>11.63</v>
      </c>
    </row>
    <row r="1027" spans="54:62" ht="15">
      <c r="BB1027" s="187">
        <v>43551</v>
      </c>
      <c r="BC1027" s="180">
        <v>-0.22700000000000001</v>
      </c>
      <c r="BD1027" s="191">
        <v>43551</v>
      </c>
      <c r="BE1027" s="192">
        <v>0.13300000000000001</v>
      </c>
      <c r="BH1027" s="94">
        <v>43578</v>
      </c>
      <c r="BI1027" s="95">
        <v>5.7000000000000002E-2</v>
      </c>
      <c r="BJ1027" s="96">
        <v>11.62</v>
      </c>
    </row>
    <row r="1028" spans="54:62" ht="15">
      <c r="BB1028" s="187">
        <v>43552</v>
      </c>
      <c r="BC1028" s="180">
        <v>-0.22800000000000001</v>
      </c>
      <c r="BD1028" s="191">
        <v>43552</v>
      </c>
      <c r="BE1028" s="192">
        <v>0.123</v>
      </c>
      <c r="BH1028" s="94">
        <v>43579</v>
      </c>
      <c r="BI1028" s="95">
        <v>5.7000000000000002E-2</v>
      </c>
      <c r="BJ1028" s="96">
        <v>11.61</v>
      </c>
    </row>
    <row r="1029" spans="54:62" ht="15">
      <c r="BB1029" s="187">
        <v>43553</v>
      </c>
      <c r="BC1029" s="180">
        <v>-0.22800000000000001</v>
      </c>
      <c r="BD1029" s="191">
        <v>43553</v>
      </c>
      <c r="BE1029" s="192">
        <v>0.112</v>
      </c>
      <c r="BH1029" s="94">
        <v>43580</v>
      </c>
      <c r="BI1029" s="95">
        <v>5.8999999999999997E-2</v>
      </c>
      <c r="BJ1029" s="96">
        <v>11.61</v>
      </c>
    </row>
    <row r="1030" spans="54:62" ht="15">
      <c r="BB1030" s="187">
        <v>43556</v>
      </c>
      <c r="BC1030" s="180">
        <v>-0.22800000000000001</v>
      </c>
      <c r="BD1030" s="191">
        <v>43556</v>
      </c>
      <c r="BE1030" s="192">
        <v>0.10299999999999999</v>
      </c>
      <c r="BH1030" s="94">
        <v>43581</v>
      </c>
      <c r="BI1030" s="95">
        <v>6.0999999999999999E-2</v>
      </c>
      <c r="BJ1030" s="96">
        <v>11.61</v>
      </c>
    </row>
    <row r="1031" spans="54:62" ht="15">
      <c r="BB1031" s="187">
        <v>43557</v>
      </c>
      <c r="BC1031" s="180">
        <v>-0.23</v>
      </c>
      <c r="BD1031" s="191">
        <v>43557</v>
      </c>
      <c r="BE1031" s="192">
        <v>9.2999999999999999E-2</v>
      </c>
      <c r="BH1031" s="94">
        <v>43584</v>
      </c>
      <c r="BI1031" s="95">
        <v>6.3E-2</v>
      </c>
      <c r="BJ1031" s="96">
        <v>11.6</v>
      </c>
    </row>
    <row r="1032" spans="54:62" ht="15">
      <c r="BB1032" s="187">
        <v>43558</v>
      </c>
      <c r="BC1032" s="180">
        <v>-0.23</v>
      </c>
      <c r="BD1032" s="191">
        <v>43558</v>
      </c>
      <c r="BE1032" s="192">
        <v>8.6999999999999994E-2</v>
      </c>
      <c r="BH1032" s="94">
        <v>43585</v>
      </c>
      <c r="BI1032" s="95">
        <v>6.5000000000000002E-2</v>
      </c>
      <c r="BJ1032" s="96">
        <v>11.6</v>
      </c>
    </row>
    <row r="1033" spans="54:62" ht="15">
      <c r="BB1033" s="187">
        <v>43559</v>
      </c>
      <c r="BC1033" s="180">
        <v>-0.23</v>
      </c>
      <c r="BD1033" s="191">
        <v>43559</v>
      </c>
      <c r="BE1033" s="192">
        <v>8.3000000000000004E-2</v>
      </c>
      <c r="BH1033" s="94">
        <v>43587</v>
      </c>
      <c r="BI1033" s="95">
        <v>6.6000000000000003E-2</v>
      </c>
      <c r="BJ1033" s="96">
        <v>11.59</v>
      </c>
    </row>
    <row r="1034" spans="54:62" ht="15">
      <c r="BB1034" s="187">
        <v>43560</v>
      </c>
      <c r="BC1034" s="180">
        <v>-0.23100000000000001</v>
      </c>
      <c r="BD1034" s="191">
        <v>43560</v>
      </c>
      <c r="BE1034" s="192">
        <v>0.08</v>
      </c>
      <c r="BH1034" s="94">
        <v>43588</v>
      </c>
      <c r="BI1034" s="95">
        <v>6.6000000000000003E-2</v>
      </c>
      <c r="BJ1034" s="96">
        <v>11.59</v>
      </c>
    </row>
    <row r="1035" spans="54:62" ht="15">
      <c r="BB1035" s="187">
        <v>43563</v>
      </c>
      <c r="BC1035" s="180">
        <v>-0.23100000000000001</v>
      </c>
      <c r="BD1035" s="191">
        <v>43563</v>
      </c>
      <c r="BE1035" s="192">
        <v>7.5999999999999998E-2</v>
      </c>
      <c r="BH1035" s="94">
        <v>43591</v>
      </c>
      <c r="BI1035" s="95">
        <v>6.6000000000000003E-2</v>
      </c>
      <c r="BJ1035" s="96">
        <v>11.58</v>
      </c>
    </row>
    <row r="1036" spans="54:62" ht="15">
      <c r="BB1036" s="187">
        <v>43564</v>
      </c>
      <c r="BC1036" s="180">
        <v>-0.23100000000000001</v>
      </c>
      <c r="BD1036" s="191">
        <v>43564</v>
      </c>
      <c r="BE1036" s="192">
        <v>7.1999999999999995E-2</v>
      </c>
      <c r="BH1036" s="94">
        <v>43592</v>
      </c>
      <c r="BI1036" s="95">
        <v>6.3E-2</v>
      </c>
      <c r="BJ1036" s="96">
        <v>11.58</v>
      </c>
    </row>
    <row r="1037" spans="54:62" ht="15">
      <c r="BB1037" s="187">
        <v>43565</v>
      </c>
      <c r="BC1037" s="180">
        <v>-0.23100000000000001</v>
      </c>
      <c r="BD1037" s="191">
        <v>43565</v>
      </c>
      <c r="BE1037" s="192">
        <v>6.8000000000000005E-2</v>
      </c>
      <c r="BH1037" s="94">
        <v>43593</v>
      </c>
      <c r="BI1037" s="95">
        <v>6.0999999999999999E-2</v>
      </c>
      <c r="BJ1037" s="96">
        <v>11.58</v>
      </c>
    </row>
    <row r="1038" spans="54:62" ht="15">
      <c r="BB1038" s="187">
        <v>43566</v>
      </c>
      <c r="BC1038" s="180">
        <v>-0.23200000000000001</v>
      </c>
      <c r="BD1038" s="191">
        <v>43566</v>
      </c>
      <c r="BE1038" s="192">
        <v>6.3E-2</v>
      </c>
      <c r="BH1038" s="94">
        <v>43594</v>
      </c>
      <c r="BI1038" s="95">
        <v>5.8999999999999997E-2</v>
      </c>
      <c r="BJ1038" s="96">
        <v>11.54</v>
      </c>
    </row>
    <row r="1039" spans="54:62" ht="15">
      <c r="BB1039" s="187">
        <v>43567</v>
      </c>
      <c r="BC1039" s="180">
        <v>-0.23200000000000001</v>
      </c>
      <c r="BD1039" s="191">
        <v>43567</v>
      </c>
      <c r="BE1039" s="192">
        <v>0.06</v>
      </c>
      <c r="BH1039" s="94">
        <v>43595</v>
      </c>
      <c r="BI1039" s="95">
        <v>5.8000000000000003E-2</v>
      </c>
      <c r="BJ1039" s="96">
        <v>11.54</v>
      </c>
    </row>
    <row r="1040" spans="54:62" ht="15">
      <c r="BB1040" s="187">
        <v>43570</v>
      </c>
      <c r="BC1040" s="180">
        <v>-0.23100000000000001</v>
      </c>
      <c r="BD1040" s="191">
        <v>43570</v>
      </c>
      <c r="BE1040" s="192">
        <v>5.8000000000000003E-2</v>
      </c>
      <c r="BH1040" s="94">
        <v>43598</v>
      </c>
      <c r="BI1040" s="95">
        <v>5.7000000000000002E-2</v>
      </c>
      <c r="BJ1040" s="96">
        <v>11.53</v>
      </c>
    </row>
    <row r="1041" spans="54:62" ht="15">
      <c r="BB1041" s="187">
        <v>43571</v>
      </c>
      <c r="BC1041" s="180">
        <v>-0.23200000000000001</v>
      </c>
      <c r="BD1041" s="191">
        <v>43571</v>
      </c>
      <c r="BE1041" s="192">
        <v>5.6000000000000001E-2</v>
      </c>
      <c r="BH1041" s="94">
        <v>43599</v>
      </c>
      <c r="BI1041" s="95">
        <v>5.2999999999999999E-2</v>
      </c>
      <c r="BJ1041" s="96">
        <v>11.53</v>
      </c>
    </row>
    <row r="1042" spans="54:62" ht="15">
      <c r="BB1042" s="187">
        <v>43572</v>
      </c>
      <c r="BC1042" s="180">
        <v>-0.23200000000000001</v>
      </c>
      <c r="BD1042" s="191">
        <v>43572</v>
      </c>
      <c r="BE1042" s="192">
        <v>5.5E-2</v>
      </c>
      <c r="BH1042" s="94">
        <v>43600</v>
      </c>
      <c r="BI1042" s="95">
        <v>4.7E-2</v>
      </c>
      <c r="BJ1042" s="96">
        <v>11.53</v>
      </c>
    </row>
    <row r="1043" spans="54:62" ht="15">
      <c r="BB1043" s="187">
        <v>43573</v>
      </c>
      <c r="BC1043" s="180">
        <v>-0.23200000000000001</v>
      </c>
      <c r="BD1043" s="191">
        <v>43573</v>
      </c>
      <c r="BE1043" s="192">
        <v>5.3999999999999999E-2</v>
      </c>
      <c r="BH1043" s="94">
        <v>43601</v>
      </c>
      <c r="BI1043" s="95">
        <v>4.1000000000000002E-2</v>
      </c>
      <c r="BJ1043" s="96">
        <v>11.53</v>
      </c>
    </row>
    <row r="1044" spans="54:62" ht="15">
      <c r="BB1044" s="187">
        <v>43574</v>
      </c>
      <c r="BC1044" s="180">
        <v>-0.23200000000000001</v>
      </c>
      <c r="BD1044" s="191">
        <v>43574</v>
      </c>
      <c r="BE1044" s="192">
        <v>5.5E-2</v>
      </c>
      <c r="BH1044" s="94">
        <v>43602</v>
      </c>
      <c r="BI1044" s="95">
        <v>3.4000000000000002E-2</v>
      </c>
      <c r="BJ1044" s="96">
        <v>11.52</v>
      </c>
    </row>
    <row r="1045" spans="54:62" ht="15">
      <c r="BB1045" s="187">
        <v>43577</v>
      </c>
      <c r="BC1045" s="180">
        <v>-0.23200000000000001</v>
      </c>
      <c r="BD1045" s="191"/>
      <c r="BE1045" s="193">
        <f>+BE1044</f>
        <v>5.5E-2</v>
      </c>
      <c r="BH1045" s="94">
        <v>43605</v>
      </c>
      <c r="BI1045" s="95">
        <v>2.9000000000000001E-2</v>
      </c>
      <c r="BJ1045" s="96">
        <v>11.51</v>
      </c>
    </row>
    <row r="1046" spans="54:62" ht="15">
      <c r="BB1046" s="187">
        <v>43578</v>
      </c>
      <c r="BC1046" s="180">
        <v>-0.23</v>
      </c>
      <c r="BD1046" s="191">
        <v>43578</v>
      </c>
      <c r="BE1046" s="192">
        <v>5.7000000000000002E-2</v>
      </c>
      <c r="BH1046" s="94">
        <v>43606</v>
      </c>
      <c r="BI1046" s="95">
        <v>2.8000000000000001E-2</v>
      </c>
      <c r="BJ1046" s="96">
        <v>11.51</v>
      </c>
    </row>
    <row r="1047" spans="54:62" ht="15">
      <c r="BB1047" s="187">
        <v>43579</v>
      </c>
      <c r="BC1047" s="180">
        <v>-0.23100000000000001</v>
      </c>
      <c r="BD1047" s="191">
        <v>43579</v>
      </c>
      <c r="BE1047" s="192">
        <v>5.7000000000000002E-2</v>
      </c>
      <c r="BH1047" s="94">
        <v>43607</v>
      </c>
      <c r="BI1047" s="95">
        <v>2.5000000000000001E-2</v>
      </c>
      <c r="BJ1047" s="96">
        <v>11.51</v>
      </c>
    </row>
    <row r="1048" spans="54:62" ht="15">
      <c r="BB1048" s="187">
        <v>43580</v>
      </c>
      <c r="BC1048" s="180">
        <v>-0.23</v>
      </c>
      <c r="BD1048" s="191">
        <v>43580</v>
      </c>
      <c r="BE1048" s="192">
        <v>5.8999999999999997E-2</v>
      </c>
      <c r="BH1048" s="94">
        <v>43608</v>
      </c>
      <c r="BI1048" s="95">
        <v>2.1000000000000001E-2</v>
      </c>
      <c r="BJ1048" s="96">
        <v>11.51</v>
      </c>
    </row>
    <row r="1049" spans="54:62" ht="15">
      <c r="BB1049" s="187">
        <v>43581</v>
      </c>
      <c r="BC1049" s="180">
        <v>-0.22900000000000001</v>
      </c>
      <c r="BD1049" s="191">
        <v>43581</v>
      </c>
      <c r="BE1049" s="192">
        <v>6.0999999999999999E-2</v>
      </c>
      <c r="BH1049" s="94">
        <v>43609</v>
      </c>
      <c r="BI1049" s="95">
        <v>1.7999999999999999E-2</v>
      </c>
      <c r="BJ1049" s="96">
        <v>11.5</v>
      </c>
    </row>
    <row r="1050" spans="54:62" ht="15">
      <c r="BB1050" s="187">
        <v>43584</v>
      </c>
      <c r="BC1050" s="180">
        <v>-0.23100000000000001</v>
      </c>
      <c r="BD1050" s="191">
        <v>43584</v>
      </c>
      <c r="BE1050" s="192">
        <v>6.3E-2</v>
      </c>
      <c r="BH1050" s="94">
        <v>43612</v>
      </c>
      <c r="BI1050" s="95">
        <v>1.4E-2</v>
      </c>
      <c r="BJ1050" s="96">
        <v>11.5</v>
      </c>
    </row>
    <row r="1051" spans="54:62" ht="15">
      <c r="BB1051" s="187">
        <v>43585</v>
      </c>
      <c r="BC1051" s="180">
        <v>-0.23100000000000001</v>
      </c>
      <c r="BD1051" s="191">
        <v>43585</v>
      </c>
      <c r="BE1051" s="192">
        <v>6.5000000000000002E-2</v>
      </c>
      <c r="BH1051" s="94">
        <v>43613</v>
      </c>
      <c r="BI1051" s="95">
        <v>8.9999999999999993E-3</v>
      </c>
      <c r="BJ1051" s="96">
        <v>11.49</v>
      </c>
    </row>
    <row r="1052" spans="54:62" ht="15">
      <c r="BB1052" s="187">
        <v>43586</v>
      </c>
      <c r="BC1052" s="180">
        <v>-0.23100000000000001</v>
      </c>
      <c r="BD1052" s="191"/>
      <c r="BE1052" s="193">
        <f>+BE1051</f>
        <v>6.5000000000000002E-2</v>
      </c>
      <c r="BF1052" s="111">
        <f>+(BC1052+BE1052)/2+0.37</f>
        <v>0.28699999999999998</v>
      </c>
      <c r="BH1052" s="94">
        <v>43614</v>
      </c>
      <c r="BI1052" s="95">
        <v>3.0000000000000001E-3</v>
      </c>
      <c r="BJ1052" s="96">
        <v>11.49</v>
      </c>
    </row>
    <row r="1053" spans="54:62" ht="15">
      <c r="BB1053" s="187">
        <v>43587</v>
      </c>
      <c r="BC1053" s="180">
        <v>-0.23200000000000001</v>
      </c>
      <c r="BD1053" s="191">
        <v>43587</v>
      </c>
      <c r="BE1053" s="192">
        <v>6.6000000000000003E-2</v>
      </c>
      <c r="BH1053" s="94">
        <v>43616</v>
      </c>
      <c r="BI1053" s="95" t="s">
        <v>126</v>
      </c>
      <c r="BJ1053" s="96">
        <v>11.48</v>
      </c>
    </row>
    <row r="1054" spans="54:62" ht="15">
      <c r="BB1054" s="187">
        <v>43588</v>
      </c>
      <c r="BC1054" s="180">
        <v>-0.23</v>
      </c>
      <c r="BD1054" s="191">
        <v>43588</v>
      </c>
      <c r="BE1054" s="192">
        <v>6.6000000000000003E-2</v>
      </c>
      <c r="BH1054" s="94">
        <v>43619</v>
      </c>
      <c r="BI1054" s="95" t="s">
        <v>127</v>
      </c>
      <c r="BJ1054" s="96">
        <v>11.48</v>
      </c>
    </row>
    <row r="1055" spans="54:62" ht="15">
      <c r="BB1055" s="187">
        <v>43591</v>
      </c>
      <c r="BC1055" s="180">
        <v>-0.23</v>
      </c>
      <c r="BD1055" s="191">
        <v>43591</v>
      </c>
      <c r="BE1055" s="192">
        <v>6.6000000000000003E-2</v>
      </c>
      <c r="BH1055" s="94">
        <v>43620</v>
      </c>
      <c r="BI1055" s="95" t="s">
        <v>128</v>
      </c>
      <c r="BJ1055" s="96">
        <v>11.47</v>
      </c>
    </row>
    <row r="1056" spans="54:62" ht="15">
      <c r="BB1056" s="187">
        <v>43592</v>
      </c>
      <c r="BC1056" s="180">
        <v>-0.22900000000000001</v>
      </c>
      <c r="BD1056" s="191">
        <v>43592</v>
      </c>
      <c r="BE1056" s="192">
        <v>6.3E-2</v>
      </c>
      <c r="BH1056" s="94">
        <v>43621</v>
      </c>
      <c r="BI1056" s="95" t="s">
        <v>129</v>
      </c>
      <c r="BJ1056" s="96">
        <v>11.47</v>
      </c>
    </row>
    <row r="1057" spans="54:62" ht="15">
      <c r="BB1057" s="187">
        <v>43593</v>
      </c>
      <c r="BC1057" s="180">
        <v>-0.23</v>
      </c>
      <c r="BD1057" s="191">
        <v>43593</v>
      </c>
      <c r="BE1057" s="192">
        <v>6.0999999999999999E-2</v>
      </c>
      <c r="BH1057" s="94">
        <v>43622</v>
      </c>
      <c r="BI1057" s="95" t="s">
        <v>130</v>
      </c>
      <c r="BJ1057" s="96">
        <v>11.47</v>
      </c>
    </row>
    <row r="1058" spans="54:62" ht="15">
      <c r="BB1058" s="187">
        <v>43594</v>
      </c>
      <c r="BC1058" s="180">
        <v>-0.23100000000000001</v>
      </c>
      <c r="BD1058" s="191">
        <v>43594</v>
      </c>
      <c r="BE1058" s="192">
        <v>5.8999999999999997E-2</v>
      </c>
      <c r="BH1058" s="94">
        <v>43623</v>
      </c>
      <c r="BI1058" s="95" t="s">
        <v>131</v>
      </c>
      <c r="BJ1058" s="96">
        <v>11.47</v>
      </c>
    </row>
    <row r="1059" spans="54:62" ht="15">
      <c r="BB1059" s="187">
        <v>43595</v>
      </c>
      <c r="BC1059" s="180">
        <v>-0.23100000000000001</v>
      </c>
      <c r="BD1059" s="191">
        <v>43595</v>
      </c>
      <c r="BE1059" s="192">
        <v>5.8000000000000003E-2</v>
      </c>
      <c r="BH1059" s="94">
        <v>43627</v>
      </c>
      <c r="BI1059" s="95" t="s">
        <v>61</v>
      </c>
      <c r="BJ1059" s="96">
        <v>11.46</v>
      </c>
    </row>
    <row r="1060" spans="54:62" ht="15">
      <c r="BB1060" s="187">
        <v>43598</v>
      </c>
      <c r="BC1060" s="180">
        <v>-0.23100000000000001</v>
      </c>
      <c r="BD1060" s="191">
        <v>43598</v>
      </c>
      <c r="BE1060" s="192">
        <v>5.7000000000000002E-2</v>
      </c>
      <c r="BH1060" s="94">
        <v>43628</v>
      </c>
      <c r="BI1060" s="95" t="s">
        <v>132</v>
      </c>
      <c r="BJ1060" s="96">
        <v>11.46</v>
      </c>
    </row>
    <row r="1061" spans="54:62" ht="15">
      <c r="BB1061" s="187">
        <v>43599</v>
      </c>
      <c r="BC1061" s="180">
        <v>-0.23200000000000001</v>
      </c>
      <c r="BD1061" s="191">
        <v>43599</v>
      </c>
      <c r="BE1061" s="192">
        <v>5.2999999999999999E-2</v>
      </c>
      <c r="BH1061" s="94">
        <v>43629</v>
      </c>
      <c r="BI1061" s="95" t="s">
        <v>133</v>
      </c>
      <c r="BJ1061" s="96">
        <v>11.45</v>
      </c>
    </row>
    <row r="1062" spans="54:62" ht="15">
      <c r="BB1062" s="187">
        <v>43600</v>
      </c>
      <c r="BC1062" s="180">
        <v>-0.23499999999999999</v>
      </c>
      <c r="BD1062" s="191">
        <v>43600</v>
      </c>
      <c r="BE1062" s="192">
        <v>4.7E-2</v>
      </c>
      <c r="BH1062" s="94">
        <v>43630</v>
      </c>
      <c r="BI1062" s="95" t="s">
        <v>118</v>
      </c>
      <c r="BJ1062" s="96">
        <v>11.45</v>
      </c>
    </row>
    <row r="1063" spans="54:62" ht="15">
      <c r="BB1063" s="187">
        <v>43601</v>
      </c>
      <c r="BC1063" s="180">
        <v>-0.23699999999999999</v>
      </c>
      <c r="BD1063" s="191">
        <v>43601</v>
      </c>
      <c r="BE1063" s="192">
        <v>4.1000000000000002E-2</v>
      </c>
      <c r="BH1063" s="94">
        <v>43633</v>
      </c>
      <c r="BI1063" s="95" t="s">
        <v>134</v>
      </c>
      <c r="BJ1063" s="96">
        <v>11.44</v>
      </c>
    </row>
    <row r="1064" spans="54:62" ht="15">
      <c r="BB1064" s="187">
        <v>43602</v>
      </c>
      <c r="BC1064" s="180">
        <v>-0.24</v>
      </c>
      <c r="BD1064" s="191">
        <v>43602</v>
      </c>
      <c r="BE1064" s="192">
        <v>3.4000000000000002E-2</v>
      </c>
      <c r="BH1064" s="94">
        <v>43634</v>
      </c>
      <c r="BI1064" s="95" t="s">
        <v>135</v>
      </c>
      <c r="BJ1064" s="96">
        <v>11.44</v>
      </c>
    </row>
    <row r="1065" spans="54:62" ht="15">
      <c r="BB1065" s="187">
        <v>43605</v>
      </c>
      <c r="BC1065" s="180">
        <v>-0.24099999999999999</v>
      </c>
      <c r="BD1065" s="191">
        <v>43605</v>
      </c>
      <c r="BE1065" s="192">
        <v>2.9000000000000001E-2</v>
      </c>
      <c r="BH1065" s="94">
        <v>43635</v>
      </c>
      <c r="BI1065" s="95" t="s">
        <v>136</v>
      </c>
      <c r="BJ1065" s="96">
        <v>11.44</v>
      </c>
    </row>
    <row r="1066" spans="54:62" ht="15">
      <c r="BB1066" s="187">
        <v>43606</v>
      </c>
      <c r="BC1066" s="180">
        <v>-0.24399999999999999</v>
      </c>
      <c r="BD1066" s="191">
        <v>43606</v>
      </c>
      <c r="BE1066" s="192">
        <v>2.8000000000000001E-2</v>
      </c>
      <c r="BH1066" s="94">
        <v>43637</v>
      </c>
      <c r="BI1066" s="95" t="s">
        <v>137</v>
      </c>
      <c r="BJ1066" s="96">
        <v>11.43</v>
      </c>
    </row>
    <row r="1067" spans="54:62" ht="15">
      <c r="BB1067" s="187">
        <v>43607</v>
      </c>
      <c r="BC1067" s="180">
        <v>-0.24199999999999999</v>
      </c>
      <c r="BD1067" s="191">
        <v>43607</v>
      </c>
      <c r="BE1067" s="192">
        <v>2.5000000000000001E-2</v>
      </c>
      <c r="BH1067" s="94">
        <v>43640</v>
      </c>
      <c r="BI1067" s="95" t="s">
        <v>138</v>
      </c>
      <c r="BJ1067" s="96">
        <v>11.42</v>
      </c>
    </row>
    <row r="1068" spans="54:62" ht="15">
      <c r="BB1068" s="187">
        <v>43608</v>
      </c>
      <c r="BC1068" s="180">
        <v>-0.24199999999999999</v>
      </c>
      <c r="BD1068" s="191">
        <v>43608</v>
      </c>
      <c r="BE1068" s="192">
        <v>2.1000000000000001E-2</v>
      </c>
      <c r="BH1068" s="94">
        <v>43641</v>
      </c>
      <c r="BI1068" s="95" t="s">
        <v>139</v>
      </c>
      <c r="BJ1068" s="96">
        <v>11.42</v>
      </c>
    </row>
    <row r="1069" spans="54:62" ht="15">
      <c r="BB1069" s="187">
        <v>43609</v>
      </c>
      <c r="BC1069" s="180">
        <v>-0.24099999999999999</v>
      </c>
      <c r="BD1069" s="191">
        <v>43609</v>
      </c>
      <c r="BE1069" s="192">
        <v>1.7999999999999999E-2</v>
      </c>
      <c r="BH1069" s="94">
        <v>43642</v>
      </c>
      <c r="BI1069" s="95" t="s">
        <v>140</v>
      </c>
      <c r="BJ1069" s="96">
        <v>11.42</v>
      </c>
    </row>
    <row r="1070" spans="54:62" ht="15">
      <c r="BB1070" s="187">
        <v>43612</v>
      </c>
      <c r="BC1070" s="180">
        <v>-0.24</v>
      </c>
      <c r="BD1070" s="191">
        <v>43612</v>
      </c>
      <c r="BE1070" s="192">
        <v>1.4E-2</v>
      </c>
      <c r="BH1070" s="94">
        <v>43643</v>
      </c>
      <c r="BI1070" s="95" t="s">
        <v>141</v>
      </c>
      <c r="BJ1070" s="96">
        <v>11.41</v>
      </c>
    </row>
    <row r="1071" spans="54:62" ht="15">
      <c r="BB1071" s="187">
        <v>43613</v>
      </c>
      <c r="BC1071" s="180">
        <v>-0.24199999999999999</v>
      </c>
      <c r="BD1071" s="191">
        <v>43613</v>
      </c>
      <c r="BE1071" s="192">
        <v>8.9999999999999993E-3</v>
      </c>
      <c r="BH1071" s="94">
        <v>43644</v>
      </c>
      <c r="BI1071" s="95" t="s">
        <v>142</v>
      </c>
      <c r="BJ1071" s="96">
        <v>11.41</v>
      </c>
    </row>
    <row r="1072" spans="54:62" ht="15">
      <c r="BB1072" s="187">
        <v>43614</v>
      </c>
      <c r="BC1072" s="180">
        <v>-0.245</v>
      </c>
      <c r="BD1072" s="191">
        <v>43614</v>
      </c>
      <c r="BE1072" s="192">
        <v>3.0000000000000001E-3</v>
      </c>
      <c r="BH1072" s="94">
        <v>43647</v>
      </c>
      <c r="BI1072" s="95" t="s">
        <v>143</v>
      </c>
      <c r="BJ1072" s="96">
        <v>11.4</v>
      </c>
    </row>
    <row r="1073" spans="54:62" ht="15">
      <c r="BB1073" s="187">
        <v>43615</v>
      </c>
      <c r="BC1073" s="180">
        <v>-0.247</v>
      </c>
      <c r="BD1073" s="191"/>
      <c r="BE1073" s="193">
        <f>+BE1072</f>
        <v>3.0000000000000001E-3</v>
      </c>
      <c r="BH1073" s="94">
        <v>43648</v>
      </c>
      <c r="BI1073" s="95" t="s">
        <v>97</v>
      </c>
      <c r="BJ1073" s="96">
        <v>11.83</v>
      </c>
    </row>
    <row r="1074" spans="54:62" ht="15">
      <c r="BB1074" s="187">
        <v>43616</v>
      </c>
      <c r="BC1074" s="180">
        <v>-0.25</v>
      </c>
      <c r="BD1074" s="191">
        <v>43616</v>
      </c>
      <c r="BE1074" s="192" t="s">
        <v>126</v>
      </c>
      <c r="BH1074" s="94">
        <v>43649</v>
      </c>
      <c r="BI1074" s="95" t="s">
        <v>79</v>
      </c>
      <c r="BJ1074" s="96">
        <v>11.83</v>
      </c>
    </row>
    <row r="1075" spans="54:62" ht="15">
      <c r="BB1075" s="187">
        <v>43619</v>
      </c>
      <c r="BC1075" s="180">
        <v>-0.254</v>
      </c>
      <c r="BD1075" s="191">
        <v>43619</v>
      </c>
      <c r="BE1075" s="192" t="s">
        <v>127</v>
      </c>
      <c r="BH1075" s="94">
        <v>43650</v>
      </c>
      <c r="BI1075" s="95" t="s">
        <v>83</v>
      </c>
      <c r="BJ1075" s="96">
        <v>11.83</v>
      </c>
    </row>
    <row r="1076" spans="54:62" ht="15">
      <c r="BB1076" s="187">
        <v>43620</v>
      </c>
      <c r="BC1076" s="180">
        <v>-0.254</v>
      </c>
      <c r="BD1076" s="191">
        <v>43620</v>
      </c>
      <c r="BE1076" s="192" t="s">
        <v>128</v>
      </c>
      <c r="BH1076" s="94">
        <v>43651</v>
      </c>
      <c r="BI1076" s="95" t="s">
        <v>86</v>
      </c>
      <c r="BJ1076" s="96">
        <v>11.82</v>
      </c>
    </row>
    <row r="1077" spans="54:62" ht="15">
      <c r="BB1077" s="187">
        <v>43621</v>
      </c>
      <c r="BC1077" s="180">
        <v>-0.254</v>
      </c>
      <c r="BD1077" s="191">
        <v>43621</v>
      </c>
      <c r="BE1077" s="192" t="s">
        <v>129</v>
      </c>
      <c r="BH1077" s="94">
        <v>43654</v>
      </c>
      <c r="BI1077" s="95" t="s">
        <v>88</v>
      </c>
      <c r="BJ1077" s="96">
        <v>11.82</v>
      </c>
    </row>
    <row r="1078" spans="54:62" ht="15">
      <c r="BB1078" s="187">
        <v>43622</v>
      </c>
      <c r="BC1078" s="180">
        <v>-0.25900000000000001</v>
      </c>
      <c r="BD1078" s="191">
        <v>43622</v>
      </c>
      <c r="BE1078" s="192" t="s">
        <v>130</v>
      </c>
      <c r="BH1078" s="94">
        <v>43655</v>
      </c>
      <c r="BI1078" s="95" t="s">
        <v>94</v>
      </c>
      <c r="BJ1078" s="96">
        <v>11.81</v>
      </c>
    </row>
    <row r="1079" spans="54:62" ht="15">
      <c r="BB1079" s="187">
        <v>43623</v>
      </c>
      <c r="BC1079" s="180">
        <v>-0.25600000000000001</v>
      </c>
      <c r="BD1079" s="191">
        <v>43623</v>
      </c>
      <c r="BE1079" s="192" t="s">
        <v>131</v>
      </c>
      <c r="BH1079" s="94">
        <v>43656</v>
      </c>
      <c r="BI1079" s="95" t="s">
        <v>92</v>
      </c>
      <c r="BJ1079" s="96">
        <v>11.81</v>
      </c>
    </row>
    <row r="1080" spans="54:62" ht="15">
      <c r="BB1080" s="187">
        <v>43626</v>
      </c>
      <c r="BC1080" s="180">
        <v>-0.25800000000000001</v>
      </c>
      <c r="BD1080" s="191"/>
      <c r="BE1080" s="193" t="str">
        <f>+BE1079</f>
        <v>−0,034</v>
      </c>
      <c r="BH1080" s="94">
        <v>43657</v>
      </c>
      <c r="BI1080" s="95" t="s">
        <v>144</v>
      </c>
      <c r="BJ1080" s="96">
        <v>11.81</v>
      </c>
    </row>
    <row r="1081" spans="54:62" ht="15">
      <c r="BB1081" s="187">
        <v>43627</v>
      </c>
      <c r="BC1081" s="180">
        <v>-0.25800000000000001</v>
      </c>
      <c r="BD1081" s="191">
        <v>43627</v>
      </c>
      <c r="BE1081" s="192" t="s">
        <v>61</v>
      </c>
      <c r="BH1081" s="94">
        <v>43658</v>
      </c>
      <c r="BI1081" s="95" t="s">
        <v>145</v>
      </c>
      <c r="BJ1081" s="96">
        <v>11.81</v>
      </c>
    </row>
    <row r="1082" spans="54:62" ht="15">
      <c r="BB1082" s="187">
        <v>43628</v>
      </c>
      <c r="BC1082" s="180">
        <v>-0.25900000000000001</v>
      </c>
      <c r="BD1082" s="191">
        <v>43628</v>
      </c>
      <c r="BE1082" s="192" t="s">
        <v>132</v>
      </c>
      <c r="BH1082" s="94">
        <v>43661</v>
      </c>
      <c r="BI1082" s="95" t="s">
        <v>84</v>
      </c>
      <c r="BJ1082" s="96">
        <v>12.64</v>
      </c>
    </row>
    <row r="1083" spans="54:62" ht="15">
      <c r="BB1083" s="187">
        <v>43629</v>
      </c>
      <c r="BC1083" s="180">
        <v>-0.25900000000000001</v>
      </c>
      <c r="BD1083" s="191">
        <v>43629</v>
      </c>
      <c r="BE1083" s="192" t="s">
        <v>133</v>
      </c>
      <c r="BH1083" s="94">
        <v>43662</v>
      </c>
      <c r="BI1083" s="95" t="s">
        <v>146</v>
      </c>
      <c r="BJ1083" s="96">
        <v>12.64</v>
      </c>
    </row>
    <row r="1084" spans="54:62" ht="15">
      <c r="BB1084" s="187">
        <v>43630</v>
      </c>
      <c r="BC1084" s="180">
        <v>-0.26100000000000001</v>
      </c>
      <c r="BD1084" s="191">
        <v>43630</v>
      </c>
      <c r="BE1084" s="192" t="s">
        <v>118</v>
      </c>
      <c r="BH1084" s="94">
        <v>43663</v>
      </c>
      <c r="BI1084" s="95" t="s">
        <v>86</v>
      </c>
      <c r="BJ1084" s="96">
        <v>12.64</v>
      </c>
    </row>
    <row r="1085" spans="54:62" ht="15">
      <c r="BB1085" s="187">
        <v>43633</v>
      </c>
      <c r="BC1085" s="180">
        <v>-0.26800000000000002</v>
      </c>
      <c r="BD1085" s="191">
        <v>43633</v>
      </c>
      <c r="BE1085" s="192" t="s">
        <v>134</v>
      </c>
      <c r="BH1085" s="94">
        <v>43664</v>
      </c>
      <c r="BI1085" s="95" t="s">
        <v>87</v>
      </c>
      <c r="BJ1085" s="96">
        <v>12.63</v>
      </c>
    </row>
    <row r="1086" spans="54:62" ht="15">
      <c r="BB1086" s="187">
        <v>43634</v>
      </c>
      <c r="BC1086" s="180">
        <v>-0.27600000000000002</v>
      </c>
      <c r="BD1086" s="191">
        <v>43634</v>
      </c>
      <c r="BE1086" s="192" t="s">
        <v>135</v>
      </c>
      <c r="BH1086" s="94">
        <v>43665</v>
      </c>
      <c r="BI1086" s="95" t="s">
        <v>88</v>
      </c>
      <c r="BJ1086" s="96">
        <v>12.63</v>
      </c>
    </row>
    <row r="1087" spans="54:62" ht="15">
      <c r="BB1087" s="187">
        <v>43635</v>
      </c>
      <c r="BC1087" s="180">
        <v>-0.29899999999999999</v>
      </c>
      <c r="BD1087" s="191">
        <v>43635</v>
      </c>
      <c r="BE1087" s="192" t="s">
        <v>136</v>
      </c>
      <c r="BH1087" s="94">
        <v>43668</v>
      </c>
      <c r="BI1087" s="95" t="s">
        <v>89</v>
      </c>
      <c r="BJ1087" s="96">
        <v>12.62</v>
      </c>
    </row>
    <row r="1088" spans="54:62" ht="15">
      <c r="BB1088" s="187">
        <v>43636</v>
      </c>
      <c r="BC1088" s="180">
        <v>-0.30299999999999999</v>
      </c>
      <c r="BD1088" s="191"/>
      <c r="BE1088" s="193" t="str">
        <f>+BE1087</f>
        <v>−0,086</v>
      </c>
      <c r="BH1088" s="94">
        <v>43669</v>
      </c>
      <c r="BI1088" s="95" t="s">
        <v>93</v>
      </c>
      <c r="BJ1088" s="96">
        <v>12.62</v>
      </c>
    </row>
    <row r="1089" spans="54:62" ht="15">
      <c r="BB1089" s="187">
        <v>43637</v>
      </c>
      <c r="BC1089" s="180">
        <v>-0.308</v>
      </c>
      <c r="BD1089" s="191">
        <v>43637</v>
      </c>
      <c r="BE1089" s="192" t="s">
        <v>137</v>
      </c>
      <c r="BH1089" s="94">
        <v>43670</v>
      </c>
      <c r="BI1089" s="95" t="s">
        <v>144</v>
      </c>
      <c r="BJ1089" s="96">
        <v>12.62</v>
      </c>
    </row>
    <row r="1090" spans="54:62" ht="15">
      <c r="BB1090" s="187">
        <v>43640</v>
      </c>
      <c r="BC1090" s="180">
        <v>-0.308</v>
      </c>
      <c r="BD1090" s="191">
        <v>43640</v>
      </c>
      <c r="BE1090" s="192" t="s">
        <v>138</v>
      </c>
      <c r="BH1090" s="94">
        <v>43671</v>
      </c>
      <c r="BI1090" s="95" t="s">
        <v>147</v>
      </c>
      <c r="BJ1090" s="96">
        <v>12.62</v>
      </c>
    </row>
    <row r="1091" spans="54:62" ht="15">
      <c r="BB1091" s="187">
        <v>43641</v>
      </c>
      <c r="BC1091" s="180">
        <v>-0.311</v>
      </c>
      <c r="BD1091" s="191">
        <v>43641</v>
      </c>
      <c r="BE1091" s="192" t="s">
        <v>139</v>
      </c>
      <c r="BH1091" s="94">
        <v>43672</v>
      </c>
      <c r="BI1091" s="95" t="s">
        <v>148</v>
      </c>
      <c r="BJ1091" s="96">
        <v>12.61</v>
      </c>
    </row>
    <row r="1092" spans="54:62" ht="15">
      <c r="BB1092" s="187">
        <v>43642</v>
      </c>
      <c r="BC1092" s="180">
        <v>-0.311</v>
      </c>
      <c r="BD1092" s="191">
        <v>43642</v>
      </c>
      <c r="BE1092" s="192" t="s">
        <v>140</v>
      </c>
      <c r="BH1092" s="94">
        <v>43675</v>
      </c>
      <c r="BI1092" s="95" t="s">
        <v>149</v>
      </c>
      <c r="BJ1092" s="96">
        <v>12.6</v>
      </c>
    </row>
    <row r="1093" spans="54:62" ht="15">
      <c r="BB1093" s="187">
        <v>43643</v>
      </c>
      <c r="BC1093" s="180">
        <v>-0.313</v>
      </c>
      <c r="BD1093" s="191">
        <v>43643</v>
      </c>
      <c r="BE1093" s="192" t="s">
        <v>141</v>
      </c>
      <c r="BH1093" s="94">
        <v>43676</v>
      </c>
      <c r="BI1093" s="95" t="s">
        <v>150</v>
      </c>
      <c r="BJ1093" s="96">
        <v>12.6</v>
      </c>
    </row>
    <row r="1094" spans="54:62" ht="15">
      <c r="BB1094" s="187">
        <v>43644</v>
      </c>
      <c r="BC1094" s="180">
        <v>-0.311</v>
      </c>
      <c r="BD1094" s="191">
        <v>43644</v>
      </c>
      <c r="BE1094" s="192" t="s">
        <v>142</v>
      </c>
      <c r="BH1094" s="94">
        <v>43677</v>
      </c>
      <c r="BI1094" s="95" t="s">
        <v>151</v>
      </c>
      <c r="BJ1094" s="96">
        <v>12.6</v>
      </c>
    </row>
    <row r="1095" spans="54:62" ht="15">
      <c r="BB1095" s="187">
        <v>43647</v>
      </c>
      <c r="BC1095" s="180">
        <v>-0.313</v>
      </c>
      <c r="BD1095" s="191">
        <v>43647</v>
      </c>
      <c r="BE1095" s="192" t="s">
        <v>143</v>
      </c>
      <c r="BH1095" s="94">
        <v>43678</v>
      </c>
      <c r="BI1095" s="95" t="s">
        <v>152</v>
      </c>
      <c r="BJ1095" s="96">
        <v>12.6</v>
      </c>
    </row>
    <row r="1096" spans="54:62" ht="15">
      <c r="BB1096" s="187">
        <v>43648</v>
      </c>
      <c r="BC1096" s="180">
        <v>-0.32700000000000001</v>
      </c>
      <c r="BD1096" s="191">
        <v>43648</v>
      </c>
      <c r="BE1096" s="192" t="s">
        <v>97</v>
      </c>
      <c r="BH1096" s="94">
        <v>43679</v>
      </c>
      <c r="BI1096" s="95" t="s">
        <v>153</v>
      </c>
      <c r="BJ1096" s="96">
        <v>12.59</v>
      </c>
    </row>
    <row r="1097" spans="54:62" ht="15">
      <c r="BB1097" s="187">
        <v>43649</v>
      </c>
      <c r="BC1097" s="180">
        <v>-0.33500000000000002</v>
      </c>
      <c r="BD1097" s="191">
        <v>43649</v>
      </c>
      <c r="BE1097" s="192" t="s">
        <v>79</v>
      </c>
      <c r="BH1097" s="94">
        <v>43682</v>
      </c>
      <c r="BI1097" s="95" t="s">
        <v>154</v>
      </c>
      <c r="BJ1097" s="96">
        <v>12.59</v>
      </c>
    </row>
    <row r="1098" spans="54:62" ht="15">
      <c r="BB1098" s="187">
        <v>43650</v>
      </c>
      <c r="BC1098" s="180">
        <v>-0.33800000000000002</v>
      </c>
      <c r="BD1098" s="191">
        <v>43650</v>
      </c>
      <c r="BE1098" s="192" t="s">
        <v>83</v>
      </c>
      <c r="BH1098" s="94">
        <v>43683</v>
      </c>
      <c r="BI1098" s="95" t="s">
        <v>155</v>
      </c>
      <c r="BJ1098" s="96">
        <v>12.58</v>
      </c>
    </row>
    <row r="1099" spans="54:62" ht="15">
      <c r="BB1099" s="187">
        <v>43651</v>
      </c>
      <c r="BC1099" s="180">
        <v>-0.34399999999999997</v>
      </c>
      <c r="BD1099" s="191">
        <v>43651</v>
      </c>
      <c r="BE1099" s="192" t="s">
        <v>86</v>
      </c>
      <c r="BH1099" s="94">
        <v>43684</v>
      </c>
      <c r="BI1099" s="95" t="s">
        <v>156</v>
      </c>
      <c r="BJ1099" s="96">
        <v>12.58</v>
      </c>
    </row>
    <row r="1100" spans="54:62" ht="15">
      <c r="BB1100" s="187">
        <v>43654</v>
      </c>
      <c r="BC1100" s="180">
        <v>-0.33800000000000002</v>
      </c>
      <c r="BD1100" s="191">
        <v>43654</v>
      </c>
      <c r="BE1100" s="192" t="s">
        <v>88</v>
      </c>
      <c r="BH1100" s="94">
        <v>43685</v>
      </c>
      <c r="BI1100" s="95" t="s">
        <v>157</v>
      </c>
      <c r="BJ1100" s="96">
        <v>12.58</v>
      </c>
    </row>
    <row r="1101" spans="54:62" ht="15">
      <c r="BB1101" s="187">
        <v>43655</v>
      </c>
      <c r="BC1101" s="180">
        <v>-0.33600000000000002</v>
      </c>
      <c r="BD1101" s="191">
        <v>43655</v>
      </c>
      <c r="BE1101" s="192" t="s">
        <v>94</v>
      </c>
      <c r="BH1101" s="94">
        <v>43686</v>
      </c>
      <c r="BI1101" s="95" t="s">
        <v>158</v>
      </c>
      <c r="BJ1101" s="96">
        <v>12.57</v>
      </c>
    </row>
    <row r="1102" spans="54:62" ht="15">
      <c r="BB1102" s="187">
        <v>43656</v>
      </c>
      <c r="BC1102" s="180">
        <v>-0.32900000000000001</v>
      </c>
      <c r="BD1102" s="191">
        <v>43656</v>
      </c>
      <c r="BE1102" s="192" t="s">
        <v>92</v>
      </c>
      <c r="BH1102" s="94">
        <v>43689</v>
      </c>
      <c r="BI1102" s="95" t="s">
        <v>159</v>
      </c>
      <c r="BJ1102" s="96">
        <v>12.57</v>
      </c>
    </row>
    <row r="1103" spans="54:62" ht="15">
      <c r="BB1103" s="187">
        <v>43657</v>
      </c>
      <c r="BC1103" s="180">
        <v>-0.34200000000000003</v>
      </c>
      <c r="BD1103" s="191">
        <v>43657</v>
      </c>
      <c r="BE1103" s="192" t="s">
        <v>144</v>
      </c>
      <c r="BH1103" s="94">
        <v>43690</v>
      </c>
      <c r="BI1103" s="95" t="s">
        <v>160</v>
      </c>
      <c r="BJ1103" s="96">
        <v>12.56</v>
      </c>
    </row>
    <row r="1104" spans="54:62" ht="15">
      <c r="BB1104" s="187">
        <v>43658</v>
      </c>
      <c r="BC1104" s="180">
        <v>-0.34200000000000003</v>
      </c>
      <c r="BD1104" s="191">
        <v>43658</v>
      </c>
      <c r="BE1104" s="192" t="s">
        <v>145</v>
      </c>
      <c r="BH1104" s="94">
        <v>43691</v>
      </c>
      <c r="BI1104" s="95" t="s">
        <v>161</v>
      </c>
      <c r="BJ1104" s="96">
        <v>12.56</v>
      </c>
    </row>
    <row r="1105" spans="54:62" ht="15">
      <c r="BB1105" s="187">
        <v>43661</v>
      </c>
      <c r="BC1105" s="180">
        <v>-0.34300000000000003</v>
      </c>
      <c r="BD1105" s="191">
        <v>43661</v>
      </c>
      <c r="BE1105" s="192" t="s">
        <v>84</v>
      </c>
      <c r="BH1105" s="94">
        <v>43693</v>
      </c>
      <c r="BI1105" s="95" t="s">
        <v>162</v>
      </c>
      <c r="BJ1105" s="96">
        <v>12.56</v>
      </c>
    </row>
    <row r="1106" spans="54:62" ht="15">
      <c r="BB1106" s="187">
        <v>43662</v>
      </c>
      <c r="BC1106" s="180">
        <v>-0.35</v>
      </c>
      <c r="BD1106" s="191">
        <v>43662</v>
      </c>
      <c r="BE1106" s="192" t="s">
        <v>146</v>
      </c>
      <c r="BH1106" s="94">
        <v>43696</v>
      </c>
      <c r="BI1106" s="95" t="s">
        <v>163</v>
      </c>
      <c r="BJ1106" s="96">
        <v>12.55</v>
      </c>
    </row>
    <row r="1107" spans="54:62" ht="15">
      <c r="BB1107" s="187">
        <v>43663</v>
      </c>
      <c r="BC1107" s="180">
        <v>-0.35699999999999998</v>
      </c>
      <c r="BD1107" s="191">
        <v>43663</v>
      </c>
      <c r="BE1107" s="192" t="s">
        <v>86</v>
      </c>
      <c r="BH1107" s="94">
        <v>43697</v>
      </c>
      <c r="BI1107" s="95" t="s">
        <v>164</v>
      </c>
      <c r="BJ1107" s="96">
        <v>12.54</v>
      </c>
    </row>
    <row r="1108" spans="54:62" ht="15">
      <c r="BB1108" s="187">
        <v>43664</v>
      </c>
      <c r="BC1108" s="180">
        <v>-0.35299999999999998</v>
      </c>
      <c r="BD1108" s="191">
        <v>43664</v>
      </c>
      <c r="BE1108" s="192" t="s">
        <v>87</v>
      </c>
      <c r="BH1108" s="94">
        <v>43698</v>
      </c>
      <c r="BI1108" s="95" t="s">
        <v>165</v>
      </c>
      <c r="BJ1108" s="96">
        <v>12.54</v>
      </c>
    </row>
    <row r="1109" spans="54:62" ht="15">
      <c r="BB1109" s="187">
        <v>43665</v>
      </c>
      <c r="BC1109" s="180">
        <v>-0.35399999999999998</v>
      </c>
      <c r="BD1109" s="191">
        <v>43665</v>
      </c>
      <c r="BE1109" s="192" t="s">
        <v>88</v>
      </c>
      <c r="BH1109" s="94">
        <v>43699</v>
      </c>
      <c r="BI1109" s="95" t="s">
        <v>166</v>
      </c>
      <c r="BJ1109" s="96">
        <v>12.54</v>
      </c>
    </row>
    <row r="1110" spans="54:62" ht="15">
      <c r="BB1110" s="187">
        <v>43668</v>
      </c>
      <c r="BC1110" s="180">
        <v>-0.36099999999999999</v>
      </c>
      <c r="BD1110" s="191">
        <v>43668</v>
      </c>
      <c r="BE1110" s="192" t="s">
        <v>89</v>
      </c>
      <c r="BH1110" s="94">
        <v>43700</v>
      </c>
      <c r="BI1110" s="95" t="s">
        <v>167</v>
      </c>
      <c r="BJ1110" s="96">
        <v>12.54</v>
      </c>
    </row>
    <row r="1111" spans="54:62" ht="15">
      <c r="BB1111" s="187">
        <v>43669</v>
      </c>
      <c r="BC1111" s="180">
        <v>-0.36199999999999999</v>
      </c>
      <c r="BD1111" s="191">
        <v>43669</v>
      </c>
      <c r="BE1111" s="192" t="s">
        <v>93</v>
      </c>
      <c r="BH1111" s="94">
        <v>43703</v>
      </c>
      <c r="BI1111" s="95" t="s">
        <v>168</v>
      </c>
      <c r="BJ1111" s="96">
        <v>12.53</v>
      </c>
    </row>
    <row r="1112" spans="54:62" ht="15">
      <c r="BB1112" s="187">
        <v>43670</v>
      </c>
      <c r="BC1112" s="180">
        <v>-0.36799999999999999</v>
      </c>
      <c r="BD1112" s="191">
        <v>43670</v>
      </c>
      <c r="BE1112" s="192" t="s">
        <v>144</v>
      </c>
      <c r="BH1112" s="94">
        <v>43704</v>
      </c>
      <c r="BI1112" s="95" t="s">
        <v>169</v>
      </c>
      <c r="BJ1112" s="96">
        <v>12.53</v>
      </c>
    </row>
    <row r="1113" spans="54:62" ht="15">
      <c r="BB1113" s="187">
        <v>43671</v>
      </c>
      <c r="BC1113" s="180">
        <v>-0.36799999999999999</v>
      </c>
      <c r="BD1113" s="191">
        <v>43671</v>
      </c>
      <c r="BE1113" s="192" t="s">
        <v>147</v>
      </c>
      <c r="BH1113" s="94">
        <v>43705</v>
      </c>
      <c r="BI1113" s="95" t="s">
        <v>170</v>
      </c>
      <c r="BJ1113" s="96">
        <v>12.52</v>
      </c>
    </row>
    <row r="1114" spans="54:62" ht="15">
      <c r="BB1114" s="187">
        <v>43672</v>
      </c>
      <c r="BC1114" s="180">
        <v>-0.36199999999999999</v>
      </c>
      <c r="BD1114" s="191">
        <v>43672</v>
      </c>
      <c r="BE1114" s="192" t="s">
        <v>148</v>
      </c>
      <c r="BH1114" s="94">
        <v>43706</v>
      </c>
      <c r="BI1114" s="95" t="s">
        <v>171</v>
      </c>
      <c r="BJ1114" s="96">
        <v>12.52</v>
      </c>
    </row>
    <row r="1115" spans="54:62" ht="15">
      <c r="BB1115" s="187">
        <v>43675</v>
      </c>
      <c r="BC1115" s="180">
        <v>-0.35099999999999998</v>
      </c>
      <c r="BD1115" s="191">
        <v>43675</v>
      </c>
      <c r="BE1115" s="192" t="s">
        <v>149</v>
      </c>
      <c r="BH1115" s="94">
        <v>43707</v>
      </c>
      <c r="BI1115" s="95" t="s">
        <v>172</v>
      </c>
      <c r="BJ1115" s="96">
        <v>12.52</v>
      </c>
    </row>
    <row r="1116" spans="54:62" ht="15">
      <c r="BB1116" s="187">
        <v>43676</v>
      </c>
      <c r="BC1116" s="180">
        <v>-0.35499999999999998</v>
      </c>
      <c r="BD1116" s="191">
        <v>43676</v>
      </c>
      <c r="BE1116" s="192" t="s">
        <v>150</v>
      </c>
      <c r="BH1116" s="94">
        <v>43710</v>
      </c>
      <c r="BI1116" s="95" t="s">
        <v>173</v>
      </c>
      <c r="BJ1116" s="96">
        <v>12.51</v>
      </c>
    </row>
    <row r="1117" spans="54:62" ht="15">
      <c r="BB1117" s="187">
        <v>43677</v>
      </c>
      <c r="BC1117" s="180">
        <v>-0.36199999999999999</v>
      </c>
      <c r="BD1117" s="191">
        <v>43677</v>
      </c>
      <c r="BE1117" s="192" t="s">
        <v>151</v>
      </c>
      <c r="BH1117" s="94">
        <v>43711</v>
      </c>
      <c r="BI1117" s="95" t="s">
        <v>174</v>
      </c>
      <c r="BJ1117" s="96">
        <v>12.51</v>
      </c>
    </row>
    <row r="1118" spans="54:62" ht="15">
      <c r="BB1118" s="187">
        <v>43678</v>
      </c>
      <c r="BC1118" s="180">
        <v>-0.36299999999999999</v>
      </c>
      <c r="BD1118" s="191">
        <v>43678</v>
      </c>
      <c r="BE1118" s="192" t="s">
        <v>152</v>
      </c>
      <c r="BH1118" s="94">
        <v>43712</v>
      </c>
      <c r="BI1118" s="95" t="s">
        <v>175</v>
      </c>
      <c r="BJ1118" s="96">
        <v>12.5</v>
      </c>
    </row>
    <row r="1119" spans="54:62" ht="15">
      <c r="BB1119" s="187">
        <v>43679</v>
      </c>
      <c r="BC1119" s="180">
        <v>-0.36699999999999999</v>
      </c>
      <c r="BD1119" s="191">
        <v>43679</v>
      </c>
      <c r="BE1119" s="192" t="s">
        <v>153</v>
      </c>
      <c r="BH1119" s="94">
        <v>43713</v>
      </c>
      <c r="BI1119" s="95" t="s">
        <v>175</v>
      </c>
      <c r="BJ1119" s="96">
        <v>12.47</v>
      </c>
    </row>
    <row r="1120" spans="54:62" ht="15">
      <c r="BB1120" s="187">
        <v>43682</v>
      </c>
      <c r="BC1120" s="180">
        <v>-0.36899999999999999</v>
      </c>
      <c r="BD1120" s="191">
        <v>43682</v>
      </c>
      <c r="BE1120" s="192" t="s">
        <v>154</v>
      </c>
      <c r="BH1120" s="94">
        <v>43714</v>
      </c>
      <c r="BI1120" s="95" t="s">
        <v>176</v>
      </c>
      <c r="BJ1120" s="96">
        <v>12.47</v>
      </c>
    </row>
    <row r="1121" spans="54:62" ht="15">
      <c r="BB1121" s="187">
        <v>43683</v>
      </c>
      <c r="BC1121" s="180">
        <v>-0.38300000000000001</v>
      </c>
      <c r="BD1121" s="191">
        <v>43683</v>
      </c>
      <c r="BE1121" s="192" t="s">
        <v>155</v>
      </c>
      <c r="BH1121" s="94">
        <v>43717</v>
      </c>
      <c r="BI1121" s="95" t="s">
        <v>175</v>
      </c>
      <c r="BJ1121" s="96">
        <v>12.46</v>
      </c>
    </row>
    <row r="1122" spans="54:62" ht="15">
      <c r="BB1122" s="187">
        <v>43684</v>
      </c>
      <c r="BC1122" s="180">
        <v>-0.38900000000000001</v>
      </c>
      <c r="BD1122" s="191">
        <v>43684</v>
      </c>
      <c r="BE1122" s="192" t="s">
        <v>156</v>
      </c>
      <c r="BH1122" s="94">
        <v>43718</v>
      </c>
      <c r="BI1122" s="95" t="s">
        <v>177</v>
      </c>
      <c r="BJ1122" s="96">
        <v>12.45</v>
      </c>
    </row>
    <row r="1123" spans="54:62" ht="15">
      <c r="BB1123" s="187">
        <v>43685</v>
      </c>
      <c r="BC1123" s="180">
        <v>-0.39300000000000002</v>
      </c>
      <c r="BD1123" s="191">
        <v>43685</v>
      </c>
      <c r="BE1123" s="192" t="s">
        <v>157</v>
      </c>
      <c r="BH1123" s="94">
        <v>43719</v>
      </c>
      <c r="BI1123" s="95" t="s">
        <v>178</v>
      </c>
      <c r="BJ1123" s="96">
        <v>12.45</v>
      </c>
    </row>
    <row r="1124" spans="54:62" ht="15">
      <c r="BB1124" s="187">
        <v>43686</v>
      </c>
      <c r="BC1124" s="180">
        <v>-0.39600000000000002</v>
      </c>
      <c r="BD1124" s="191">
        <v>43686</v>
      </c>
      <c r="BE1124" s="192" t="s">
        <v>158</v>
      </c>
      <c r="BH1124" s="94">
        <v>43720</v>
      </c>
      <c r="BI1124" s="95" t="s">
        <v>179</v>
      </c>
      <c r="BJ1124" s="96">
        <v>12.45</v>
      </c>
    </row>
    <row r="1125" spans="54:62" ht="15">
      <c r="BB1125" s="187">
        <v>43689</v>
      </c>
      <c r="BC1125" s="180">
        <v>-0.4</v>
      </c>
      <c r="BD1125" s="191">
        <v>43689</v>
      </c>
      <c r="BE1125" s="192" t="s">
        <v>159</v>
      </c>
      <c r="BH1125" s="94">
        <v>43721</v>
      </c>
      <c r="BI1125" s="95" t="s">
        <v>180</v>
      </c>
      <c r="BJ1125" s="96">
        <v>12.45</v>
      </c>
    </row>
    <row r="1126" spans="54:62" ht="15">
      <c r="BB1126" s="187">
        <v>43690</v>
      </c>
      <c r="BC1126" s="180">
        <v>-0.40100000000000002</v>
      </c>
      <c r="BD1126" s="191">
        <v>43690</v>
      </c>
      <c r="BE1126" s="192" t="s">
        <v>160</v>
      </c>
      <c r="BH1126" s="94">
        <v>43724</v>
      </c>
      <c r="BI1126" s="95" t="s">
        <v>171</v>
      </c>
      <c r="BJ1126" s="96">
        <v>12.44</v>
      </c>
    </row>
    <row r="1127" spans="54:62" ht="15">
      <c r="BB1127" s="187">
        <v>43691</v>
      </c>
      <c r="BC1127" s="180">
        <v>-0.40600000000000003</v>
      </c>
      <c r="BD1127" s="191">
        <v>43691</v>
      </c>
      <c r="BE1127" s="192" t="s">
        <v>161</v>
      </c>
      <c r="BH1127" s="94">
        <v>43725</v>
      </c>
      <c r="BI1127" s="95" t="s">
        <v>170</v>
      </c>
      <c r="BJ1127" s="96">
        <v>12.44</v>
      </c>
    </row>
    <row r="1128" spans="54:62" ht="15">
      <c r="BB1128" s="187">
        <v>43692</v>
      </c>
      <c r="BC1128" s="180">
        <v>-0.40899999999999997</v>
      </c>
      <c r="BD1128" s="191"/>
      <c r="BE1128" s="193" t="str">
        <f>+BE1127</f>
        <v>−0,324</v>
      </c>
      <c r="BH1128" s="94">
        <v>43726</v>
      </c>
      <c r="BI1128" s="95" t="s">
        <v>181</v>
      </c>
      <c r="BJ1128" s="96">
        <v>12.43</v>
      </c>
    </row>
    <row r="1129" spans="54:62" ht="15">
      <c r="BB1129" s="187">
        <v>43693</v>
      </c>
      <c r="BC1129" s="180">
        <v>-0.42699999999999999</v>
      </c>
      <c r="BD1129" s="191">
        <v>43693</v>
      </c>
      <c r="BE1129" s="192" t="s">
        <v>162</v>
      </c>
      <c r="BH1129" s="94">
        <v>43727</v>
      </c>
      <c r="BI1129" s="95" t="s">
        <v>182</v>
      </c>
      <c r="BJ1129" s="96">
        <v>12.43</v>
      </c>
    </row>
    <row r="1130" spans="54:62" ht="15">
      <c r="BB1130" s="187">
        <v>43696</v>
      </c>
      <c r="BC1130" s="180">
        <v>-0.42299999999999999</v>
      </c>
      <c r="BD1130" s="191">
        <v>43696</v>
      </c>
      <c r="BE1130" s="192" t="s">
        <v>163</v>
      </c>
      <c r="BH1130" s="94">
        <v>43728</v>
      </c>
      <c r="BI1130" s="95" t="s">
        <v>168</v>
      </c>
      <c r="BJ1130" s="96">
        <v>12.43</v>
      </c>
    </row>
    <row r="1131" spans="54:62" ht="15">
      <c r="BB1131" s="187">
        <v>43697</v>
      </c>
      <c r="BC1131" s="180">
        <v>-0.42499999999999999</v>
      </c>
      <c r="BD1131" s="191">
        <v>43697</v>
      </c>
      <c r="BE1131" s="192" t="s">
        <v>164</v>
      </c>
      <c r="BH1131" s="94">
        <v>43731</v>
      </c>
      <c r="BI1131" s="95" t="s">
        <v>183</v>
      </c>
      <c r="BJ1131" s="96">
        <v>12.42</v>
      </c>
    </row>
    <row r="1132" spans="54:62" ht="15">
      <c r="BB1132" s="187">
        <v>43698</v>
      </c>
      <c r="BC1132" s="180">
        <v>-0.42399999999999999</v>
      </c>
      <c r="BD1132" s="191">
        <v>43698</v>
      </c>
      <c r="BE1132" s="192" t="s">
        <v>165</v>
      </c>
      <c r="BH1132" s="94">
        <v>43732</v>
      </c>
      <c r="BI1132" s="95" t="s">
        <v>167</v>
      </c>
      <c r="BJ1132" s="96">
        <v>12.42</v>
      </c>
    </row>
    <row r="1133" spans="54:62" ht="15">
      <c r="BB1133" s="187">
        <v>43699</v>
      </c>
      <c r="BC1133" s="180">
        <v>-0.41799999999999998</v>
      </c>
      <c r="BD1133" s="191">
        <v>43699</v>
      </c>
      <c r="BE1133" s="192" t="s">
        <v>166</v>
      </c>
      <c r="BH1133" s="94">
        <v>43733</v>
      </c>
      <c r="BI1133" s="95" t="s">
        <v>184</v>
      </c>
      <c r="BJ1133" s="96">
        <v>12.41</v>
      </c>
    </row>
    <row r="1134" spans="54:62" ht="15">
      <c r="BB1134" s="187">
        <v>43700</v>
      </c>
      <c r="BC1134" s="180">
        <v>-0.40799999999999997</v>
      </c>
      <c r="BD1134" s="191">
        <v>43700</v>
      </c>
      <c r="BE1134" s="192" t="s">
        <v>167</v>
      </c>
      <c r="BH1134" s="94">
        <v>43734</v>
      </c>
      <c r="BI1134" s="95" t="s">
        <v>185</v>
      </c>
      <c r="BJ1134" s="96">
        <v>12.41</v>
      </c>
    </row>
    <row r="1135" spans="54:62" ht="15">
      <c r="BB1135" s="187">
        <v>43703</v>
      </c>
      <c r="BC1135" s="180">
        <v>-0.41499999999999998</v>
      </c>
      <c r="BD1135" s="191">
        <v>43703</v>
      </c>
      <c r="BE1135" s="192" t="s">
        <v>168</v>
      </c>
      <c r="BH1135" s="94">
        <v>43735</v>
      </c>
      <c r="BI1135" s="95" t="s">
        <v>186</v>
      </c>
      <c r="BJ1135" s="96">
        <v>12.41</v>
      </c>
    </row>
    <row r="1136" spans="54:62" ht="15">
      <c r="BB1136" s="187">
        <v>43704</v>
      </c>
      <c r="BC1136" s="180">
        <v>-0.41499999999999998</v>
      </c>
      <c r="BD1136" s="191">
        <v>43704</v>
      </c>
      <c r="BE1136" s="192" t="s">
        <v>169</v>
      </c>
      <c r="BH1136" s="94">
        <v>43738</v>
      </c>
      <c r="BI1136" s="95" t="s">
        <v>187</v>
      </c>
      <c r="BJ1136" s="96">
        <v>12.4</v>
      </c>
    </row>
    <row r="1137" spans="54:62" ht="15">
      <c r="BB1137" s="187">
        <v>43705</v>
      </c>
      <c r="BC1137" s="180">
        <v>-0.42699999999999999</v>
      </c>
      <c r="BD1137" s="191">
        <v>43705</v>
      </c>
      <c r="BE1137" s="192" t="s">
        <v>170</v>
      </c>
      <c r="BH1137" s="94">
        <v>43739</v>
      </c>
      <c r="BI1137" s="95" t="s">
        <v>188</v>
      </c>
      <c r="BJ1137" s="96">
        <v>12.4</v>
      </c>
    </row>
    <row r="1138" spans="54:62" ht="15">
      <c r="BB1138" s="187">
        <v>43706</v>
      </c>
      <c r="BC1138" s="180">
        <v>-0.42299999999999999</v>
      </c>
      <c r="BD1138" s="191">
        <v>43706</v>
      </c>
      <c r="BE1138" s="192" t="s">
        <v>171</v>
      </c>
      <c r="BH1138" s="94">
        <v>43740</v>
      </c>
      <c r="BI1138" s="95" t="s">
        <v>189</v>
      </c>
      <c r="BJ1138" s="96">
        <v>12.39</v>
      </c>
    </row>
    <row r="1139" spans="54:62" ht="15">
      <c r="BB1139" s="187">
        <v>43707</v>
      </c>
      <c r="BC1139" s="180">
        <v>-0.42799999999999999</v>
      </c>
      <c r="BD1139" s="191">
        <v>43707</v>
      </c>
      <c r="BE1139" s="192" t="s">
        <v>172</v>
      </c>
      <c r="BH1139" s="94">
        <v>43741</v>
      </c>
      <c r="BI1139" s="95" t="s">
        <v>190</v>
      </c>
      <c r="BJ1139" s="96">
        <v>12.39</v>
      </c>
    </row>
    <row r="1140" spans="54:62" ht="15">
      <c r="BB1140" s="187">
        <v>43710</v>
      </c>
      <c r="BC1140" s="180">
        <v>-0.439</v>
      </c>
      <c r="BD1140" s="191">
        <v>43710</v>
      </c>
      <c r="BE1140" s="192" t="s">
        <v>173</v>
      </c>
      <c r="BH1140" s="94">
        <v>43742</v>
      </c>
      <c r="BI1140" s="95" t="s">
        <v>191</v>
      </c>
      <c r="BJ1140" s="96">
        <v>12.39</v>
      </c>
    </row>
    <row r="1141" spans="54:62" ht="15">
      <c r="BB1141" s="187">
        <v>43711</v>
      </c>
      <c r="BC1141" s="180">
        <v>-0.44800000000000001</v>
      </c>
      <c r="BD1141" s="191">
        <v>43711</v>
      </c>
      <c r="BE1141" s="192" t="s">
        <v>174</v>
      </c>
      <c r="BH1141" s="94">
        <v>43745</v>
      </c>
      <c r="BI1141" s="95" t="s">
        <v>191</v>
      </c>
      <c r="BJ1141" s="96">
        <v>12.38</v>
      </c>
    </row>
    <row r="1142" spans="54:62" ht="15">
      <c r="BB1142" s="187">
        <v>43712</v>
      </c>
      <c r="BC1142" s="180">
        <v>-0.439</v>
      </c>
      <c r="BD1142" s="191">
        <v>43712</v>
      </c>
      <c r="BE1142" s="192" t="s">
        <v>175</v>
      </c>
      <c r="BH1142" s="94">
        <v>43746</v>
      </c>
      <c r="BI1142" s="95" t="s">
        <v>190</v>
      </c>
      <c r="BJ1142" s="96">
        <v>12.38</v>
      </c>
    </row>
    <row r="1143" spans="54:62" ht="15">
      <c r="BB1143" s="187">
        <v>43713</v>
      </c>
      <c r="BC1143" s="180">
        <v>-0.43099999999999999</v>
      </c>
      <c r="BD1143" s="191">
        <v>43713</v>
      </c>
      <c r="BE1143" s="192" t="s">
        <v>175</v>
      </c>
      <c r="BH1143" s="94">
        <v>43747</v>
      </c>
      <c r="BI1143" s="95" t="s">
        <v>190</v>
      </c>
      <c r="BJ1143" s="96">
        <v>12.38</v>
      </c>
    </row>
    <row r="1144" spans="54:62" ht="15">
      <c r="BB1144" s="187">
        <v>43714</v>
      </c>
      <c r="BC1144" s="180">
        <v>-0.42299999999999999</v>
      </c>
      <c r="BD1144" s="191">
        <v>43714</v>
      </c>
      <c r="BE1144" s="192" t="s">
        <v>176</v>
      </c>
      <c r="BH1144" s="94">
        <v>43748</v>
      </c>
      <c r="BI1144" s="95" t="s">
        <v>163</v>
      </c>
      <c r="BJ1144" s="96">
        <v>12.39</v>
      </c>
    </row>
    <row r="1145" spans="54:62" ht="15">
      <c r="BB1145" s="187">
        <v>43717</v>
      </c>
      <c r="BC1145" s="180">
        <v>-0.41299999999999998</v>
      </c>
      <c r="BD1145" s="191">
        <v>43717</v>
      </c>
      <c r="BE1145" s="192" t="s">
        <v>175</v>
      </c>
      <c r="BH1145" s="94">
        <v>43749</v>
      </c>
      <c r="BI1145" s="95" t="s">
        <v>163</v>
      </c>
      <c r="BJ1145" s="96">
        <v>12.39</v>
      </c>
    </row>
    <row r="1146" spans="54:62" ht="15">
      <c r="BB1146" s="187">
        <v>43718</v>
      </c>
      <c r="BC1146" s="180">
        <v>-0.41399999999999998</v>
      </c>
      <c r="BD1146" s="191">
        <v>43718</v>
      </c>
      <c r="BE1146" s="192" t="s">
        <v>177</v>
      </c>
      <c r="BH1146" s="94">
        <v>43752</v>
      </c>
      <c r="BI1146" s="95" t="s">
        <v>163</v>
      </c>
      <c r="BJ1146" s="96">
        <v>12.38</v>
      </c>
    </row>
    <row r="1147" spans="54:62" ht="15">
      <c r="BB1147" s="187">
        <v>43719</v>
      </c>
      <c r="BC1147" s="180">
        <v>-0.40799999999999997</v>
      </c>
      <c r="BD1147" s="191">
        <v>43719</v>
      </c>
      <c r="BE1147" s="192" t="s">
        <v>178</v>
      </c>
      <c r="BH1147" s="94">
        <v>43753</v>
      </c>
      <c r="BI1147" s="95" t="s">
        <v>163</v>
      </c>
      <c r="BJ1147" s="96">
        <v>12.38</v>
      </c>
    </row>
    <row r="1148" spans="54:62" ht="15">
      <c r="BB1148" s="187">
        <v>43720</v>
      </c>
      <c r="BC1148" s="180">
        <v>-0.40799999999999997</v>
      </c>
      <c r="BD1148" s="191">
        <v>43720</v>
      </c>
      <c r="BE1148" s="192" t="s">
        <v>179</v>
      </c>
      <c r="BH1148" s="94">
        <v>43754</v>
      </c>
      <c r="BI1148" s="95" t="s">
        <v>192</v>
      </c>
      <c r="BJ1148" s="96">
        <v>12.38</v>
      </c>
    </row>
    <row r="1149" spans="54:62" ht="15">
      <c r="BB1149" s="187">
        <v>43721</v>
      </c>
      <c r="BC1149" s="180">
        <v>-0.377</v>
      </c>
      <c r="BD1149" s="191">
        <v>43721</v>
      </c>
      <c r="BE1149" s="192" t="s">
        <v>180</v>
      </c>
      <c r="BH1149" s="94">
        <v>43755</v>
      </c>
      <c r="BI1149" s="95" t="s">
        <v>193</v>
      </c>
      <c r="BJ1149" s="96">
        <v>12.38</v>
      </c>
    </row>
    <row r="1150" spans="54:62" ht="15">
      <c r="BB1150" s="187">
        <v>43724</v>
      </c>
      <c r="BC1150" s="180">
        <v>-0.36099999999999999</v>
      </c>
      <c r="BD1150" s="191">
        <v>43724</v>
      </c>
      <c r="BE1150" s="192" t="s">
        <v>171</v>
      </c>
      <c r="BH1150" s="94">
        <v>43756</v>
      </c>
      <c r="BI1150" s="95" t="s">
        <v>194</v>
      </c>
      <c r="BJ1150" s="96">
        <v>12.37</v>
      </c>
    </row>
    <row r="1151" spans="54:62" ht="15">
      <c r="BB1151" s="187">
        <v>43725</v>
      </c>
      <c r="BC1151" s="180">
        <v>-0.36499999999999999</v>
      </c>
      <c r="BD1151" s="191">
        <v>43725</v>
      </c>
      <c r="BE1151" s="192" t="s">
        <v>170</v>
      </c>
      <c r="BH1151" s="94">
        <v>43759</v>
      </c>
      <c r="BI1151" s="95" t="s">
        <v>195</v>
      </c>
      <c r="BJ1151" s="96">
        <v>12.36</v>
      </c>
    </row>
    <row r="1152" spans="54:62" ht="15">
      <c r="BB1152" s="187">
        <v>43726</v>
      </c>
      <c r="BC1152" s="180">
        <v>-0.36899999999999999</v>
      </c>
      <c r="BD1152" s="191">
        <v>43726</v>
      </c>
      <c r="BE1152" s="192" t="s">
        <v>181</v>
      </c>
      <c r="BH1152" s="94">
        <v>43760</v>
      </c>
      <c r="BI1152" s="95" t="s">
        <v>196</v>
      </c>
      <c r="BJ1152" s="96">
        <v>12.36</v>
      </c>
    </row>
    <row r="1153" spans="54:62" ht="15">
      <c r="BB1153" s="187">
        <v>43727</v>
      </c>
      <c r="BC1153" s="180">
        <v>-0.36799999999999999</v>
      </c>
      <c r="BD1153" s="191">
        <v>43727</v>
      </c>
      <c r="BE1153" s="192" t="s">
        <v>182</v>
      </c>
      <c r="BH1153" s="94">
        <v>43761</v>
      </c>
      <c r="BI1153" s="95" t="s">
        <v>197</v>
      </c>
      <c r="BJ1153" s="96">
        <v>12.36</v>
      </c>
    </row>
    <row r="1154" spans="54:62" ht="15">
      <c r="BB1154" s="187">
        <v>43728</v>
      </c>
      <c r="BC1154" s="180">
        <v>-0.35799999999999998</v>
      </c>
      <c r="BD1154" s="191">
        <v>43728</v>
      </c>
      <c r="BE1154" s="192" t="s">
        <v>168</v>
      </c>
      <c r="BH1154" s="94">
        <v>43762</v>
      </c>
      <c r="BI1154" s="95" t="s">
        <v>198</v>
      </c>
      <c r="BJ1154" s="96">
        <v>12.36</v>
      </c>
    </row>
    <row r="1155" spans="54:62" ht="15">
      <c r="BB1155" s="187">
        <v>43731</v>
      </c>
      <c r="BC1155" s="180">
        <v>-0.36299999999999999</v>
      </c>
      <c r="BD1155" s="191">
        <v>43731</v>
      </c>
      <c r="BE1155" s="192" t="s">
        <v>183</v>
      </c>
      <c r="BH1155" s="94">
        <v>43763</v>
      </c>
      <c r="BI1155" s="95" t="s">
        <v>199</v>
      </c>
      <c r="BJ1155" s="96">
        <v>12.35</v>
      </c>
    </row>
    <row r="1156" spans="54:62" ht="15">
      <c r="BB1156" s="187">
        <v>43732</v>
      </c>
      <c r="BC1156" s="180">
        <v>-0.373</v>
      </c>
      <c r="BD1156" s="191">
        <v>43732</v>
      </c>
      <c r="BE1156" s="192" t="s">
        <v>167</v>
      </c>
      <c r="BH1156" s="94">
        <v>43766</v>
      </c>
      <c r="BI1156" s="95" t="s">
        <v>200</v>
      </c>
      <c r="BJ1156" s="96">
        <v>12.34</v>
      </c>
    </row>
    <row r="1157" spans="54:62" ht="15">
      <c r="BB1157" s="187">
        <v>43733</v>
      </c>
      <c r="BC1157" s="180">
        <v>-0.375</v>
      </c>
      <c r="BD1157" s="191">
        <v>43733</v>
      </c>
      <c r="BE1157" s="192" t="s">
        <v>184</v>
      </c>
      <c r="BH1157" s="94">
        <v>43767</v>
      </c>
      <c r="BI1157" s="95" t="s">
        <v>201</v>
      </c>
      <c r="BJ1157" s="96">
        <v>12.34</v>
      </c>
    </row>
    <row r="1158" spans="54:62" ht="15">
      <c r="BB1158" s="187">
        <v>43734</v>
      </c>
      <c r="BC1158" s="180">
        <v>-0.376</v>
      </c>
      <c r="BD1158" s="191">
        <v>43734</v>
      </c>
      <c r="BE1158" s="192" t="s">
        <v>185</v>
      </c>
      <c r="BH1158" s="94">
        <v>43768</v>
      </c>
      <c r="BI1158" s="95" t="s">
        <v>202</v>
      </c>
      <c r="BJ1158" s="96">
        <v>12.34</v>
      </c>
    </row>
    <row r="1159" spans="54:62" ht="15">
      <c r="BB1159" s="187">
        <v>43735</v>
      </c>
      <c r="BC1159" s="180">
        <v>-0.377</v>
      </c>
      <c r="BD1159" s="191">
        <v>43735</v>
      </c>
      <c r="BE1159" s="192" t="s">
        <v>186</v>
      </c>
      <c r="BH1159" s="94">
        <v>43769</v>
      </c>
      <c r="BI1159" s="95" t="s">
        <v>157</v>
      </c>
      <c r="BJ1159" s="96">
        <v>12.34</v>
      </c>
    </row>
    <row r="1160" spans="54:62" ht="15">
      <c r="BB1160" s="187">
        <v>43738</v>
      </c>
      <c r="BC1160" s="180">
        <v>-0.38600000000000001</v>
      </c>
      <c r="BD1160" s="191">
        <v>43738</v>
      </c>
      <c r="BE1160" s="192" t="s">
        <v>187</v>
      </c>
      <c r="BH1160" s="94">
        <v>43773</v>
      </c>
      <c r="BI1160" s="95" t="s">
        <v>203</v>
      </c>
      <c r="BJ1160" s="96">
        <v>12.33</v>
      </c>
    </row>
    <row r="1161" spans="54:62" ht="15">
      <c r="BB1161" s="187">
        <v>43739</v>
      </c>
      <c r="BC1161" s="180">
        <v>-0.38700000000000001</v>
      </c>
      <c r="BD1161" s="191">
        <v>43739</v>
      </c>
      <c r="BE1161" s="192" t="s">
        <v>188</v>
      </c>
      <c r="BH1161" s="94">
        <v>43774</v>
      </c>
      <c r="BI1161" s="95" t="s">
        <v>204</v>
      </c>
      <c r="BJ1161" s="96">
        <v>12.32</v>
      </c>
    </row>
    <row r="1162" spans="54:62" ht="15">
      <c r="BB1162" s="187">
        <v>43740</v>
      </c>
      <c r="BC1162" s="180">
        <v>-0.38400000000000001</v>
      </c>
      <c r="BD1162" s="191">
        <v>43740</v>
      </c>
      <c r="BE1162" s="192" t="s">
        <v>189</v>
      </c>
      <c r="BH1162" s="94">
        <v>43775</v>
      </c>
      <c r="BI1162" s="95" t="s">
        <v>205</v>
      </c>
      <c r="BJ1162" s="96">
        <v>12.32</v>
      </c>
    </row>
    <row r="1163" spans="54:62" ht="15">
      <c r="BB1163" s="187">
        <v>43741</v>
      </c>
      <c r="BC1163" s="180">
        <v>-0.38700000000000001</v>
      </c>
      <c r="BD1163" s="191">
        <v>43741</v>
      </c>
      <c r="BE1163" s="192" t="s">
        <v>190</v>
      </c>
      <c r="BH1163" s="94">
        <v>43776</v>
      </c>
      <c r="BI1163" s="95" t="s">
        <v>206</v>
      </c>
      <c r="BJ1163" s="96">
        <v>12.29</v>
      </c>
    </row>
    <row r="1164" spans="54:62" ht="15">
      <c r="BB1164" s="187">
        <v>43742</v>
      </c>
      <c r="BC1164" s="180">
        <v>-0.38900000000000001</v>
      </c>
      <c r="BD1164" s="191">
        <v>43742</v>
      </c>
      <c r="BE1164" s="192" t="s">
        <v>191</v>
      </c>
      <c r="BH1164" s="94">
        <v>43777</v>
      </c>
      <c r="BI1164" s="95" t="s">
        <v>207</v>
      </c>
      <c r="BJ1164" s="96">
        <v>12.29</v>
      </c>
    </row>
    <row r="1165" spans="54:62" ht="15">
      <c r="BB1165" s="187">
        <v>43745</v>
      </c>
      <c r="BC1165" s="180">
        <v>-0.38900000000000001</v>
      </c>
      <c r="BD1165" s="191">
        <v>43745</v>
      </c>
      <c r="BE1165" s="192" t="s">
        <v>191</v>
      </c>
      <c r="BH1165" s="94">
        <v>43780</v>
      </c>
      <c r="BI1165" s="95" t="s">
        <v>208</v>
      </c>
      <c r="BJ1165" s="96">
        <v>12.28</v>
      </c>
    </row>
    <row r="1166" spans="54:62" ht="15">
      <c r="BB1166" s="187">
        <v>43746</v>
      </c>
      <c r="BC1166" s="180">
        <v>-0.38700000000000001</v>
      </c>
      <c r="BD1166" s="191">
        <v>43746</v>
      </c>
      <c r="BE1166" s="192" t="s">
        <v>190</v>
      </c>
      <c r="BH1166" s="94">
        <v>43781</v>
      </c>
      <c r="BI1166" s="95" t="s">
        <v>209</v>
      </c>
      <c r="BJ1166" s="96">
        <v>12.28</v>
      </c>
    </row>
    <row r="1167" spans="54:62" ht="15">
      <c r="BB1167" s="187">
        <v>43747</v>
      </c>
      <c r="BC1167" s="180">
        <v>-0.38400000000000001</v>
      </c>
      <c r="BD1167" s="191">
        <v>43747</v>
      </c>
      <c r="BE1167" s="192" t="s">
        <v>190</v>
      </c>
      <c r="BH1167" s="94">
        <v>43782</v>
      </c>
      <c r="BI1167" s="95" t="s">
        <v>210</v>
      </c>
      <c r="BJ1167" s="96">
        <v>12.27</v>
      </c>
    </row>
    <row r="1168" spans="54:62" ht="15">
      <c r="BB1168" s="187">
        <v>43748</v>
      </c>
      <c r="BC1168" s="180">
        <v>-0.375</v>
      </c>
      <c r="BD1168" s="191">
        <v>43748</v>
      </c>
      <c r="BE1168" s="192" t="s">
        <v>163</v>
      </c>
      <c r="BH1168" s="94">
        <v>43783</v>
      </c>
      <c r="BI1168" s="95" t="s">
        <v>211</v>
      </c>
      <c r="BJ1168" s="96">
        <v>12.27</v>
      </c>
    </row>
    <row r="1169" spans="54:62" ht="15">
      <c r="BB1169" s="187">
        <v>43749</v>
      </c>
      <c r="BC1169" s="180">
        <v>-0.35799999999999998</v>
      </c>
      <c r="BD1169" s="191">
        <v>43749</v>
      </c>
      <c r="BE1169" s="192" t="s">
        <v>163</v>
      </c>
      <c r="BH1169" s="94">
        <v>43784</v>
      </c>
      <c r="BI1169" s="95" t="s">
        <v>91</v>
      </c>
      <c r="BJ1169" s="96">
        <v>12.27</v>
      </c>
    </row>
    <row r="1170" spans="54:62" ht="15">
      <c r="BB1170" s="187">
        <v>43752</v>
      </c>
      <c r="BC1170" s="180">
        <v>-0.35299999999999998</v>
      </c>
      <c r="BD1170" s="191">
        <v>43752</v>
      </c>
      <c r="BE1170" s="192" t="s">
        <v>163</v>
      </c>
      <c r="BH1170" s="94">
        <v>43787</v>
      </c>
      <c r="BI1170" s="95" t="s">
        <v>93</v>
      </c>
      <c r="BJ1170" s="96">
        <v>12.26</v>
      </c>
    </row>
    <row r="1171" spans="54:62" ht="15">
      <c r="BB1171" s="187">
        <v>43753</v>
      </c>
      <c r="BC1171" s="180">
        <v>-0.35799999999999998</v>
      </c>
      <c r="BD1171" s="191">
        <v>43753</v>
      </c>
      <c r="BE1171" s="192" t="s">
        <v>163</v>
      </c>
      <c r="BH1171" s="94">
        <v>43788</v>
      </c>
      <c r="BI1171" s="95" t="s">
        <v>90</v>
      </c>
      <c r="BJ1171" s="96">
        <v>12.26</v>
      </c>
    </row>
    <row r="1172" spans="54:62" ht="15">
      <c r="BB1172" s="187">
        <v>43754</v>
      </c>
      <c r="BC1172" s="180">
        <v>-0.35399999999999998</v>
      </c>
      <c r="BD1172" s="191">
        <v>43754</v>
      </c>
      <c r="BE1172" s="192" t="s">
        <v>192</v>
      </c>
      <c r="BH1172" s="94">
        <v>43789</v>
      </c>
      <c r="BI1172" s="95" t="s">
        <v>94</v>
      </c>
      <c r="BJ1172" s="96">
        <v>12.25</v>
      </c>
    </row>
    <row r="1173" spans="54:62" ht="15">
      <c r="BB1173" s="187">
        <v>43755</v>
      </c>
      <c r="BC1173" s="180">
        <v>-0.34899999999999998</v>
      </c>
      <c r="BD1173" s="191">
        <v>43755</v>
      </c>
      <c r="BE1173" s="192" t="s">
        <v>193</v>
      </c>
      <c r="BH1173" s="94">
        <v>43790</v>
      </c>
      <c r="BI1173" s="95" t="s">
        <v>212</v>
      </c>
      <c r="BJ1173" s="96">
        <v>12.25</v>
      </c>
    </row>
    <row r="1174" spans="54:62" ht="15">
      <c r="BB1174" s="187">
        <v>43756</v>
      </c>
      <c r="BC1174" s="180">
        <v>-0.35099999999999998</v>
      </c>
      <c r="BD1174" s="191">
        <v>43756</v>
      </c>
      <c r="BE1174" s="192" t="s">
        <v>194</v>
      </c>
      <c r="BH1174" s="94">
        <v>43791</v>
      </c>
      <c r="BI1174" s="95" t="s">
        <v>213</v>
      </c>
      <c r="BJ1174" s="96">
        <v>12.24</v>
      </c>
    </row>
    <row r="1175" spans="54:62" ht="15">
      <c r="BB1175" s="187">
        <v>43759</v>
      </c>
      <c r="BC1175" s="180">
        <v>-0.34899999999999998</v>
      </c>
      <c r="BD1175" s="191">
        <v>43759</v>
      </c>
      <c r="BE1175" s="192" t="s">
        <v>195</v>
      </c>
      <c r="BH1175" s="94">
        <v>43794</v>
      </c>
      <c r="BI1175" s="95" t="s">
        <v>88</v>
      </c>
      <c r="BJ1175" s="96">
        <v>12.23</v>
      </c>
    </row>
    <row r="1176" spans="54:62" ht="15">
      <c r="BB1176" s="187">
        <v>43760</v>
      </c>
      <c r="BC1176" s="180">
        <v>-0.34799999999999998</v>
      </c>
      <c r="BD1176" s="191">
        <v>43760</v>
      </c>
      <c r="BE1176" s="192" t="s">
        <v>196</v>
      </c>
      <c r="BH1176" s="94">
        <v>43795</v>
      </c>
      <c r="BI1176" s="95" t="s">
        <v>88</v>
      </c>
      <c r="BJ1176" s="96">
        <v>12.23</v>
      </c>
    </row>
    <row r="1177" spans="54:62" ht="15">
      <c r="BB1177" s="187">
        <v>43761</v>
      </c>
      <c r="BC1177" s="180">
        <v>-0.35099999999999998</v>
      </c>
      <c r="BD1177" s="191">
        <v>43761</v>
      </c>
      <c r="BE1177" s="192" t="s">
        <v>197</v>
      </c>
      <c r="BH1177" s="94">
        <v>43796</v>
      </c>
      <c r="BI1177" s="95" t="s">
        <v>213</v>
      </c>
      <c r="BJ1177" s="96">
        <v>12.23</v>
      </c>
    </row>
    <row r="1178" spans="54:62" ht="15">
      <c r="BB1178" s="187">
        <v>43762</v>
      </c>
      <c r="BC1178" s="180">
        <v>-0.34799999999999998</v>
      </c>
      <c r="BD1178" s="191">
        <v>43762</v>
      </c>
      <c r="BE1178" s="192" t="s">
        <v>198</v>
      </c>
      <c r="BH1178" s="94">
        <v>43797</v>
      </c>
      <c r="BI1178" s="95" t="s">
        <v>214</v>
      </c>
      <c r="BJ1178" s="96">
        <v>12.21</v>
      </c>
    </row>
    <row r="1179" spans="54:62" ht="15">
      <c r="BB1179" s="187">
        <v>43763</v>
      </c>
      <c r="BC1179" s="180">
        <v>-0.35</v>
      </c>
      <c r="BD1179" s="191">
        <v>43763</v>
      </c>
      <c r="BE1179" s="192" t="s">
        <v>199</v>
      </c>
      <c r="BH1179" s="94">
        <v>43798</v>
      </c>
      <c r="BI1179" s="95" t="s">
        <v>88</v>
      </c>
      <c r="BJ1179" s="96">
        <v>12.21</v>
      </c>
    </row>
    <row r="1180" spans="54:62" ht="15">
      <c r="BB1180" s="187">
        <v>43766</v>
      </c>
      <c r="BC1180" s="180">
        <v>-0.34599999999999997</v>
      </c>
      <c r="BD1180" s="191">
        <v>43766</v>
      </c>
      <c r="BE1180" s="192" t="s">
        <v>200</v>
      </c>
      <c r="BH1180" s="94">
        <v>43801</v>
      </c>
      <c r="BI1180" s="95" t="s">
        <v>215</v>
      </c>
      <c r="BJ1180" s="96">
        <v>12.2</v>
      </c>
    </row>
    <row r="1181" spans="54:62" ht="15">
      <c r="BB1181" s="187">
        <v>43767</v>
      </c>
      <c r="BC1181" s="180">
        <v>-0.34300000000000003</v>
      </c>
      <c r="BD1181" s="191">
        <v>43767</v>
      </c>
      <c r="BE1181" s="192" t="s">
        <v>201</v>
      </c>
      <c r="BH1181" s="94">
        <v>43802</v>
      </c>
      <c r="BI1181" s="95" t="s">
        <v>215</v>
      </c>
      <c r="BJ1181" s="96">
        <v>12.2</v>
      </c>
    </row>
    <row r="1182" spans="54:62" ht="15">
      <c r="BB1182" s="187">
        <v>43768</v>
      </c>
      <c r="BC1182" s="180">
        <v>-0.33900000000000002</v>
      </c>
      <c r="BD1182" s="191">
        <v>43768</v>
      </c>
      <c r="BE1182" s="192" t="s">
        <v>202</v>
      </c>
      <c r="BH1182" s="94">
        <v>43803</v>
      </c>
      <c r="BI1182" s="95" t="s">
        <v>216</v>
      </c>
      <c r="BJ1182" s="96">
        <v>12.2</v>
      </c>
    </row>
    <row r="1183" spans="54:62" ht="15">
      <c r="BB1183" s="187">
        <v>43769</v>
      </c>
      <c r="BC1183" s="180">
        <v>-0.33700000000000002</v>
      </c>
      <c r="BD1183" s="191">
        <v>43769</v>
      </c>
      <c r="BE1183" s="192" t="s">
        <v>157</v>
      </c>
      <c r="BH1183" s="94">
        <v>43804</v>
      </c>
      <c r="BI1183" s="95" t="s">
        <v>88</v>
      </c>
      <c r="BJ1183" s="96">
        <v>12.19</v>
      </c>
    </row>
    <row r="1184" spans="54:62" ht="15">
      <c r="BB1184" s="187">
        <v>43770</v>
      </c>
      <c r="BC1184" s="180">
        <v>-0.34799999999999998</v>
      </c>
      <c r="BD1184" s="191"/>
      <c r="BE1184" s="193">
        <v>-0.27100000000000002</v>
      </c>
      <c r="BF1184" s="111">
        <f>+(BC1184+BE1184)/2+0.37</f>
        <v>6.0499999999999998E-2</v>
      </c>
      <c r="BH1184" s="94">
        <v>43805</v>
      </c>
      <c r="BI1184" s="95" t="s">
        <v>214</v>
      </c>
      <c r="BJ1184" s="96">
        <v>12.19</v>
      </c>
    </row>
    <row r="1185" spans="54:62" ht="15">
      <c r="BB1185" s="187">
        <v>43773</v>
      </c>
      <c r="BC1185" s="180">
        <v>-0.34300000000000003</v>
      </c>
      <c r="BD1185" s="191">
        <v>43773</v>
      </c>
      <c r="BE1185" s="192" t="s">
        <v>203</v>
      </c>
      <c r="BH1185" s="94">
        <v>43808</v>
      </c>
      <c r="BI1185" s="95" t="s">
        <v>89</v>
      </c>
      <c r="BJ1185" s="96">
        <v>12.18</v>
      </c>
    </row>
    <row r="1186" spans="54:62" ht="15">
      <c r="BB1186" s="187">
        <v>43774</v>
      </c>
      <c r="BC1186" s="180">
        <v>-0.34399999999999997</v>
      </c>
      <c r="BD1186" s="191">
        <v>43774</v>
      </c>
      <c r="BE1186" s="192" t="s">
        <v>204</v>
      </c>
      <c r="BH1186" s="94">
        <v>43809</v>
      </c>
      <c r="BI1186" s="95" t="s">
        <v>90</v>
      </c>
      <c r="BJ1186" s="96">
        <v>12.18</v>
      </c>
    </row>
    <row r="1187" spans="54:62" ht="15">
      <c r="BB1187" s="187">
        <v>43775</v>
      </c>
      <c r="BC1187" s="180">
        <v>-0.33900000000000002</v>
      </c>
      <c r="BD1187" s="191">
        <v>43775</v>
      </c>
      <c r="BE1187" s="192" t="s">
        <v>205</v>
      </c>
      <c r="BH1187" s="94">
        <v>43810</v>
      </c>
      <c r="BI1187" s="95" t="s">
        <v>93</v>
      </c>
      <c r="BJ1187" s="96">
        <v>12.18</v>
      </c>
    </row>
    <row r="1188" spans="54:62" ht="15">
      <c r="BB1188" s="187">
        <v>43776</v>
      </c>
      <c r="BC1188" s="180">
        <v>-0.33400000000000002</v>
      </c>
      <c r="BD1188" s="191">
        <v>43776</v>
      </c>
      <c r="BE1188" s="192" t="s">
        <v>206</v>
      </c>
      <c r="BH1188" s="94">
        <v>43811</v>
      </c>
      <c r="BI1188" s="95" t="s">
        <v>93</v>
      </c>
      <c r="BJ1188" s="96">
        <v>12.17</v>
      </c>
    </row>
    <row r="1189" spans="54:62" ht="15">
      <c r="BB1189" s="187">
        <v>43777</v>
      </c>
      <c r="BC1189" s="180">
        <v>-0.32400000000000001</v>
      </c>
      <c r="BD1189" s="191">
        <v>43777</v>
      </c>
      <c r="BE1189" s="192" t="s">
        <v>207</v>
      </c>
      <c r="BH1189" s="94">
        <v>43812</v>
      </c>
      <c r="BI1189" s="95" t="s">
        <v>94</v>
      </c>
      <c r="BJ1189" s="96">
        <v>12.17</v>
      </c>
    </row>
    <row r="1190" spans="54:62" ht="15">
      <c r="BB1190" s="187">
        <v>43780</v>
      </c>
      <c r="BC1190" s="180">
        <v>-0.33100000000000002</v>
      </c>
      <c r="BD1190" s="191">
        <v>43780</v>
      </c>
      <c r="BE1190" s="192" t="s">
        <v>208</v>
      </c>
      <c r="BH1190" s="94">
        <v>43815</v>
      </c>
      <c r="BI1190" s="95" t="s">
        <v>95</v>
      </c>
      <c r="BJ1190" s="96">
        <v>12.16</v>
      </c>
    </row>
    <row r="1191" spans="54:62" ht="15">
      <c r="BB1191" s="187">
        <v>43781</v>
      </c>
      <c r="BC1191" s="180">
        <v>-0.32800000000000001</v>
      </c>
      <c r="BD1191" s="191">
        <v>43781</v>
      </c>
      <c r="BE1191" s="192" t="s">
        <v>209</v>
      </c>
      <c r="BH1191" s="94">
        <v>43816</v>
      </c>
      <c r="BI1191" s="95" t="s">
        <v>95</v>
      </c>
      <c r="BJ1191" s="96">
        <v>12.15</v>
      </c>
    </row>
    <row r="1192" spans="54:62" ht="15">
      <c r="BB1192" s="187">
        <v>43782</v>
      </c>
      <c r="BC1192" s="180">
        <v>-0.33600000000000002</v>
      </c>
      <c r="BD1192" s="191">
        <v>43782</v>
      </c>
      <c r="BE1192" s="192" t="s">
        <v>210</v>
      </c>
      <c r="BH1192" s="94">
        <v>43817</v>
      </c>
      <c r="BI1192" s="95" t="s">
        <v>212</v>
      </c>
      <c r="BJ1192" s="96">
        <v>12.15</v>
      </c>
    </row>
    <row r="1193" spans="54:62" ht="15">
      <c r="BB1193" s="187">
        <v>43783</v>
      </c>
      <c r="BC1193" s="180">
        <v>-0.33</v>
      </c>
      <c r="BD1193" s="191">
        <v>43783</v>
      </c>
      <c r="BE1193" s="192" t="s">
        <v>211</v>
      </c>
      <c r="BH1193" s="94">
        <v>43818</v>
      </c>
      <c r="BI1193" s="95" t="s">
        <v>88</v>
      </c>
      <c r="BJ1193" s="96">
        <v>12.15</v>
      </c>
    </row>
    <row r="1194" spans="54:62" ht="15">
      <c r="BB1194" s="187">
        <v>43784</v>
      </c>
      <c r="BC1194" s="180">
        <v>-0.33300000000000002</v>
      </c>
      <c r="BD1194" s="191">
        <v>43784</v>
      </c>
      <c r="BE1194" s="192" t="s">
        <v>91</v>
      </c>
      <c r="BH1194" s="94">
        <v>43819</v>
      </c>
      <c r="BI1194" s="95" t="s">
        <v>215</v>
      </c>
      <c r="BJ1194" s="96">
        <v>12.15</v>
      </c>
    </row>
    <row r="1195" spans="54:62" ht="15">
      <c r="BB1195" s="187">
        <v>43787</v>
      </c>
      <c r="BC1195" s="180">
        <v>-0.33800000000000002</v>
      </c>
      <c r="BD1195" s="191">
        <v>43787</v>
      </c>
      <c r="BE1195" s="192" t="s">
        <v>93</v>
      </c>
      <c r="BH1195" s="94">
        <v>43822</v>
      </c>
      <c r="BI1195" s="95" t="s">
        <v>87</v>
      </c>
      <c r="BJ1195" s="96">
        <v>12.14</v>
      </c>
    </row>
    <row r="1196" spans="54:62" ht="15">
      <c r="BB1196" s="187">
        <v>43788</v>
      </c>
      <c r="BC1196" s="180">
        <v>-0.33600000000000002</v>
      </c>
      <c r="BD1196" s="191">
        <v>43788</v>
      </c>
      <c r="BE1196" s="192" t="s">
        <v>90</v>
      </c>
      <c r="BH1196" s="94">
        <v>43826</v>
      </c>
      <c r="BI1196" s="95" t="s">
        <v>86</v>
      </c>
      <c r="BJ1196" s="96">
        <v>12.13</v>
      </c>
    </row>
    <row r="1197" spans="54:62" ht="15">
      <c r="BB1197" s="187">
        <v>43789</v>
      </c>
      <c r="BC1197" s="180">
        <v>-0.33800000000000002</v>
      </c>
      <c r="BD1197" s="191">
        <v>43789</v>
      </c>
      <c r="BE1197" s="192" t="s">
        <v>94</v>
      </c>
      <c r="BH1197" s="94">
        <v>43829</v>
      </c>
      <c r="BI1197" s="95" t="s">
        <v>84</v>
      </c>
      <c r="BJ1197" s="96">
        <v>12.12</v>
      </c>
    </row>
    <row r="1198" spans="54:62" ht="15">
      <c r="BB1198" s="187">
        <v>43790</v>
      </c>
      <c r="BC1198" s="180">
        <v>-0.34</v>
      </c>
      <c r="BD1198" s="191">
        <v>43790</v>
      </c>
      <c r="BE1198" s="192" t="s">
        <v>212</v>
      </c>
      <c r="BH1198" s="94">
        <v>43830</v>
      </c>
      <c r="BI1198" s="95" t="s">
        <v>217</v>
      </c>
      <c r="BJ1198" s="96">
        <v>12.12</v>
      </c>
    </row>
    <row r="1199" spans="54:62" ht="15">
      <c r="BB1199" s="187">
        <v>43791</v>
      </c>
      <c r="BC1199" s="180">
        <v>-0.33500000000000002</v>
      </c>
      <c r="BD1199" s="191">
        <v>43791</v>
      </c>
      <c r="BE1199" s="192" t="s">
        <v>213</v>
      </c>
      <c r="BH1199" s="94">
        <v>43832</v>
      </c>
      <c r="BI1199" s="95" t="s">
        <v>218</v>
      </c>
      <c r="BJ1199" s="96">
        <v>12.11</v>
      </c>
    </row>
    <row r="1200" spans="54:62" ht="15">
      <c r="BB1200" s="187">
        <v>43794</v>
      </c>
      <c r="BC1200" s="180">
        <v>-0.33800000000000002</v>
      </c>
      <c r="BD1200" s="191">
        <v>43794</v>
      </c>
      <c r="BE1200" s="192" t="s">
        <v>88</v>
      </c>
      <c r="BH1200" s="94">
        <v>43833</v>
      </c>
      <c r="BI1200" s="95" t="s">
        <v>82</v>
      </c>
      <c r="BJ1200" s="96">
        <v>12.11</v>
      </c>
    </row>
    <row r="1201" spans="54:62" ht="15">
      <c r="BB1201" s="187">
        <v>43795</v>
      </c>
      <c r="BC1201" s="180">
        <v>-0.33800000000000002</v>
      </c>
      <c r="BD1201" s="191">
        <v>43795</v>
      </c>
      <c r="BE1201" s="192" t="s">
        <v>88</v>
      </c>
      <c r="BH1201" s="94">
        <v>43837</v>
      </c>
      <c r="BI1201" s="95" t="s">
        <v>219</v>
      </c>
      <c r="BJ1201" s="96">
        <v>12.1</v>
      </c>
    </row>
    <row r="1202" spans="54:62" ht="15">
      <c r="BB1202" s="187">
        <v>43796</v>
      </c>
      <c r="BC1202" s="180">
        <v>-0.34200000000000003</v>
      </c>
      <c r="BD1202" s="191">
        <v>43796</v>
      </c>
      <c r="BE1202" s="192" t="s">
        <v>213</v>
      </c>
      <c r="BH1202" s="94">
        <v>43838</v>
      </c>
      <c r="BI1202" s="95" t="s">
        <v>80</v>
      </c>
      <c r="BJ1202" s="96">
        <v>12.09</v>
      </c>
    </row>
    <row r="1203" spans="54:62" ht="15">
      <c r="BB1203" s="187">
        <v>43797</v>
      </c>
      <c r="BC1203" s="180">
        <v>-0.34699999999999998</v>
      </c>
      <c r="BD1203" s="191">
        <v>43797</v>
      </c>
      <c r="BE1203" s="192" t="s">
        <v>214</v>
      </c>
      <c r="BH1203" s="94">
        <v>43839</v>
      </c>
      <c r="BI1203" s="95" t="s">
        <v>81</v>
      </c>
      <c r="BJ1203" s="96">
        <v>12.06</v>
      </c>
    </row>
    <row r="1204" spans="54:62" ht="15">
      <c r="BB1204" s="187">
        <v>43798</v>
      </c>
      <c r="BC1204" s="180">
        <v>-0.34300000000000003</v>
      </c>
      <c r="BD1204" s="191">
        <v>43798</v>
      </c>
      <c r="BE1204" s="192" t="s">
        <v>88</v>
      </c>
      <c r="BH1204" s="94">
        <v>43840</v>
      </c>
      <c r="BI1204" s="95" t="s">
        <v>220</v>
      </c>
      <c r="BJ1204" s="96">
        <v>12.06</v>
      </c>
    </row>
    <row r="1205" spans="54:62" ht="15">
      <c r="BB1205" s="187">
        <v>43801</v>
      </c>
      <c r="BC1205" s="180">
        <v>-0.34499999999999997</v>
      </c>
      <c r="BD1205" s="191">
        <v>43801</v>
      </c>
      <c r="BE1205" s="192" t="s">
        <v>215</v>
      </c>
      <c r="BH1205" s="94">
        <v>43843</v>
      </c>
      <c r="BI1205" s="95" t="s">
        <v>78</v>
      </c>
      <c r="BJ1205" s="96">
        <v>12.05</v>
      </c>
    </row>
    <row r="1206" spans="54:62" ht="15">
      <c r="BB1206" s="187">
        <v>43802</v>
      </c>
      <c r="BC1206" s="180">
        <v>-0.33300000000000002</v>
      </c>
      <c r="BD1206" s="191">
        <v>43802</v>
      </c>
      <c r="BE1206" s="192" t="s">
        <v>215</v>
      </c>
      <c r="BH1206" s="94">
        <v>43844</v>
      </c>
      <c r="BI1206" s="95" t="s">
        <v>221</v>
      </c>
      <c r="BJ1206" s="96">
        <v>12.05</v>
      </c>
    </row>
    <row r="1207" spans="54:62" ht="15">
      <c r="BB1207" s="187">
        <v>43803</v>
      </c>
      <c r="BC1207" s="180">
        <v>-0.33500000000000002</v>
      </c>
      <c r="BD1207" s="191">
        <v>43803</v>
      </c>
      <c r="BE1207" s="192" t="s">
        <v>216</v>
      </c>
      <c r="BH1207" s="94">
        <v>43845</v>
      </c>
      <c r="BI1207" s="95" t="s">
        <v>97</v>
      </c>
      <c r="BJ1207" s="96">
        <v>12.04</v>
      </c>
    </row>
    <row r="1208" spans="54:62" ht="15">
      <c r="BB1208" s="187">
        <v>43804</v>
      </c>
      <c r="BC1208" s="180">
        <v>-0.33600000000000002</v>
      </c>
      <c r="BD1208" s="191">
        <v>43804</v>
      </c>
      <c r="BE1208" s="192" t="s">
        <v>88</v>
      </c>
      <c r="BH1208" s="94">
        <v>43846</v>
      </c>
      <c r="BI1208" s="95" t="s">
        <v>98</v>
      </c>
      <c r="BJ1208" s="96">
        <v>12.02</v>
      </c>
    </row>
    <row r="1209" spans="54:62" ht="15">
      <c r="BB1209" s="187">
        <v>43805</v>
      </c>
      <c r="BC1209" s="180">
        <v>-0.33300000000000002</v>
      </c>
      <c r="BD1209" s="191">
        <v>43805</v>
      </c>
      <c r="BE1209" s="192" t="s">
        <v>214</v>
      </c>
      <c r="BH1209" s="94">
        <v>43847</v>
      </c>
      <c r="BI1209" s="95" t="s">
        <v>76</v>
      </c>
      <c r="BJ1209" s="96">
        <v>12.01</v>
      </c>
    </row>
    <row r="1210" spans="54:62" ht="15">
      <c r="BB1210" s="187">
        <v>43808</v>
      </c>
      <c r="BC1210" s="180">
        <v>-0.33200000000000002</v>
      </c>
      <c r="BD1210" s="191">
        <v>43808</v>
      </c>
      <c r="BE1210" s="192" t="s">
        <v>89</v>
      </c>
      <c r="BH1210" s="94">
        <v>43850</v>
      </c>
      <c r="BI1210" s="95" t="s">
        <v>222</v>
      </c>
      <c r="BJ1210" s="96">
        <v>11.99</v>
      </c>
    </row>
    <row r="1211" spans="54:62" ht="15">
      <c r="BB1211" s="187">
        <v>43809</v>
      </c>
      <c r="BC1211" s="180">
        <v>-0.33300000000000002</v>
      </c>
      <c r="BD1211" s="191">
        <v>43809</v>
      </c>
      <c r="BE1211" s="192" t="s">
        <v>90</v>
      </c>
      <c r="BH1211" s="94">
        <v>43851</v>
      </c>
      <c r="BI1211" s="95" t="s">
        <v>75</v>
      </c>
      <c r="BJ1211" s="96">
        <v>11.98</v>
      </c>
    </row>
    <row r="1212" spans="54:62" ht="15">
      <c r="BB1212" s="187">
        <v>43810</v>
      </c>
      <c r="BC1212" s="180">
        <v>-0.33800000000000002</v>
      </c>
      <c r="BD1212" s="191">
        <v>43810</v>
      </c>
      <c r="BE1212" s="192" t="s">
        <v>93</v>
      </c>
      <c r="BH1212" s="94">
        <v>43852</v>
      </c>
      <c r="BI1212" s="95" t="s">
        <v>143</v>
      </c>
      <c r="BJ1212" s="96">
        <v>11.97</v>
      </c>
    </row>
    <row r="1213" spans="54:62" ht="15">
      <c r="BB1213" s="187">
        <v>43811</v>
      </c>
      <c r="BC1213" s="180">
        <v>-0.34</v>
      </c>
      <c r="BD1213" s="191">
        <v>43811</v>
      </c>
      <c r="BE1213" s="192" t="s">
        <v>93</v>
      </c>
      <c r="BH1213" s="94">
        <v>43853</v>
      </c>
      <c r="BI1213" s="95" t="s">
        <v>98</v>
      </c>
      <c r="BJ1213" s="96">
        <v>11.97</v>
      </c>
    </row>
    <row r="1214" spans="54:62" ht="15">
      <c r="BB1214" s="187">
        <v>43812</v>
      </c>
      <c r="BC1214" s="180">
        <v>-0.34</v>
      </c>
      <c r="BD1214" s="191">
        <v>43812</v>
      </c>
      <c r="BE1214" s="192" t="s">
        <v>94</v>
      </c>
      <c r="BH1214" s="94">
        <v>43854</v>
      </c>
      <c r="BI1214" s="95" t="s">
        <v>106</v>
      </c>
      <c r="BJ1214" s="96">
        <v>11.97</v>
      </c>
    </row>
    <row r="1215" spans="54:62" ht="15">
      <c r="BB1215" s="187">
        <v>43815</v>
      </c>
      <c r="BC1215" s="180">
        <v>-0.34</v>
      </c>
      <c r="BD1215" s="191">
        <v>43815</v>
      </c>
      <c r="BE1215" s="192" t="s">
        <v>95</v>
      </c>
      <c r="BH1215" s="94">
        <v>43857</v>
      </c>
      <c r="BI1215" s="95" t="s">
        <v>103</v>
      </c>
      <c r="BJ1215" s="96">
        <v>11.95</v>
      </c>
    </row>
    <row r="1216" spans="54:62" ht="15">
      <c r="BB1216" s="187">
        <v>43816</v>
      </c>
      <c r="BC1216" s="180">
        <v>-0.34200000000000003</v>
      </c>
      <c r="BD1216" s="191">
        <v>43816</v>
      </c>
      <c r="BE1216" s="192" t="s">
        <v>95</v>
      </c>
      <c r="BH1216" s="94">
        <v>43858</v>
      </c>
      <c r="BI1216" s="95" t="s">
        <v>81</v>
      </c>
      <c r="BJ1216" s="96">
        <v>11.95</v>
      </c>
    </row>
    <row r="1217" spans="54:62" ht="15">
      <c r="BB1217" s="187">
        <v>43817</v>
      </c>
      <c r="BC1217" s="180">
        <v>-0.34799999999999998</v>
      </c>
      <c r="BD1217" s="191">
        <v>43817</v>
      </c>
      <c r="BE1217" s="192" t="s">
        <v>212</v>
      </c>
      <c r="BH1217" s="94">
        <v>43859</v>
      </c>
      <c r="BI1217" s="95" t="s">
        <v>223</v>
      </c>
      <c r="BJ1217" s="96">
        <v>11.94</v>
      </c>
    </row>
    <row r="1218" spans="54:62" ht="15">
      <c r="BB1218" s="187">
        <v>43818</v>
      </c>
      <c r="BC1218" s="180">
        <v>-0.34200000000000003</v>
      </c>
      <c r="BD1218" s="191">
        <v>43818</v>
      </c>
      <c r="BE1218" s="192" t="s">
        <v>88</v>
      </c>
      <c r="BH1218" s="94">
        <v>43860</v>
      </c>
      <c r="BI1218" s="95" t="s">
        <v>146</v>
      </c>
      <c r="BJ1218" s="96">
        <v>11.99</v>
      </c>
    </row>
    <row r="1219" spans="54:62" ht="15">
      <c r="BB1219" s="187">
        <v>43819</v>
      </c>
      <c r="BC1219" s="180">
        <v>-0.33</v>
      </c>
      <c r="BD1219" s="191">
        <v>43819</v>
      </c>
      <c r="BE1219" s="192" t="s">
        <v>215</v>
      </c>
      <c r="BH1219" s="94">
        <v>43861</v>
      </c>
      <c r="BI1219" s="95" t="s">
        <v>213</v>
      </c>
      <c r="BJ1219" s="96">
        <v>11.98</v>
      </c>
    </row>
    <row r="1220" spans="54:62" ht="15">
      <c r="BB1220" s="187">
        <v>43822</v>
      </c>
      <c r="BC1220" s="180">
        <v>-0.33900000000000002</v>
      </c>
      <c r="BD1220" s="191">
        <v>43822</v>
      </c>
      <c r="BE1220" s="192" t="s">
        <v>87</v>
      </c>
      <c r="BH1220" s="94">
        <v>43864</v>
      </c>
      <c r="BI1220" s="95" t="s">
        <v>90</v>
      </c>
      <c r="BJ1220" s="96">
        <v>11.98</v>
      </c>
    </row>
    <row r="1221" spans="54:62" ht="15">
      <c r="BB1221" s="187">
        <v>43823</v>
      </c>
      <c r="BC1221" s="180">
        <v>-0.33100000000000002</v>
      </c>
      <c r="BD1221" s="191"/>
      <c r="BE1221" s="193" t="str">
        <f>+BE1220</f>
        <v>−0,183</v>
      </c>
      <c r="BH1221" s="94">
        <v>43865</v>
      </c>
      <c r="BI1221" s="95" t="s">
        <v>224</v>
      </c>
      <c r="BJ1221" s="96">
        <v>11.97</v>
      </c>
    </row>
    <row r="1222" spans="54:62" ht="15">
      <c r="BB1222" s="187">
        <v>43824</v>
      </c>
      <c r="BC1222" s="180">
        <v>-0.33100000000000002</v>
      </c>
      <c r="BD1222" s="191"/>
      <c r="BE1222" s="193" t="str">
        <f t="shared" ref="BE1222:BE1223" si="37">+BE1221</f>
        <v>−0,183</v>
      </c>
      <c r="BH1222" s="94">
        <v>43866</v>
      </c>
      <c r="BI1222" s="95" t="s">
        <v>225</v>
      </c>
      <c r="BJ1222" s="96">
        <v>11.94</v>
      </c>
    </row>
    <row r="1223" spans="54:62" ht="15">
      <c r="BB1223" s="187">
        <v>43825</v>
      </c>
      <c r="BC1223" s="180">
        <v>-0.33100000000000002</v>
      </c>
      <c r="BD1223" s="191"/>
      <c r="BE1223" s="193" t="str">
        <f t="shared" si="37"/>
        <v>−0,183</v>
      </c>
      <c r="BH1223" s="94">
        <v>43867</v>
      </c>
      <c r="BI1223" s="95" t="s">
        <v>226</v>
      </c>
      <c r="BJ1223" s="96">
        <v>11.94</v>
      </c>
    </row>
    <row r="1224" spans="54:62" ht="15">
      <c r="BB1224" s="187">
        <v>43826</v>
      </c>
      <c r="BC1224" s="180">
        <v>-0.32500000000000001</v>
      </c>
      <c r="BD1224" s="191">
        <v>43826</v>
      </c>
      <c r="BE1224" s="192" t="s">
        <v>86</v>
      </c>
      <c r="BH1224" s="94">
        <v>43868</v>
      </c>
      <c r="BI1224" s="95" t="s">
        <v>208</v>
      </c>
      <c r="BJ1224" s="96">
        <v>11.93</v>
      </c>
    </row>
    <row r="1225" spans="54:62" ht="15">
      <c r="BB1225" s="187">
        <v>43829</v>
      </c>
      <c r="BC1225" s="180">
        <v>-0.32500000000000001</v>
      </c>
      <c r="BD1225" s="191">
        <v>43829</v>
      </c>
      <c r="BE1225" s="192" t="s">
        <v>84</v>
      </c>
      <c r="BH1225" s="94">
        <v>43871</v>
      </c>
      <c r="BI1225" s="95" t="s">
        <v>227</v>
      </c>
      <c r="BJ1225" s="96">
        <v>11.92</v>
      </c>
    </row>
    <row r="1226" spans="54:62" ht="15">
      <c r="BB1226" s="187">
        <v>43830</v>
      </c>
      <c r="BC1226" s="180">
        <v>-0.32400000000000001</v>
      </c>
      <c r="BD1226" s="191">
        <v>43830</v>
      </c>
      <c r="BE1226" s="192" t="s">
        <v>217</v>
      </c>
      <c r="BH1226" s="94">
        <v>43872</v>
      </c>
      <c r="BI1226" s="95" t="s">
        <v>206</v>
      </c>
      <c r="BJ1226" s="96">
        <v>11.92</v>
      </c>
    </row>
    <row r="1227" spans="54:62" ht="15">
      <c r="BB1227" s="187">
        <v>43831</v>
      </c>
      <c r="BC1227" s="180">
        <v>-0.32400000000000001</v>
      </c>
      <c r="BD1227" s="191"/>
      <c r="BE1227" s="193" t="str">
        <f>+BE1226</f>
        <v>−0,173</v>
      </c>
      <c r="BH1227" s="94">
        <v>43873</v>
      </c>
      <c r="BI1227" s="95" t="s">
        <v>154</v>
      </c>
      <c r="BJ1227" s="96">
        <v>11.92</v>
      </c>
    </row>
    <row r="1228" spans="54:62" ht="15">
      <c r="BB1228" s="187">
        <v>43832</v>
      </c>
      <c r="BC1228" s="180">
        <v>-0.32300000000000001</v>
      </c>
      <c r="BD1228" s="191">
        <v>43832</v>
      </c>
      <c r="BE1228" s="192" t="s">
        <v>218</v>
      </c>
      <c r="BH1228" s="94">
        <v>43874</v>
      </c>
      <c r="BI1228" s="95" t="s">
        <v>228</v>
      </c>
      <c r="BJ1228" s="96">
        <v>11.92</v>
      </c>
    </row>
    <row r="1229" spans="54:62" ht="15">
      <c r="BB1229" s="187">
        <v>43833</v>
      </c>
      <c r="BC1229" s="180">
        <v>-0.32300000000000001</v>
      </c>
      <c r="BD1229" s="191">
        <v>43833</v>
      </c>
      <c r="BE1229" s="192" t="s">
        <v>82</v>
      </c>
      <c r="BH1229" s="94">
        <v>43875</v>
      </c>
      <c r="BI1229" s="95" t="s">
        <v>229</v>
      </c>
      <c r="BJ1229" s="96">
        <v>11.91</v>
      </c>
    </row>
    <row r="1230" spans="54:62" ht="15">
      <c r="BB1230" s="187">
        <v>43836</v>
      </c>
      <c r="BC1230" s="180">
        <v>-0.32500000000000001</v>
      </c>
      <c r="BD1230" s="191"/>
      <c r="BE1230" s="193" t="str">
        <f>+BE1229</f>
        <v>−0,170</v>
      </c>
      <c r="BH1230" s="94">
        <v>43878</v>
      </c>
      <c r="BI1230" s="95" t="s">
        <v>156</v>
      </c>
      <c r="BJ1230" s="96">
        <v>11.95</v>
      </c>
    </row>
    <row r="1231" spans="54:62" ht="15">
      <c r="BB1231" s="187">
        <v>43837</v>
      </c>
      <c r="BC1231" s="180">
        <v>-0.32300000000000001</v>
      </c>
      <c r="BD1231" s="191">
        <v>43837</v>
      </c>
      <c r="BE1231" s="192" t="s">
        <v>219</v>
      </c>
      <c r="BH1231" s="94">
        <v>43879</v>
      </c>
      <c r="BI1231" s="95" t="s">
        <v>230</v>
      </c>
      <c r="BJ1231" s="96">
        <v>11.95</v>
      </c>
    </row>
    <row r="1232" spans="54:62" ht="15">
      <c r="BB1232" s="187">
        <v>43838</v>
      </c>
      <c r="BC1232" s="180">
        <v>-0.33200000000000002</v>
      </c>
      <c r="BD1232" s="191">
        <v>43838</v>
      </c>
      <c r="BE1232" s="192" t="s">
        <v>80</v>
      </c>
      <c r="BH1232" s="94">
        <v>43880</v>
      </c>
      <c r="BI1232" s="95" t="s">
        <v>231</v>
      </c>
      <c r="BJ1232" s="96">
        <v>11.94</v>
      </c>
    </row>
    <row r="1233" spans="54:62" ht="15">
      <c r="BB1233" s="187">
        <v>43839</v>
      </c>
      <c r="BC1233" s="180">
        <v>-0.33300000000000002</v>
      </c>
      <c r="BD1233" s="191">
        <v>43839</v>
      </c>
      <c r="BE1233" s="192" t="s">
        <v>81</v>
      </c>
      <c r="BH1233" s="94">
        <v>43881</v>
      </c>
      <c r="BI1233" s="95" t="s">
        <v>202</v>
      </c>
      <c r="BJ1233" s="96">
        <v>11.94</v>
      </c>
    </row>
    <row r="1234" spans="54:62" ht="15">
      <c r="BB1234" s="187">
        <v>43840</v>
      </c>
      <c r="BC1234" s="180">
        <v>-0.33400000000000002</v>
      </c>
      <c r="BD1234" s="191">
        <v>43840</v>
      </c>
      <c r="BE1234" s="192" t="s">
        <v>220</v>
      </c>
      <c r="BH1234" s="94">
        <v>43882</v>
      </c>
      <c r="BI1234" s="95" t="s">
        <v>232</v>
      </c>
      <c r="BJ1234" s="96">
        <v>11.94</v>
      </c>
    </row>
    <row r="1235" spans="54:62" ht="15">
      <c r="BB1235" s="187">
        <v>43843</v>
      </c>
      <c r="BC1235" s="180">
        <v>-0.32400000000000001</v>
      </c>
      <c r="BD1235" s="191">
        <v>43843</v>
      </c>
      <c r="BE1235" s="192" t="s">
        <v>78</v>
      </c>
      <c r="BH1235" s="94">
        <v>43885</v>
      </c>
      <c r="BI1235" s="95" t="s">
        <v>233</v>
      </c>
      <c r="BJ1235" s="96">
        <v>11.92</v>
      </c>
    </row>
    <row r="1236" spans="54:62" ht="15">
      <c r="BB1236" s="187">
        <v>43844</v>
      </c>
      <c r="BC1236" s="180">
        <v>-0.32900000000000001</v>
      </c>
      <c r="BD1236" s="191">
        <v>43844</v>
      </c>
      <c r="BE1236" s="192" t="s">
        <v>221</v>
      </c>
      <c r="BH1236" s="94">
        <v>43886</v>
      </c>
      <c r="BI1236" s="95" t="s">
        <v>200</v>
      </c>
      <c r="BJ1236" s="96">
        <v>11.92</v>
      </c>
    </row>
    <row r="1237" spans="54:62" ht="15">
      <c r="BB1237" s="187">
        <v>43845</v>
      </c>
      <c r="BC1237" s="180">
        <v>-0.33400000000000002</v>
      </c>
      <c r="BD1237" s="191">
        <v>43845</v>
      </c>
      <c r="BE1237" s="192" t="s">
        <v>97</v>
      </c>
      <c r="BH1237" s="94">
        <v>43887</v>
      </c>
      <c r="BI1237" s="95" t="s">
        <v>159</v>
      </c>
      <c r="BJ1237" s="96">
        <v>11.92</v>
      </c>
    </row>
    <row r="1238" spans="54:62" ht="15">
      <c r="BB1238" s="187">
        <v>43846</v>
      </c>
      <c r="BC1238" s="180">
        <v>-0.33</v>
      </c>
      <c r="BD1238" s="191">
        <v>43846</v>
      </c>
      <c r="BE1238" s="192" t="s">
        <v>98</v>
      </c>
      <c r="BH1238" s="94">
        <v>43888</v>
      </c>
      <c r="BI1238" s="95" t="s">
        <v>234</v>
      </c>
      <c r="BJ1238" s="96">
        <v>11.92</v>
      </c>
    </row>
    <row r="1239" spans="54:62" ht="15">
      <c r="BB1239" s="187">
        <v>43847</v>
      </c>
      <c r="BC1239" s="180">
        <v>-0.33200000000000002</v>
      </c>
      <c r="BD1239" s="191">
        <v>43847</v>
      </c>
      <c r="BE1239" s="192" t="s">
        <v>76</v>
      </c>
      <c r="BH1239" s="94">
        <v>43889</v>
      </c>
      <c r="BI1239" s="95" t="s">
        <v>235</v>
      </c>
      <c r="BJ1239" s="96">
        <v>11.91</v>
      </c>
    </row>
    <row r="1240" spans="54:62" ht="15">
      <c r="BB1240" s="187">
        <v>43850</v>
      </c>
      <c r="BC1240" s="180">
        <v>-0.33300000000000002</v>
      </c>
      <c r="BD1240" s="191">
        <v>43850</v>
      </c>
      <c r="BE1240" s="192" t="s">
        <v>222</v>
      </c>
      <c r="BH1240" s="94">
        <v>43892</v>
      </c>
      <c r="BI1240" s="95" t="s">
        <v>236</v>
      </c>
      <c r="BJ1240" s="96">
        <v>11.9</v>
      </c>
    </row>
    <row r="1241" spans="54:62" ht="15">
      <c r="BB1241" s="187">
        <v>43851</v>
      </c>
      <c r="BC1241" s="180">
        <v>-0.33400000000000002</v>
      </c>
      <c r="BD1241" s="191">
        <v>43851</v>
      </c>
      <c r="BE1241" s="192" t="s">
        <v>75</v>
      </c>
      <c r="BH1241" s="94">
        <v>43893</v>
      </c>
      <c r="BI1241" s="95" t="s">
        <v>161</v>
      </c>
      <c r="BJ1241" s="96">
        <v>11.9</v>
      </c>
    </row>
    <row r="1242" spans="54:62" ht="15">
      <c r="BB1242" s="187">
        <v>43852</v>
      </c>
      <c r="BC1242" s="180">
        <v>-0.32900000000000001</v>
      </c>
      <c r="BD1242" s="191">
        <v>43852</v>
      </c>
      <c r="BE1242" s="192" t="s">
        <v>143</v>
      </c>
      <c r="BH1242" s="94">
        <v>43894</v>
      </c>
      <c r="BI1242" s="95" t="s">
        <v>195</v>
      </c>
      <c r="BJ1242" s="96">
        <v>11.9</v>
      </c>
    </row>
    <row r="1243" spans="54:62" ht="15">
      <c r="BB1243" s="187">
        <v>43853</v>
      </c>
      <c r="BC1243" s="180">
        <v>-0.32</v>
      </c>
      <c r="BD1243" s="191">
        <v>43853</v>
      </c>
      <c r="BE1243" s="192" t="s">
        <v>98</v>
      </c>
      <c r="BH1243" s="94">
        <v>43895</v>
      </c>
      <c r="BI1243" s="95" t="s">
        <v>237</v>
      </c>
      <c r="BJ1243" s="96">
        <v>11.94</v>
      </c>
    </row>
    <row r="1244" spans="54:62" ht="15">
      <c r="BB1244" s="187">
        <v>43854</v>
      </c>
      <c r="BC1244" s="180">
        <v>-0.32300000000000001</v>
      </c>
      <c r="BD1244" s="191">
        <v>43854</v>
      </c>
      <c r="BE1244" s="192" t="s">
        <v>106</v>
      </c>
      <c r="BH1244" s="94">
        <v>43896</v>
      </c>
      <c r="BI1244" s="95" t="s">
        <v>238</v>
      </c>
      <c r="BJ1244" s="96">
        <v>11.93</v>
      </c>
    </row>
    <row r="1245" spans="54:62" ht="15">
      <c r="BB1245" s="187">
        <v>43857</v>
      </c>
      <c r="BC1245" s="180">
        <v>-0.33300000000000002</v>
      </c>
      <c r="BD1245" s="191">
        <v>43857</v>
      </c>
      <c r="BE1245" s="192" t="s">
        <v>103</v>
      </c>
      <c r="BH1245" s="94">
        <v>43899</v>
      </c>
      <c r="BI1245" s="95" t="s">
        <v>239</v>
      </c>
      <c r="BJ1245" s="96">
        <v>11.92</v>
      </c>
    </row>
    <row r="1246" spans="54:62" ht="15">
      <c r="BB1246" s="187">
        <v>43858</v>
      </c>
      <c r="BC1246" s="180">
        <v>-0.33700000000000002</v>
      </c>
      <c r="BD1246" s="191">
        <v>43858</v>
      </c>
      <c r="BE1246" s="192" t="s">
        <v>81</v>
      </c>
      <c r="BH1246" s="94">
        <v>43900</v>
      </c>
      <c r="BI1246" s="95" t="s">
        <v>186</v>
      </c>
      <c r="BJ1246" s="96">
        <v>11.92</v>
      </c>
    </row>
    <row r="1247" spans="54:62" ht="15">
      <c r="BB1247" s="187">
        <v>43859</v>
      </c>
      <c r="BC1247" s="180">
        <v>-0.33600000000000002</v>
      </c>
      <c r="BD1247" s="191">
        <v>43859</v>
      </c>
      <c r="BE1247" s="192" t="s">
        <v>223</v>
      </c>
      <c r="BH1247" s="94">
        <v>43901</v>
      </c>
      <c r="BI1247" s="95" t="s">
        <v>240</v>
      </c>
      <c r="BJ1247" s="96">
        <v>11.92</v>
      </c>
    </row>
    <row r="1248" spans="54:62" ht="15">
      <c r="BB1248" s="187">
        <v>43860</v>
      </c>
      <c r="BC1248" s="180">
        <v>-0.33700000000000002</v>
      </c>
      <c r="BD1248" s="191">
        <v>43860</v>
      </c>
      <c r="BE1248" s="192" t="s">
        <v>146</v>
      </c>
      <c r="BH1248" s="94">
        <v>43902</v>
      </c>
      <c r="BI1248" s="95" t="s">
        <v>167</v>
      </c>
      <c r="BJ1248" s="96">
        <v>11.92</v>
      </c>
    </row>
    <row r="1249" spans="54:62" ht="15">
      <c r="BB1249" s="187">
        <v>43861</v>
      </c>
      <c r="BC1249" s="180">
        <v>-0.33800000000000002</v>
      </c>
      <c r="BD1249" s="191">
        <v>43861</v>
      </c>
      <c r="BE1249" s="192" t="s">
        <v>213</v>
      </c>
      <c r="BH1249" s="94">
        <v>43903</v>
      </c>
      <c r="BI1249" s="95" t="s">
        <v>241</v>
      </c>
      <c r="BJ1249" s="96">
        <v>11.91</v>
      </c>
    </row>
    <row r="1250" spans="54:62" ht="15">
      <c r="BB1250" s="187">
        <v>43864</v>
      </c>
      <c r="BC1250" s="180">
        <v>-0.33800000000000002</v>
      </c>
      <c r="BD1250" s="191">
        <v>43864</v>
      </c>
      <c r="BE1250" s="192" t="s">
        <v>90</v>
      </c>
      <c r="BH1250" s="94">
        <v>43906</v>
      </c>
      <c r="BI1250" s="95" t="s">
        <v>242</v>
      </c>
      <c r="BJ1250" s="96">
        <v>11.91</v>
      </c>
    </row>
    <row r="1251" spans="54:62" ht="15">
      <c r="BB1251" s="187">
        <v>43865</v>
      </c>
      <c r="BC1251" s="180">
        <v>-0.34</v>
      </c>
      <c r="BD1251" s="191">
        <v>43865</v>
      </c>
      <c r="BE1251" s="192" t="s">
        <v>224</v>
      </c>
      <c r="BH1251" s="94">
        <v>43907</v>
      </c>
      <c r="BI1251" s="95" t="s">
        <v>243</v>
      </c>
      <c r="BJ1251" s="96">
        <v>11.9</v>
      </c>
    </row>
    <row r="1252" spans="54:62" ht="15">
      <c r="BB1252" s="187">
        <v>43866</v>
      </c>
      <c r="BC1252" s="180">
        <v>-0.34599999999999997</v>
      </c>
      <c r="BD1252" s="191">
        <v>43866</v>
      </c>
      <c r="BE1252" s="192" t="s">
        <v>225</v>
      </c>
      <c r="BH1252" s="94">
        <v>43908</v>
      </c>
      <c r="BI1252" s="95" t="s">
        <v>244</v>
      </c>
      <c r="BJ1252" s="96">
        <v>11.9</v>
      </c>
    </row>
    <row r="1253" spans="54:62" ht="15">
      <c r="BB1253" s="187">
        <v>43867</v>
      </c>
      <c r="BC1253" s="180">
        <v>-0.34300000000000003</v>
      </c>
      <c r="BD1253" s="191">
        <v>43867</v>
      </c>
      <c r="BE1253" s="192" t="s">
        <v>226</v>
      </c>
      <c r="BH1253" s="94">
        <v>43909</v>
      </c>
      <c r="BI1253" s="95" t="s">
        <v>245</v>
      </c>
      <c r="BJ1253" s="96">
        <v>11.9</v>
      </c>
    </row>
    <row r="1254" spans="54:62" ht="15">
      <c r="BB1254" s="187">
        <v>43868</v>
      </c>
      <c r="BC1254" s="180">
        <v>-0.33900000000000002</v>
      </c>
      <c r="BD1254" s="191">
        <v>43868</v>
      </c>
      <c r="BE1254" s="192" t="s">
        <v>208</v>
      </c>
      <c r="BH1254" s="94">
        <v>43910</v>
      </c>
      <c r="BI1254" s="95" t="s">
        <v>246</v>
      </c>
      <c r="BJ1254" s="96">
        <v>11.89</v>
      </c>
    </row>
    <row r="1255" spans="54:62" ht="15">
      <c r="BB1255" s="187">
        <v>43871</v>
      </c>
      <c r="BC1255" s="180">
        <v>-0.34599999999999997</v>
      </c>
      <c r="BD1255" s="191">
        <v>43871</v>
      </c>
      <c r="BE1255" s="192" t="s">
        <v>227</v>
      </c>
      <c r="BH1255" s="94">
        <v>43913</v>
      </c>
      <c r="BI1255" s="95" t="s">
        <v>247</v>
      </c>
      <c r="BJ1255" s="96">
        <v>11.88</v>
      </c>
    </row>
    <row r="1256" spans="54:62" ht="15">
      <c r="BB1256" s="187">
        <v>43872</v>
      </c>
      <c r="BC1256" s="180">
        <v>-0.35</v>
      </c>
      <c r="BD1256" s="191">
        <v>43872</v>
      </c>
      <c r="BE1256" s="192" t="s">
        <v>206</v>
      </c>
      <c r="BH1256" s="94">
        <v>43914</v>
      </c>
      <c r="BI1256" s="95" t="s">
        <v>248</v>
      </c>
      <c r="BJ1256" s="96">
        <v>11.87</v>
      </c>
    </row>
    <row r="1257" spans="54:62" ht="15">
      <c r="BB1257" s="187">
        <v>43873</v>
      </c>
      <c r="BC1257" s="180">
        <v>-0.36199999999999999</v>
      </c>
      <c r="BD1257" s="191">
        <v>43873</v>
      </c>
      <c r="BE1257" s="192" t="s">
        <v>154</v>
      </c>
      <c r="BH1257" s="94">
        <v>43915</v>
      </c>
      <c r="BI1257" s="95" t="s">
        <v>249</v>
      </c>
      <c r="BJ1257" s="96">
        <v>11.86</v>
      </c>
    </row>
    <row r="1258" spans="54:62" ht="15">
      <c r="BB1258" s="187">
        <v>43874</v>
      </c>
      <c r="BC1258" s="180">
        <v>-0.35699999999999998</v>
      </c>
      <c r="BD1258" s="191">
        <v>43874</v>
      </c>
      <c r="BE1258" s="192" t="s">
        <v>228</v>
      </c>
      <c r="BH1258" s="94">
        <v>43916</v>
      </c>
      <c r="BI1258" s="95" t="s">
        <v>250</v>
      </c>
      <c r="BJ1258" s="96">
        <v>11.85</v>
      </c>
    </row>
    <row r="1259" spans="54:62" ht="15">
      <c r="BB1259" s="187">
        <v>43875</v>
      </c>
      <c r="BC1259" s="180">
        <v>-0.35899999999999999</v>
      </c>
      <c r="BD1259" s="191">
        <v>43875</v>
      </c>
      <c r="BE1259" s="192" t="s">
        <v>229</v>
      </c>
      <c r="BH1259" s="94">
        <v>43917</v>
      </c>
      <c r="BI1259" s="95" t="s">
        <v>251</v>
      </c>
      <c r="BJ1259" s="96">
        <v>11.85</v>
      </c>
    </row>
    <row r="1260" spans="54:62" ht="15">
      <c r="BB1260" s="187">
        <v>43878</v>
      </c>
      <c r="BC1260" s="180">
        <v>-0.35299999999999998</v>
      </c>
      <c r="BD1260" s="191">
        <v>43878</v>
      </c>
      <c r="BE1260" s="192" t="s">
        <v>156</v>
      </c>
      <c r="BH1260" s="94">
        <v>43920</v>
      </c>
      <c r="BI1260" s="95" t="s">
        <v>228</v>
      </c>
      <c r="BJ1260" s="96">
        <v>11.83</v>
      </c>
    </row>
    <row r="1261" spans="54:62" ht="15">
      <c r="BB1261" s="187">
        <v>43879</v>
      </c>
      <c r="BC1261" s="180">
        <v>-0.35799999999999998</v>
      </c>
      <c r="BD1261" s="191">
        <v>43879</v>
      </c>
      <c r="BE1261" s="192" t="s">
        <v>230</v>
      </c>
      <c r="BH1261" s="94">
        <v>43921</v>
      </c>
      <c r="BI1261" s="95" t="s">
        <v>252</v>
      </c>
      <c r="BJ1261" s="96">
        <v>11.82</v>
      </c>
    </row>
    <row r="1262" spans="54:62" ht="15">
      <c r="BB1262" s="187">
        <v>43880</v>
      </c>
      <c r="BC1262" s="180">
        <v>-0.35299999999999998</v>
      </c>
      <c r="BD1262" s="191">
        <v>43880</v>
      </c>
      <c r="BE1262" s="192" t="s">
        <v>231</v>
      </c>
      <c r="BH1262" s="94">
        <v>43922</v>
      </c>
      <c r="BI1262" s="95" t="s">
        <v>253</v>
      </c>
      <c r="BJ1262" s="96">
        <v>11.82</v>
      </c>
    </row>
    <row r="1263" spans="54:62" ht="15">
      <c r="BB1263" s="187">
        <v>43881</v>
      </c>
      <c r="BC1263" s="180">
        <v>-0.35799999999999998</v>
      </c>
      <c r="BD1263" s="191">
        <v>43881</v>
      </c>
      <c r="BE1263" s="192" t="s">
        <v>202</v>
      </c>
      <c r="BH1263" s="94">
        <v>43923</v>
      </c>
      <c r="BI1263" s="95" t="s">
        <v>94</v>
      </c>
      <c r="BJ1263" s="96">
        <v>11.83</v>
      </c>
    </row>
    <row r="1264" spans="54:62" ht="15">
      <c r="BB1264" s="187">
        <v>43882</v>
      </c>
      <c r="BC1264" s="180">
        <v>-0.35599999999999998</v>
      </c>
      <c r="BD1264" s="191">
        <v>43882</v>
      </c>
      <c r="BE1264" s="192" t="s">
        <v>232</v>
      </c>
      <c r="BH1264" s="94">
        <v>43924</v>
      </c>
      <c r="BI1264" s="95" t="s">
        <v>223</v>
      </c>
      <c r="BJ1264" s="96">
        <v>11.83</v>
      </c>
    </row>
    <row r="1265" spans="54:62" ht="15">
      <c r="BB1265" s="187">
        <v>43885</v>
      </c>
      <c r="BC1265" s="180">
        <v>-0.35699999999999998</v>
      </c>
      <c r="BD1265" s="191">
        <v>43885</v>
      </c>
      <c r="BE1265" s="192" t="s">
        <v>233</v>
      </c>
      <c r="BH1265" s="94">
        <v>43927</v>
      </c>
      <c r="BI1265" s="95" t="s">
        <v>98</v>
      </c>
      <c r="BJ1265" s="96">
        <v>11.82</v>
      </c>
    </row>
    <row r="1266" spans="54:62" ht="15">
      <c r="BB1266" s="187">
        <v>43886</v>
      </c>
      <c r="BC1266" s="180">
        <v>-0.35799999999999998</v>
      </c>
      <c r="BD1266" s="191">
        <v>43886</v>
      </c>
      <c r="BE1266" s="192" t="s">
        <v>200</v>
      </c>
      <c r="BH1266" s="94">
        <v>43928</v>
      </c>
      <c r="BI1266" s="95" t="s">
        <v>141</v>
      </c>
      <c r="BJ1266" s="96">
        <v>11.82</v>
      </c>
    </row>
    <row r="1267" spans="54:62" ht="15">
      <c r="BB1267" s="187">
        <v>43887</v>
      </c>
      <c r="BC1267" s="180">
        <v>-0.371</v>
      </c>
      <c r="BD1267" s="191">
        <v>43887</v>
      </c>
      <c r="BE1267" s="192" t="s">
        <v>159</v>
      </c>
      <c r="BH1267" s="94">
        <v>43929</v>
      </c>
      <c r="BI1267" s="95" t="s">
        <v>254</v>
      </c>
      <c r="BJ1267" s="96">
        <v>11.82</v>
      </c>
    </row>
    <row r="1268" spans="54:62" ht="15">
      <c r="BB1268" s="187">
        <v>43888</v>
      </c>
      <c r="BC1268" s="180">
        <v>-0.375</v>
      </c>
      <c r="BD1268" s="191">
        <v>43888</v>
      </c>
      <c r="BE1268" s="192" t="s">
        <v>234</v>
      </c>
      <c r="BH1268" s="94">
        <v>43930</v>
      </c>
      <c r="BI1268" s="95" t="s">
        <v>255</v>
      </c>
      <c r="BJ1268" s="96">
        <v>11.79</v>
      </c>
    </row>
    <row r="1269" spans="54:62" ht="15">
      <c r="BB1269" s="187">
        <v>43889</v>
      </c>
      <c r="BC1269" s="180">
        <v>-0.38600000000000001</v>
      </c>
      <c r="BD1269" s="191">
        <v>43889</v>
      </c>
      <c r="BE1269" s="192" t="s">
        <v>235</v>
      </c>
      <c r="BH1269" s="94">
        <v>43931</v>
      </c>
      <c r="BI1269" s="95" t="s">
        <v>256</v>
      </c>
      <c r="BJ1269" s="96">
        <v>11.79</v>
      </c>
    </row>
    <row r="1270" spans="54:62" ht="15">
      <c r="BB1270" s="187">
        <v>43892</v>
      </c>
      <c r="BC1270" s="180">
        <v>-0.4</v>
      </c>
      <c r="BD1270" s="191">
        <v>43892</v>
      </c>
      <c r="BE1270" s="192" t="s">
        <v>236</v>
      </c>
      <c r="BH1270" s="94">
        <v>43935</v>
      </c>
      <c r="BI1270" s="95" t="s">
        <v>257</v>
      </c>
      <c r="BJ1270" s="96">
        <v>11.77</v>
      </c>
    </row>
    <row r="1271" spans="54:62" ht="15">
      <c r="BB1271" s="187">
        <v>43893</v>
      </c>
      <c r="BC1271" s="180">
        <v>-0.42199999999999999</v>
      </c>
      <c r="BD1271" s="191">
        <v>43893</v>
      </c>
      <c r="BE1271" s="192" t="s">
        <v>161</v>
      </c>
      <c r="BH1271" s="94">
        <v>43936</v>
      </c>
      <c r="BI1271" s="95" t="s">
        <v>258</v>
      </c>
      <c r="BJ1271" s="96">
        <v>11.77</v>
      </c>
    </row>
    <row r="1272" spans="54:62" ht="15">
      <c r="BB1272" s="187">
        <v>43894</v>
      </c>
      <c r="BC1272" s="180">
        <v>-0.41799999999999998</v>
      </c>
      <c r="BD1272" s="191">
        <v>43894</v>
      </c>
      <c r="BE1272" s="192" t="s">
        <v>195</v>
      </c>
      <c r="BH1272" s="94">
        <v>43937</v>
      </c>
      <c r="BI1272" s="95" t="s">
        <v>259</v>
      </c>
      <c r="BJ1272" s="96">
        <v>11.76</v>
      </c>
    </row>
    <row r="1273" spans="54:62" ht="15">
      <c r="BB1273" s="187">
        <v>43895</v>
      </c>
      <c r="BC1273" s="180">
        <v>-0.432</v>
      </c>
      <c r="BD1273" s="191">
        <v>43895</v>
      </c>
      <c r="BE1273" s="192" t="s">
        <v>237</v>
      </c>
      <c r="BH1273" s="94">
        <v>43938</v>
      </c>
      <c r="BI1273" s="95" t="s">
        <v>260</v>
      </c>
      <c r="BJ1273" s="96">
        <v>11.76</v>
      </c>
    </row>
    <row r="1274" spans="54:62" ht="15">
      <c r="BB1274" s="187">
        <v>43896</v>
      </c>
      <c r="BC1274" s="180">
        <v>-0.42699999999999999</v>
      </c>
      <c r="BD1274" s="191">
        <v>43896</v>
      </c>
      <c r="BE1274" s="192" t="s">
        <v>238</v>
      </c>
      <c r="BH1274" s="94">
        <v>43941</v>
      </c>
      <c r="BI1274" s="95" t="s">
        <v>261</v>
      </c>
      <c r="BJ1274" s="96">
        <v>11.75</v>
      </c>
    </row>
    <row r="1275" spans="54:62" ht="15">
      <c r="BB1275" s="187">
        <v>43899</v>
      </c>
      <c r="BC1275" s="180">
        <v>-0.42099999999999999</v>
      </c>
      <c r="BD1275" s="191">
        <v>43899</v>
      </c>
      <c r="BE1275" s="192" t="s">
        <v>239</v>
      </c>
      <c r="BH1275" s="94">
        <v>43942</v>
      </c>
      <c r="BI1275" s="95" t="s">
        <v>262</v>
      </c>
      <c r="BJ1275" s="96">
        <v>11.75</v>
      </c>
    </row>
    <row r="1276" spans="54:62" ht="15">
      <c r="BB1276" s="187">
        <v>43900</v>
      </c>
      <c r="BC1276" s="180">
        <v>-0.438</v>
      </c>
      <c r="BD1276" s="191">
        <v>43900</v>
      </c>
      <c r="BE1276" s="192" t="s">
        <v>186</v>
      </c>
      <c r="BH1276" s="94">
        <v>43943</v>
      </c>
      <c r="BI1276" s="95" t="s">
        <v>68</v>
      </c>
      <c r="BJ1276" s="96">
        <v>11.75</v>
      </c>
    </row>
    <row r="1277" spans="54:62" ht="15">
      <c r="BB1277" s="187">
        <v>43901</v>
      </c>
      <c r="BC1277" s="180">
        <v>-0.42899999999999999</v>
      </c>
      <c r="BD1277" s="191">
        <v>43901</v>
      </c>
      <c r="BE1277" s="192" t="s">
        <v>240</v>
      </c>
      <c r="BH1277" s="94">
        <v>43944</v>
      </c>
      <c r="BI1277" s="95" t="s">
        <v>69</v>
      </c>
      <c r="BJ1277" s="96">
        <v>11.74</v>
      </c>
    </row>
    <row r="1278" spans="54:62" ht="15">
      <c r="BB1278" s="187">
        <v>43902</v>
      </c>
      <c r="BC1278" s="180">
        <v>-0.44700000000000001</v>
      </c>
      <c r="BD1278" s="191">
        <v>43902</v>
      </c>
      <c r="BE1278" s="192" t="s">
        <v>167</v>
      </c>
      <c r="BH1278" s="94">
        <v>43945</v>
      </c>
      <c r="BI1278" s="95" t="s">
        <v>113</v>
      </c>
      <c r="BJ1278" s="96">
        <v>11.74</v>
      </c>
    </row>
    <row r="1279" spans="54:62" ht="15">
      <c r="BB1279" s="187">
        <v>43903</v>
      </c>
      <c r="BC1279" s="180">
        <v>-0.39700000000000002</v>
      </c>
      <c r="BD1279" s="191">
        <v>43903</v>
      </c>
      <c r="BE1279" s="192" t="s">
        <v>241</v>
      </c>
      <c r="BH1279" s="94">
        <v>43948</v>
      </c>
      <c r="BI1279" s="95" t="s">
        <v>113</v>
      </c>
      <c r="BJ1279" s="96">
        <v>11.73</v>
      </c>
    </row>
    <row r="1280" spans="54:62" ht="15">
      <c r="BB1280" s="187">
        <v>43906</v>
      </c>
      <c r="BC1280" s="180">
        <v>-0.372</v>
      </c>
      <c r="BD1280" s="191">
        <v>43906</v>
      </c>
      <c r="BE1280" s="192" t="s">
        <v>242</v>
      </c>
      <c r="BH1280" s="94">
        <v>43949</v>
      </c>
      <c r="BI1280" s="95" t="s">
        <v>263</v>
      </c>
      <c r="BJ1280" s="96">
        <v>11.73</v>
      </c>
    </row>
    <row r="1281" spans="54:62" ht="15">
      <c r="BB1281" s="187">
        <v>43907</v>
      </c>
      <c r="BC1281" s="180">
        <v>-0.373</v>
      </c>
      <c r="BD1281" s="191">
        <v>43907</v>
      </c>
      <c r="BE1281" s="192" t="s">
        <v>243</v>
      </c>
      <c r="BH1281" s="94">
        <v>43950</v>
      </c>
      <c r="BI1281" s="95" t="s">
        <v>264</v>
      </c>
      <c r="BJ1281" s="96">
        <v>11.73</v>
      </c>
    </row>
    <row r="1282" spans="54:62" ht="15">
      <c r="BB1282" s="187">
        <v>43908</v>
      </c>
      <c r="BC1282" s="180">
        <v>-0.36</v>
      </c>
      <c r="BD1282" s="191">
        <v>43908</v>
      </c>
      <c r="BE1282" s="192" t="s">
        <v>244</v>
      </c>
      <c r="BH1282" s="94">
        <v>43951</v>
      </c>
      <c r="BI1282" s="95" t="s">
        <v>265</v>
      </c>
      <c r="BJ1282" s="96">
        <v>11.73</v>
      </c>
    </row>
    <row r="1283" spans="54:62" ht="15">
      <c r="BB1283" s="187">
        <v>43909</v>
      </c>
      <c r="BC1283" s="180">
        <v>-0.34499999999999997</v>
      </c>
      <c r="BD1283" s="191">
        <v>43909</v>
      </c>
      <c r="BE1283" s="192" t="s">
        <v>245</v>
      </c>
      <c r="BH1283" s="94">
        <v>43955</v>
      </c>
      <c r="BI1283" s="95" t="s">
        <v>110</v>
      </c>
      <c r="BJ1283" s="96">
        <v>11.71</v>
      </c>
    </row>
    <row r="1284" spans="54:62" ht="15">
      <c r="BB1284" s="187">
        <v>43910</v>
      </c>
      <c r="BC1284" s="180">
        <v>-0.313</v>
      </c>
      <c r="BD1284" s="191">
        <v>43910</v>
      </c>
      <c r="BE1284" s="192" t="s">
        <v>246</v>
      </c>
      <c r="BH1284" s="94">
        <v>43956</v>
      </c>
      <c r="BI1284" s="95" t="s">
        <v>73</v>
      </c>
      <c r="BJ1284" s="96">
        <v>11.71</v>
      </c>
    </row>
    <row r="1285" spans="54:62" ht="15">
      <c r="BB1285" s="187">
        <v>43913</v>
      </c>
      <c r="BC1285" s="180">
        <v>-0.307</v>
      </c>
      <c r="BD1285" s="191">
        <v>43913</v>
      </c>
      <c r="BE1285" s="192" t="s">
        <v>247</v>
      </c>
      <c r="BH1285" s="94">
        <v>43957</v>
      </c>
      <c r="BI1285" s="95" t="s">
        <v>97</v>
      </c>
      <c r="BJ1285" s="96">
        <v>11.7</v>
      </c>
    </row>
    <row r="1286" spans="54:62" ht="15">
      <c r="BB1286" s="187">
        <v>43914</v>
      </c>
      <c r="BC1286" s="180">
        <v>-0.30599999999999999</v>
      </c>
      <c r="BD1286" s="191">
        <v>43914</v>
      </c>
      <c r="BE1286" s="192" t="s">
        <v>248</v>
      </c>
      <c r="BH1286" s="94">
        <v>43958</v>
      </c>
      <c r="BI1286" s="95" t="s">
        <v>103</v>
      </c>
      <c r="BJ1286" s="96">
        <v>11.74</v>
      </c>
    </row>
    <row r="1287" spans="54:62" ht="15">
      <c r="BB1287" s="187">
        <v>43915</v>
      </c>
      <c r="BC1287" s="180">
        <v>-0.29799999999999999</v>
      </c>
      <c r="BD1287" s="191">
        <v>43915</v>
      </c>
      <c r="BE1287" s="192" t="s">
        <v>249</v>
      </c>
      <c r="BH1287" s="94">
        <v>43959</v>
      </c>
      <c r="BI1287" s="95" t="s">
        <v>223</v>
      </c>
      <c r="BJ1287" s="96">
        <v>11.73</v>
      </c>
    </row>
    <row r="1288" spans="54:62" ht="15">
      <c r="BB1288" s="187">
        <v>43916</v>
      </c>
      <c r="BC1288" s="180">
        <v>-0.27400000000000002</v>
      </c>
      <c r="BD1288" s="191">
        <v>43916</v>
      </c>
      <c r="BE1288" s="192" t="s">
        <v>250</v>
      </c>
      <c r="BH1288" s="94">
        <v>43962</v>
      </c>
      <c r="BI1288" s="95" t="s">
        <v>266</v>
      </c>
      <c r="BJ1288" s="96">
        <v>11.72</v>
      </c>
    </row>
    <row r="1289" spans="54:62" ht="15">
      <c r="BB1289" s="187">
        <v>43917</v>
      </c>
      <c r="BC1289" s="180">
        <v>-0.28100000000000003</v>
      </c>
      <c r="BD1289" s="191">
        <v>43917</v>
      </c>
      <c r="BE1289" s="192" t="s">
        <v>251</v>
      </c>
      <c r="BH1289" s="94">
        <v>43963</v>
      </c>
      <c r="BI1289" s="95" t="s">
        <v>88</v>
      </c>
      <c r="BJ1289" s="96">
        <v>11.71</v>
      </c>
    </row>
    <row r="1290" spans="54:62" ht="15">
      <c r="BB1290" s="187">
        <v>43920</v>
      </c>
      <c r="BC1290" s="180">
        <v>-0.28000000000000003</v>
      </c>
      <c r="BD1290" s="191">
        <v>43920</v>
      </c>
      <c r="BE1290" s="192" t="s">
        <v>228</v>
      </c>
      <c r="BH1290" s="94">
        <v>43964</v>
      </c>
      <c r="BI1290" s="95" t="s">
        <v>91</v>
      </c>
      <c r="BJ1290" s="96">
        <v>11.71</v>
      </c>
    </row>
    <row r="1291" spans="54:62" ht="15">
      <c r="BB1291" s="187">
        <v>43921</v>
      </c>
      <c r="BC1291" s="180">
        <v>-0.28699999999999998</v>
      </c>
      <c r="BD1291" s="191">
        <v>43921</v>
      </c>
      <c r="BE1291" s="192" t="s">
        <v>252</v>
      </c>
      <c r="BH1291" s="94">
        <v>43965</v>
      </c>
      <c r="BI1291" s="95" t="s">
        <v>225</v>
      </c>
      <c r="BJ1291" s="96">
        <v>11.71</v>
      </c>
    </row>
    <row r="1292" spans="54:62" ht="15">
      <c r="BB1292" s="187">
        <v>43922</v>
      </c>
      <c r="BC1292" s="180">
        <v>-0.27600000000000002</v>
      </c>
      <c r="BD1292" s="191">
        <v>43922</v>
      </c>
      <c r="BE1292" s="192" t="s">
        <v>253</v>
      </c>
      <c r="BH1292" s="94">
        <v>43966</v>
      </c>
      <c r="BI1292" s="95" t="s">
        <v>267</v>
      </c>
      <c r="BJ1292" s="96">
        <v>11.7</v>
      </c>
    </row>
    <row r="1293" spans="54:62" ht="15">
      <c r="BB1293" s="187">
        <v>43923</v>
      </c>
      <c r="BC1293" s="180">
        <v>-0.26800000000000002</v>
      </c>
      <c r="BD1293" s="191">
        <v>43923</v>
      </c>
      <c r="BE1293" s="192" t="s">
        <v>94</v>
      </c>
      <c r="BH1293" s="94">
        <v>43969</v>
      </c>
      <c r="BI1293" s="95" t="s">
        <v>149</v>
      </c>
      <c r="BJ1293" s="96">
        <v>11.69</v>
      </c>
    </row>
    <row r="1294" spans="54:62" ht="15">
      <c r="BB1294" s="187">
        <v>43924</v>
      </c>
      <c r="BC1294" s="180">
        <v>-0.27700000000000002</v>
      </c>
      <c r="BD1294" s="191">
        <v>43924</v>
      </c>
      <c r="BE1294" s="192" t="s">
        <v>223</v>
      </c>
      <c r="BH1294" s="94">
        <v>43970</v>
      </c>
      <c r="BI1294" s="95" t="s">
        <v>268</v>
      </c>
      <c r="BJ1294" s="96">
        <v>11.69</v>
      </c>
    </row>
    <row r="1295" spans="54:62" ht="15">
      <c r="BB1295" s="187">
        <v>43927</v>
      </c>
      <c r="BC1295" s="180">
        <v>-0.253</v>
      </c>
      <c r="BD1295" s="191">
        <v>43927</v>
      </c>
      <c r="BE1295" s="192" t="s">
        <v>98</v>
      </c>
      <c r="BH1295" s="94">
        <v>43971</v>
      </c>
      <c r="BI1295" s="95" t="s">
        <v>227</v>
      </c>
      <c r="BJ1295" s="96">
        <v>11.69</v>
      </c>
    </row>
    <row r="1296" spans="54:62" ht="15">
      <c r="BB1296" s="187">
        <v>43928</v>
      </c>
      <c r="BC1296" s="180">
        <v>-0.23200000000000001</v>
      </c>
      <c r="BD1296" s="191">
        <v>43928</v>
      </c>
      <c r="BE1296" s="192" t="s">
        <v>141</v>
      </c>
      <c r="BH1296" s="94">
        <v>43973</v>
      </c>
      <c r="BI1296" s="95" t="s">
        <v>153</v>
      </c>
      <c r="BJ1296" s="96">
        <v>11.68</v>
      </c>
    </row>
    <row r="1297" spans="54:62" ht="15">
      <c r="BB1297" s="187">
        <v>43929</v>
      </c>
      <c r="BC1297" s="180">
        <v>-0.19600000000000001</v>
      </c>
      <c r="BD1297" s="191">
        <v>43929</v>
      </c>
      <c r="BE1297" s="192" t="s">
        <v>254</v>
      </c>
      <c r="BH1297" s="94">
        <v>43976</v>
      </c>
      <c r="BI1297" s="95" t="s">
        <v>154</v>
      </c>
      <c r="BJ1297" s="96">
        <v>11.67</v>
      </c>
    </row>
    <row r="1298" spans="54:62" ht="15">
      <c r="BB1298" s="187">
        <v>43930</v>
      </c>
      <c r="BC1298" s="180">
        <v>-0.17899999999999999</v>
      </c>
      <c r="BD1298" s="191">
        <v>43930</v>
      </c>
      <c r="BE1298" s="192" t="s">
        <v>255</v>
      </c>
      <c r="BH1298" s="94">
        <v>43977</v>
      </c>
      <c r="BI1298" s="95" t="s">
        <v>269</v>
      </c>
      <c r="BJ1298" s="96">
        <v>11.66</v>
      </c>
    </row>
    <row r="1299" spans="54:62" ht="15">
      <c r="BB1299" s="187">
        <v>43931</v>
      </c>
      <c r="BC1299" s="180">
        <v>-0.17899999999999999</v>
      </c>
      <c r="BD1299" s="191">
        <v>43931</v>
      </c>
      <c r="BE1299" s="192" t="s">
        <v>256</v>
      </c>
      <c r="BH1299" s="94">
        <v>43978</v>
      </c>
      <c r="BI1299" s="95" t="s">
        <v>205</v>
      </c>
      <c r="BJ1299" s="96">
        <v>11.66</v>
      </c>
    </row>
    <row r="1300" spans="54:62" ht="15">
      <c r="BB1300" s="187">
        <v>43934</v>
      </c>
      <c r="BC1300" s="180">
        <v>-0.17899999999999999</v>
      </c>
      <c r="BD1300" s="191"/>
      <c r="BE1300" s="193" t="str">
        <f>+BE1299</f>
        <v>−0,081</v>
      </c>
      <c r="BH1300" s="94">
        <v>43979</v>
      </c>
      <c r="BI1300" s="95" t="s">
        <v>228</v>
      </c>
      <c r="BJ1300" s="96">
        <v>11.65</v>
      </c>
    </row>
    <row r="1301" spans="54:62" ht="15">
      <c r="BB1301" s="187">
        <v>43935</v>
      </c>
      <c r="BC1301" s="180">
        <v>-0.19500000000000001</v>
      </c>
      <c r="BD1301" s="191">
        <v>43935</v>
      </c>
      <c r="BE1301" s="192" t="s">
        <v>257</v>
      </c>
      <c r="BH1301" s="94">
        <v>43980</v>
      </c>
      <c r="BI1301" s="95" t="s">
        <v>270</v>
      </c>
      <c r="BJ1301" s="96">
        <v>11.65</v>
      </c>
    </row>
    <row r="1302" spans="54:62" ht="15">
      <c r="BB1302" s="187">
        <v>43936</v>
      </c>
      <c r="BC1302" s="180">
        <v>-0.19600000000000001</v>
      </c>
      <c r="BD1302" s="191">
        <v>43936</v>
      </c>
      <c r="BE1302" s="192" t="s">
        <v>258</v>
      </c>
      <c r="BH1302" s="94">
        <v>43984</v>
      </c>
      <c r="BI1302" s="95" t="s">
        <v>155</v>
      </c>
      <c r="BJ1302" s="96">
        <v>11.63</v>
      </c>
    </row>
    <row r="1303" spans="54:62" ht="15">
      <c r="BB1303" s="187">
        <v>43937</v>
      </c>
      <c r="BC1303" s="180">
        <v>-0.187</v>
      </c>
      <c r="BD1303" s="191">
        <v>43937</v>
      </c>
      <c r="BE1303" s="192" t="s">
        <v>259</v>
      </c>
      <c r="BH1303" s="94">
        <v>43985</v>
      </c>
      <c r="BI1303" s="95" t="s">
        <v>205</v>
      </c>
      <c r="BJ1303" s="96">
        <v>11.63</v>
      </c>
    </row>
    <row r="1304" spans="54:62" ht="15">
      <c r="BB1304" s="187">
        <v>43938</v>
      </c>
      <c r="BC1304" s="180">
        <v>-0.19500000000000001</v>
      </c>
      <c r="BD1304" s="191">
        <v>43938</v>
      </c>
      <c r="BE1304" s="192" t="s">
        <v>260</v>
      </c>
      <c r="BH1304" s="94">
        <v>43986</v>
      </c>
      <c r="BI1304" s="95" t="s">
        <v>271</v>
      </c>
      <c r="BJ1304" s="96">
        <v>11.59</v>
      </c>
    </row>
    <row r="1305" spans="54:62" ht="15">
      <c r="BB1305" s="187">
        <v>43941</v>
      </c>
      <c r="BC1305" s="180">
        <v>-0.185</v>
      </c>
      <c r="BD1305" s="191">
        <v>43941</v>
      </c>
      <c r="BE1305" s="192" t="s">
        <v>261</v>
      </c>
      <c r="BH1305" s="94">
        <v>43987</v>
      </c>
      <c r="BI1305" s="95" t="s">
        <v>272</v>
      </c>
      <c r="BJ1305" s="96">
        <v>11.59</v>
      </c>
    </row>
    <row r="1306" spans="54:62" ht="15">
      <c r="BB1306" s="187">
        <v>43942</v>
      </c>
      <c r="BC1306" s="180">
        <v>-0.17799999999999999</v>
      </c>
      <c r="BD1306" s="191">
        <v>43942</v>
      </c>
      <c r="BE1306" s="192" t="s">
        <v>262</v>
      </c>
      <c r="BH1306" s="94">
        <v>43990</v>
      </c>
      <c r="BI1306" s="95" t="s">
        <v>252</v>
      </c>
      <c r="BJ1306" s="96">
        <v>11.58</v>
      </c>
    </row>
    <row r="1307" spans="54:62" ht="15">
      <c r="BB1307" s="187">
        <v>43943</v>
      </c>
      <c r="BC1307" s="180">
        <v>-0.124</v>
      </c>
      <c r="BD1307" s="191">
        <v>43943</v>
      </c>
      <c r="BE1307" s="192" t="s">
        <v>68</v>
      </c>
      <c r="BH1307" s="94">
        <v>43991</v>
      </c>
      <c r="BI1307" s="95" t="s">
        <v>273</v>
      </c>
      <c r="BJ1307" s="96">
        <v>11.58</v>
      </c>
    </row>
    <row r="1308" spans="54:62" ht="15">
      <c r="BB1308" s="187">
        <v>43944</v>
      </c>
      <c r="BC1308" s="180">
        <v>-0.114</v>
      </c>
      <c r="BD1308" s="191">
        <v>43944</v>
      </c>
      <c r="BE1308" s="192" t="s">
        <v>69</v>
      </c>
      <c r="BH1308" s="94">
        <v>43992</v>
      </c>
      <c r="BI1308" s="95" t="s">
        <v>274</v>
      </c>
      <c r="BJ1308" s="96">
        <v>11.58</v>
      </c>
    </row>
    <row r="1309" spans="54:62" ht="15">
      <c r="BB1309" s="187">
        <v>43945</v>
      </c>
      <c r="BC1309" s="180">
        <v>-0.13600000000000001</v>
      </c>
      <c r="BD1309" s="191">
        <v>43945</v>
      </c>
      <c r="BE1309" s="192" t="s">
        <v>113</v>
      </c>
      <c r="BH1309" s="94">
        <v>43994</v>
      </c>
      <c r="BI1309" s="95" t="s">
        <v>275</v>
      </c>
      <c r="BJ1309" s="96">
        <v>11.56</v>
      </c>
    </row>
    <row r="1310" spans="54:62" ht="15">
      <c r="BB1310" s="187">
        <v>43948</v>
      </c>
      <c r="BC1310" s="180">
        <v>-0.14699999999999999</v>
      </c>
      <c r="BD1310" s="191">
        <v>43948</v>
      </c>
      <c r="BE1310" s="192" t="s">
        <v>113</v>
      </c>
      <c r="BH1310" s="94">
        <v>43997</v>
      </c>
      <c r="BI1310" s="95" t="s">
        <v>275</v>
      </c>
      <c r="BJ1310" s="96">
        <v>11.55</v>
      </c>
    </row>
    <row r="1311" spans="54:62" ht="15">
      <c r="BB1311" s="187">
        <v>43949</v>
      </c>
      <c r="BC1311" s="180">
        <v>-0.16300000000000001</v>
      </c>
      <c r="BD1311" s="191">
        <v>43949</v>
      </c>
      <c r="BE1311" s="192" t="s">
        <v>263</v>
      </c>
      <c r="BH1311" s="94">
        <v>43998</v>
      </c>
      <c r="BI1311" s="95" t="s">
        <v>276</v>
      </c>
      <c r="BJ1311" s="96">
        <v>11.55</v>
      </c>
    </row>
    <row r="1312" spans="54:62" ht="15">
      <c r="BB1312" s="187">
        <v>43950</v>
      </c>
      <c r="BC1312" s="180">
        <v>-0.16900000000000001</v>
      </c>
      <c r="BD1312" s="191">
        <v>43950</v>
      </c>
      <c r="BE1312" s="192" t="s">
        <v>264</v>
      </c>
      <c r="BH1312" s="94">
        <v>43999</v>
      </c>
      <c r="BI1312" s="95" t="s">
        <v>276</v>
      </c>
      <c r="BJ1312" s="96">
        <v>11.54</v>
      </c>
    </row>
    <row r="1313" spans="54:62" ht="15">
      <c r="BB1313" s="187">
        <v>43951</v>
      </c>
      <c r="BC1313" s="180">
        <v>-0.17</v>
      </c>
      <c r="BD1313" s="191">
        <v>43951</v>
      </c>
      <c r="BE1313" s="192" t="s">
        <v>265</v>
      </c>
      <c r="BH1313" s="94">
        <v>44000</v>
      </c>
      <c r="BI1313" s="95" t="s">
        <v>275</v>
      </c>
      <c r="BJ1313" s="96">
        <v>11.55</v>
      </c>
    </row>
    <row r="1314" spans="54:62" ht="15">
      <c r="BB1314" s="187">
        <v>43952</v>
      </c>
      <c r="BC1314" s="180">
        <v>-0.17</v>
      </c>
      <c r="BD1314" s="191"/>
      <c r="BE1314" s="193">
        <v>-0.127</v>
      </c>
      <c r="BF1314" s="111">
        <f>+(BC1314+BE1314)/2+0.37</f>
        <v>0.22149999999999997</v>
      </c>
      <c r="BH1314" s="94">
        <v>44001</v>
      </c>
      <c r="BI1314" s="95" t="s">
        <v>153</v>
      </c>
      <c r="BJ1314" s="96">
        <v>11.55</v>
      </c>
    </row>
    <row r="1315" spans="54:62" ht="15">
      <c r="BB1315" s="187">
        <v>43955</v>
      </c>
      <c r="BC1315" s="180">
        <v>-0.157</v>
      </c>
      <c r="BD1315" s="191">
        <v>43955</v>
      </c>
      <c r="BE1315" s="192" t="s">
        <v>110</v>
      </c>
      <c r="BH1315" s="94">
        <v>44004</v>
      </c>
      <c r="BI1315" s="95" t="s">
        <v>272</v>
      </c>
      <c r="BJ1315" s="96">
        <v>11.54</v>
      </c>
    </row>
    <row r="1316" spans="54:62" ht="15">
      <c r="BB1316" s="187">
        <v>43956</v>
      </c>
      <c r="BC1316" s="180">
        <v>-0.16500000000000001</v>
      </c>
      <c r="BD1316" s="191">
        <v>43956</v>
      </c>
      <c r="BE1316" s="192" t="s">
        <v>73</v>
      </c>
      <c r="BH1316" s="94">
        <v>44005</v>
      </c>
      <c r="BI1316" s="95" t="s">
        <v>277</v>
      </c>
      <c r="BJ1316" s="96">
        <v>11.53</v>
      </c>
    </row>
    <row r="1317" spans="54:62" ht="15">
      <c r="BB1317" s="187">
        <v>43957</v>
      </c>
      <c r="BC1317" s="180">
        <v>-0.13600000000000001</v>
      </c>
      <c r="BD1317" s="191">
        <v>43957</v>
      </c>
      <c r="BE1317" s="192" t="s">
        <v>97</v>
      </c>
      <c r="BH1317" s="94">
        <v>44006</v>
      </c>
      <c r="BI1317" s="95" t="s">
        <v>271</v>
      </c>
      <c r="BJ1317" s="96">
        <v>11.53</v>
      </c>
    </row>
    <row r="1318" spans="54:62" ht="15">
      <c r="BB1318" s="187">
        <v>43958</v>
      </c>
      <c r="BC1318" s="180">
        <v>-0.114</v>
      </c>
      <c r="BD1318" s="191">
        <v>43958</v>
      </c>
      <c r="BE1318" s="192" t="s">
        <v>103</v>
      </c>
      <c r="BH1318" s="94">
        <v>44007</v>
      </c>
      <c r="BI1318" s="95" t="s">
        <v>228</v>
      </c>
      <c r="BJ1318" s="96">
        <v>11.53</v>
      </c>
    </row>
    <row r="1319" spans="54:62" ht="15">
      <c r="BB1319" s="187">
        <v>43959</v>
      </c>
      <c r="BC1319" s="180">
        <v>-0.14499999999999999</v>
      </c>
      <c r="BD1319" s="191">
        <v>43959</v>
      </c>
      <c r="BE1319" s="192" t="s">
        <v>223</v>
      </c>
      <c r="BH1319" s="94">
        <v>44008</v>
      </c>
      <c r="BI1319" s="95" t="s">
        <v>278</v>
      </c>
      <c r="BJ1319" s="96">
        <v>11.52</v>
      </c>
    </row>
    <row r="1320" spans="54:62" ht="15">
      <c r="BB1320" s="187">
        <v>43962</v>
      </c>
      <c r="BC1320" s="180">
        <v>-0.14699999999999999</v>
      </c>
      <c r="BD1320" s="191">
        <v>43962</v>
      </c>
      <c r="BE1320" s="192" t="s">
        <v>266</v>
      </c>
      <c r="BH1320" s="94">
        <v>44011</v>
      </c>
      <c r="BI1320" s="95" t="s">
        <v>279</v>
      </c>
      <c r="BJ1320" s="96">
        <v>11.51</v>
      </c>
    </row>
    <row r="1321" spans="54:62" ht="15">
      <c r="BB1321" s="187">
        <v>43963</v>
      </c>
      <c r="BC1321" s="180">
        <v>-0.14699999999999999</v>
      </c>
      <c r="BD1321" s="191">
        <v>43963</v>
      </c>
      <c r="BE1321" s="192" t="s">
        <v>88</v>
      </c>
      <c r="BH1321" s="94">
        <v>44012</v>
      </c>
      <c r="BI1321" s="95" t="s">
        <v>278</v>
      </c>
      <c r="BJ1321" s="96">
        <v>12.31</v>
      </c>
    </row>
    <row r="1322" spans="54:62" ht="15">
      <c r="BB1322" s="187">
        <v>43964</v>
      </c>
      <c r="BC1322" s="180">
        <v>-0.14199999999999999</v>
      </c>
      <c r="BD1322" s="191">
        <v>43964</v>
      </c>
      <c r="BE1322" s="192" t="s">
        <v>91</v>
      </c>
      <c r="BH1322" s="94">
        <v>44013</v>
      </c>
      <c r="BI1322" s="95" t="s">
        <v>204</v>
      </c>
      <c r="BJ1322" s="96">
        <v>12.31</v>
      </c>
    </row>
    <row r="1323" spans="54:62" ht="15">
      <c r="BB1323" s="187">
        <v>43965</v>
      </c>
      <c r="BC1323" s="180">
        <v>-0.13700000000000001</v>
      </c>
      <c r="BD1323" s="191">
        <v>43965</v>
      </c>
      <c r="BE1323" s="192" t="s">
        <v>225</v>
      </c>
      <c r="BH1323" s="94">
        <v>44014</v>
      </c>
      <c r="BI1323" s="95" t="s">
        <v>280</v>
      </c>
      <c r="BJ1323" s="96">
        <v>12.3</v>
      </c>
    </row>
    <row r="1324" spans="54:62" ht="15">
      <c r="BB1324" s="187">
        <v>43966</v>
      </c>
      <c r="BC1324" s="180">
        <v>-0.13100000000000001</v>
      </c>
      <c r="BD1324" s="191">
        <v>43966</v>
      </c>
      <c r="BE1324" s="192" t="s">
        <v>267</v>
      </c>
      <c r="BH1324" s="94">
        <v>44015</v>
      </c>
      <c r="BI1324" s="95" t="s">
        <v>281</v>
      </c>
      <c r="BJ1324" s="96">
        <v>12.3</v>
      </c>
    </row>
    <row r="1325" spans="54:62" ht="15">
      <c r="BB1325" s="187">
        <v>43969</v>
      </c>
      <c r="BC1325" s="180">
        <v>-0.13700000000000001</v>
      </c>
      <c r="BD1325" s="191">
        <v>43969</v>
      </c>
      <c r="BE1325" s="192" t="s">
        <v>149</v>
      </c>
      <c r="BH1325" s="94">
        <v>44018</v>
      </c>
      <c r="BI1325" s="95" t="s">
        <v>282</v>
      </c>
      <c r="BJ1325" s="96">
        <v>12.29</v>
      </c>
    </row>
    <row r="1326" spans="54:62" ht="15">
      <c r="BB1326" s="187">
        <v>43970</v>
      </c>
      <c r="BC1326" s="180">
        <v>-0.13800000000000001</v>
      </c>
      <c r="BD1326" s="191">
        <v>43970</v>
      </c>
      <c r="BE1326" s="192" t="s">
        <v>268</v>
      </c>
      <c r="BH1326" s="94">
        <v>44019</v>
      </c>
      <c r="BI1326" s="95" t="s">
        <v>283</v>
      </c>
      <c r="BJ1326" s="96">
        <v>12.29</v>
      </c>
    </row>
    <row r="1327" spans="54:62" ht="15">
      <c r="BB1327" s="187">
        <v>43971</v>
      </c>
      <c r="BC1327" s="180">
        <v>-0.13900000000000001</v>
      </c>
      <c r="BD1327" s="191">
        <v>43971</v>
      </c>
      <c r="BE1327" s="192" t="s">
        <v>227</v>
      </c>
      <c r="BH1327" s="94">
        <v>44020</v>
      </c>
      <c r="BI1327" s="95" t="s">
        <v>284</v>
      </c>
      <c r="BJ1327" s="96">
        <v>12.32</v>
      </c>
    </row>
    <row r="1328" spans="54:62" ht="15">
      <c r="BB1328" s="187">
        <v>43972</v>
      </c>
      <c r="BC1328" s="180">
        <v>-0.14499999999999999</v>
      </c>
      <c r="BD1328" s="191"/>
      <c r="BE1328" s="193" t="str">
        <f>+BE1327</f>
        <v>−0,223</v>
      </c>
      <c r="BH1328" s="94">
        <v>44021</v>
      </c>
      <c r="BI1328" s="95" t="s">
        <v>249</v>
      </c>
      <c r="BJ1328" s="96">
        <v>12.4</v>
      </c>
    </row>
    <row r="1329" spans="54:62" ht="15">
      <c r="BB1329" s="187">
        <v>43973</v>
      </c>
      <c r="BC1329" s="180">
        <v>-0.154</v>
      </c>
      <c r="BD1329" s="191">
        <v>43973</v>
      </c>
      <c r="BE1329" s="192" t="s">
        <v>153</v>
      </c>
      <c r="BH1329" s="94">
        <v>44022</v>
      </c>
      <c r="BI1329" s="95" t="s">
        <v>285</v>
      </c>
      <c r="BJ1329" s="96">
        <v>12.39</v>
      </c>
    </row>
    <row r="1330" spans="54:62" ht="15">
      <c r="BB1330" s="187">
        <v>43976</v>
      </c>
      <c r="BC1330" s="180">
        <v>-0.14499999999999999</v>
      </c>
      <c r="BD1330" s="191">
        <v>43976</v>
      </c>
      <c r="BE1330" s="192" t="s">
        <v>154</v>
      </c>
      <c r="BH1330" s="94">
        <v>44025</v>
      </c>
      <c r="BI1330" s="95" t="s">
        <v>286</v>
      </c>
      <c r="BJ1330" s="96">
        <v>12.36</v>
      </c>
    </row>
    <row r="1331" spans="54:62" ht="15">
      <c r="BB1331" s="187">
        <v>43977</v>
      </c>
      <c r="BC1331" s="180">
        <v>-0.13300000000000001</v>
      </c>
      <c r="BD1331" s="191">
        <v>43977</v>
      </c>
      <c r="BE1331" s="192" t="s">
        <v>269</v>
      </c>
      <c r="BH1331" s="94">
        <v>44026</v>
      </c>
      <c r="BI1331" s="95" t="s">
        <v>159</v>
      </c>
      <c r="BJ1331" s="96">
        <v>12.36</v>
      </c>
    </row>
    <row r="1332" spans="54:62" ht="15">
      <c r="BB1332" s="187">
        <v>43978</v>
      </c>
      <c r="BC1332" s="180">
        <v>-0.14899999999999999</v>
      </c>
      <c r="BD1332" s="191">
        <v>43978</v>
      </c>
      <c r="BE1332" s="192" t="s">
        <v>205</v>
      </c>
      <c r="BH1332" s="94">
        <v>44027</v>
      </c>
      <c r="BI1332" s="95" t="s">
        <v>287</v>
      </c>
      <c r="BJ1332" s="96">
        <v>12.36</v>
      </c>
    </row>
    <row r="1333" spans="54:62" ht="15">
      <c r="BB1333" s="187">
        <v>43979</v>
      </c>
      <c r="BC1333" s="180">
        <v>-0.14199999999999999</v>
      </c>
      <c r="BD1333" s="191">
        <v>43979</v>
      </c>
      <c r="BE1333" s="192" t="s">
        <v>228</v>
      </c>
      <c r="BH1333" s="94">
        <v>44028</v>
      </c>
      <c r="BI1333" s="95" t="s">
        <v>288</v>
      </c>
      <c r="BJ1333" s="96">
        <v>12.35</v>
      </c>
    </row>
    <row r="1334" spans="54:62" ht="15">
      <c r="BB1334" s="187">
        <v>43980</v>
      </c>
      <c r="BC1334" s="180">
        <v>-0.158</v>
      </c>
      <c r="BD1334" s="191">
        <v>43980</v>
      </c>
      <c r="BE1334" s="192" t="s">
        <v>270</v>
      </c>
      <c r="BH1334" s="94">
        <v>44029</v>
      </c>
      <c r="BI1334" s="95" t="s">
        <v>289</v>
      </c>
      <c r="BJ1334" s="96">
        <v>12.35</v>
      </c>
    </row>
    <row r="1335" spans="54:62" ht="15">
      <c r="BB1335" s="187">
        <v>43983</v>
      </c>
      <c r="BC1335" s="180">
        <v>-0.16300000000000001</v>
      </c>
      <c r="BD1335" s="191"/>
      <c r="BE1335" s="193" t="str">
        <f>+BE1334</f>
        <v>−0,246</v>
      </c>
      <c r="BH1335" s="94">
        <v>44032</v>
      </c>
      <c r="BI1335" s="95" t="s">
        <v>198</v>
      </c>
      <c r="BJ1335" s="96">
        <v>12.34</v>
      </c>
    </row>
    <row r="1336" spans="54:62" ht="15">
      <c r="BB1336" s="187">
        <v>43984</v>
      </c>
      <c r="BC1336" s="180">
        <v>-0.182</v>
      </c>
      <c r="BD1336" s="191">
        <v>43984</v>
      </c>
      <c r="BE1336" s="192" t="s">
        <v>155</v>
      </c>
      <c r="BH1336" s="94">
        <v>44033</v>
      </c>
      <c r="BI1336" s="95" t="s">
        <v>290</v>
      </c>
      <c r="BJ1336" s="96">
        <v>12.33</v>
      </c>
    </row>
    <row r="1337" spans="54:62" ht="15">
      <c r="BB1337" s="187">
        <v>43985</v>
      </c>
      <c r="BC1337" s="180">
        <v>-0.17399999999999999</v>
      </c>
      <c r="BD1337" s="191">
        <v>43985</v>
      </c>
      <c r="BE1337" s="192" t="s">
        <v>205</v>
      </c>
      <c r="BH1337" s="94">
        <v>44034</v>
      </c>
      <c r="BI1337" s="95" t="s">
        <v>291</v>
      </c>
      <c r="BJ1337" s="96">
        <v>12.33</v>
      </c>
    </row>
    <row r="1338" spans="54:62" ht="15">
      <c r="BB1338" s="187">
        <v>43986</v>
      </c>
      <c r="BC1338" s="180">
        <v>-0.17899999999999999</v>
      </c>
      <c r="BD1338" s="191">
        <v>43986</v>
      </c>
      <c r="BE1338" s="192" t="s">
        <v>271</v>
      </c>
      <c r="BH1338" s="94">
        <v>44035</v>
      </c>
      <c r="BI1338" s="95" t="s">
        <v>247</v>
      </c>
      <c r="BJ1338" s="96">
        <v>12.33</v>
      </c>
    </row>
    <row r="1339" spans="54:62" ht="15">
      <c r="BB1339" s="187">
        <v>43987</v>
      </c>
      <c r="BC1339" s="180">
        <v>-0.19600000000000001</v>
      </c>
      <c r="BD1339" s="191">
        <v>43987</v>
      </c>
      <c r="BE1339" s="192" t="s">
        <v>272</v>
      </c>
      <c r="BH1339" s="94">
        <v>44036</v>
      </c>
      <c r="BI1339" s="95" t="s">
        <v>161</v>
      </c>
      <c r="BJ1339" s="96">
        <v>12.33</v>
      </c>
    </row>
    <row r="1340" spans="54:62" ht="15">
      <c r="BB1340" s="187">
        <v>43990</v>
      </c>
      <c r="BC1340" s="180">
        <v>-0.19500000000000001</v>
      </c>
      <c r="BD1340" s="191">
        <v>43990</v>
      </c>
      <c r="BE1340" s="192" t="s">
        <v>252</v>
      </c>
      <c r="BH1340" s="94">
        <v>44039</v>
      </c>
      <c r="BI1340" s="95" t="s">
        <v>292</v>
      </c>
      <c r="BJ1340" s="96">
        <v>12.31</v>
      </c>
    </row>
    <row r="1341" spans="54:62" ht="15">
      <c r="BB1341" s="187">
        <v>43991</v>
      </c>
      <c r="BC1341" s="180">
        <v>-0.19400000000000001</v>
      </c>
      <c r="BD1341" s="191">
        <v>43991</v>
      </c>
      <c r="BE1341" s="192" t="s">
        <v>273</v>
      </c>
      <c r="BH1341" s="94">
        <v>44040</v>
      </c>
      <c r="BI1341" s="95" t="s">
        <v>293</v>
      </c>
      <c r="BJ1341" s="96">
        <v>12.3</v>
      </c>
    </row>
    <row r="1342" spans="54:62" ht="15">
      <c r="BB1342" s="187">
        <v>43992</v>
      </c>
      <c r="BC1342" s="180">
        <v>-0.193</v>
      </c>
      <c r="BD1342" s="191">
        <v>43992</v>
      </c>
      <c r="BE1342" s="192" t="s">
        <v>274</v>
      </c>
      <c r="BH1342" s="94">
        <v>44041</v>
      </c>
      <c r="BI1342" s="95" t="s">
        <v>294</v>
      </c>
      <c r="BJ1342" s="96">
        <v>12.34</v>
      </c>
    </row>
    <row r="1343" spans="54:62" ht="15">
      <c r="BB1343" s="187">
        <v>43993</v>
      </c>
      <c r="BC1343" s="180">
        <v>-0.183</v>
      </c>
      <c r="BD1343" s="191"/>
      <c r="BE1343" s="193" t="str">
        <f>+BE1342</f>
        <v>−0,225</v>
      </c>
      <c r="BH1343" s="94">
        <v>44042</v>
      </c>
      <c r="BI1343" s="95" t="s">
        <v>295</v>
      </c>
      <c r="BJ1343" s="96">
        <v>12.34</v>
      </c>
    </row>
    <row r="1344" spans="54:62" ht="15">
      <c r="BB1344" s="187">
        <v>43994</v>
      </c>
      <c r="BC1344" s="180">
        <v>-0.19900000000000001</v>
      </c>
      <c r="BD1344" s="191">
        <v>43994</v>
      </c>
      <c r="BE1344" s="192" t="s">
        <v>275</v>
      </c>
      <c r="BH1344" s="94">
        <v>44043</v>
      </c>
      <c r="BI1344" s="95" t="s">
        <v>296</v>
      </c>
      <c r="BJ1344" s="96">
        <v>12.33</v>
      </c>
    </row>
    <row r="1345" spans="54:62" ht="15">
      <c r="BB1345" s="187">
        <v>43997</v>
      </c>
      <c r="BC1345" s="180">
        <v>-0.20599999999999999</v>
      </c>
      <c r="BD1345" s="191">
        <v>43997</v>
      </c>
      <c r="BE1345" s="192" t="s">
        <v>275</v>
      </c>
      <c r="BH1345" s="94">
        <v>44046</v>
      </c>
      <c r="BI1345" s="95" t="s">
        <v>245</v>
      </c>
      <c r="BJ1345" s="96">
        <v>12.32</v>
      </c>
    </row>
    <row r="1346" spans="54:62" ht="15">
      <c r="BB1346" s="187">
        <v>43998</v>
      </c>
      <c r="BC1346" s="180">
        <v>-0.20599999999999999</v>
      </c>
      <c r="BD1346" s="191">
        <v>43998</v>
      </c>
      <c r="BE1346" s="192" t="s">
        <v>276</v>
      </c>
      <c r="BH1346" s="94">
        <v>44047</v>
      </c>
      <c r="BI1346" s="95" t="s">
        <v>297</v>
      </c>
      <c r="BJ1346" s="96">
        <v>12.32</v>
      </c>
    </row>
    <row r="1347" spans="54:62" ht="15">
      <c r="BB1347" s="187">
        <v>43999</v>
      </c>
      <c r="BC1347" s="180">
        <v>-0.215</v>
      </c>
      <c r="BD1347" s="191">
        <v>43999</v>
      </c>
      <c r="BE1347" s="192" t="s">
        <v>276</v>
      </c>
      <c r="BH1347" s="94">
        <v>44048</v>
      </c>
      <c r="BI1347" s="95" t="s">
        <v>189</v>
      </c>
      <c r="BJ1347" s="96">
        <v>12.35</v>
      </c>
    </row>
    <row r="1348" spans="54:62" ht="15">
      <c r="BB1348" s="187">
        <v>44000</v>
      </c>
      <c r="BC1348" s="180">
        <v>-0.22800000000000001</v>
      </c>
      <c r="BD1348" s="191">
        <v>44000</v>
      </c>
      <c r="BE1348" s="192" t="s">
        <v>275</v>
      </c>
      <c r="BH1348" s="94">
        <v>44049</v>
      </c>
      <c r="BI1348" s="95" t="s">
        <v>244</v>
      </c>
      <c r="BJ1348" s="96">
        <v>12.31</v>
      </c>
    </row>
    <row r="1349" spans="54:62" ht="15">
      <c r="BB1349" s="187">
        <v>44001</v>
      </c>
      <c r="BC1349" s="180">
        <v>-0.23400000000000001</v>
      </c>
      <c r="BD1349" s="191">
        <v>44001</v>
      </c>
      <c r="BE1349" s="192" t="s">
        <v>153</v>
      </c>
      <c r="BH1349" s="94">
        <v>44050</v>
      </c>
      <c r="BI1349" s="95" t="s">
        <v>239</v>
      </c>
      <c r="BJ1349" s="96">
        <v>12.31</v>
      </c>
    </row>
    <row r="1350" spans="54:62" ht="15">
      <c r="BB1350" s="187">
        <v>44004</v>
      </c>
      <c r="BC1350" s="180">
        <v>-0.25900000000000001</v>
      </c>
      <c r="BD1350" s="191">
        <v>44004</v>
      </c>
      <c r="BE1350" s="192" t="s">
        <v>272</v>
      </c>
      <c r="BH1350" s="94">
        <v>44053</v>
      </c>
      <c r="BI1350" s="95" t="s">
        <v>298</v>
      </c>
      <c r="BJ1350" s="96">
        <v>12.29</v>
      </c>
    </row>
    <row r="1351" spans="54:62" ht="15">
      <c r="BB1351" s="187">
        <v>44005</v>
      </c>
      <c r="BC1351" s="180">
        <v>-0.26900000000000002</v>
      </c>
      <c r="BD1351" s="191">
        <v>44005</v>
      </c>
      <c r="BE1351" s="192" t="s">
        <v>277</v>
      </c>
      <c r="BH1351" s="94">
        <v>44054</v>
      </c>
      <c r="BI1351" s="95" t="s">
        <v>165</v>
      </c>
      <c r="BJ1351" s="96">
        <v>12.29</v>
      </c>
    </row>
    <row r="1352" spans="54:62" ht="15">
      <c r="BB1352" s="187">
        <v>44006</v>
      </c>
      <c r="BC1352" s="180">
        <v>-0.27800000000000002</v>
      </c>
      <c r="BD1352" s="191">
        <v>44006</v>
      </c>
      <c r="BE1352" s="192" t="s">
        <v>271</v>
      </c>
      <c r="BH1352" s="94">
        <v>44055</v>
      </c>
      <c r="BI1352" s="95" t="s">
        <v>299</v>
      </c>
      <c r="BJ1352" s="96">
        <v>12.28</v>
      </c>
    </row>
    <row r="1353" spans="54:62" ht="15">
      <c r="BB1353" s="187">
        <v>44007</v>
      </c>
      <c r="BC1353" s="180">
        <v>-0.26800000000000002</v>
      </c>
      <c r="BD1353" s="191">
        <v>44007</v>
      </c>
      <c r="BE1353" s="192" t="s">
        <v>228</v>
      </c>
      <c r="BH1353" s="94">
        <v>44056</v>
      </c>
      <c r="BI1353" s="95" t="s">
        <v>243</v>
      </c>
      <c r="BJ1353" s="96">
        <v>12.28</v>
      </c>
    </row>
    <row r="1354" spans="54:62" ht="15">
      <c r="BB1354" s="187">
        <v>44008</v>
      </c>
      <c r="BC1354" s="180">
        <v>-0.28299999999999997</v>
      </c>
      <c r="BD1354" s="191">
        <v>44008</v>
      </c>
      <c r="BE1354" s="192" t="s">
        <v>278</v>
      </c>
      <c r="BH1354" s="94">
        <v>44057</v>
      </c>
      <c r="BI1354" s="95" t="s">
        <v>299</v>
      </c>
      <c r="BJ1354" s="96">
        <v>12.28</v>
      </c>
    </row>
    <row r="1355" spans="54:62" ht="15">
      <c r="BB1355" s="187">
        <v>44011</v>
      </c>
      <c r="BC1355" s="180">
        <v>-0.28699999999999998</v>
      </c>
      <c r="BD1355" s="191">
        <v>44011</v>
      </c>
      <c r="BE1355" s="192" t="s">
        <v>279</v>
      </c>
      <c r="BH1355" s="94">
        <v>44060</v>
      </c>
      <c r="BI1355" s="95" t="s">
        <v>299</v>
      </c>
      <c r="BJ1355" s="96">
        <v>12.27</v>
      </c>
    </row>
    <row r="1356" spans="54:62" ht="15">
      <c r="BB1356" s="187">
        <v>44012</v>
      </c>
      <c r="BC1356" s="180">
        <v>-0.308</v>
      </c>
      <c r="BD1356" s="191">
        <v>44012</v>
      </c>
      <c r="BE1356" s="192" t="s">
        <v>278</v>
      </c>
      <c r="BH1356" s="94">
        <v>44061</v>
      </c>
      <c r="BI1356" s="95" t="s">
        <v>300</v>
      </c>
      <c r="BJ1356" s="96">
        <v>12.27</v>
      </c>
    </row>
    <row r="1357" spans="54:62" ht="15">
      <c r="BB1357" s="187">
        <v>44013</v>
      </c>
      <c r="BC1357" s="180">
        <v>-0.29499999999999998</v>
      </c>
      <c r="BD1357" s="191">
        <v>44013</v>
      </c>
      <c r="BE1357" s="192" t="s">
        <v>204</v>
      </c>
      <c r="BH1357" s="94">
        <v>44062</v>
      </c>
      <c r="BI1357" s="95" t="s">
        <v>299</v>
      </c>
      <c r="BJ1357" s="96">
        <v>12.27</v>
      </c>
    </row>
    <row r="1358" spans="54:62" ht="15">
      <c r="BB1358" s="187">
        <v>44014</v>
      </c>
      <c r="BC1358" s="180">
        <v>-0.30199999999999999</v>
      </c>
      <c r="BD1358" s="191">
        <v>44014</v>
      </c>
      <c r="BE1358" s="192" t="s">
        <v>280</v>
      </c>
      <c r="BH1358" s="94">
        <v>44063</v>
      </c>
      <c r="BI1358" s="95" t="s">
        <v>299</v>
      </c>
      <c r="BJ1358" s="96">
        <v>12.26</v>
      </c>
    </row>
    <row r="1359" spans="54:62" ht="15">
      <c r="BB1359" s="187">
        <v>44015</v>
      </c>
      <c r="BC1359" s="180">
        <v>-0.314</v>
      </c>
      <c r="BD1359" s="191">
        <v>44015</v>
      </c>
      <c r="BE1359" s="192" t="s">
        <v>281</v>
      </c>
      <c r="BH1359" s="94">
        <v>44064</v>
      </c>
      <c r="BI1359" s="95" t="s">
        <v>301</v>
      </c>
      <c r="BJ1359" s="96">
        <v>12.26</v>
      </c>
    </row>
    <row r="1360" spans="54:62" ht="15">
      <c r="BB1360" s="187">
        <v>44018</v>
      </c>
      <c r="BC1360" s="180">
        <v>-0.308</v>
      </c>
      <c r="BD1360" s="191">
        <v>44018</v>
      </c>
      <c r="BE1360" s="192" t="s">
        <v>282</v>
      </c>
      <c r="BH1360" s="94">
        <v>44067</v>
      </c>
      <c r="BI1360" s="95" t="s">
        <v>302</v>
      </c>
      <c r="BJ1360" s="96">
        <v>12.25</v>
      </c>
    </row>
    <row r="1361" spans="54:62" ht="15">
      <c r="BB1361" s="187">
        <v>44019</v>
      </c>
      <c r="BC1361" s="180">
        <v>-0.313</v>
      </c>
      <c r="BD1361" s="191">
        <v>44019</v>
      </c>
      <c r="BE1361" s="192" t="s">
        <v>283</v>
      </c>
      <c r="BH1361" s="94">
        <v>44068</v>
      </c>
      <c r="BI1361" s="95" t="s">
        <v>301</v>
      </c>
      <c r="BJ1361" s="96">
        <v>12.25</v>
      </c>
    </row>
    <row r="1362" spans="54:62" ht="15">
      <c r="BB1362" s="187">
        <v>44020</v>
      </c>
      <c r="BC1362" s="180">
        <v>-0.32200000000000001</v>
      </c>
      <c r="BD1362" s="191">
        <v>44020</v>
      </c>
      <c r="BE1362" s="192" t="s">
        <v>284</v>
      </c>
      <c r="BH1362" s="94">
        <v>44069</v>
      </c>
      <c r="BI1362" s="95" t="s">
        <v>299</v>
      </c>
      <c r="BJ1362" s="96">
        <v>12.25</v>
      </c>
    </row>
    <row r="1363" spans="54:62" ht="15">
      <c r="BB1363" s="187">
        <v>44021</v>
      </c>
      <c r="BC1363" s="180">
        <v>-0.32800000000000001</v>
      </c>
      <c r="BD1363" s="191">
        <v>44021</v>
      </c>
      <c r="BE1363" s="192" t="s">
        <v>249</v>
      </c>
      <c r="BH1363" s="94">
        <v>44070</v>
      </c>
      <c r="BI1363" s="95" t="s">
        <v>165</v>
      </c>
      <c r="BJ1363" s="96">
        <v>12.24</v>
      </c>
    </row>
    <row r="1364" spans="54:62" ht="15">
      <c r="BB1364" s="187">
        <v>44022</v>
      </c>
      <c r="BC1364" s="180">
        <v>-0.33</v>
      </c>
      <c r="BD1364" s="191">
        <v>44022</v>
      </c>
      <c r="BE1364" s="192" t="s">
        <v>285</v>
      </c>
      <c r="BH1364" s="94">
        <v>44071</v>
      </c>
      <c r="BI1364" s="95" t="s">
        <v>298</v>
      </c>
      <c r="BJ1364" s="96">
        <v>12.24</v>
      </c>
    </row>
    <row r="1365" spans="54:62" ht="15">
      <c r="BB1365" s="187">
        <v>44025</v>
      </c>
      <c r="BC1365" s="180">
        <v>-0.33200000000000002</v>
      </c>
      <c r="BD1365" s="191">
        <v>44025</v>
      </c>
      <c r="BE1365" s="192" t="s">
        <v>286</v>
      </c>
      <c r="BH1365" s="94">
        <v>44074</v>
      </c>
      <c r="BI1365" s="95" t="s">
        <v>303</v>
      </c>
      <c r="BJ1365" s="96">
        <v>12.23</v>
      </c>
    </row>
    <row r="1366" spans="54:62" ht="15">
      <c r="BB1366" s="187">
        <v>44026</v>
      </c>
      <c r="BC1366" s="180">
        <v>-0.33</v>
      </c>
      <c r="BD1366" s="191">
        <v>44026</v>
      </c>
      <c r="BE1366" s="192" t="s">
        <v>159</v>
      </c>
      <c r="BH1366" s="94">
        <v>44075</v>
      </c>
      <c r="BI1366" s="95" t="s">
        <v>164</v>
      </c>
      <c r="BJ1366" s="96">
        <v>12.23</v>
      </c>
    </row>
    <row r="1367" spans="54:62" ht="15">
      <c r="BB1367" s="187">
        <v>44027</v>
      </c>
      <c r="BC1367" s="180">
        <v>-0.33300000000000002</v>
      </c>
      <c r="BD1367" s="191">
        <v>44027</v>
      </c>
      <c r="BE1367" s="192" t="s">
        <v>287</v>
      </c>
      <c r="BH1367" s="94">
        <v>44076</v>
      </c>
      <c r="BI1367" s="95" t="s">
        <v>188</v>
      </c>
      <c r="BJ1367" s="96">
        <v>12.23</v>
      </c>
    </row>
    <row r="1368" spans="54:62" ht="15">
      <c r="BB1368" s="187">
        <v>44028</v>
      </c>
      <c r="BC1368" s="180">
        <v>-0.35199999999999998</v>
      </c>
      <c r="BD1368" s="191">
        <v>44028</v>
      </c>
      <c r="BE1368" s="192" t="s">
        <v>288</v>
      </c>
      <c r="BH1368" s="94">
        <v>44077</v>
      </c>
      <c r="BI1368" s="95" t="s">
        <v>304</v>
      </c>
      <c r="BJ1368" s="96">
        <v>12.22</v>
      </c>
    </row>
    <row r="1369" spans="54:62" ht="15">
      <c r="BB1369" s="187">
        <v>44029</v>
      </c>
      <c r="BC1369" s="180">
        <v>-0.35099999999999998</v>
      </c>
      <c r="BD1369" s="191">
        <v>44029</v>
      </c>
      <c r="BE1369" s="192" t="s">
        <v>289</v>
      </c>
      <c r="BH1369" s="94">
        <v>44078</v>
      </c>
      <c r="BI1369" s="95" t="s">
        <v>305</v>
      </c>
      <c r="BJ1369" s="96">
        <v>12.22</v>
      </c>
    </row>
    <row r="1370" spans="54:62" ht="15">
      <c r="BB1370" s="187">
        <v>44032</v>
      </c>
      <c r="BC1370" s="180">
        <v>-0.34799999999999998</v>
      </c>
      <c r="BD1370" s="191">
        <v>44032</v>
      </c>
      <c r="BE1370" s="192" t="s">
        <v>198</v>
      </c>
      <c r="BH1370" s="94">
        <v>44081</v>
      </c>
      <c r="BI1370" s="95" t="s">
        <v>306</v>
      </c>
      <c r="BJ1370" s="96">
        <v>12.21</v>
      </c>
    </row>
    <row r="1371" spans="54:62" ht="15">
      <c r="BB1371" s="187">
        <v>44033</v>
      </c>
      <c r="BC1371" s="180">
        <v>-0.35299999999999998</v>
      </c>
      <c r="BD1371" s="191">
        <v>44033</v>
      </c>
      <c r="BE1371" s="192" t="s">
        <v>290</v>
      </c>
      <c r="BH1371" s="94">
        <v>44082</v>
      </c>
      <c r="BI1371" s="95" t="s">
        <v>189</v>
      </c>
      <c r="BJ1371" s="96">
        <v>12.21</v>
      </c>
    </row>
    <row r="1372" spans="54:62" ht="15">
      <c r="BB1372" s="187">
        <v>44034</v>
      </c>
      <c r="BC1372" s="180">
        <v>-0.35499999999999998</v>
      </c>
      <c r="BD1372" s="191">
        <v>44034</v>
      </c>
      <c r="BE1372" s="192" t="s">
        <v>291</v>
      </c>
      <c r="BH1372" s="94">
        <v>44083</v>
      </c>
      <c r="BI1372" s="95" t="s">
        <v>306</v>
      </c>
      <c r="BJ1372" s="96">
        <v>12.21</v>
      </c>
    </row>
    <row r="1373" spans="54:62" ht="15">
      <c r="BB1373" s="187">
        <v>44035</v>
      </c>
      <c r="BC1373" s="180">
        <v>-0.373</v>
      </c>
      <c r="BD1373" s="191">
        <v>44035</v>
      </c>
      <c r="BE1373" s="192" t="s">
        <v>247</v>
      </c>
      <c r="BH1373" s="94">
        <v>44084</v>
      </c>
      <c r="BI1373" s="95" t="s">
        <v>189</v>
      </c>
      <c r="BJ1373" s="96">
        <v>12.2</v>
      </c>
    </row>
    <row r="1374" spans="54:62" ht="15">
      <c r="BB1374" s="187">
        <v>44036</v>
      </c>
      <c r="BC1374" s="180">
        <v>-0.373</v>
      </c>
      <c r="BD1374" s="191">
        <v>44036</v>
      </c>
      <c r="BE1374" s="192" t="s">
        <v>161</v>
      </c>
      <c r="BH1374" s="94">
        <v>44085</v>
      </c>
      <c r="BI1374" s="95" t="s">
        <v>304</v>
      </c>
      <c r="BJ1374" s="96">
        <v>12.2</v>
      </c>
    </row>
    <row r="1375" spans="54:62" ht="15">
      <c r="BB1375" s="187">
        <v>44039</v>
      </c>
      <c r="BC1375" s="180">
        <v>-0.375</v>
      </c>
      <c r="BD1375" s="191">
        <v>44039</v>
      </c>
      <c r="BE1375" s="192" t="s">
        <v>292</v>
      </c>
      <c r="BH1375" s="94">
        <v>44088</v>
      </c>
      <c r="BI1375" s="95" t="s">
        <v>244</v>
      </c>
      <c r="BJ1375" s="96">
        <v>12.19</v>
      </c>
    </row>
    <row r="1376" spans="54:62" ht="15">
      <c r="BB1376" s="187">
        <v>44040</v>
      </c>
      <c r="BC1376" s="180">
        <v>-0.379</v>
      </c>
      <c r="BD1376" s="191">
        <v>44040</v>
      </c>
      <c r="BE1376" s="192" t="s">
        <v>293</v>
      </c>
      <c r="BH1376" s="94">
        <v>44089</v>
      </c>
      <c r="BI1376" s="95" t="s">
        <v>163</v>
      </c>
      <c r="BJ1376" s="96">
        <v>13.03</v>
      </c>
    </row>
    <row r="1377" spans="54:62" ht="15">
      <c r="BB1377" s="187">
        <v>44041</v>
      </c>
      <c r="BC1377" s="180">
        <v>-0.38900000000000001</v>
      </c>
      <c r="BD1377" s="191">
        <v>44041</v>
      </c>
      <c r="BE1377" s="192" t="s">
        <v>294</v>
      </c>
      <c r="BH1377" s="94">
        <v>44090</v>
      </c>
      <c r="BI1377" s="95" t="s">
        <v>307</v>
      </c>
      <c r="BJ1377" s="96">
        <v>13.03</v>
      </c>
    </row>
    <row r="1378" spans="54:62" ht="15">
      <c r="BB1378" s="187">
        <v>44042</v>
      </c>
      <c r="BC1378" s="180">
        <v>-0.39900000000000002</v>
      </c>
      <c r="BD1378" s="191">
        <v>44042</v>
      </c>
      <c r="BE1378" s="192" t="s">
        <v>295</v>
      </c>
      <c r="BH1378" s="94">
        <v>44091</v>
      </c>
      <c r="BI1378" s="95" t="s">
        <v>238</v>
      </c>
      <c r="BJ1378" s="96">
        <v>13.03</v>
      </c>
    </row>
    <row r="1379" spans="54:62" ht="15">
      <c r="BB1379" s="187">
        <v>44043</v>
      </c>
      <c r="BC1379" s="180">
        <v>-0.40699999999999997</v>
      </c>
      <c r="BD1379" s="191">
        <v>44043</v>
      </c>
      <c r="BE1379" s="192" t="s">
        <v>296</v>
      </c>
      <c r="BH1379" s="94">
        <v>44092</v>
      </c>
      <c r="BI1379" s="95" t="s">
        <v>238</v>
      </c>
      <c r="BJ1379" s="96">
        <v>13.02</v>
      </c>
    </row>
    <row r="1380" spans="54:62" ht="15">
      <c r="BB1380" s="187">
        <v>44046</v>
      </c>
      <c r="BC1380" s="180">
        <v>-0.41699999999999998</v>
      </c>
      <c r="BD1380" s="191">
        <v>44046</v>
      </c>
      <c r="BE1380" s="192" t="s">
        <v>245</v>
      </c>
      <c r="BH1380" s="94">
        <v>44095</v>
      </c>
      <c r="BI1380" s="95" t="s">
        <v>191</v>
      </c>
      <c r="BJ1380" s="96">
        <v>13.02</v>
      </c>
    </row>
    <row r="1381" spans="54:62" ht="15">
      <c r="BB1381" s="187">
        <v>44047</v>
      </c>
      <c r="BC1381" s="180">
        <v>-0.42099999999999999</v>
      </c>
      <c r="BD1381" s="191">
        <v>44047</v>
      </c>
      <c r="BE1381" s="192" t="s">
        <v>297</v>
      </c>
      <c r="BH1381" s="94">
        <v>44096</v>
      </c>
      <c r="BI1381" s="95" t="s">
        <v>306</v>
      </c>
      <c r="BJ1381" s="96">
        <v>13.01</v>
      </c>
    </row>
    <row r="1382" spans="54:62" ht="15">
      <c r="BB1382" s="187">
        <v>44048</v>
      </c>
      <c r="BC1382" s="180">
        <v>-0.41799999999999998</v>
      </c>
      <c r="BD1382" s="191">
        <v>44048</v>
      </c>
      <c r="BE1382" s="192" t="s">
        <v>189</v>
      </c>
      <c r="BH1382" s="94">
        <v>44097</v>
      </c>
      <c r="BI1382" s="95" t="s">
        <v>244</v>
      </c>
      <c r="BJ1382" s="96">
        <v>13.01</v>
      </c>
    </row>
    <row r="1383" spans="54:62" ht="15">
      <c r="BB1383" s="187">
        <v>44049</v>
      </c>
      <c r="BC1383" s="180">
        <v>-0.41699999999999998</v>
      </c>
      <c r="BD1383" s="191">
        <v>44049</v>
      </c>
      <c r="BE1383" s="192" t="s">
        <v>244</v>
      </c>
      <c r="BH1383" s="94">
        <v>44098</v>
      </c>
      <c r="BI1383" s="95" t="s">
        <v>303</v>
      </c>
      <c r="BJ1383" s="96">
        <v>13.01</v>
      </c>
    </row>
    <row r="1384" spans="54:62" ht="15">
      <c r="BB1384" s="187">
        <v>44050</v>
      </c>
      <c r="BC1384" s="180">
        <v>-0.41799999999999998</v>
      </c>
      <c r="BD1384" s="191">
        <v>44050</v>
      </c>
      <c r="BE1384" s="192" t="s">
        <v>239</v>
      </c>
      <c r="BH1384" s="94">
        <v>44099</v>
      </c>
      <c r="BI1384" s="95" t="s">
        <v>308</v>
      </c>
      <c r="BJ1384" s="96">
        <v>13</v>
      </c>
    </row>
    <row r="1385" spans="54:62" ht="15">
      <c r="BB1385" s="187">
        <v>44053</v>
      </c>
      <c r="BC1385" s="180">
        <v>-0.42199999999999999</v>
      </c>
      <c r="BD1385" s="191">
        <v>44053</v>
      </c>
      <c r="BE1385" s="192" t="s">
        <v>298</v>
      </c>
      <c r="BH1385" s="94">
        <v>44102</v>
      </c>
      <c r="BI1385" s="95" t="s">
        <v>299</v>
      </c>
      <c r="BJ1385" s="96">
        <v>13</v>
      </c>
    </row>
    <row r="1386" spans="54:62" ht="15">
      <c r="BB1386" s="187">
        <v>44054</v>
      </c>
      <c r="BC1386" s="180">
        <v>-0.42599999999999999</v>
      </c>
      <c r="BD1386" s="191">
        <v>44054</v>
      </c>
      <c r="BE1386" s="192" t="s">
        <v>165</v>
      </c>
      <c r="BH1386" s="94">
        <v>44103</v>
      </c>
      <c r="BI1386" s="95" t="s">
        <v>309</v>
      </c>
      <c r="BJ1386" s="96">
        <v>12.99</v>
      </c>
    </row>
    <row r="1387" spans="54:62" ht="15">
      <c r="BB1387" s="187">
        <v>44055</v>
      </c>
      <c r="BC1387" s="180">
        <v>-0.42799999999999999</v>
      </c>
      <c r="BD1387" s="191">
        <v>44055</v>
      </c>
      <c r="BE1387" s="192" t="s">
        <v>299</v>
      </c>
      <c r="BH1387" s="94">
        <v>44104</v>
      </c>
      <c r="BI1387" s="95" t="s">
        <v>240</v>
      </c>
      <c r="BJ1387" s="96">
        <v>12.99</v>
      </c>
    </row>
    <row r="1388" spans="54:62" ht="15">
      <c r="BB1388" s="187">
        <v>44056</v>
      </c>
      <c r="BC1388" s="180">
        <v>-0.433</v>
      </c>
      <c r="BD1388" s="191">
        <v>44056</v>
      </c>
      <c r="BE1388" s="192" t="s">
        <v>243</v>
      </c>
      <c r="BH1388" s="94">
        <v>44105</v>
      </c>
      <c r="BI1388" s="95" t="s">
        <v>184</v>
      </c>
      <c r="BJ1388" s="96">
        <v>12.99</v>
      </c>
    </row>
    <row r="1389" spans="54:62" ht="15">
      <c r="BB1389" s="187">
        <v>44057</v>
      </c>
      <c r="BC1389" s="180">
        <v>-0.432</v>
      </c>
      <c r="BD1389" s="191">
        <v>44057</v>
      </c>
      <c r="BE1389" s="192" t="s">
        <v>299</v>
      </c>
      <c r="BH1389" s="94">
        <v>44106</v>
      </c>
      <c r="BI1389" s="95" t="s">
        <v>242</v>
      </c>
      <c r="BJ1389" s="96">
        <v>12.99</v>
      </c>
    </row>
    <row r="1390" spans="54:62" ht="15">
      <c r="BB1390" s="187">
        <v>44060</v>
      </c>
      <c r="BC1390" s="180">
        <v>-0.433</v>
      </c>
      <c r="BD1390" s="191">
        <v>44060</v>
      </c>
      <c r="BE1390" s="192" t="s">
        <v>299</v>
      </c>
      <c r="BH1390" s="94">
        <v>44109</v>
      </c>
      <c r="BI1390" s="95" t="s">
        <v>310</v>
      </c>
      <c r="BJ1390" s="96">
        <v>12.98</v>
      </c>
    </row>
    <row r="1391" spans="54:62" ht="15">
      <c r="BB1391" s="187">
        <v>44061</v>
      </c>
      <c r="BC1391" s="180">
        <v>-0.44</v>
      </c>
      <c r="BD1391" s="191">
        <v>44061</v>
      </c>
      <c r="BE1391" s="192" t="s">
        <v>300</v>
      </c>
      <c r="BH1391" s="94">
        <v>44110</v>
      </c>
      <c r="BI1391" s="95" t="s">
        <v>167</v>
      </c>
      <c r="BJ1391" s="96">
        <v>12.97</v>
      </c>
    </row>
    <row r="1392" spans="54:62" ht="15">
      <c r="BB1392" s="187">
        <v>44062</v>
      </c>
      <c r="BC1392" s="180">
        <v>-0.442</v>
      </c>
      <c r="BD1392" s="191">
        <v>44062</v>
      </c>
      <c r="BE1392" s="192" t="s">
        <v>299</v>
      </c>
      <c r="BH1392" s="94">
        <v>44111</v>
      </c>
      <c r="BI1392" s="95" t="s">
        <v>241</v>
      </c>
      <c r="BJ1392" s="96">
        <v>12.97</v>
      </c>
    </row>
    <row r="1393" spans="54:62" ht="15">
      <c r="BB1393" s="187">
        <v>44063</v>
      </c>
      <c r="BC1393" s="180">
        <v>-0.44400000000000001</v>
      </c>
      <c r="BD1393" s="191">
        <v>44063</v>
      </c>
      <c r="BE1393" s="192" t="s">
        <v>299</v>
      </c>
      <c r="BH1393" s="94">
        <v>44112</v>
      </c>
      <c r="BI1393" s="95" t="s">
        <v>311</v>
      </c>
      <c r="BJ1393" s="96">
        <v>12.93</v>
      </c>
    </row>
    <row r="1394" spans="54:62" ht="15">
      <c r="BB1394" s="187">
        <v>44064</v>
      </c>
      <c r="BC1394" s="180">
        <v>-0.441</v>
      </c>
      <c r="BD1394" s="191">
        <v>44064</v>
      </c>
      <c r="BE1394" s="192" t="s">
        <v>301</v>
      </c>
      <c r="BH1394" s="94">
        <v>44113</v>
      </c>
      <c r="BI1394" s="95" t="s">
        <v>312</v>
      </c>
      <c r="BJ1394" s="96">
        <v>12.93</v>
      </c>
    </row>
    <row r="1395" spans="54:62" ht="15">
      <c r="BB1395" s="187">
        <v>44067</v>
      </c>
      <c r="BC1395" s="180">
        <v>-0.442</v>
      </c>
      <c r="BD1395" s="191">
        <v>44067</v>
      </c>
      <c r="BE1395" s="192" t="s">
        <v>302</v>
      </c>
      <c r="BH1395" s="94">
        <v>44116</v>
      </c>
      <c r="BI1395" s="95" t="s">
        <v>168</v>
      </c>
      <c r="BJ1395" s="96">
        <v>12.92</v>
      </c>
    </row>
    <row r="1396" spans="54:62" ht="15">
      <c r="BB1396" s="187">
        <v>44068</v>
      </c>
      <c r="BC1396" s="180">
        <v>-0.443</v>
      </c>
      <c r="BD1396" s="191">
        <v>44068</v>
      </c>
      <c r="BE1396" s="192" t="s">
        <v>301</v>
      </c>
      <c r="BH1396" s="94">
        <v>44117</v>
      </c>
      <c r="BI1396" s="95" t="s">
        <v>313</v>
      </c>
      <c r="BJ1396" s="96">
        <v>12.92</v>
      </c>
    </row>
    <row r="1397" spans="54:62" ht="15">
      <c r="BB1397" s="187">
        <v>44069</v>
      </c>
      <c r="BC1397" s="180">
        <v>-0.443</v>
      </c>
      <c r="BD1397" s="191">
        <v>44069</v>
      </c>
      <c r="BE1397" s="192" t="s">
        <v>299</v>
      </c>
      <c r="BH1397" s="94">
        <v>44118</v>
      </c>
      <c r="BI1397" s="95" t="s">
        <v>314</v>
      </c>
      <c r="BJ1397" s="96">
        <v>12.92</v>
      </c>
    </row>
    <row r="1398" spans="54:62" ht="15">
      <c r="BB1398" s="187">
        <v>44070</v>
      </c>
      <c r="BC1398" s="180">
        <v>-0.439</v>
      </c>
      <c r="BD1398" s="191">
        <v>44070</v>
      </c>
      <c r="BE1398" s="192" t="s">
        <v>165</v>
      </c>
      <c r="BH1398" s="94">
        <v>44119</v>
      </c>
      <c r="BI1398" s="95" t="s">
        <v>181</v>
      </c>
      <c r="BJ1398" s="96">
        <v>12.91</v>
      </c>
    </row>
    <row r="1399" spans="54:62" ht="15">
      <c r="BB1399" s="187">
        <v>44071</v>
      </c>
      <c r="BC1399" s="180">
        <v>-0.44400000000000001</v>
      </c>
      <c r="BD1399" s="191">
        <v>44071</v>
      </c>
      <c r="BE1399" s="192" t="s">
        <v>298</v>
      </c>
      <c r="BH1399" s="94">
        <v>44120</v>
      </c>
      <c r="BI1399" s="95" t="s">
        <v>315</v>
      </c>
      <c r="BJ1399" s="96">
        <v>12.91</v>
      </c>
    </row>
    <row r="1400" spans="54:62" ht="15">
      <c r="BB1400" s="187">
        <v>44074</v>
      </c>
      <c r="BC1400" s="180">
        <v>-0.44800000000000001</v>
      </c>
      <c r="BD1400" s="191">
        <v>44074</v>
      </c>
      <c r="BE1400" s="192" t="s">
        <v>303</v>
      </c>
      <c r="BH1400" s="94">
        <v>44123</v>
      </c>
      <c r="BI1400" s="95" t="s">
        <v>316</v>
      </c>
      <c r="BJ1400" s="96">
        <v>12.9</v>
      </c>
    </row>
    <row r="1401" spans="54:62" ht="15">
      <c r="BB1401" s="187">
        <v>44075</v>
      </c>
      <c r="BC1401" s="180">
        <v>-0.441</v>
      </c>
      <c r="BD1401" s="191">
        <v>44075</v>
      </c>
      <c r="BE1401" s="192" t="s">
        <v>164</v>
      </c>
      <c r="BH1401" s="94">
        <v>44124</v>
      </c>
      <c r="BI1401" s="95" t="s">
        <v>317</v>
      </c>
      <c r="BJ1401" s="96">
        <v>12.9</v>
      </c>
    </row>
    <row r="1402" spans="54:62" ht="15">
      <c r="BB1402" s="187">
        <v>44076</v>
      </c>
      <c r="BC1402" s="180">
        <v>-0.45100000000000001</v>
      </c>
      <c r="BD1402" s="191">
        <v>44076</v>
      </c>
      <c r="BE1402" s="192" t="s">
        <v>188</v>
      </c>
      <c r="BH1402" s="94">
        <v>44125</v>
      </c>
      <c r="BI1402" s="95" t="s">
        <v>318</v>
      </c>
      <c r="BJ1402" s="96">
        <v>12.9</v>
      </c>
    </row>
    <row r="1403" spans="54:62" ht="15">
      <c r="BB1403" s="187">
        <v>44077</v>
      </c>
      <c r="BC1403" s="180">
        <v>-0.45500000000000002</v>
      </c>
      <c r="BD1403" s="191">
        <v>44077</v>
      </c>
      <c r="BE1403" s="192" t="s">
        <v>304</v>
      </c>
      <c r="BH1403" s="94">
        <v>44126</v>
      </c>
      <c r="BI1403" s="95" t="s">
        <v>319</v>
      </c>
      <c r="BJ1403" s="96">
        <v>12.98</v>
      </c>
    </row>
    <row r="1404" spans="54:62" ht="15">
      <c r="BB1404" s="187">
        <v>44078</v>
      </c>
      <c r="BC1404" s="180">
        <v>-0.45100000000000001</v>
      </c>
      <c r="BD1404" s="191">
        <v>44078</v>
      </c>
      <c r="BE1404" s="192" t="s">
        <v>305</v>
      </c>
      <c r="BH1404" s="94">
        <v>44127</v>
      </c>
      <c r="BI1404" s="95" t="s">
        <v>318</v>
      </c>
      <c r="BJ1404" s="96">
        <v>12.97</v>
      </c>
    </row>
    <row r="1405" spans="54:62" ht="15">
      <c r="BB1405" s="187">
        <v>44081</v>
      </c>
      <c r="BC1405" s="180">
        <v>-0.45900000000000002</v>
      </c>
      <c r="BD1405" s="191">
        <v>44081</v>
      </c>
      <c r="BE1405" s="192" t="s">
        <v>306</v>
      </c>
      <c r="BH1405" s="94">
        <v>44131</v>
      </c>
      <c r="BI1405" s="95" t="s">
        <v>320</v>
      </c>
      <c r="BJ1405" s="96">
        <v>12.96</v>
      </c>
    </row>
    <row r="1406" spans="54:62" ht="15">
      <c r="BB1406" s="187">
        <v>44082</v>
      </c>
      <c r="BC1406" s="180">
        <v>-0.45900000000000002</v>
      </c>
      <c r="BD1406" s="191">
        <v>44082</v>
      </c>
      <c r="BE1406" s="192" t="s">
        <v>189</v>
      </c>
      <c r="BH1406" s="94">
        <v>44132</v>
      </c>
      <c r="BI1406" s="95" t="s">
        <v>321</v>
      </c>
      <c r="BJ1406" s="96">
        <v>12.95</v>
      </c>
    </row>
    <row r="1407" spans="54:62" ht="15">
      <c r="BB1407" s="187">
        <v>44083</v>
      </c>
      <c r="BC1407" s="180">
        <v>-0.46300000000000002</v>
      </c>
      <c r="BD1407" s="191">
        <v>44083</v>
      </c>
      <c r="BE1407" s="192" t="s">
        <v>306</v>
      </c>
      <c r="BH1407" s="94">
        <v>44133</v>
      </c>
      <c r="BI1407" s="95" t="s">
        <v>180</v>
      </c>
      <c r="BJ1407" s="96">
        <v>12.95</v>
      </c>
    </row>
    <row r="1408" spans="54:62" ht="15">
      <c r="BB1408" s="187">
        <v>44084</v>
      </c>
      <c r="BC1408" s="180">
        <v>-0.45800000000000002</v>
      </c>
      <c r="BD1408" s="191">
        <v>44084</v>
      </c>
      <c r="BE1408" s="192" t="s">
        <v>189</v>
      </c>
      <c r="BH1408" s="94">
        <v>44134</v>
      </c>
      <c r="BI1408" s="95" t="s">
        <v>322</v>
      </c>
      <c r="BJ1408" s="96">
        <v>12.95</v>
      </c>
    </row>
    <row r="1409" spans="54:62" ht="15">
      <c r="BB1409" s="187">
        <v>44085</v>
      </c>
      <c r="BC1409" s="180">
        <v>-0.45500000000000002</v>
      </c>
      <c r="BD1409" s="191">
        <v>44085</v>
      </c>
      <c r="BE1409" s="192" t="s">
        <v>304</v>
      </c>
      <c r="BH1409" s="94">
        <v>44137</v>
      </c>
      <c r="BI1409" s="95" t="s">
        <v>173</v>
      </c>
      <c r="BJ1409" s="96">
        <v>12.94</v>
      </c>
    </row>
    <row r="1410" spans="54:62" ht="15">
      <c r="BB1410" s="187">
        <v>44088</v>
      </c>
      <c r="BC1410" s="180">
        <v>-0.46</v>
      </c>
      <c r="BD1410" s="191">
        <v>44088</v>
      </c>
      <c r="BE1410" s="192" t="s">
        <v>244</v>
      </c>
      <c r="BH1410" s="94">
        <v>44138</v>
      </c>
      <c r="BI1410" s="95" t="s">
        <v>323</v>
      </c>
      <c r="BJ1410" s="96">
        <v>12.94</v>
      </c>
    </row>
    <row r="1411" spans="54:62" ht="15">
      <c r="BB1411" s="187">
        <v>44089</v>
      </c>
      <c r="BC1411" s="180">
        <v>-0.45800000000000002</v>
      </c>
      <c r="BD1411" s="191">
        <v>44089</v>
      </c>
      <c r="BE1411" s="192" t="s">
        <v>163</v>
      </c>
      <c r="BH1411" s="94">
        <v>44139</v>
      </c>
      <c r="BI1411" s="95" t="s">
        <v>177</v>
      </c>
      <c r="BJ1411" s="96">
        <v>12.93</v>
      </c>
    </row>
    <row r="1412" spans="54:62" ht="15">
      <c r="BB1412" s="187">
        <v>44090</v>
      </c>
      <c r="BC1412" s="180">
        <v>-0.46200000000000002</v>
      </c>
      <c r="BD1412" s="191">
        <v>44090</v>
      </c>
      <c r="BE1412" s="192" t="s">
        <v>307</v>
      </c>
      <c r="BH1412" s="94">
        <v>44140</v>
      </c>
      <c r="BI1412" s="95" t="s">
        <v>324</v>
      </c>
      <c r="BJ1412" s="96">
        <v>12.96</v>
      </c>
    </row>
    <row r="1413" spans="54:62" ht="15">
      <c r="BB1413" s="187">
        <v>44091</v>
      </c>
      <c r="BC1413" s="180">
        <v>-0.46300000000000002</v>
      </c>
      <c r="BD1413" s="191">
        <v>44091</v>
      </c>
      <c r="BE1413" s="192" t="s">
        <v>238</v>
      </c>
      <c r="BH1413" s="94">
        <v>44141</v>
      </c>
      <c r="BI1413" s="95" t="s">
        <v>325</v>
      </c>
      <c r="BJ1413" s="96">
        <v>12.96</v>
      </c>
    </row>
    <row r="1414" spans="54:62" ht="15">
      <c r="BB1414" s="187">
        <v>44092</v>
      </c>
      <c r="BC1414" s="180">
        <v>-0.46800000000000003</v>
      </c>
      <c r="BD1414" s="191">
        <v>44092</v>
      </c>
      <c r="BE1414" s="192" t="s">
        <v>238</v>
      </c>
      <c r="BH1414" s="94">
        <v>44144</v>
      </c>
      <c r="BI1414" s="95" t="s">
        <v>326</v>
      </c>
      <c r="BJ1414" s="96">
        <v>12.95</v>
      </c>
    </row>
    <row r="1415" spans="54:62" ht="15">
      <c r="BB1415" s="187">
        <v>44095</v>
      </c>
      <c r="BC1415" s="180">
        <v>-0.47</v>
      </c>
      <c r="BD1415" s="191">
        <v>44095</v>
      </c>
      <c r="BE1415" s="192" t="s">
        <v>191</v>
      </c>
      <c r="BH1415" s="94">
        <v>44145</v>
      </c>
      <c r="BI1415" s="95" t="s">
        <v>327</v>
      </c>
      <c r="BJ1415" s="96">
        <v>12.94</v>
      </c>
    </row>
    <row r="1416" spans="54:62" ht="15">
      <c r="BB1416" s="187">
        <v>44096</v>
      </c>
      <c r="BC1416" s="180">
        <v>-0.47299999999999998</v>
      </c>
      <c r="BD1416" s="191">
        <v>44096</v>
      </c>
      <c r="BE1416" s="192" t="s">
        <v>306</v>
      </c>
      <c r="BH1416" s="94">
        <v>44146</v>
      </c>
      <c r="BI1416" s="95" t="s">
        <v>328</v>
      </c>
      <c r="BJ1416" s="96">
        <v>12.94</v>
      </c>
    </row>
    <row r="1417" spans="54:62" ht="15">
      <c r="BB1417" s="187">
        <v>44097</v>
      </c>
      <c r="BC1417" s="180">
        <v>-0.46800000000000003</v>
      </c>
      <c r="BD1417" s="191">
        <v>44097</v>
      </c>
      <c r="BE1417" s="192" t="s">
        <v>244</v>
      </c>
      <c r="BH1417" s="94">
        <v>44147</v>
      </c>
      <c r="BI1417" s="95" t="s">
        <v>329</v>
      </c>
      <c r="BJ1417" s="96">
        <v>12.94</v>
      </c>
    </row>
    <row r="1418" spans="54:62" ht="15">
      <c r="BB1418" s="187">
        <v>44098</v>
      </c>
      <c r="BC1418" s="180">
        <v>-0.47199999999999998</v>
      </c>
      <c r="BD1418" s="191">
        <v>44098</v>
      </c>
      <c r="BE1418" s="192" t="s">
        <v>303</v>
      </c>
      <c r="BH1418" s="94">
        <v>44148</v>
      </c>
      <c r="BI1418" s="95" t="s">
        <v>176</v>
      </c>
      <c r="BJ1418" s="96">
        <v>12.94</v>
      </c>
    </row>
    <row r="1419" spans="54:62" ht="15">
      <c r="BB1419" s="187">
        <v>44099</v>
      </c>
      <c r="BC1419" s="180">
        <v>-0.46800000000000003</v>
      </c>
      <c r="BD1419" s="191">
        <v>44099</v>
      </c>
      <c r="BE1419" s="192" t="s">
        <v>308</v>
      </c>
      <c r="BH1419" s="94">
        <v>44151</v>
      </c>
      <c r="BI1419" s="95" t="s">
        <v>330</v>
      </c>
      <c r="BJ1419" s="96">
        <v>12.93</v>
      </c>
    </row>
    <row r="1420" spans="54:62" ht="15">
      <c r="BB1420" s="187">
        <v>44102</v>
      </c>
      <c r="BC1420" s="180">
        <v>-0.47</v>
      </c>
      <c r="BD1420" s="191">
        <v>44102</v>
      </c>
      <c r="BE1420" s="192" t="s">
        <v>299</v>
      </c>
      <c r="BH1420" s="94">
        <v>44152</v>
      </c>
      <c r="BI1420" s="95" t="s">
        <v>331</v>
      </c>
      <c r="BJ1420" s="96">
        <v>12.93</v>
      </c>
    </row>
    <row r="1421" spans="54:62" ht="15">
      <c r="BB1421" s="187">
        <v>44103</v>
      </c>
      <c r="BC1421" s="180">
        <v>-0.47399999999999998</v>
      </c>
      <c r="BD1421" s="191">
        <v>44103</v>
      </c>
      <c r="BE1421" s="192" t="s">
        <v>309</v>
      </c>
      <c r="BH1421" s="94">
        <v>44153</v>
      </c>
      <c r="BI1421" s="95" t="s">
        <v>174</v>
      </c>
      <c r="BJ1421" s="96">
        <v>12.92</v>
      </c>
    </row>
    <row r="1422" spans="54:62" ht="15">
      <c r="BB1422" s="187">
        <v>44104</v>
      </c>
      <c r="BC1422" s="180">
        <v>-0.48</v>
      </c>
      <c r="BD1422" s="191">
        <v>44104</v>
      </c>
      <c r="BE1422" s="192" t="s">
        <v>240</v>
      </c>
      <c r="BH1422" s="94">
        <v>44154</v>
      </c>
      <c r="BI1422" s="95" t="s">
        <v>174</v>
      </c>
      <c r="BJ1422" s="96">
        <v>12.92</v>
      </c>
    </row>
    <row r="1423" spans="54:62" ht="15">
      <c r="BB1423" s="187">
        <v>44105</v>
      </c>
      <c r="BC1423" s="180">
        <v>-0.48099999999999998</v>
      </c>
      <c r="BD1423" s="191">
        <v>44105</v>
      </c>
      <c r="BE1423" s="192" t="s">
        <v>184</v>
      </c>
      <c r="BH1423" s="94">
        <v>44155</v>
      </c>
      <c r="BI1423" s="95" t="s">
        <v>331</v>
      </c>
      <c r="BJ1423" s="96">
        <v>12.92</v>
      </c>
    </row>
    <row r="1424" spans="54:62" ht="15">
      <c r="BB1424" s="187">
        <v>44106</v>
      </c>
      <c r="BC1424" s="180">
        <v>-0.47299999999999998</v>
      </c>
      <c r="BD1424" s="191">
        <v>44106</v>
      </c>
      <c r="BE1424" s="192" t="s">
        <v>242</v>
      </c>
      <c r="BH1424" s="94">
        <v>44158</v>
      </c>
      <c r="BI1424" s="95" t="s">
        <v>330</v>
      </c>
      <c r="BJ1424" s="96">
        <v>12.91</v>
      </c>
    </row>
    <row r="1425" spans="54:62" ht="15">
      <c r="BB1425" s="187">
        <v>44109</v>
      </c>
      <c r="BC1425" s="180">
        <v>-0.48799999999999999</v>
      </c>
      <c r="BD1425" s="191">
        <v>44109</v>
      </c>
      <c r="BE1425" s="192" t="s">
        <v>310</v>
      </c>
      <c r="BH1425" s="94">
        <v>44159</v>
      </c>
      <c r="BI1425" s="95" t="s">
        <v>175</v>
      </c>
      <c r="BJ1425" s="96">
        <v>12.91</v>
      </c>
    </row>
    <row r="1426" spans="54:62" ht="15">
      <c r="BB1426" s="187">
        <v>44110</v>
      </c>
      <c r="BC1426" s="180">
        <v>-0.47899999999999998</v>
      </c>
      <c r="BD1426" s="191">
        <v>44110</v>
      </c>
      <c r="BE1426" s="192" t="s">
        <v>167</v>
      </c>
      <c r="BH1426" s="94">
        <v>44160</v>
      </c>
      <c r="BI1426" s="95" t="s">
        <v>330</v>
      </c>
      <c r="BJ1426" s="96">
        <v>12.9</v>
      </c>
    </row>
    <row r="1427" spans="54:62" ht="15">
      <c r="BB1427" s="187">
        <v>44111</v>
      </c>
      <c r="BC1427" s="180">
        <v>-0.48799999999999999</v>
      </c>
      <c r="BD1427" s="191">
        <v>44111</v>
      </c>
      <c r="BE1427" s="192" t="s">
        <v>241</v>
      </c>
      <c r="BH1427" s="94">
        <v>44161</v>
      </c>
      <c r="BI1427" s="95" t="s">
        <v>177</v>
      </c>
      <c r="BJ1427" s="96">
        <v>12.9</v>
      </c>
    </row>
    <row r="1428" spans="54:62" ht="15">
      <c r="BB1428" s="187">
        <v>44112</v>
      </c>
      <c r="BC1428" s="180">
        <v>-0.48599999999999999</v>
      </c>
      <c r="BD1428" s="191">
        <v>44112</v>
      </c>
      <c r="BE1428" s="192" t="s">
        <v>311</v>
      </c>
      <c r="BH1428" s="94">
        <v>44162</v>
      </c>
      <c r="BI1428" s="95" t="s">
        <v>331</v>
      </c>
      <c r="BJ1428" s="96">
        <v>12.9</v>
      </c>
    </row>
    <row r="1429" spans="54:62" ht="15">
      <c r="BB1429" s="187">
        <v>44113</v>
      </c>
      <c r="BC1429" s="180">
        <v>-0.48599999999999999</v>
      </c>
      <c r="BD1429" s="191">
        <v>44113</v>
      </c>
      <c r="BE1429" s="192" t="s">
        <v>312</v>
      </c>
      <c r="BH1429" s="94">
        <v>44165</v>
      </c>
      <c r="BI1429" s="95" t="s">
        <v>174</v>
      </c>
      <c r="BJ1429" s="96">
        <v>12.89</v>
      </c>
    </row>
    <row r="1430" spans="54:62" ht="15">
      <c r="BB1430" s="187">
        <v>44116</v>
      </c>
      <c r="BC1430" s="180">
        <v>-0.48499999999999999</v>
      </c>
      <c r="BD1430" s="191">
        <v>44116</v>
      </c>
      <c r="BE1430" s="192" t="s">
        <v>168</v>
      </c>
      <c r="BH1430" s="94">
        <v>44166</v>
      </c>
      <c r="BI1430" s="95" t="s">
        <v>178</v>
      </c>
      <c r="BJ1430" s="96">
        <v>12.88</v>
      </c>
    </row>
    <row r="1431" spans="54:62" ht="15">
      <c r="BB1431" s="187">
        <v>44117</v>
      </c>
      <c r="BC1431" s="180">
        <v>-0.48299999999999998</v>
      </c>
      <c r="BD1431" s="191">
        <v>44117</v>
      </c>
      <c r="BE1431" s="192" t="s">
        <v>313</v>
      </c>
      <c r="BH1431" s="94">
        <v>44167</v>
      </c>
      <c r="BI1431" s="95" t="s">
        <v>173</v>
      </c>
      <c r="BJ1431" s="96">
        <v>12.88</v>
      </c>
    </row>
    <row r="1432" spans="54:62" ht="15">
      <c r="BB1432" s="187">
        <v>44118</v>
      </c>
      <c r="BC1432" s="180">
        <v>-0.49299999999999999</v>
      </c>
      <c r="BD1432" s="191">
        <v>44118</v>
      </c>
      <c r="BE1432" s="192" t="s">
        <v>314</v>
      </c>
      <c r="BH1432" s="94">
        <v>44168</v>
      </c>
      <c r="BI1432" s="95" t="s">
        <v>332</v>
      </c>
      <c r="BJ1432" s="96">
        <v>12.88</v>
      </c>
    </row>
    <row r="1433" spans="54:62" ht="15">
      <c r="BB1433" s="187">
        <v>44119</v>
      </c>
      <c r="BC1433" s="180">
        <v>-0.497</v>
      </c>
      <c r="BD1433" s="191">
        <v>44119</v>
      </c>
      <c r="BE1433" s="192" t="s">
        <v>181</v>
      </c>
      <c r="BH1433" s="94">
        <v>44169</v>
      </c>
      <c r="BI1433" s="95" t="s">
        <v>322</v>
      </c>
      <c r="BJ1433" s="96">
        <v>12.87</v>
      </c>
    </row>
    <row r="1434" spans="54:62" ht="15">
      <c r="BB1434" s="187">
        <v>44120</v>
      </c>
      <c r="BC1434" s="180">
        <v>-0.498</v>
      </c>
      <c r="BD1434" s="191">
        <v>44120</v>
      </c>
      <c r="BE1434" s="192" t="s">
        <v>315</v>
      </c>
      <c r="BH1434" s="94">
        <v>44172</v>
      </c>
      <c r="BI1434" s="95" t="s">
        <v>322</v>
      </c>
      <c r="BJ1434" s="96">
        <v>12.9</v>
      </c>
    </row>
    <row r="1435" spans="54:62" ht="15">
      <c r="BB1435" s="187">
        <v>44123</v>
      </c>
      <c r="BC1435" s="180">
        <v>-0.497</v>
      </c>
      <c r="BD1435" s="191">
        <v>44123</v>
      </c>
      <c r="BE1435" s="192" t="s">
        <v>316</v>
      </c>
      <c r="BH1435" s="94">
        <v>44174</v>
      </c>
      <c r="BI1435" s="95" t="s">
        <v>333</v>
      </c>
      <c r="BJ1435" s="96">
        <v>12.89</v>
      </c>
    </row>
    <row r="1436" spans="54:62" ht="15">
      <c r="BB1436" s="187">
        <v>44124</v>
      </c>
      <c r="BC1436" s="180">
        <v>-0.498</v>
      </c>
      <c r="BD1436" s="191">
        <v>44124</v>
      </c>
      <c r="BE1436" s="192" t="s">
        <v>317</v>
      </c>
      <c r="BH1436" s="94">
        <v>44175</v>
      </c>
      <c r="BI1436" s="95" t="s">
        <v>334</v>
      </c>
      <c r="BJ1436" s="96">
        <v>12.89</v>
      </c>
    </row>
    <row r="1437" spans="54:62" ht="15">
      <c r="BB1437" s="187">
        <v>44125</v>
      </c>
      <c r="BC1437" s="180">
        <v>-0.498</v>
      </c>
      <c r="BD1437" s="191">
        <v>44125</v>
      </c>
      <c r="BE1437" s="192" t="s">
        <v>318</v>
      </c>
      <c r="BH1437" s="94">
        <v>44176</v>
      </c>
      <c r="BI1437" s="95" t="s">
        <v>174</v>
      </c>
      <c r="BJ1437" s="96">
        <v>12.89</v>
      </c>
    </row>
    <row r="1438" spans="54:62" ht="15">
      <c r="BB1438" s="187">
        <v>44126</v>
      </c>
      <c r="BC1438" s="180">
        <v>-0.498</v>
      </c>
      <c r="BD1438" s="191">
        <v>44126</v>
      </c>
      <c r="BE1438" s="192" t="s">
        <v>319</v>
      </c>
      <c r="BH1438" s="94">
        <v>44179</v>
      </c>
      <c r="BI1438" s="95" t="s">
        <v>330</v>
      </c>
      <c r="BJ1438" s="96">
        <v>12.88</v>
      </c>
    </row>
    <row r="1439" spans="54:62" ht="15">
      <c r="BB1439" s="187">
        <v>44127</v>
      </c>
      <c r="BC1439" s="180">
        <v>-0.496</v>
      </c>
      <c r="BD1439" s="191">
        <v>44127</v>
      </c>
      <c r="BE1439" s="192" t="s">
        <v>318</v>
      </c>
      <c r="BH1439" s="94">
        <v>44180</v>
      </c>
      <c r="BI1439" s="95" t="s">
        <v>175</v>
      </c>
      <c r="BJ1439" s="96">
        <v>12.97</v>
      </c>
    </row>
    <row r="1440" spans="54:62" ht="15">
      <c r="BB1440" s="187">
        <v>44130</v>
      </c>
      <c r="BC1440" s="180">
        <v>-0.496</v>
      </c>
      <c r="BD1440" s="191"/>
      <c r="BE1440" s="193" t="str">
        <f>+BE1439</f>
        <v>−0,435</v>
      </c>
      <c r="BH1440" s="94">
        <v>44181</v>
      </c>
      <c r="BI1440" s="95" t="s">
        <v>175</v>
      </c>
      <c r="BJ1440" s="96">
        <v>12.97</v>
      </c>
    </row>
    <row r="1441" spans="54:62" ht="15">
      <c r="BB1441" s="187">
        <v>44131</v>
      </c>
      <c r="BC1441" s="180">
        <v>-0.50700000000000001</v>
      </c>
      <c r="BD1441" s="191">
        <v>44131</v>
      </c>
      <c r="BE1441" s="192" t="s">
        <v>320</v>
      </c>
      <c r="BH1441" s="94">
        <v>44182</v>
      </c>
      <c r="BI1441" s="95" t="s">
        <v>175</v>
      </c>
      <c r="BJ1441" s="96">
        <v>12.97</v>
      </c>
    </row>
    <row r="1442" spans="54:62" ht="15">
      <c r="BB1442" s="187">
        <v>44132</v>
      </c>
      <c r="BC1442" s="180">
        <v>-0.505</v>
      </c>
      <c r="BD1442" s="191">
        <v>44132</v>
      </c>
      <c r="BE1442" s="192" t="s">
        <v>321</v>
      </c>
      <c r="BH1442" s="94">
        <v>44183</v>
      </c>
      <c r="BI1442" s="95" t="s">
        <v>330</v>
      </c>
      <c r="BJ1442" s="96">
        <v>12.96</v>
      </c>
    </row>
    <row r="1443" spans="54:62" ht="15">
      <c r="BB1443" s="187">
        <v>44133</v>
      </c>
      <c r="BC1443" s="180">
        <v>-0.51500000000000001</v>
      </c>
      <c r="BD1443" s="191">
        <v>44133</v>
      </c>
      <c r="BE1443" s="192" t="s">
        <v>180</v>
      </c>
      <c r="BH1443" s="94">
        <v>44186</v>
      </c>
      <c r="BI1443" s="95" t="s">
        <v>175</v>
      </c>
      <c r="BJ1443" s="96">
        <v>12.96</v>
      </c>
    </row>
    <row r="1444" spans="54:62" ht="15">
      <c r="BB1444" s="187">
        <v>44134</v>
      </c>
      <c r="BC1444" s="180">
        <v>-0.52100000000000002</v>
      </c>
      <c r="BD1444" s="191">
        <v>44134</v>
      </c>
      <c r="BE1444" s="192" t="s">
        <v>322</v>
      </c>
      <c r="BH1444" s="94">
        <v>44187</v>
      </c>
      <c r="BI1444" s="95" t="s">
        <v>175</v>
      </c>
      <c r="BJ1444" s="96">
        <v>12.95</v>
      </c>
    </row>
    <row r="1445" spans="54:62" ht="15">
      <c r="BB1445" s="187">
        <v>44137</v>
      </c>
      <c r="BC1445" s="180">
        <v>-0.51300000000000001</v>
      </c>
      <c r="BD1445" s="191">
        <v>44137</v>
      </c>
      <c r="BE1445" s="192">
        <v>-0.45500000000000002</v>
      </c>
      <c r="BF1445" s="111">
        <f>+(BC1445+BE1445)/2+0.37</f>
        <v>-0.11399999999999999</v>
      </c>
      <c r="BH1445" s="94">
        <v>44188</v>
      </c>
      <c r="BI1445" s="95" t="s">
        <v>175</v>
      </c>
      <c r="BJ1445" s="96">
        <v>12.95</v>
      </c>
    </row>
    <row r="1446" spans="54:62" ht="15">
      <c r="BB1446" s="187">
        <v>44138</v>
      </c>
      <c r="BC1446" s="180">
        <v>-0.51300000000000001</v>
      </c>
      <c r="BD1446" s="191">
        <v>44138</v>
      </c>
      <c r="BE1446" s="192" t="s">
        <v>323</v>
      </c>
      <c r="BH1446" s="94">
        <v>44193</v>
      </c>
      <c r="BI1446" s="95" t="s">
        <v>330</v>
      </c>
      <c r="BJ1446" s="96">
        <v>12.94</v>
      </c>
    </row>
    <row r="1447" spans="54:62" ht="15">
      <c r="BB1447" s="187">
        <v>44139</v>
      </c>
      <c r="BC1447" s="180">
        <v>-0.51500000000000001</v>
      </c>
      <c r="BD1447" s="191">
        <v>44139</v>
      </c>
      <c r="BE1447" s="192" t="s">
        <v>177</v>
      </c>
      <c r="BH1447" s="94">
        <v>44194</v>
      </c>
      <c r="BI1447" s="95" t="s">
        <v>330</v>
      </c>
      <c r="BJ1447" s="96">
        <v>12.93</v>
      </c>
    </row>
    <row r="1448" spans="54:62" ht="15">
      <c r="BB1448" s="187">
        <v>44140</v>
      </c>
      <c r="BC1448" s="180">
        <v>-0.51100000000000001</v>
      </c>
      <c r="BD1448" s="191">
        <v>44140</v>
      </c>
      <c r="BE1448" s="192" t="s">
        <v>324</v>
      </c>
      <c r="BH1448" s="94">
        <v>44195</v>
      </c>
      <c r="BI1448" s="95" t="s">
        <v>177</v>
      </c>
      <c r="BJ1448" s="96">
        <v>12.93</v>
      </c>
    </row>
    <row r="1449" spans="54:62" ht="15">
      <c r="BB1449" s="187">
        <v>44141</v>
      </c>
      <c r="BC1449" s="180">
        <v>-0.51200000000000001</v>
      </c>
      <c r="BD1449" s="191">
        <v>44141</v>
      </c>
      <c r="BE1449" s="192" t="s">
        <v>325</v>
      </c>
      <c r="BH1449" s="94">
        <v>44196</v>
      </c>
      <c r="BI1449" s="95" t="s">
        <v>177</v>
      </c>
      <c r="BJ1449" s="96">
        <v>12.93</v>
      </c>
    </row>
    <row r="1450" spans="54:62" ht="15">
      <c r="BB1450" s="187">
        <v>44144</v>
      </c>
      <c r="BC1450" s="180">
        <v>-0.51100000000000001</v>
      </c>
      <c r="BD1450" s="191">
        <v>44144</v>
      </c>
      <c r="BE1450" s="192" t="s">
        <v>326</v>
      </c>
      <c r="BH1450" s="94">
        <v>44200</v>
      </c>
      <c r="BI1450" s="95" t="s">
        <v>330</v>
      </c>
      <c r="BJ1450" s="96">
        <v>12.92</v>
      </c>
    </row>
    <row r="1451" spans="54:62" ht="15">
      <c r="BB1451" s="187">
        <v>44145</v>
      </c>
      <c r="BC1451" s="180">
        <v>-0.505</v>
      </c>
      <c r="BD1451" s="191">
        <v>44145</v>
      </c>
      <c r="BE1451" s="192" t="s">
        <v>327</v>
      </c>
      <c r="BH1451" s="94">
        <v>44201</v>
      </c>
      <c r="BI1451" s="95" t="s">
        <v>324</v>
      </c>
      <c r="BJ1451" s="96">
        <v>12.91</v>
      </c>
    </row>
    <row r="1452" spans="54:62" ht="15">
      <c r="BB1452" s="187">
        <v>44146</v>
      </c>
      <c r="BC1452" s="180">
        <v>-0.50700000000000001</v>
      </c>
      <c r="BD1452" s="191">
        <v>44146</v>
      </c>
      <c r="BE1452" s="192" t="s">
        <v>328</v>
      </c>
      <c r="BH1452" s="94">
        <v>44203</v>
      </c>
      <c r="BI1452" s="95" t="s">
        <v>329</v>
      </c>
      <c r="BJ1452" s="96">
        <v>12.91</v>
      </c>
    </row>
    <row r="1453" spans="54:62" ht="15">
      <c r="BB1453" s="187">
        <v>44147</v>
      </c>
      <c r="BC1453" s="180">
        <v>-0.504</v>
      </c>
      <c r="BD1453" s="191">
        <v>44147</v>
      </c>
      <c r="BE1453" s="192" t="s">
        <v>329</v>
      </c>
      <c r="BH1453" s="94">
        <v>44204</v>
      </c>
      <c r="BI1453" s="95" t="s">
        <v>329</v>
      </c>
      <c r="BJ1453" s="96">
        <v>12.91</v>
      </c>
    </row>
    <row r="1454" spans="54:62" ht="15">
      <c r="BB1454" s="187">
        <v>44148</v>
      </c>
      <c r="BC1454" s="180">
        <v>-0.503</v>
      </c>
      <c r="BD1454" s="191">
        <v>44148</v>
      </c>
      <c r="BE1454" s="192" t="s">
        <v>176</v>
      </c>
      <c r="BH1454" s="94">
        <v>44207</v>
      </c>
      <c r="BI1454" s="95" t="s">
        <v>176</v>
      </c>
      <c r="BJ1454" s="96">
        <v>12.9</v>
      </c>
    </row>
    <row r="1455" spans="54:62" ht="15">
      <c r="BB1455" s="187">
        <v>44151</v>
      </c>
      <c r="BC1455" s="180">
        <v>-0.505</v>
      </c>
      <c r="BD1455" s="191">
        <v>44151</v>
      </c>
      <c r="BE1455" s="192" t="s">
        <v>330</v>
      </c>
      <c r="BH1455" s="94">
        <v>44208</v>
      </c>
      <c r="BI1455" s="95" t="s">
        <v>177</v>
      </c>
      <c r="BJ1455" s="96">
        <v>12.9</v>
      </c>
    </row>
    <row r="1456" spans="54:62" ht="15">
      <c r="BB1456" s="187">
        <v>44152</v>
      </c>
      <c r="BC1456" s="180">
        <v>-0.50800000000000001</v>
      </c>
      <c r="BD1456" s="191">
        <v>44152</v>
      </c>
      <c r="BE1456" s="192" t="s">
        <v>331</v>
      </c>
      <c r="BH1456" s="94">
        <v>44209</v>
      </c>
      <c r="BI1456" s="95" t="s">
        <v>178</v>
      </c>
      <c r="BJ1456" s="96">
        <v>12.89</v>
      </c>
    </row>
    <row r="1457" spans="54:62" ht="15">
      <c r="BB1457" s="187">
        <v>44153</v>
      </c>
      <c r="BC1457" s="180">
        <v>-0.51300000000000001</v>
      </c>
      <c r="BD1457" s="191">
        <v>44153</v>
      </c>
      <c r="BE1457" s="192" t="s">
        <v>174</v>
      </c>
      <c r="BH1457" s="94">
        <v>44210</v>
      </c>
      <c r="BI1457" s="95" t="s">
        <v>179</v>
      </c>
      <c r="BJ1457" s="96">
        <v>12.92</v>
      </c>
    </row>
    <row r="1458" spans="54:62" ht="15">
      <c r="BB1458" s="187">
        <v>44154</v>
      </c>
      <c r="BC1458" s="180">
        <v>-0.51200000000000001</v>
      </c>
      <c r="BD1458" s="191">
        <v>44154</v>
      </c>
      <c r="BE1458" s="192" t="s">
        <v>174</v>
      </c>
      <c r="BH1458" s="94">
        <v>44211</v>
      </c>
      <c r="BI1458" s="95" t="s">
        <v>332</v>
      </c>
      <c r="BJ1458" s="96">
        <v>12.92</v>
      </c>
    </row>
    <row r="1459" spans="54:62" ht="15">
      <c r="BB1459" s="187">
        <v>44155</v>
      </c>
      <c r="BC1459" s="180">
        <v>-0.50900000000000001</v>
      </c>
      <c r="BD1459" s="191">
        <v>44155</v>
      </c>
      <c r="BE1459" s="192" t="s">
        <v>331</v>
      </c>
      <c r="BH1459" s="94">
        <v>44214</v>
      </c>
      <c r="BI1459" s="95" t="s">
        <v>335</v>
      </c>
      <c r="BJ1459" s="96">
        <v>12.91</v>
      </c>
    </row>
    <row r="1460" spans="54:62" ht="15">
      <c r="BB1460" s="187">
        <v>44158</v>
      </c>
      <c r="BC1460" s="180">
        <v>-0.50900000000000001</v>
      </c>
      <c r="BD1460" s="191">
        <v>44158</v>
      </c>
      <c r="BE1460" s="192" t="s">
        <v>330</v>
      </c>
      <c r="BH1460" s="94">
        <v>44215</v>
      </c>
      <c r="BI1460" s="95" t="s">
        <v>322</v>
      </c>
      <c r="BJ1460" s="96">
        <v>12.91</v>
      </c>
    </row>
    <row r="1461" spans="54:62" ht="15">
      <c r="BB1461" s="187">
        <v>44159</v>
      </c>
      <c r="BC1461" s="180">
        <v>-0.51</v>
      </c>
      <c r="BD1461" s="191">
        <v>44159</v>
      </c>
      <c r="BE1461" s="192" t="s">
        <v>175</v>
      </c>
      <c r="BH1461" s="94">
        <v>44216</v>
      </c>
      <c r="BI1461" s="95" t="s">
        <v>336</v>
      </c>
      <c r="BJ1461" s="96">
        <v>12.9</v>
      </c>
    </row>
    <row r="1462" spans="54:62" ht="15">
      <c r="BB1462" s="187">
        <v>44160</v>
      </c>
      <c r="BC1462" s="180">
        <v>-0.50800000000000001</v>
      </c>
      <c r="BD1462" s="191">
        <v>44160</v>
      </c>
      <c r="BE1462" s="192" t="s">
        <v>330</v>
      </c>
      <c r="BH1462" s="94">
        <v>44217</v>
      </c>
      <c r="BI1462" s="95" t="s">
        <v>180</v>
      </c>
      <c r="BJ1462" s="96">
        <v>12.89</v>
      </c>
    </row>
    <row r="1463" spans="54:62" ht="15">
      <c r="BB1463" s="187">
        <v>44161</v>
      </c>
      <c r="BC1463" s="180">
        <v>-0.50600000000000001</v>
      </c>
      <c r="BD1463" s="191">
        <v>44161</v>
      </c>
      <c r="BE1463" s="192" t="s">
        <v>177</v>
      </c>
      <c r="BH1463" s="94">
        <v>44218</v>
      </c>
      <c r="BI1463" s="95" t="s">
        <v>321</v>
      </c>
      <c r="BJ1463" s="96">
        <v>12.89</v>
      </c>
    </row>
    <row r="1464" spans="54:62" ht="15">
      <c r="BB1464" s="187">
        <v>44162</v>
      </c>
      <c r="BC1464" s="180">
        <v>-0.50700000000000001</v>
      </c>
      <c r="BD1464" s="191">
        <v>44162</v>
      </c>
      <c r="BE1464" s="192" t="s">
        <v>331</v>
      </c>
      <c r="BH1464" s="94">
        <v>44221</v>
      </c>
      <c r="BI1464" s="95" t="s">
        <v>337</v>
      </c>
      <c r="BJ1464" s="96">
        <v>12.88</v>
      </c>
    </row>
    <row r="1465" spans="54:62" ht="15">
      <c r="BB1465" s="187">
        <v>44165</v>
      </c>
      <c r="BC1465" s="180">
        <v>-0.50800000000000001</v>
      </c>
      <c r="BD1465" s="191">
        <v>44165</v>
      </c>
      <c r="BE1465" s="192" t="s">
        <v>174</v>
      </c>
      <c r="BH1465" s="94">
        <v>44222</v>
      </c>
      <c r="BI1465" s="95" t="s">
        <v>320</v>
      </c>
      <c r="BJ1465" s="96">
        <v>12.88</v>
      </c>
    </row>
    <row r="1466" spans="54:62" ht="15">
      <c r="BB1466" s="187">
        <v>44166</v>
      </c>
      <c r="BC1466" s="180">
        <v>-0.50800000000000001</v>
      </c>
      <c r="BD1466" s="191">
        <v>44166</v>
      </c>
      <c r="BE1466" s="192" t="s">
        <v>178</v>
      </c>
      <c r="BH1466" s="94">
        <v>44223</v>
      </c>
      <c r="BI1466" s="95" t="s">
        <v>171</v>
      </c>
      <c r="BJ1466" s="96">
        <v>12.88</v>
      </c>
    </row>
    <row r="1467" spans="54:62" ht="15">
      <c r="BB1467" s="187">
        <v>44167</v>
      </c>
      <c r="BC1467" s="180">
        <v>-0.50800000000000001</v>
      </c>
      <c r="BD1467" s="191">
        <v>44167</v>
      </c>
      <c r="BE1467" s="192" t="s">
        <v>173</v>
      </c>
      <c r="BH1467" s="94">
        <v>44224</v>
      </c>
      <c r="BI1467" s="95" t="s">
        <v>338</v>
      </c>
      <c r="BJ1467" s="96">
        <v>12.88</v>
      </c>
    </row>
    <row r="1468" spans="54:62" ht="15">
      <c r="BB1468" s="187">
        <v>44168</v>
      </c>
      <c r="BC1468" s="180">
        <v>-0.51</v>
      </c>
      <c r="BD1468" s="191">
        <v>44168</v>
      </c>
      <c r="BE1468" s="192" t="s">
        <v>332</v>
      </c>
      <c r="BH1468" s="94">
        <v>44225</v>
      </c>
      <c r="BI1468" s="95" t="s">
        <v>339</v>
      </c>
      <c r="BJ1468" s="96">
        <v>12.87</v>
      </c>
    </row>
    <row r="1469" spans="54:62" ht="15">
      <c r="BB1469" s="187">
        <v>44169</v>
      </c>
      <c r="BC1469" s="180">
        <v>-0.51200000000000001</v>
      </c>
      <c r="BD1469" s="191">
        <v>44169</v>
      </c>
      <c r="BE1469" s="192" t="s">
        <v>322</v>
      </c>
      <c r="BH1469" s="94">
        <v>44228</v>
      </c>
      <c r="BI1469" s="95" t="s">
        <v>319</v>
      </c>
      <c r="BJ1469" s="96">
        <v>12.86</v>
      </c>
    </row>
    <row r="1470" spans="54:62" ht="15">
      <c r="BB1470" s="187">
        <v>44172</v>
      </c>
      <c r="BC1470" s="180">
        <v>-0.51300000000000001</v>
      </c>
      <c r="BD1470" s="191">
        <v>44172</v>
      </c>
      <c r="BE1470" s="192" t="s">
        <v>322</v>
      </c>
      <c r="BH1470" s="94">
        <v>44229</v>
      </c>
      <c r="BI1470" s="95" t="s">
        <v>340</v>
      </c>
      <c r="BJ1470" s="96">
        <v>12.86</v>
      </c>
    </row>
    <row r="1471" spans="54:62" ht="15">
      <c r="BB1471" s="187">
        <v>44173</v>
      </c>
      <c r="BC1471" s="180">
        <v>-0.51800000000000002</v>
      </c>
      <c r="BD1471" s="191"/>
      <c r="BE1471" s="193" t="str">
        <f>+BE1470</f>
        <v>−0,450</v>
      </c>
      <c r="BH1471" s="94">
        <v>44230</v>
      </c>
      <c r="BI1471" s="95" t="s">
        <v>341</v>
      </c>
      <c r="BJ1471" s="96">
        <v>12.8</v>
      </c>
    </row>
    <row r="1472" spans="54:62" ht="15">
      <c r="BB1472" s="187">
        <v>44174</v>
      </c>
      <c r="BC1472" s="180">
        <v>-0.52400000000000002</v>
      </c>
      <c r="BD1472" s="191">
        <v>44174</v>
      </c>
      <c r="BE1472" s="192" t="s">
        <v>333</v>
      </c>
      <c r="BH1472" s="94">
        <v>44231</v>
      </c>
      <c r="BI1472" s="95" t="s">
        <v>181</v>
      </c>
      <c r="BJ1472" s="96">
        <v>12.8</v>
      </c>
    </row>
    <row r="1473" spans="54:62" ht="15">
      <c r="BB1473" s="187">
        <v>44175</v>
      </c>
      <c r="BC1473" s="180">
        <v>-0.52300000000000002</v>
      </c>
      <c r="BD1473" s="191">
        <v>44175</v>
      </c>
      <c r="BE1473" s="192" t="s">
        <v>334</v>
      </c>
      <c r="BH1473" s="94">
        <v>44232</v>
      </c>
      <c r="BI1473" s="95" t="s">
        <v>169</v>
      </c>
      <c r="BJ1473" s="96">
        <v>12.8</v>
      </c>
    </row>
    <row r="1474" spans="54:62" ht="15">
      <c r="BB1474" s="187">
        <v>44176</v>
      </c>
      <c r="BC1474" s="180">
        <v>-0.52</v>
      </c>
      <c r="BD1474" s="191">
        <v>44176</v>
      </c>
      <c r="BE1474" s="192" t="s">
        <v>174</v>
      </c>
      <c r="BH1474" s="94">
        <v>44235</v>
      </c>
      <c r="BI1474" s="95" t="s">
        <v>182</v>
      </c>
      <c r="BJ1474" s="96">
        <v>12.79</v>
      </c>
    </row>
    <row r="1475" spans="54:62" ht="15">
      <c r="BB1475" s="187">
        <v>44179</v>
      </c>
      <c r="BC1475" s="180">
        <v>-0.52200000000000002</v>
      </c>
      <c r="BD1475" s="191">
        <v>44179</v>
      </c>
      <c r="BE1475" s="192" t="s">
        <v>330</v>
      </c>
      <c r="BH1475" s="94">
        <v>44236</v>
      </c>
      <c r="BI1475" s="95" t="s">
        <v>342</v>
      </c>
      <c r="BJ1475" s="96">
        <v>12.79</v>
      </c>
    </row>
    <row r="1476" spans="54:62" ht="15">
      <c r="BB1476" s="187">
        <v>44180</v>
      </c>
      <c r="BC1476" s="180">
        <v>-0.52</v>
      </c>
      <c r="BD1476" s="191">
        <v>44180</v>
      </c>
      <c r="BE1476" s="192" t="s">
        <v>175</v>
      </c>
      <c r="BH1476" s="94">
        <v>44237</v>
      </c>
      <c r="BI1476" s="95" t="s">
        <v>343</v>
      </c>
      <c r="BJ1476" s="96">
        <v>12.78</v>
      </c>
    </row>
    <row r="1477" spans="54:62" ht="15">
      <c r="BB1477" s="187">
        <v>44181</v>
      </c>
      <c r="BC1477" s="180">
        <v>-0.52500000000000002</v>
      </c>
      <c r="BD1477" s="191">
        <v>44181</v>
      </c>
      <c r="BE1477" s="192" t="s">
        <v>175</v>
      </c>
      <c r="BH1477" s="94">
        <v>44238</v>
      </c>
      <c r="BI1477" s="95" t="s">
        <v>344</v>
      </c>
      <c r="BJ1477" s="96">
        <v>12.78</v>
      </c>
    </row>
    <row r="1478" spans="54:62" ht="15">
      <c r="BB1478" s="187">
        <v>44182</v>
      </c>
      <c r="BC1478" s="180">
        <v>-0.51800000000000002</v>
      </c>
      <c r="BD1478" s="191">
        <v>44182</v>
      </c>
      <c r="BE1478" s="192" t="s">
        <v>175</v>
      </c>
      <c r="BH1478" s="94">
        <v>44239</v>
      </c>
      <c r="BI1478" s="95" t="s">
        <v>183</v>
      </c>
      <c r="BJ1478" s="96">
        <v>12.78</v>
      </c>
    </row>
    <row r="1479" spans="54:62" ht="15">
      <c r="BB1479" s="187">
        <v>44183</v>
      </c>
      <c r="BC1479" s="180">
        <v>-0.52</v>
      </c>
      <c r="BD1479" s="191">
        <v>44183</v>
      </c>
      <c r="BE1479" s="192" t="s">
        <v>330</v>
      </c>
      <c r="BH1479" s="94">
        <v>44242</v>
      </c>
      <c r="BI1479" s="95" t="s">
        <v>167</v>
      </c>
      <c r="BJ1479" s="96">
        <v>12.77</v>
      </c>
    </row>
    <row r="1480" spans="54:62" ht="15">
      <c r="BB1480" s="187">
        <v>44186</v>
      </c>
      <c r="BC1480" s="180">
        <v>-0.51800000000000002</v>
      </c>
      <c r="BD1480" s="191">
        <v>44186</v>
      </c>
      <c r="BE1480" s="192" t="s">
        <v>175</v>
      </c>
      <c r="BH1480" s="94">
        <v>44243</v>
      </c>
      <c r="BI1480" s="95" t="s">
        <v>184</v>
      </c>
      <c r="BJ1480" s="96">
        <v>12.77</v>
      </c>
    </row>
    <row r="1481" spans="54:62" ht="15">
      <c r="BB1481" s="187">
        <v>44187</v>
      </c>
      <c r="BC1481" s="180">
        <v>-0.52200000000000002</v>
      </c>
      <c r="BD1481" s="191">
        <v>44187</v>
      </c>
      <c r="BE1481" s="192" t="s">
        <v>175</v>
      </c>
      <c r="BH1481" s="94">
        <v>44244</v>
      </c>
      <c r="BI1481" s="95" t="s">
        <v>185</v>
      </c>
      <c r="BJ1481" s="96">
        <v>12.76</v>
      </c>
    </row>
    <row r="1482" spans="54:62" ht="15">
      <c r="BB1482" s="187">
        <v>44188</v>
      </c>
      <c r="BC1482" s="180">
        <v>-0.52100000000000002</v>
      </c>
      <c r="BD1482" s="191">
        <v>44188</v>
      </c>
      <c r="BE1482" s="192" t="s">
        <v>175</v>
      </c>
      <c r="BH1482" s="94">
        <v>44245</v>
      </c>
      <c r="BI1482" s="95" t="s">
        <v>165</v>
      </c>
      <c r="BJ1482" s="96">
        <v>12.76</v>
      </c>
    </row>
    <row r="1483" spans="54:62" ht="15">
      <c r="BB1483" s="187">
        <v>44189</v>
      </c>
      <c r="BC1483" s="180">
        <v>-0.51900000000000002</v>
      </c>
      <c r="BD1483" s="191"/>
      <c r="BE1483" s="193" t="str">
        <f>+BE1482</f>
        <v>−0,466</v>
      </c>
      <c r="BH1483" s="94">
        <v>44246</v>
      </c>
      <c r="BI1483" s="95" t="s">
        <v>303</v>
      </c>
      <c r="BJ1483" s="96">
        <v>12.76</v>
      </c>
    </row>
    <row r="1484" spans="54:62" ht="15">
      <c r="BB1484" s="187">
        <v>44190</v>
      </c>
      <c r="BC1484" s="180">
        <v>-0.51900000000000002</v>
      </c>
      <c r="BD1484" s="191"/>
      <c r="BE1484" s="193" t="str">
        <f>+BE1483</f>
        <v>−0,466</v>
      </c>
      <c r="BH1484" s="94">
        <v>44249</v>
      </c>
      <c r="BI1484" s="95" t="s">
        <v>189</v>
      </c>
      <c r="BJ1484" s="96">
        <v>12.75</v>
      </c>
    </row>
    <row r="1485" spans="54:62" ht="15">
      <c r="BB1485" s="187">
        <v>44193</v>
      </c>
      <c r="BC1485" s="180">
        <v>-0.52</v>
      </c>
      <c r="BD1485" s="191">
        <v>44193</v>
      </c>
      <c r="BE1485" s="192" t="s">
        <v>330</v>
      </c>
      <c r="BH1485" s="94">
        <v>44250</v>
      </c>
      <c r="BI1485" s="95" t="s">
        <v>245</v>
      </c>
      <c r="BJ1485" s="96">
        <v>12.82</v>
      </c>
    </row>
    <row r="1486" spans="54:62" ht="15">
      <c r="BB1486" s="187">
        <v>44194</v>
      </c>
      <c r="BC1486" s="180">
        <v>-0.52300000000000002</v>
      </c>
      <c r="BD1486" s="191">
        <v>44194</v>
      </c>
      <c r="BE1486" s="192" t="s">
        <v>330</v>
      </c>
      <c r="BH1486" s="94">
        <v>44251</v>
      </c>
      <c r="BI1486" s="95" t="s">
        <v>162</v>
      </c>
      <c r="BJ1486" s="96">
        <v>12.82</v>
      </c>
    </row>
    <row r="1487" spans="54:62" ht="15">
      <c r="BB1487" s="187">
        <v>44195</v>
      </c>
      <c r="BC1487" s="180">
        <v>-0.52</v>
      </c>
      <c r="BD1487" s="191">
        <v>44195</v>
      </c>
      <c r="BE1487" s="192" t="s">
        <v>177</v>
      </c>
      <c r="BH1487" s="94">
        <v>44252</v>
      </c>
      <c r="BI1487" s="95" t="s">
        <v>345</v>
      </c>
      <c r="BJ1487" s="96">
        <v>12.82</v>
      </c>
    </row>
    <row r="1488" spans="54:62" ht="15">
      <c r="BB1488" s="187">
        <v>44196</v>
      </c>
      <c r="BC1488" s="180">
        <v>-0.52600000000000002</v>
      </c>
      <c r="BD1488" s="191">
        <v>44196</v>
      </c>
      <c r="BE1488" s="192" t="s">
        <v>177</v>
      </c>
      <c r="BH1488" s="94">
        <v>44253</v>
      </c>
      <c r="BI1488" s="95" t="s">
        <v>197</v>
      </c>
      <c r="BJ1488" s="96">
        <v>12.82</v>
      </c>
    </row>
    <row r="1489" spans="54:62" ht="15">
      <c r="BB1489" s="187">
        <v>44197</v>
      </c>
      <c r="BC1489" s="180">
        <v>-0.52600000000000002</v>
      </c>
      <c r="BD1489" s="191"/>
      <c r="BE1489" s="193" t="str">
        <f>+BE1488</f>
        <v>−0,464</v>
      </c>
      <c r="BH1489" s="94">
        <v>44256</v>
      </c>
      <c r="BI1489" s="95" t="s">
        <v>235</v>
      </c>
      <c r="BJ1489" s="96">
        <v>12.81</v>
      </c>
    </row>
    <row r="1490" spans="54:62" ht="15">
      <c r="BB1490" s="187">
        <v>44200</v>
      </c>
      <c r="BC1490" s="180">
        <v>-0.53200000000000003</v>
      </c>
      <c r="BD1490" s="191">
        <v>44200</v>
      </c>
      <c r="BE1490" s="192" t="s">
        <v>330</v>
      </c>
      <c r="BH1490" s="94">
        <v>44257</v>
      </c>
      <c r="BI1490" s="95" t="s">
        <v>234</v>
      </c>
      <c r="BJ1490" s="96">
        <v>12.81</v>
      </c>
    </row>
    <row r="1491" spans="54:62" ht="15">
      <c r="BB1491" s="187">
        <v>44201</v>
      </c>
      <c r="BC1491" s="180">
        <v>-0.52400000000000002</v>
      </c>
      <c r="BD1491" s="191">
        <v>44201</v>
      </c>
      <c r="BE1491" s="192" t="s">
        <v>324</v>
      </c>
      <c r="BH1491" s="94">
        <v>44258</v>
      </c>
      <c r="BI1491" s="95" t="s">
        <v>346</v>
      </c>
      <c r="BJ1491" s="96">
        <v>12.8</v>
      </c>
    </row>
    <row r="1492" spans="54:62" ht="15">
      <c r="BB1492" s="187">
        <v>44202</v>
      </c>
      <c r="BC1492" s="180">
        <v>-0.53</v>
      </c>
      <c r="BD1492" s="191"/>
      <c r="BE1492" s="193" t="str">
        <f>+BE1491</f>
        <v>−0,468</v>
      </c>
      <c r="BH1492" s="94">
        <v>44259</v>
      </c>
      <c r="BI1492" s="95" t="s">
        <v>347</v>
      </c>
      <c r="BJ1492" s="96">
        <v>12.76</v>
      </c>
    </row>
    <row r="1493" spans="54:62" ht="15">
      <c r="BB1493" s="187">
        <v>44203</v>
      </c>
      <c r="BC1493" s="180">
        <v>-0.52400000000000002</v>
      </c>
      <c r="BD1493" s="191">
        <v>44203</v>
      </c>
      <c r="BE1493" s="192" t="s">
        <v>329</v>
      </c>
      <c r="BH1493" s="94">
        <v>44260</v>
      </c>
      <c r="BI1493" s="95" t="s">
        <v>201</v>
      </c>
      <c r="BJ1493" s="96">
        <v>12.76</v>
      </c>
    </row>
    <row r="1494" spans="54:62" ht="15">
      <c r="BB1494" s="187">
        <v>44204</v>
      </c>
      <c r="BC1494" s="180">
        <v>-0.53</v>
      </c>
      <c r="BD1494" s="191">
        <v>44204</v>
      </c>
      <c r="BE1494" s="192" t="s">
        <v>329</v>
      </c>
      <c r="BH1494" s="94">
        <v>44263</v>
      </c>
      <c r="BI1494" s="95" t="s">
        <v>348</v>
      </c>
      <c r="BJ1494" s="96">
        <v>12.75</v>
      </c>
    </row>
    <row r="1495" spans="54:62" ht="15">
      <c r="BB1495" s="187">
        <v>44207</v>
      </c>
      <c r="BC1495" s="180">
        <v>-0.52300000000000002</v>
      </c>
      <c r="BD1495" s="191">
        <v>44207</v>
      </c>
      <c r="BE1495" s="192" t="s">
        <v>176</v>
      </c>
      <c r="BH1495" s="94">
        <v>44264</v>
      </c>
      <c r="BI1495" s="95" t="s">
        <v>349</v>
      </c>
      <c r="BJ1495" s="96">
        <v>12.74</v>
      </c>
    </row>
    <row r="1496" spans="54:62" ht="15">
      <c r="BB1496" s="187">
        <v>44208</v>
      </c>
      <c r="BC1496" s="180">
        <v>-0.53</v>
      </c>
      <c r="BD1496" s="191">
        <v>44208</v>
      </c>
      <c r="BE1496" s="192" t="s">
        <v>177</v>
      </c>
      <c r="BH1496" s="94">
        <v>44265</v>
      </c>
      <c r="BI1496" s="95" t="s">
        <v>350</v>
      </c>
      <c r="BJ1496" s="96">
        <v>12.74</v>
      </c>
    </row>
    <row r="1497" spans="54:62" ht="15">
      <c r="BB1497" s="187">
        <v>44209</v>
      </c>
      <c r="BC1497" s="180">
        <v>-0.52700000000000002</v>
      </c>
      <c r="BD1497" s="191">
        <v>44209</v>
      </c>
      <c r="BE1497" s="192" t="s">
        <v>178</v>
      </c>
      <c r="BH1497" s="94">
        <v>44266</v>
      </c>
      <c r="BI1497" s="95" t="s">
        <v>281</v>
      </c>
      <c r="BJ1497" s="96">
        <v>12.74</v>
      </c>
    </row>
    <row r="1498" spans="54:62" ht="15">
      <c r="BB1498" s="187">
        <v>44210</v>
      </c>
      <c r="BC1498" s="180">
        <v>-0.53300000000000003</v>
      </c>
      <c r="BD1498" s="191">
        <v>44210</v>
      </c>
      <c r="BE1498" s="192" t="s">
        <v>179</v>
      </c>
      <c r="BH1498" s="94">
        <v>44267</v>
      </c>
      <c r="BI1498" s="95" t="s">
        <v>351</v>
      </c>
      <c r="BJ1498" s="96">
        <v>12.73</v>
      </c>
    </row>
    <row r="1499" spans="54:62" ht="15">
      <c r="BB1499" s="187">
        <v>44211</v>
      </c>
      <c r="BC1499" s="180">
        <v>-0.53200000000000003</v>
      </c>
      <c r="BD1499" s="191">
        <v>44211</v>
      </c>
      <c r="BE1499" s="192" t="s">
        <v>332</v>
      </c>
      <c r="BH1499" s="94">
        <v>44270</v>
      </c>
      <c r="BI1499" s="95" t="s">
        <v>280</v>
      </c>
      <c r="BJ1499" s="96">
        <v>12.72</v>
      </c>
    </row>
    <row r="1500" spans="54:62" ht="15">
      <c r="BB1500" s="187">
        <v>44214</v>
      </c>
      <c r="BC1500" s="180">
        <v>-0.53300000000000003</v>
      </c>
      <c r="BD1500" s="191">
        <v>44214</v>
      </c>
      <c r="BE1500" s="192" t="s">
        <v>335</v>
      </c>
      <c r="BH1500" s="94">
        <v>44271</v>
      </c>
      <c r="BI1500" s="95" t="s">
        <v>251</v>
      </c>
      <c r="BJ1500" s="96">
        <v>12.72</v>
      </c>
    </row>
    <row r="1501" spans="54:62" ht="15">
      <c r="BB1501" s="187">
        <v>44215</v>
      </c>
      <c r="BC1501" s="180">
        <v>-0.52800000000000002</v>
      </c>
      <c r="BD1501" s="191">
        <v>44215</v>
      </c>
      <c r="BE1501" s="192" t="s">
        <v>322</v>
      </c>
      <c r="BH1501" s="94">
        <v>44272</v>
      </c>
      <c r="BI1501" s="95" t="s">
        <v>352</v>
      </c>
      <c r="BJ1501" s="96">
        <v>12.71</v>
      </c>
    </row>
    <row r="1502" spans="54:62" ht="15">
      <c r="BB1502" s="187">
        <v>44216</v>
      </c>
      <c r="BC1502" s="180">
        <v>-0.53200000000000003</v>
      </c>
      <c r="BD1502" s="191">
        <v>44216</v>
      </c>
      <c r="BE1502" s="192" t="s">
        <v>336</v>
      </c>
      <c r="BH1502" s="94">
        <v>44273</v>
      </c>
      <c r="BI1502" s="95" t="s">
        <v>204</v>
      </c>
      <c r="BJ1502" s="96">
        <v>12.7</v>
      </c>
    </row>
    <row r="1503" spans="54:62" ht="15">
      <c r="BB1503" s="187">
        <v>44217</v>
      </c>
      <c r="BC1503" s="180">
        <v>-0.52700000000000002</v>
      </c>
      <c r="BD1503" s="191">
        <v>44217</v>
      </c>
      <c r="BE1503" s="192" t="s">
        <v>180</v>
      </c>
      <c r="BH1503" s="94">
        <v>44274</v>
      </c>
      <c r="BI1503" s="95" t="s">
        <v>204</v>
      </c>
      <c r="BJ1503" s="96">
        <v>12.7</v>
      </c>
    </row>
    <row r="1504" spans="54:62" ht="15">
      <c r="BB1504" s="187">
        <v>44218</v>
      </c>
      <c r="BC1504" s="180">
        <v>-0.52500000000000002</v>
      </c>
      <c r="BD1504" s="191">
        <v>44218</v>
      </c>
      <c r="BE1504" s="192" t="s">
        <v>321</v>
      </c>
      <c r="BH1504" s="94">
        <v>44277</v>
      </c>
      <c r="BI1504" s="95" t="s">
        <v>204</v>
      </c>
      <c r="BJ1504" s="96">
        <v>12.68</v>
      </c>
    </row>
    <row r="1505" spans="54:62" ht="15">
      <c r="BB1505" s="187">
        <v>44221</v>
      </c>
      <c r="BC1505" s="180">
        <v>-0.52100000000000002</v>
      </c>
      <c r="BD1505" s="191">
        <v>44221</v>
      </c>
      <c r="BE1505" s="192" t="s">
        <v>337</v>
      </c>
      <c r="BH1505" s="94">
        <v>44278</v>
      </c>
      <c r="BI1505" s="95" t="s">
        <v>353</v>
      </c>
      <c r="BJ1505" s="96">
        <v>12.68</v>
      </c>
    </row>
    <row r="1506" spans="54:62" ht="15">
      <c r="BB1506" s="187">
        <v>44222</v>
      </c>
      <c r="BC1506" s="180">
        <v>-0.52800000000000002</v>
      </c>
      <c r="BD1506" s="191">
        <v>44222</v>
      </c>
      <c r="BE1506" s="192" t="s">
        <v>320</v>
      </c>
      <c r="BH1506" s="94">
        <v>44279</v>
      </c>
      <c r="BI1506" s="95" t="s">
        <v>279</v>
      </c>
      <c r="BJ1506" s="96">
        <v>12.67</v>
      </c>
    </row>
    <row r="1507" spans="54:62" ht="15">
      <c r="BB1507" s="187">
        <v>44223</v>
      </c>
      <c r="BC1507" s="180">
        <v>-0.52600000000000002</v>
      </c>
      <c r="BD1507" s="191">
        <v>44223</v>
      </c>
      <c r="BE1507" s="192" t="s">
        <v>171</v>
      </c>
      <c r="BH1507" s="94">
        <v>44280</v>
      </c>
      <c r="BI1507" s="95" t="s">
        <v>354</v>
      </c>
      <c r="BJ1507" s="96">
        <v>12.67</v>
      </c>
    </row>
    <row r="1508" spans="54:62" ht="15">
      <c r="BB1508" s="187">
        <v>44224</v>
      </c>
      <c r="BC1508" s="180">
        <v>-0.53400000000000003</v>
      </c>
      <c r="BD1508" s="191">
        <v>44224</v>
      </c>
      <c r="BE1508" s="192" t="s">
        <v>338</v>
      </c>
      <c r="BH1508" s="94">
        <v>44281</v>
      </c>
      <c r="BI1508" s="95" t="s">
        <v>281</v>
      </c>
      <c r="BJ1508" s="96">
        <v>12.67</v>
      </c>
    </row>
    <row r="1509" spans="54:62" ht="15">
      <c r="BB1509" s="187">
        <v>44225</v>
      </c>
      <c r="BC1509" s="180">
        <v>-0.53100000000000003</v>
      </c>
      <c r="BD1509" s="191">
        <v>44225</v>
      </c>
      <c r="BE1509" s="192" t="s">
        <v>339</v>
      </c>
      <c r="BH1509" s="94">
        <v>44284</v>
      </c>
      <c r="BI1509" s="95" t="s">
        <v>230</v>
      </c>
      <c r="BJ1509" s="96">
        <v>12.66</v>
      </c>
    </row>
    <row r="1510" spans="54:62" ht="15">
      <c r="BB1510" s="187">
        <v>44228</v>
      </c>
      <c r="BC1510" s="180">
        <v>-0.52800000000000002</v>
      </c>
      <c r="BD1510" s="191">
        <v>44228</v>
      </c>
      <c r="BE1510" s="192" t="s">
        <v>319</v>
      </c>
      <c r="BH1510" s="94">
        <v>44285</v>
      </c>
      <c r="BI1510" s="95" t="s">
        <v>355</v>
      </c>
      <c r="BJ1510" s="96">
        <v>12.65</v>
      </c>
    </row>
    <row r="1511" spans="54:62" ht="15">
      <c r="BB1511" s="187">
        <v>44229</v>
      </c>
      <c r="BC1511" s="180">
        <v>-0.52600000000000002</v>
      </c>
      <c r="BD1511" s="191">
        <v>44229</v>
      </c>
      <c r="BE1511" s="192" t="s">
        <v>340</v>
      </c>
      <c r="BH1511" s="94">
        <v>44286</v>
      </c>
      <c r="BI1511" s="95" t="s">
        <v>281</v>
      </c>
      <c r="BJ1511" s="96">
        <v>12.64</v>
      </c>
    </row>
    <row r="1512" spans="54:62" ht="15">
      <c r="BB1512" s="187">
        <v>44230</v>
      </c>
      <c r="BC1512" s="180">
        <v>-0.52100000000000002</v>
      </c>
      <c r="BD1512" s="191">
        <v>44230</v>
      </c>
      <c r="BE1512" s="192" t="s">
        <v>341</v>
      </c>
      <c r="BH1512" s="94">
        <v>44287</v>
      </c>
      <c r="BI1512" s="95" t="s">
        <v>355</v>
      </c>
      <c r="BJ1512" s="96">
        <v>12.64</v>
      </c>
    </row>
    <row r="1513" spans="54:62" ht="15">
      <c r="BB1513" s="187">
        <v>44231</v>
      </c>
      <c r="BC1513" s="180">
        <v>-0.52500000000000002</v>
      </c>
      <c r="BD1513" s="191">
        <v>44231</v>
      </c>
      <c r="BE1513" s="192" t="s">
        <v>181</v>
      </c>
      <c r="BH1513" s="94">
        <v>44288</v>
      </c>
      <c r="BI1513" s="95" t="s">
        <v>230</v>
      </c>
      <c r="BJ1513" s="96">
        <v>12.64</v>
      </c>
    </row>
    <row r="1514" spans="54:62" ht="15">
      <c r="BB1514" s="187">
        <v>44232</v>
      </c>
      <c r="BC1514" s="180">
        <v>-0.51900000000000002</v>
      </c>
      <c r="BD1514" s="191">
        <v>44232</v>
      </c>
      <c r="BE1514" s="192" t="s">
        <v>169</v>
      </c>
      <c r="BH1514" s="94">
        <v>44292</v>
      </c>
      <c r="BI1514" s="95" t="s">
        <v>356</v>
      </c>
      <c r="BJ1514" s="96">
        <v>12.63</v>
      </c>
    </row>
    <row r="1515" spans="54:62" ht="15">
      <c r="BB1515" s="187">
        <v>44235</v>
      </c>
      <c r="BC1515" s="180">
        <v>-0.52100000000000002</v>
      </c>
      <c r="BD1515" s="191">
        <v>44235</v>
      </c>
      <c r="BE1515" s="192" t="s">
        <v>182</v>
      </c>
      <c r="BH1515" s="94">
        <v>44293</v>
      </c>
      <c r="BI1515" s="95" t="s">
        <v>250</v>
      </c>
      <c r="BJ1515" s="96">
        <v>12.62</v>
      </c>
    </row>
    <row r="1516" spans="54:62" ht="15">
      <c r="BB1516" s="187">
        <v>44236</v>
      </c>
      <c r="BC1516" s="180">
        <v>-0.52300000000000002</v>
      </c>
      <c r="BD1516" s="191">
        <v>44236</v>
      </c>
      <c r="BE1516" s="192" t="s">
        <v>342</v>
      </c>
      <c r="BH1516" s="94">
        <v>44294</v>
      </c>
      <c r="BI1516" s="95" t="s">
        <v>357</v>
      </c>
      <c r="BJ1516" s="96">
        <v>12.65</v>
      </c>
    </row>
    <row r="1517" spans="54:62" ht="15">
      <c r="BB1517" s="187">
        <v>44237</v>
      </c>
      <c r="BC1517" s="180">
        <v>-0.52200000000000002</v>
      </c>
      <c r="BD1517" s="191">
        <v>44237</v>
      </c>
      <c r="BE1517" s="192" t="s">
        <v>343</v>
      </c>
      <c r="BH1517" s="94">
        <v>44295</v>
      </c>
      <c r="BI1517" s="95" t="s">
        <v>357</v>
      </c>
      <c r="BJ1517" s="96">
        <v>12.65</v>
      </c>
    </row>
    <row r="1518" spans="54:62" ht="15">
      <c r="BB1518" s="187">
        <v>44238</v>
      </c>
      <c r="BC1518" s="180">
        <v>-0.52100000000000002</v>
      </c>
      <c r="BD1518" s="191">
        <v>44238</v>
      </c>
      <c r="BE1518" s="192" t="s">
        <v>344</v>
      </c>
      <c r="BH1518" s="94">
        <v>44298</v>
      </c>
      <c r="BI1518" s="95" t="s">
        <v>357</v>
      </c>
      <c r="BJ1518" s="96">
        <v>12.64</v>
      </c>
    </row>
    <row r="1519" spans="54:62" ht="15">
      <c r="BB1519" s="187">
        <v>44239</v>
      </c>
      <c r="BC1519" s="180">
        <v>-0.52200000000000002</v>
      </c>
      <c r="BD1519" s="191">
        <v>44239</v>
      </c>
      <c r="BE1519" s="192" t="s">
        <v>183</v>
      </c>
      <c r="BH1519" s="94">
        <v>44299</v>
      </c>
      <c r="BI1519" s="95" t="s">
        <v>230</v>
      </c>
      <c r="BJ1519" s="96">
        <v>12.64</v>
      </c>
    </row>
    <row r="1520" spans="54:62" ht="15">
      <c r="BB1520" s="187">
        <v>44242</v>
      </c>
      <c r="BC1520" s="180">
        <v>-0.52100000000000002</v>
      </c>
      <c r="BD1520" s="191">
        <v>44242</v>
      </c>
      <c r="BE1520" s="192" t="s">
        <v>167</v>
      </c>
      <c r="BH1520" s="94">
        <v>44300</v>
      </c>
      <c r="BI1520" s="95" t="s">
        <v>281</v>
      </c>
      <c r="BJ1520" s="96">
        <v>12.62</v>
      </c>
    </row>
    <row r="1521" spans="54:62" ht="15">
      <c r="BB1521" s="187">
        <v>44243</v>
      </c>
      <c r="BC1521" s="180">
        <v>-0.52</v>
      </c>
      <c r="BD1521" s="191">
        <v>44243</v>
      </c>
      <c r="BE1521" s="192" t="s">
        <v>184</v>
      </c>
      <c r="BH1521" s="94">
        <v>44301</v>
      </c>
      <c r="BI1521" s="95" t="s">
        <v>358</v>
      </c>
      <c r="BJ1521" s="96">
        <v>12.62</v>
      </c>
    </row>
    <row r="1522" spans="54:62" ht="15">
      <c r="BB1522" s="187">
        <v>44244</v>
      </c>
      <c r="BC1522" s="180">
        <v>-0.52100000000000002</v>
      </c>
      <c r="BD1522" s="191">
        <v>44244</v>
      </c>
      <c r="BE1522" s="192" t="s">
        <v>185</v>
      </c>
      <c r="BH1522" s="94">
        <v>44302</v>
      </c>
      <c r="BI1522" s="95" t="s">
        <v>203</v>
      </c>
      <c r="BJ1522" s="96">
        <v>12.62</v>
      </c>
    </row>
    <row r="1523" spans="54:62" ht="15">
      <c r="BB1523" s="187">
        <v>44245</v>
      </c>
      <c r="BC1523" s="180">
        <v>-0.51800000000000002</v>
      </c>
      <c r="BD1523" s="191">
        <v>44245</v>
      </c>
      <c r="BE1523" s="192" t="s">
        <v>165</v>
      </c>
      <c r="BH1523" s="94">
        <v>44305</v>
      </c>
      <c r="BI1523" s="95" t="s">
        <v>358</v>
      </c>
      <c r="BJ1523" s="96">
        <v>12.61</v>
      </c>
    </row>
    <row r="1524" spans="54:62" ht="15">
      <c r="BB1524" s="187">
        <v>44246</v>
      </c>
      <c r="BC1524" s="180">
        <v>-0.51700000000000002</v>
      </c>
      <c r="BD1524" s="191">
        <v>44246</v>
      </c>
      <c r="BE1524" s="192" t="s">
        <v>303</v>
      </c>
      <c r="BH1524" s="94">
        <v>44306</v>
      </c>
      <c r="BI1524" s="95" t="s">
        <v>359</v>
      </c>
      <c r="BJ1524" s="96">
        <v>13.21</v>
      </c>
    </row>
    <row r="1525" spans="54:62" ht="15">
      <c r="BB1525" s="187">
        <v>44249</v>
      </c>
      <c r="BC1525" s="180">
        <v>-0.51600000000000001</v>
      </c>
      <c r="BD1525" s="191">
        <v>44249</v>
      </c>
      <c r="BE1525" s="192" t="s">
        <v>189</v>
      </c>
      <c r="BH1525" s="94">
        <v>44307</v>
      </c>
      <c r="BI1525" s="95" t="s">
        <v>360</v>
      </c>
      <c r="BJ1525" s="96">
        <v>13.24</v>
      </c>
    </row>
    <row r="1526" spans="54:62" ht="15">
      <c r="BB1526" s="187">
        <v>44250</v>
      </c>
      <c r="BC1526" s="180">
        <v>-0.51700000000000002</v>
      </c>
      <c r="BD1526" s="191">
        <v>44250</v>
      </c>
      <c r="BE1526" s="192" t="s">
        <v>245</v>
      </c>
      <c r="BH1526" s="94">
        <v>44308</v>
      </c>
      <c r="BI1526" s="95" t="s">
        <v>271</v>
      </c>
      <c r="BJ1526" s="96">
        <v>13.23</v>
      </c>
    </row>
    <row r="1527" spans="54:62" ht="15">
      <c r="BB1527" s="187">
        <v>44251</v>
      </c>
      <c r="BC1527" s="180">
        <v>-0.51800000000000002</v>
      </c>
      <c r="BD1527" s="191">
        <v>44251</v>
      </c>
      <c r="BE1527" s="192" t="s">
        <v>162</v>
      </c>
      <c r="BH1527" s="94">
        <v>44309</v>
      </c>
      <c r="BI1527" s="95" t="s">
        <v>361</v>
      </c>
      <c r="BJ1527" s="96">
        <v>13.23</v>
      </c>
    </row>
    <row r="1528" spans="54:62" ht="15">
      <c r="BB1528" s="187">
        <v>44252</v>
      </c>
      <c r="BC1528" s="180">
        <v>-0.51800000000000002</v>
      </c>
      <c r="BD1528" s="191">
        <v>44252</v>
      </c>
      <c r="BE1528" s="192" t="s">
        <v>345</v>
      </c>
      <c r="BH1528" s="94">
        <v>44312</v>
      </c>
      <c r="BI1528" s="95" t="s">
        <v>252</v>
      </c>
      <c r="BJ1528" s="96">
        <v>13.22</v>
      </c>
    </row>
    <row r="1529" spans="54:62" ht="15">
      <c r="BB1529" s="187">
        <v>44253</v>
      </c>
      <c r="BC1529" s="180">
        <v>-0.51600000000000001</v>
      </c>
      <c r="BD1529" s="191">
        <v>44253</v>
      </c>
      <c r="BE1529" s="192" t="s">
        <v>197</v>
      </c>
      <c r="BH1529" s="94">
        <v>44313</v>
      </c>
      <c r="BI1529" s="95" t="s">
        <v>273</v>
      </c>
      <c r="BJ1529" s="96">
        <v>13.22</v>
      </c>
    </row>
    <row r="1530" spans="54:62" ht="15">
      <c r="BB1530" s="187">
        <v>44256</v>
      </c>
      <c r="BC1530" s="180">
        <v>-0.50800000000000001</v>
      </c>
      <c r="BD1530" s="191">
        <v>44256</v>
      </c>
      <c r="BE1530" s="192" t="s">
        <v>235</v>
      </c>
      <c r="BH1530" s="94">
        <v>44314</v>
      </c>
      <c r="BI1530" s="95" t="s">
        <v>275</v>
      </c>
      <c r="BJ1530" s="96">
        <v>13.22</v>
      </c>
    </row>
    <row r="1531" spans="54:62" ht="15">
      <c r="BB1531" s="187">
        <v>44257</v>
      </c>
      <c r="BC1531" s="180">
        <v>-0.51600000000000001</v>
      </c>
      <c r="BD1531" s="191">
        <v>44257</v>
      </c>
      <c r="BE1531" s="192" t="s">
        <v>234</v>
      </c>
      <c r="BH1531" s="94">
        <v>44315</v>
      </c>
      <c r="BI1531" s="95" t="s">
        <v>152</v>
      </c>
      <c r="BJ1531" s="96">
        <v>13.2</v>
      </c>
    </row>
    <row r="1532" spans="54:62" ht="15">
      <c r="BB1532" s="187">
        <v>44258</v>
      </c>
      <c r="BC1532" s="180">
        <v>-0.51700000000000002</v>
      </c>
      <c r="BD1532" s="191">
        <v>44258</v>
      </c>
      <c r="BE1532" s="192" t="s">
        <v>346</v>
      </c>
      <c r="BH1532" s="94">
        <v>44316</v>
      </c>
      <c r="BI1532" s="95" t="s">
        <v>362</v>
      </c>
      <c r="BJ1532" s="96">
        <v>13.2</v>
      </c>
    </row>
    <row r="1533" spans="54:62" ht="15">
      <c r="BB1533" s="187">
        <v>44259</v>
      </c>
      <c r="BC1533" s="180">
        <v>-0.51800000000000002</v>
      </c>
      <c r="BD1533" s="191">
        <v>44259</v>
      </c>
      <c r="BE1533" s="192" t="s">
        <v>347</v>
      </c>
      <c r="BH1533" s="94">
        <v>44319</v>
      </c>
      <c r="BI1533" s="95" t="s">
        <v>150</v>
      </c>
      <c r="BJ1533" s="96">
        <v>13.19</v>
      </c>
    </row>
    <row r="1534" spans="54:62" ht="15">
      <c r="BB1534" s="187">
        <v>44260</v>
      </c>
      <c r="BC1534" s="180">
        <v>-0.51400000000000001</v>
      </c>
      <c r="BD1534" s="191">
        <v>44260</v>
      </c>
      <c r="BE1534" s="192" t="s">
        <v>201</v>
      </c>
      <c r="BH1534" s="94">
        <v>44320</v>
      </c>
      <c r="BI1534" s="95" t="s">
        <v>149</v>
      </c>
      <c r="BJ1534" s="96">
        <v>13.19</v>
      </c>
    </row>
    <row r="1535" spans="54:62" ht="15">
      <c r="BB1535" s="187">
        <v>44263</v>
      </c>
      <c r="BC1535" s="180">
        <v>-0.51500000000000001</v>
      </c>
      <c r="BD1535" s="191">
        <v>44263</v>
      </c>
      <c r="BE1535" s="192" t="s">
        <v>348</v>
      </c>
      <c r="BH1535" s="94">
        <v>44321</v>
      </c>
      <c r="BI1535" s="95" t="s">
        <v>148</v>
      </c>
      <c r="BJ1535" s="96">
        <v>13.18</v>
      </c>
    </row>
    <row r="1536" spans="54:62" ht="15">
      <c r="BB1536" s="187">
        <v>44264</v>
      </c>
      <c r="BC1536" s="180">
        <v>-0.51800000000000002</v>
      </c>
      <c r="BD1536" s="191">
        <v>44264</v>
      </c>
      <c r="BE1536" s="192" t="s">
        <v>349</v>
      </c>
      <c r="BH1536" s="94">
        <v>44322</v>
      </c>
      <c r="BI1536" s="95" t="s">
        <v>225</v>
      </c>
      <c r="BJ1536" s="96">
        <v>13.21</v>
      </c>
    </row>
    <row r="1537" spans="54:62" ht="15">
      <c r="BB1537" s="187">
        <v>44265</v>
      </c>
      <c r="BC1537" s="180">
        <v>-0.52</v>
      </c>
      <c r="BD1537" s="191">
        <v>44265</v>
      </c>
      <c r="BE1537" s="192" t="s">
        <v>350</v>
      </c>
      <c r="BH1537" s="94">
        <v>44323</v>
      </c>
      <c r="BI1537" s="95" t="s">
        <v>224</v>
      </c>
      <c r="BJ1537" s="96">
        <v>13.25</v>
      </c>
    </row>
    <row r="1538" spans="54:62" ht="15">
      <c r="BB1538" s="187">
        <v>44266</v>
      </c>
      <c r="BC1538" s="180">
        <v>-0.51800000000000002</v>
      </c>
      <c r="BD1538" s="191">
        <v>44266</v>
      </c>
      <c r="BE1538" s="192" t="s">
        <v>281</v>
      </c>
      <c r="BH1538" s="94">
        <v>44326</v>
      </c>
      <c r="BI1538" s="95" t="s">
        <v>93</v>
      </c>
      <c r="BJ1538" s="96">
        <v>13.23</v>
      </c>
    </row>
    <row r="1539" spans="54:62" ht="15">
      <c r="BB1539" s="187">
        <v>44267</v>
      </c>
      <c r="BC1539" s="180">
        <v>-0.51400000000000001</v>
      </c>
      <c r="BD1539" s="191">
        <v>44267</v>
      </c>
      <c r="BE1539" s="192" t="s">
        <v>351</v>
      </c>
      <c r="BH1539" s="94">
        <v>44327</v>
      </c>
      <c r="BI1539" s="95" t="s">
        <v>89</v>
      </c>
      <c r="BJ1539" s="96">
        <v>13.23</v>
      </c>
    </row>
    <row r="1540" spans="54:62" ht="15">
      <c r="BB1540" s="187">
        <v>44270</v>
      </c>
      <c r="BC1540" s="180">
        <v>-0.51500000000000001</v>
      </c>
      <c r="BD1540" s="191">
        <v>44270</v>
      </c>
      <c r="BE1540" s="192" t="s">
        <v>280</v>
      </c>
      <c r="BH1540" s="94">
        <v>44328</v>
      </c>
      <c r="BI1540" s="95" t="s">
        <v>216</v>
      </c>
      <c r="BJ1540" s="96">
        <v>13.23</v>
      </c>
    </row>
    <row r="1541" spans="54:62" ht="15">
      <c r="BB1541" s="187">
        <v>44271</v>
      </c>
      <c r="BC1541" s="180">
        <v>-0.52</v>
      </c>
      <c r="BD1541" s="191">
        <v>44271</v>
      </c>
      <c r="BE1541" s="192" t="s">
        <v>251</v>
      </c>
      <c r="BH1541" s="94">
        <v>44330</v>
      </c>
      <c r="BI1541" s="95" t="s">
        <v>86</v>
      </c>
      <c r="BJ1541" s="96">
        <v>13.26</v>
      </c>
    </row>
    <row r="1542" spans="54:62" ht="15">
      <c r="BB1542" s="187">
        <v>44272</v>
      </c>
      <c r="BC1542" s="180">
        <v>-0.52</v>
      </c>
      <c r="BD1542" s="191">
        <v>44272</v>
      </c>
      <c r="BE1542" s="192" t="s">
        <v>352</v>
      </c>
      <c r="BH1542" s="94">
        <v>44333</v>
      </c>
      <c r="BI1542" s="95" t="s">
        <v>217</v>
      </c>
      <c r="BJ1542" s="96">
        <v>13.25</v>
      </c>
    </row>
    <row r="1543" spans="54:62" ht="15">
      <c r="BB1543" s="187">
        <v>44273</v>
      </c>
      <c r="BC1543" s="180">
        <v>-0.51900000000000002</v>
      </c>
      <c r="BD1543" s="191">
        <v>44273</v>
      </c>
      <c r="BE1543" s="192" t="s">
        <v>204</v>
      </c>
      <c r="BH1543" s="94">
        <v>44334</v>
      </c>
      <c r="BI1543" s="95" t="s">
        <v>80</v>
      </c>
      <c r="BJ1543" s="96">
        <v>13.24</v>
      </c>
    </row>
    <row r="1544" spans="54:62" ht="15">
      <c r="BB1544" s="187">
        <v>44274</v>
      </c>
      <c r="BC1544" s="180">
        <v>-0.51500000000000001</v>
      </c>
      <c r="BD1544" s="191">
        <v>44274</v>
      </c>
      <c r="BE1544" s="192" t="s">
        <v>204</v>
      </c>
      <c r="BH1544" s="94">
        <v>44335</v>
      </c>
      <c r="BI1544" s="95" t="s">
        <v>103</v>
      </c>
      <c r="BJ1544" s="96">
        <v>13.24</v>
      </c>
    </row>
    <row r="1545" spans="54:62" ht="15">
      <c r="BB1545" s="187">
        <v>44277</v>
      </c>
      <c r="BC1545" s="180">
        <v>-0.51800000000000002</v>
      </c>
      <c r="BD1545" s="191">
        <v>44277</v>
      </c>
      <c r="BE1545" s="192" t="s">
        <v>204</v>
      </c>
      <c r="BH1545" s="94">
        <v>44336</v>
      </c>
      <c r="BI1545" s="95" t="s">
        <v>97</v>
      </c>
      <c r="BJ1545" s="96">
        <v>13.24</v>
      </c>
    </row>
    <row r="1546" spans="54:62" ht="15">
      <c r="BB1546" s="187">
        <v>44278</v>
      </c>
      <c r="BC1546" s="180">
        <v>-0.51800000000000002</v>
      </c>
      <c r="BD1546" s="191">
        <v>44278</v>
      </c>
      <c r="BE1546" s="192" t="s">
        <v>353</v>
      </c>
      <c r="BH1546" s="94">
        <v>44337</v>
      </c>
      <c r="BI1546" s="95" t="s">
        <v>99</v>
      </c>
      <c r="BJ1546" s="96">
        <v>13.23</v>
      </c>
    </row>
    <row r="1547" spans="54:62" ht="15">
      <c r="BB1547" s="187">
        <v>44279</v>
      </c>
      <c r="BC1547" s="180">
        <v>-0.51600000000000001</v>
      </c>
      <c r="BD1547" s="191">
        <v>44279</v>
      </c>
      <c r="BE1547" s="192" t="s">
        <v>279</v>
      </c>
      <c r="BH1547" s="94">
        <v>44341</v>
      </c>
      <c r="BI1547" s="95" t="s">
        <v>101</v>
      </c>
      <c r="BJ1547" s="96">
        <v>13.22</v>
      </c>
    </row>
    <row r="1548" spans="54:62" ht="15">
      <c r="BB1548" s="187">
        <v>44280</v>
      </c>
      <c r="BC1548" s="180">
        <v>-0.51400000000000001</v>
      </c>
      <c r="BD1548" s="191">
        <v>44280</v>
      </c>
      <c r="BE1548" s="192" t="s">
        <v>354</v>
      </c>
      <c r="BH1548" s="94">
        <v>44342</v>
      </c>
      <c r="BI1548" s="95" t="s">
        <v>108</v>
      </c>
      <c r="BJ1548" s="96">
        <v>13.22</v>
      </c>
    </row>
    <row r="1549" spans="54:62" ht="15">
      <c r="BB1549" s="187">
        <v>44281</v>
      </c>
      <c r="BC1549" s="180">
        <v>-0.51400000000000001</v>
      </c>
      <c r="BD1549" s="191">
        <v>44281</v>
      </c>
      <c r="BE1549" s="192" t="s">
        <v>281</v>
      </c>
      <c r="BH1549" s="94">
        <v>44343</v>
      </c>
      <c r="BI1549" s="95" t="s">
        <v>142</v>
      </c>
      <c r="BJ1549" s="96">
        <v>13.21</v>
      </c>
    </row>
    <row r="1550" spans="54:62" ht="15">
      <c r="BB1550" s="187">
        <v>44284</v>
      </c>
      <c r="BC1550" s="180">
        <v>-0.51300000000000001</v>
      </c>
      <c r="BD1550" s="191">
        <v>44284</v>
      </c>
      <c r="BE1550" s="192" t="s">
        <v>230</v>
      </c>
      <c r="BH1550" s="94">
        <v>44344</v>
      </c>
      <c r="BI1550" s="95" t="s">
        <v>363</v>
      </c>
      <c r="BJ1550" s="96">
        <v>13.21</v>
      </c>
    </row>
    <row r="1551" spans="54:62" ht="15">
      <c r="BB1551" s="187">
        <v>44285</v>
      </c>
      <c r="BC1551" s="180">
        <v>-0.51900000000000002</v>
      </c>
      <c r="BD1551" s="191">
        <v>44285</v>
      </c>
      <c r="BE1551" s="192" t="s">
        <v>355</v>
      </c>
      <c r="BH1551" s="94">
        <v>44347</v>
      </c>
      <c r="BI1551" s="95" t="s">
        <v>364</v>
      </c>
      <c r="BJ1551" s="96">
        <v>13.29</v>
      </c>
    </row>
    <row r="1552" spans="54:62" ht="15">
      <c r="BB1552" s="187">
        <v>44286</v>
      </c>
      <c r="BC1552" s="180">
        <v>-0.50900000000000001</v>
      </c>
      <c r="BD1552" s="191">
        <v>44286</v>
      </c>
      <c r="BE1552" s="192" t="s">
        <v>281</v>
      </c>
      <c r="BH1552" s="94">
        <v>44348</v>
      </c>
      <c r="BI1552" s="95" t="s">
        <v>365</v>
      </c>
      <c r="BJ1552" s="96">
        <v>13.29</v>
      </c>
    </row>
    <row r="1553" spans="54:62" ht="15">
      <c r="BB1553" s="187">
        <v>44287</v>
      </c>
      <c r="BC1553" s="180">
        <v>-0.51200000000000001</v>
      </c>
      <c r="BD1553" s="191">
        <v>44287</v>
      </c>
      <c r="BE1553" s="192" t="s">
        <v>355</v>
      </c>
      <c r="BH1553" s="94">
        <v>44349</v>
      </c>
      <c r="BI1553" s="95" t="s">
        <v>364</v>
      </c>
      <c r="BJ1553" s="96">
        <v>13.28</v>
      </c>
    </row>
    <row r="1554" spans="54:62" ht="15">
      <c r="BB1554" s="187">
        <v>44288</v>
      </c>
      <c r="BC1554" s="180">
        <v>-0.51200000000000001</v>
      </c>
      <c r="BD1554" s="191">
        <v>44288</v>
      </c>
      <c r="BE1554" s="192" t="s">
        <v>230</v>
      </c>
      <c r="BH1554" s="94">
        <v>44351</v>
      </c>
      <c r="BI1554" s="95" t="s">
        <v>111</v>
      </c>
      <c r="BJ1554" s="96">
        <v>13.28</v>
      </c>
    </row>
    <row r="1555" spans="54:62" ht="15">
      <c r="BB1555" s="187">
        <v>44291</v>
      </c>
      <c r="BC1555" s="180">
        <v>-0.51200000000000001</v>
      </c>
      <c r="BD1555" s="191"/>
      <c r="BE1555" s="193" t="str">
        <f>+BE1554</f>
        <v>−0,265</v>
      </c>
      <c r="BH1555" s="94">
        <v>44354</v>
      </c>
      <c r="BI1555" s="95" t="s">
        <v>141</v>
      </c>
      <c r="BJ1555" s="96">
        <v>13.27</v>
      </c>
    </row>
    <row r="1556" spans="54:62" ht="15">
      <c r="BB1556" s="187">
        <v>44292</v>
      </c>
      <c r="BC1556" s="180">
        <v>-0.51700000000000002</v>
      </c>
      <c r="BD1556" s="191">
        <v>44292</v>
      </c>
      <c r="BE1556" s="192" t="s">
        <v>356</v>
      </c>
      <c r="BH1556" s="94">
        <v>44355</v>
      </c>
      <c r="BI1556" s="95" t="s">
        <v>366</v>
      </c>
      <c r="BJ1556" s="96">
        <v>13.27</v>
      </c>
    </row>
    <row r="1557" spans="54:62" ht="15">
      <c r="BB1557" s="187">
        <v>44293</v>
      </c>
      <c r="BC1557" s="180">
        <v>-0.51700000000000002</v>
      </c>
      <c r="BD1557" s="191">
        <v>44293</v>
      </c>
      <c r="BE1557" s="192" t="s">
        <v>250</v>
      </c>
      <c r="BH1557" s="94">
        <v>44356</v>
      </c>
      <c r="BI1557" s="95" t="s">
        <v>141</v>
      </c>
      <c r="BJ1557" s="96">
        <v>13.25</v>
      </c>
    </row>
    <row r="1558" spans="54:62" ht="15">
      <c r="BB1558" s="187">
        <v>44294</v>
      </c>
      <c r="BC1558" s="180">
        <v>-0.51800000000000002</v>
      </c>
      <c r="BD1558" s="191">
        <v>44294</v>
      </c>
      <c r="BE1558" s="192" t="s">
        <v>357</v>
      </c>
      <c r="BH1558" s="94">
        <v>44357</v>
      </c>
      <c r="BI1558" s="95" t="s">
        <v>365</v>
      </c>
      <c r="BJ1558" s="96">
        <v>13.21</v>
      </c>
    </row>
    <row r="1559" spans="54:62" ht="15">
      <c r="BB1559" s="187">
        <v>44295</v>
      </c>
      <c r="BC1559" s="180">
        <v>-0.52200000000000002</v>
      </c>
      <c r="BD1559" s="191">
        <v>44295</v>
      </c>
      <c r="BE1559" s="192" t="s">
        <v>357</v>
      </c>
      <c r="BH1559" s="94">
        <v>44358</v>
      </c>
      <c r="BI1559" s="95" t="s">
        <v>72</v>
      </c>
      <c r="BJ1559" s="96">
        <v>13.21</v>
      </c>
    </row>
    <row r="1560" spans="54:62" ht="15">
      <c r="BB1560" s="187">
        <v>44298</v>
      </c>
      <c r="BC1560" s="180">
        <v>-0.51700000000000002</v>
      </c>
      <c r="BD1560" s="191">
        <v>44298</v>
      </c>
      <c r="BE1560" s="192" t="s">
        <v>357</v>
      </c>
      <c r="BH1560" s="94">
        <v>44361</v>
      </c>
      <c r="BI1560" s="95" t="s">
        <v>108</v>
      </c>
      <c r="BJ1560" s="96">
        <v>13.2</v>
      </c>
    </row>
    <row r="1561" spans="54:62" ht="15">
      <c r="BB1561" s="187">
        <v>44299</v>
      </c>
      <c r="BC1561" s="180">
        <v>-0.52300000000000002</v>
      </c>
      <c r="BD1561" s="191">
        <v>44299</v>
      </c>
      <c r="BE1561" s="192" t="s">
        <v>230</v>
      </c>
      <c r="BH1561" s="94">
        <v>44362</v>
      </c>
      <c r="BI1561" s="95" t="s">
        <v>74</v>
      </c>
      <c r="BJ1561" s="96">
        <v>13.2</v>
      </c>
    </row>
    <row r="1562" spans="54:62" ht="15">
      <c r="BB1562" s="187">
        <v>44300</v>
      </c>
      <c r="BC1562" s="180">
        <v>-0.50900000000000001</v>
      </c>
      <c r="BD1562" s="191">
        <v>44300</v>
      </c>
      <c r="BE1562" s="192" t="s">
        <v>281</v>
      </c>
      <c r="BH1562" s="94">
        <v>44363</v>
      </c>
      <c r="BI1562" s="95" t="s">
        <v>98</v>
      </c>
      <c r="BJ1562" s="96">
        <v>13.19</v>
      </c>
    </row>
    <row r="1563" spans="54:62" ht="15">
      <c r="BB1563" s="187">
        <v>44301</v>
      </c>
      <c r="BC1563" s="180">
        <v>-0.51200000000000001</v>
      </c>
      <c r="BD1563" s="191">
        <v>44301</v>
      </c>
      <c r="BE1563" s="192" t="s">
        <v>358</v>
      </c>
      <c r="BH1563" s="94">
        <v>44364</v>
      </c>
      <c r="BI1563" s="95" t="s">
        <v>77</v>
      </c>
      <c r="BJ1563" s="96">
        <v>13.18</v>
      </c>
    </row>
    <row r="1564" spans="54:62" ht="15">
      <c r="BB1564" s="187">
        <v>44302</v>
      </c>
      <c r="BC1564" s="180">
        <v>-0.51100000000000001</v>
      </c>
      <c r="BD1564" s="191">
        <v>44302</v>
      </c>
      <c r="BE1564" s="192" t="s">
        <v>203</v>
      </c>
      <c r="BH1564" s="94">
        <v>44365</v>
      </c>
      <c r="BI1564" s="95" t="s">
        <v>103</v>
      </c>
      <c r="BJ1564" s="96">
        <v>13.18</v>
      </c>
    </row>
    <row r="1565" spans="54:62" ht="15">
      <c r="BB1565" s="187">
        <v>44305</v>
      </c>
      <c r="BC1565" s="180">
        <v>-0.51300000000000001</v>
      </c>
      <c r="BD1565" s="191">
        <v>44305</v>
      </c>
      <c r="BE1565" s="192" t="s">
        <v>358</v>
      </c>
      <c r="BH1565" s="94">
        <v>44368</v>
      </c>
      <c r="BI1565" s="95" t="s">
        <v>367</v>
      </c>
      <c r="BJ1565" s="96">
        <v>13.17</v>
      </c>
    </row>
    <row r="1566" spans="54:62" ht="15">
      <c r="BB1566" s="187">
        <v>44306</v>
      </c>
      <c r="BC1566" s="180">
        <v>-0.51300000000000001</v>
      </c>
      <c r="BD1566" s="191">
        <v>44306</v>
      </c>
      <c r="BE1566" s="192" t="s">
        <v>359</v>
      </c>
      <c r="BH1566" s="94">
        <v>44369</v>
      </c>
      <c r="BI1566" s="95" t="s">
        <v>219</v>
      </c>
      <c r="BJ1566" s="96">
        <v>13.16</v>
      </c>
    </row>
    <row r="1567" spans="54:62" ht="15">
      <c r="BB1567" s="187">
        <v>44307</v>
      </c>
      <c r="BC1567" s="180">
        <v>-0.51300000000000001</v>
      </c>
      <c r="BD1567" s="191">
        <v>44307</v>
      </c>
      <c r="BE1567" s="192" t="s">
        <v>360</v>
      </c>
      <c r="BH1567" s="94">
        <v>44370</v>
      </c>
      <c r="BI1567" s="95" t="s">
        <v>82</v>
      </c>
      <c r="BJ1567" s="96">
        <v>13.16</v>
      </c>
    </row>
    <row r="1568" spans="54:62" ht="15">
      <c r="BB1568" s="187">
        <v>44308</v>
      </c>
      <c r="BC1568" s="180">
        <v>-0.51500000000000001</v>
      </c>
      <c r="BD1568" s="191">
        <v>44308</v>
      </c>
      <c r="BE1568" s="192" t="s">
        <v>271</v>
      </c>
      <c r="BH1568" s="94">
        <v>44371</v>
      </c>
      <c r="BI1568" s="95" t="s">
        <v>82</v>
      </c>
      <c r="BJ1568" s="96">
        <v>13.16</v>
      </c>
    </row>
    <row r="1569" spans="54:62" ht="15">
      <c r="BB1569" s="187">
        <v>44309</v>
      </c>
      <c r="BC1569" s="180">
        <v>-0.51500000000000001</v>
      </c>
      <c r="BD1569" s="191">
        <v>44309</v>
      </c>
      <c r="BE1569" s="192" t="s">
        <v>361</v>
      </c>
      <c r="BH1569" s="94">
        <v>44372</v>
      </c>
      <c r="BI1569" s="95" t="s">
        <v>82</v>
      </c>
      <c r="BJ1569" s="96">
        <v>13.16</v>
      </c>
    </row>
    <row r="1570" spans="54:62" ht="15">
      <c r="BB1570" s="187">
        <v>44312</v>
      </c>
      <c r="BC1570" s="180">
        <v>-0.51400000000000001</v>
      </c>
      <c r="BD1570" s="191">
        <v>44312</v>
      </c>
      <c r="BE1570" s="192" t="s">
        <v>252</v>
      </c>
      <c r="BH1570" s="94">
        <v>44375</v>
      </c>
      <c r="BI1570" s="95" t="s">
        <v>82</v>
      </c>
      <c r="BJ1570" s="96">
        <v>13.15</v>
      </c>
    </row>
    <row r="1571" spans="54:62" ht="15">
      <c r="BB1571" s="187">
        <v>44313</v>
      </c>
      <c r="BC1571" s="180">
        <v>-0.51800000000000002</v>
      </c>
      <c r="BD1571" s="191">
        <v>44313</v>
      </c>
      <c r="BE1571" s="192" t="s">
        <v>273</v>
      </c>
      <c r="BH1571" s="94">
        <v>44376</v>
      </c>
      <c r="BI1571" s="95" t="s">
        <v>82</v>
      </c>
      <c r="BJ1571" s="96">
        <v>13.15</v>
      </c>
    </row>
    <row r="1572" spans="54:62" ht="15">
      <c r="BB1572" s="187">
        <v>44314</v>
      </c>
      <c r="BC1572" s="180">
        <v>-0.51800000000000002</v>
      </c>
      <c r="BD1572" s="191">
        <v>44314</v>
      </c>
      <c r="BE1572" s="192" t="s">
        <v>275</v>
      </c>
      <c r="BH1572" s="94">
        <v>44377</v>
      </c>
      <c r="BI1572" s="95" t="s">
        <v>368</v>
      </c>
      <c r="BJ1572" s="96">
        <v>13.14</v>
      </c>
    </row>
    <row r="1573" spans="54:62" ht="15">
      <c r="BB1573" s="187">
        <v>44315</v>
      </c>
      <c r="BC1573" s="180">
        <v>-0.51800000000000002</v>
      </c>
      <c r="BD1573" s="191">
        <v>44315</v>
      </c>
      <c r="BE1573" s="192" t="s">
        <v>152</v>
      </c>
      <c r="BH1573" s="94">
        <v>44378</v>
      </c>
      <c r="BI1573" s="95" t="s">
        <v>83</v>
      </c>
      <c r="BJ1573" s="96">
        <v>13.14</v>
      </c>
    </row>
    <row r="1574" spans="54:62" ht="15">
      <c r="BB1574" s="187">
        <v>44316</v>
      </c>
      <c r="BC1574" s="180">
        <v>-0.52100000000000002</v>
      </c>
      <c r="BD1574" s="191">
        <v>44316</v>
      </c>
      <c r="BE1574" s="192" t="s">
        <v>362</v>
      </c>
      <c r="BH1574" s="94">
        <v>44379</v>
      </c>
      <c r="BI1574" s="95" t="s">
        <v>223</v>
      </c>
      <c r="BJ1574" s="96">
        <v>13.14</v>
      </c>
    </row>
    <row r="1575" spans="54:62" ht="15">
      <c r="BB1575" s="187">
        <v>44319</v>
      </c>
      <c r="BC1575" s="180">
        <v>-0.51800000000000002</v>
      </c>
      <c r="BD1575" s="191">
        <v>44319</v>
      </c>
      <c r="BE1575" s="192">
        <v>-0.217</v>
      </c>
      <c r="BF1575" s="111">
        <f>+(BC1575+BE1575)/2+0.37</f>
        <v>2.5000000000000022E-3</v>
      </c>
      <c r="BH1575" s="94">
        <v>44382</v>
      </c>
      <c r="BI1575" s="95" t="s">
        <v>84</v>
      </c>
      <c r="BJ1575" s="96">
        <v>13.13</v>
      </c>
    </row>
    <row r="1576" spans="54:62" ht="15">
      <c r="BB1576" s="187">
        <v>44320</v>
      </c>
      <c r="BC1576" s="180">
        <v>-0.51600000000000001</v>
      </c>
      <c r="BD1576" s="191">
        <v>44320</v>
      </c>
      <c r="BE1576" s="192" t="s">
        <v>149</v>
      </c>
      <c r="BH1576" s="94">
        <v>44383</v>
      </c>
      <c r="BI1576" s="95" t="s">
        <v>369</v>
      </c>
      <c r="BJ1576" s="96">
        <v>13.13</v>
      </c>
    </row>
    <row r="1577" spans="54:62" ht="15">
      <c r="BB1577" s="187">
        <v>44321</v>
      </c>
      <c r="BC1577" s="180">
        <v>-0.51500000000000001</v>
      </c>
      <c r="BD1577" s="191">
        <v>44321</v>
      </c>
      <c r="BE1577" s="192" t="s">
        <v>148</v>
      </c>
      <c r="BH1577" s="94">
        <v>44384</v>
      </c>
      <c r="BI1577" s="95" t="s">
        <v>86</v>
      </c>
      <c r="BJ1577" s="96">
        <v>13.12</v>
      </c>
    </row>
    <row r="1578" spans="54:62" ht="15">
      <c r="BB1578" s="187">
        <v>44322</v>
      </c>
      <c r="BC1578" s="180">
        <v>-0.51300000000000001</v>
      </c>
      <c r="BD1578" s="191">
        <v>44322</v>
      </c>
      <c r="BE1578" s="192" t="s">
        <v>225</v>
      </c>
      <c r="BH1578" s="94">
        <v>44385</v>
      </c>
      <c r="BI1578" s="95" t="s">
        <v>215</v>
      </c>
      <c r="BJ1578" s="96">
        <v>13.08</v>
      </c>
    </row>
    <row r="1579" spans="54:62" ht="15">
      <c r="BB1579" s="187">
        <v>44323</v>
      </c>
      <c r="BC1579" s="180">
        <v>-0.51400000000000001</v>
      </c>
      <c r="BD1579" s="191">
        <v>44323</v>
      </c>
      <c r="BE1579" s="192" t="s">
        <v>224</v>
      </c>
      <c r="BH1579" s="94">
        <v>44386</v>
      </c>
      <c r="BI1579" s="95" t="s">
        <v>88</v>
      </c>
      <c r="BJ1579" s="96">
        <v>13.08</v>
      </c>
    </row>
    <row r="1580" spans="54:62" ht="15">
      <c r="BB1580" s="187">
        <v>44326</v>
      </c>
      <c r="BC1580" s="180">
        <v>-0.51300000000000001</v>
      </c>
      <c r="BD1580" s="191">
        <v>44326</v>
      </c>
      <c r="BE1580" s="192" t="s">
        <v>93</v>
      </c>
      <c r="BH1580" s="94">
        <v>44389</v>
      </c>
      <c r="BI1580" s="95" t="s">
        <v>214</v>
      </c>
      <c r="BJ1580" s="96">
        <v>13.07</v>
      </c>
    </row>
    <row r="1581" spans="54:62" ht="15">
      <c r="BB1581" s="187">
        <v>44327</v>
      </c>
      <c r="BC1581" s="180">
        <v>-0.51300000000000001</v>
      </c>
      <c r="BD1581" s="191">
        <v>44327</v>
      </c>
      <c r="BE1581" s="192" t="s">
        <v>89</v>
      </c>
      <c r="BH1581" s="94">
        <v>44390</v>
      </c>
      <c r="BI1581" s="95" t="s">
        <v>213</v>
      </c>
      <c r="BJ1581" s="96">
        <v>13.2</v>
      </c>
    </row>
    <row r="1582" spans="54:62" ht="15">
      <c r="BB1582" s="187">
        <v>44328</v>
      </c>
      <c r="BC1582" s="180">
        <v>-0.51300000000000001</v>
      </c>
      <c r="BD1582" s="191">
        <v>44328</v>
      </c>
      <c r="BE1582" s="192" t="s">
        <v>216</v>
      </c>
      <c r="BH1582" s="94">
        <v>44391</v>
      </c>
      <c r="BI1582" s="95" t="s">
        <v>95</v>
      </c>
      <c r="BJ1582" s="96">
        <v>13.2</v>
      </c>
    </row>
    <row r="1583" spans="54:62" ht="15">
      <c r="BB1583" s="187">
        <v>44329</v>
      </c>
      <c r="BC1583" s="180">
        <v>-0.51500000000000001</v>
      </c>
      <c r="BD1583" s="191"/>
      <c r="BE1583" s="193" t="str">
        <f>+BE1582</f>
        <v>−0,186</v>
      </c>
      <c r="BH1583" s="94">
        <v>44392</v>
      </c>
      <c r="BI1583" s="95" t="s">
        <v>92</v>
      </c>
      <c r="BJ1583" s="96">
        <v>13.19</v>
      </c>
    </row>
    <row r="1584" spans="54:62" ht="15">
      <c r="BB1584" s="187">
        <v>44330</v>
      </c>
      <c r="BC1584" s="180">
        <v>-0.51300000000000001</v>
      </c>
      <c r="BD1584" s="191">
        <v>44330</v>
      </c>
      <c r="BE1584" s="192" t="s">
        <v>86</v>
      </c>
      <c r="BH1584" s="94">
        <v>44393</v>
      </c>
      <c r="BI1584" s="95" t="s">
        <v>145</v>
      </c>
      <c r="BJ1584" s="96">
        <v>13.19</v>
      </c>
    </row>
    <row r="1585" spans="54:62" ht="15">
      <c r="BB1585" s="187">
        <v>44333</v>
      </c>
      <c r="BC1585" s="180">
        <v>-0.51500000000000001</v>
      </c>
      <c r="BD1585" s="191">
        <v>44333</v>
      </c>
      <c r="BE1585" s="192" t="s">
        <v>217</v>
      </c>
      <c r="BH1585" s="94">
        <v>44396</v>
      </c>
      <c r="BI1585" s="95" t="s">
        <v>226</v>
      </c>
      <c r="BJ1585" s="96">
        <v>13.18</v>
      </c>
    </row>
    <row r="1586" spans="54:62" ht="15">
      <c r="BB1586" s="187">
        <v>44334</v>
      </c>
      <c r="BC1586" s="180">
        <v>-0.51500000000000001</v>
      </c>
      <c r="BD1586" s="191">
        <v>44334</v>
      </c>
      <c r="BE1586" s="192" t="s">
        <v>80</v>
      </c>
      <c r="BH1586" s="94">
        <v>44397</v>
      </c>
      <c r="BI1586" s="95" t="s">
        <v>208</v>
      </c>
      <c r="BJ1586" s="96">
        <v>13.18</v>
      </c>
    </row>
    <row r="1587" spans="54:62" ht="15">
      <c r="BB1587" s="187">
        <v>44335</v>
      </c>
      <c r="BC1587" s="180">
        <v>-0.51500000000000001</v>
      </c>
      <c r="BD1587" s="191">
        <v>44335</v>
      </c>
      <c r="BE1587" s="192" t="s">
        <v>103</v>
      </c>
      <c r="BH1587" s="94">
        <v>44398</v>
      </c>
      <c r="BI1587" s="95" t="s">
        <v>227</v>
      </c>
      <c r="BJ1587" s="96">
        <v>13.17</v>
      </c>
    </row>
    <row r="1588" spans="54:62" ht="15">
      <c r="BB1588" s="187">
        <v>44336</v>
      </c>
      <c r="BC1588" s="180">
        <v>-0.51700000000000002</v>
      </c>
      <c r="BD1588" s="191">
        <v>44336</v>
      </c>
      <c r="BE1588" s="192" t="s">
        <v>97</v>
      </c>
      <c r="BH1588" s="94">
        <v>44399</v>
      </c>
      <c r="BI1588" s="95" t="s">
        <v>153</v>
      </c>
      <c r="BJ1588" s="96">
        <v>13.17</v>
      </c>
    </row>
    <row r="1589" spans="54:62" ht="15">
      <c r="BB1589" s="187">
        <v>44337</v>
      </c>
      <c r="BC1589" s="180">
        <v>-0.51300000000000001</v>
      </c>
      <c r="BD1589" s="191">
        <v>44337</v>
      </c>
      <c r="BE1589" s="192" t="s">
        <v>99</v>
      </c>
      <c r="BH1589" s="94">
        <v>44400</v>
      </c>
      <c r="BI1589" s="95" t="s">
        <v>269</v>
      </c>
      <c r="BJ1589" s="96">
        <v>13.17</v>
      </c>
    </row>
    <row r="1590" spans="54:62" ht="15">
      <c r="BB1590" s="187">
        <v>44340</v>
      </c>
      <c r="BC1590" s="180">
        <v>-0.50900000000000001</v>
      </c>
      <c r="BD1590" s="191"/>
      <c r="BE1590" s="193" t="str">
        <f>+BE1589</f>
        <v>−0,148</v>
      </c>
      <c r="BH1590" s="94">
        <v>44403</v>
      </c>
      <c r="BI1590" s="95" t="s">
        <v>370</v>
      </c>
      <c r="BJ1590" s="96">
        <v>13.16</v>
      </c>
    </row>
    <row r="1591" spans="54:62" ht="15">
      <c r="BB1591" s="187">
        <v>44341</v>
      </c>
      <c r="BC1591" s="180">
        <v>-0.505</v>
      </c>
      <c r="BD1591" s="191">
        <v>44341</v>
      </c>
      <c r="BE1591" s="192" t="s">
        <v>101</v>
      </c>
      <c r="BH1591" s="94">
        <v>44404</v>
      </c>
      <c r="BI1591" s="95" t="s">
        <v>280</v>
      </c>
      <c r="BJ1591" s="96">
        <v>13.16</v>
      </c>
    </row>
    <row r="1592" spans="54:62" ht="15">
      <c r="BB1592" s="187">
        <v>44342</v>
      </c>
      <c r="BC1592" s="180">
        <v>-0.50700000000000001</v>
      </c>
      <c r="BD1592" s="191">
        <v>44342</v>
      </c>
      <c r="BE1592" s="192" t="s">
        <v>108</v>
      </c>
      <c r="BH1592" s="94">
        <v>44405</v>
      </c>
      <c r="BI1592" s="95" t="s">
        <v>357</v>
      </c>
      <c r="BJ1592" s="96">
        <v>13.15</v>
      </c>
    </row>
    <row r="1593" spans="54:62" ht="15">
      <c r="BB1593" s="187">
        <v>44343</v>
      </c>
      <c r="BC1593" s="180">
        <v>-0.50900000000000001</v>
      </c>
      <c r="BD1593" s="191">
        <v>44343</v>
      </c>
      <c r="BE1593" s="192" t="s">
        <v>142</v>
      </c>
      <c r="BH1593" s="94">
        <v>44406</v>
      </c>
      <c r="BI1593" s="95" t="s">
        <v>349</v>
      </c>
      <c r="BJ1593" s="96">
        <v>13.15</v>
      </c>
    </row>
    <row r="1594" spans="54:62" ht="15">
      <c r="BB1594" s="187">
        <v>44344</v>
      </c>
      <c r="BC1594" s="180">
        <v>-0.51200000000000001</v>
      </c>
      <c r="BD1594" s="191">
        <v>44344</v>
      </c>
      <c r="BE1594" s="192" t="s">
        <v>363</v>
      </c>
      <c r="BH1594" s="94">
        <v>44407</v>
      </c>
      <c r="BI1594" s="95" t="s">
        <v>232</v>
      </c>
      <c r="BJ1594" s="96">
        <v>13.15</v>
      </c>
    </row>
    <row r="1595" spans="54:62" ht="15">
      <c r="BB1595" s="187">
        <v>44347</v>
      </c>
      <c r="BC1595" s="180">
        <v>-0.51300000000000001</v>
      </c>
      <c r="BD1595" s="191">
        <v>44347</v>
      </c>
      <c r="BE1595" s="192" t="s">
        <v>364</v>
      </c>
      <c r="BH1595" s="94">
        <v>44410</v>
      </c>
      <c r="BI1595" s="95" t="s">
        <v>347</v>
      </c>
      <c r="BJ1595" s="96">
        <v>13.14</v>
      </c>
    </row>
    <row r="1596" spans="54:62" ht="15">
      <c r="BB1596" s="187">
        <v>44348</v>
      </c>
      <c r="BC1596" s="180">
        <v>-0.51700000000000002</v>
      </c>
      <c r="BD1596" s="191">
        <v>44348</v>
      </c>
      <c r="BE1596" s="192" t="s">
        <v>365</v>
      </c>
      <c r="BH1596" s="94">
        <v>44411</v>
      </c>
      <c r="BI1596" s="95" t="s">
        <v>371</v>
      </c>
      <c r="BJ1596" s="96">
        <v>13.14</v>
      </c>
    </row>
    <row r="1597" spans="54:62" ht="15">
      <c r="BB1597" s="187">
        <v>44349</v>
      </c>
      <c r="BC1597" s="180">
        <v>-0.51600000000000001</v>
      </c>
      <c r="BD1597" s="191">
        <v>44349</v>
      </c>
      <c r="BE1597" s="192" t="s">
        <v>364</v>
      </c>
      <c r="BH1597" s="94">
        <v>44412</v>
      </c>
      <c r="BI1597" s="95" t="s">
        <v>372</v>
      </c>
      <c r="BJ1597" s="96">
        <v>13.13</v>
      </c>
    </row>
    <row r="1598" spans="54:62" ht="15">
      <c r="BB1598" s="187">
        <v>44350</v>
      </c>
      <c r="BC1598" s="180">
        <v>-0.51700000000000002</v>
      </c>
      <c r="BD1598" s="191"/>
      <c r="BE1598" s="193" t="str">
        <f>+BE1597</f>
        <v>−0,135</v>
      </c>
      <c r="BH1598" s="94">
        <v>44413</v>
      </c>
      <c r="BI1598" s="95" t="s">
        <v>373</v>
      </c>
      <c r="BJ1598" s="96">
        <v>13.09</v>
      </c>
    </row>
    <row r="1599" spans="54:62" ht="15">
      <c r="BB1599" s="187">
        <v>44351</v>
      </c>
      <c r="BC1599" s="180">
        <v>-0.51300000000000001</v>
      </c>
      <c r="BD1599" s="191">
        <v>44351</v>
      </c>
      <c r="BE1599" s="192" t="s">
        <v>111</v>
      </c>
      <c r="BH1599" s="94">
        <v>44414</v>
      </c>
      <c r="BI1599" s="95" t="s">
        <v>291</v>
      </c>
      <c r="BJ1599" s="96">
        <v>13.09</v>
      </c>
    </row>
    <row r="1600" spans="54:62" ht="15">
      <c r="BB1600" s="187">
        <v>44354</v>
      </c>
      <c r="BC1600" s="180">
        <v>-0.51300000000000001</v>
      </c>
      <c r="BD1600" s="191">
        <v>44354</v>
      </c>
      <c r="BE1600" s="192" t="s">
        <v>141</v>
      </c>
      <c r="BH1600" s="94">
        <v>44417</v>
      </c>
      <c r="BI1600" s="95" t="s">
        <v>161</v>
      </c>
      <c r="BJ1600" s="96">
        <v>13.08</v>
      </c>
    </row>
    <row r="1601" spans="54:62" ht="15">
      <c r="BB1601" s="187">
        <v>44355</v>
      </c>
      <c r="BC1601" s="180">
        <v>-0.51600000000000001</v>
      </c>
      <c r="BD1601" s="191">
        <v>44355</v>
      </c>
      <c r="BE1601" s="192" t="s">
        <v>366</v>
      </c>
      <c r="BH1601" s="94">
        <v>44418</v>
      </c>
      <c r="BI1601" s="95" t="s">
        <v>374</v>
      </c>
      <c r="BJ1601" s="96">
        <v>13.08</v>
      </c>
    </row>
    <row r="1602" spans="54:62" ht="15">
      <c r="BB1602" s="187">
        <v>44356</v>
      </c>
      <c r="BC1602" s="180">
        <v>-0.51800000000000002</v>
      </c>
      <c r="BD1602" s="191">
        <v>44356</v>
      </c>
      <c r="BE1602" s="192" t="s">
        <v>141</v>
      </c>
      <c r="BH1602" s="94">
        <v>44419</v>
      </c>
      <c r="BI1602" s="95" t="s">
        <v>246</v>
      </c>
      <c r="BJ1602" s="96">
        <v>13.08</v>
      </c>
    </row>
    <row r="1603" spans="54:62" ht="15">
      <c r="BB1603" s="187">
        <v>44357</v>
      </c>
      <c r="BC1603" s="180">
        <v>-0.51900000000000002</v>
      </c>
      <c r="BD1603" s="191">
        <v>44357</v>
      </c>
      <c r="BE1603" s="192" t="s">
        <v>365</v>
      </c>
      <c r="BH1603" s="94">
        <v>44420</v>
      </c>
      <c r="BI1603" s="95" t="s">
        <v>295</v>
      </c>
      <c r="BJ1603" s="96">
        <v>13.08</v>
      </c>
    </row>
    <row r="1604" spans="54:62" ht="15">
      <c r="BB1604" s="187">
        <v>44358</v>
      </c>
      <c r="BC1604" s="180">
        <v>-0.52100000000000002</v>
      </c>
      <c r="BD1604" s="191">
        <v>44358</v>
      </c>
      <c r="BE1604" s="192" t="s">
        <v>72</v>
      </c>
      <c r="BH1604" s="94">
        <v>44421</v>
      </c>
      <c r="BI1604" s="95" t="s">
        <v>193</v>
      </c>
      <c r="BJ1604" s="96">
        <v>13.07</v>
      </c>
    </row>
    <row r="1605" spans="54:62" ht="15">
      <c r="BB1605" s="187">
        <v>44361</v>
      </c>
      <c r="BC1605" s="180">
        <v>-0.52200000000000002</v>
      </c>
      <c r="BD1605" s="191">
        <v>44361</v>
      </c>
      <c r="BE1605" s="192" t="s">
        <v>108</v>
      </c>
      <c r="BH1605" s="94">
        <v>44424</v>
      </c>
      <c r="BI1605" s="95" t="s">
        <v>192</v>
      </c>
      <c r="BJ1605" s="96">
        <v>13.07</v>
      </c>
    </row>
    <row r="1606" spans="54:62" ht="15">
      <c r="BB1606" s="187">
        <v>44362</v>
      </c>
      <c r="BC1606" s="180">
        <v>-0.52200000000000002</v>
      </c>
      <c r="BD1606" s="191">
        <v>44362</v>
      </c>
      <c r="BE1606" s="192" t="s">
        <v>74</v>
      </c>
      <c r="BH1606" s="94">
        <v>44425</v>
      </c>
      <c r="BI1606" s="95" t="s">
        <v>307</v>
      </c>
      <c r="BJ1606" s="96">
        <v>13.06</v>
      </c>
    </row>
    <row r="1607" spans="54:62" ht="15">
      <c r="BB1607" s="187">
        <v>44363</v>
      </c>
      <c r="BC1607" s="180">
        <v>-0.51900000000000002</v>
      </c>
      <c r="BD1607" s="191">
        <v>44363</v>
      </c>
      <c r="BE1607" s="192" t="s">
        <v>98</v>
      </c>
      <c r="BH1607" s="94">
        <v>44426</v>
      </c>
      <c r="BI1607" s="95" t="s">
        <v>191</v>
      </c>
      <c r="BJ1607" s="96">
        <v>13.06</v>
      </c>
    </row>
    <row r="1608" spans="54:62" ht="15">
      <c r="BB1608" s="187">
        <v>44364</v>
      </c>
      <c r="BC1608" s="180">
        <v>-0.51300000000000001</v>
      </c>
      <c r="BD1608" s="191">
        <v>44364</v>
      </c>
      <c r="BE1608" s="192" t="s">
        <v>77</v>
      </c>
      <c r="BH1608" s="94">
        <v>44427</v>
      </c>
      <c r="BI1608" s="95" t="s">
        <v>189</v>
      </c>
      <c r="BJ1608" s="96">
        <v>13.06</v>
      </c>
    </row>
    <row r="1609" spans="54:62" ht="15">
      <c r="BB1609" s="187">
        <v>44365</v>
      </c>
      <c r="BC1609" s="180">
        <v>-0.51300000000000001</v>
      </c>
      <c r="BD1609" s="191">
        <v>44365</v>
      </c>
      <c r="BE1609" s="192" t="s">
        <v>103</v>
      </c>
      <c r="BH1609" s="94">
        <v>44428</v>
      </c>
      <c r="BI1609" s="95" t="s">
        <v>297</v>
      </c>
      <c r="BJ1609" s="96">
        <v>13.05</v>
      </c>
    </row>
    <row r="1610" spans="54:62" ht="15">
      <c r="BB1610" s="187">
        <v>44368</v>
      </c>
      <c r="BC1610" s="180">
        <v>-0.51100000000000001</v>
      </c>
      <c r="BD1610" s="191">
        <v>44368</v>
      </c>
      <c r="BE1610" s="192" t="s">
        <v>367</v>
      </c>
      <c r="BH1610" s="94">
        <v>44431</v>
      </c>
      <c r="BI1610" s="95" t="s">
        <v>375</v>
      </c>
      <c r="BJ1610" s="96">
        <v>13.05</v>
      </c>
    </row>
    <row r="1611" spans="54:62" ht="15">
      <c r="BB1611" s="187">
        <v>44369</v>
      </c>
      <c r="BC1611" s="180">
        <v>-0.50800000000000001</v>
      </c>
      <c r="BD1611" s="191">
        <v>44369</v>
      </c>
      <c r="BE1611" s="192" t="s">
        <v>219</v>
      </c>
      <c r="BH1611" s="94">
        <v>44432</v>
      </c>
      <c r="BI1611" s="95" t="s">
        <v>306</v>
      </c>
      <c r="BJ1611" s="96">
        <v>13.04</v>
      </c>
    </row>
    <row r="1612" spans="54:62" ht="15">
      <c r="BB1612" s="187">
        <v>44370</v>
      </c>
      <c r="BC1612" s="180">
        <v>-0.50900000000000001</v>
      </c>
      <c r="BD1612" s="191">
        <v>44370</v>
      </c>
      <c r="BE1612" s="192" t="s">
        <v>82</v>
      </c>
      <c r="BH1612" s="94">
        <v>44433</v>
      </c>
      <c r="BI1612" s="95" t="s">
        <v>305</v>
      </c>
      <c r="BJ1612" s="96">
        <v>13.04</v>
      </c>
    </row>
    <row r="1613" spans="54:62" ht="15">
      <c r="BB1613" s="187">
        <v>44371</v>
      </c>
      <c r="BC1613" s="180">
        <v>-0.50800000000000001</v>
      </c>
      <c r="BD1613" s="191">
        <v>44371</v>
      </c>
      <c r="BE1613" s="192" t="s">
        <v>82</v>
      </c>
      <c r="BH1613" s="94">
        <v>44434</v>
      </c>
      <c r="BI1613" s="95" t="s">
        <v>306</v>
      </c>
      <c r="BJ1613" s="96">
        <v>13.04</v>
      </c>
    </row>
    <row r="1614" spans="54:62" ht="15">
      <c r="BB1614" s="187">
        <v>44372</v>
      </c>
      <c r="BC1614" s="180">
        <v>-0.51300000000000001</v>
      </c>
      <c r="BD1614" s="191">
        <v>44372</v>
      </c>
      <c r="BE1614" s="192" t="s">
        <v>82</v>
      </c>
      <c r="BH1614" s="94">
        <v>44435</v>
      </c>
      <c r="BI1614" s="95" t="s">
        <v>189</v>
      </c>
      <c r="BJ1614" s="96">
        <v>13.04</v>
      </c>
    </row>
    <row r="1615" spans="54:62" ht="15">
      <c r="BB1615" s="187">
        <v>44375</v>
      </c>
      <c r="BC1615" s="180">
        <v>-0.51300000000000001</v>
      </c>
      <c r="BD1615" s="191">
        <v>44375</v>
      </c>
      <c r="BE1615" s="192" t="s">
        <v>82</v>
      </c>
      <c r="BH1615" s="94">
        <v>44438</v>
      </c>
      <c r="BI1615" s="95" t="s">
        <v>375</v>
      </c>
      <c r="BJ1615" s="96">
        <v>13.03</v>
      </c>
    </row>
    <row r="1616" spans="54:62" ht="15">
      <c r="BB1616" s="187">
        <v>44376</v>
      </c>
      <c r="BC1616" s="180">
        <v>-0.51300000000000001</v>
      </c>
      <c r="BD1616" s="191">
        <v>44376</v>
      </c>
      <c r="BE1616" s="192" t="s">
        <v>82</v>
      </c>
      <c r="BH1616" s="94">
        <v>44439</v>
      </c>
      <c r="BI1616" s="95" t="s">
        <v>191</v>
      </c>
      <c r="BJ1616" s="96">
        <v>13.02</v>
      </c>
    </row>
    <row r="1617" spans="54:62" ht="15">
      <c r="BB1617" s="187">
        <v>44377</v>
      </c>
      <c r="BC1617" s="180">
        <v>-0.51500000000000001</v>
      </c>
      <c r="BD1617" s="191">
        <v>44377</v>
      </c>
      <c r="BE1617" s="192" t="s">
        <v>368</v>
      </c>
      <c r="BH1617" s="94">
        <v>44440</v>
      </c>
      <c r="BI1617" s="95" t="s">
        <v>163</v>
      </c>
      <c r="BJ1617" s="96">
        <v>13.02</v>
      </c>
    </row>
    <row r="1618" spans="54:62" ht="15">
      <c r="BB1618" s="187">
        <v>44378</v>
      </c>
      <c r="BC1618" s="180">
        <v>-0.51300000000000001</v>
      </c>
      <c r="BD1618" s="191">
        <v>44378</v>
      </c>
      <c r="BE1618" s="192" t="s">
        <v>83</v>
      </c>
      <c r="BH1618" s="94">
        <v>44441</v>
      </c>
      <c r="BI1618" s="95" t="s">
        <v>192</v>
      </c>
      <c r="BJ1618" s="96">
        <v>13.02</v>
      </c>
    </row>
    <row r="1619" spans="54:62" ht="15">
      <c r="BB1619" s="187">
        <v>44379</v>
      </c>
      <c r="BC1619" s="180">
        <v>-0.51200000000000001</v>
      </c>
      <c r="BD1619" s="191">
        <v>44379</v>
      </c>
      <c r="BE1619" s="192" t="s">
        <v>223</v>
      </c>
      <c r="BH1619" s="94">
        <v>44442</v>
      </c>
      <c r="BI1619" s="95" t="s">
        <v>376</v>
      </c>
      <c r="BJ1619" s="96">
        <v>13.02</v>
      </c>
    </row>
    <row r="1620" spans="54:62" ht="15">
      <c r="BB1620" s="187">
        <v>44382</v>
      </c>
      <c r="BC1620" s="180">
        <v>-0.51300000000000001</v>
      </c>
      <c r="BD1620" s="191">
        <v>44382</v>
      </c>
      <c r="BE1620" s="192" t="s">
        <v>84</v>
      </c>
      <c r="BH1620" s="94">
        <v>44445</v>
      </c>
      <c r="BI1620" s="95" t="s">
        <v>237</v>
      </c>
      <c r="BJ1620" s="96">
        <v>13.01</v>
      </c>
    </row>
    <row r="1621" spans="54:62" ht="15">
      <c r="BB1621" s="187">
        <v>44383</v>
      </c>
      <c r="BC1621" s="180">
        <v>-0.51300000000000001</v>
      </c>
      <c r="BD1621" s="191">
        <v>44383</v>
      </c>
      <c r="BE1621" s="192" t="s">
        <v>369</v>
      </c>
      <c r="BH1621" s="94">
        <v>44446</v>
      </c>
      <c r="BI1621" s="95" t="s">
        <v>162</v>
      </c>
      <c r="BJ1621" s="96">
        <v>13.01</v>
      </c>
    </row>
    <row r="1622" spans="54:62" ht="15">
      <c r="BB1622" s="187">
        <v>44384</v>
      </c>
      <c r="BC1622" s="180">
        <v>-0.51100000000000001</v>
      </c>
      <c r="BD1622" s="191">
        <v>44384</v>
      </c>
      <c r="BE1622" s="192" t="s">
        <v>86</v>
      </c>
      <c r="BH1622" s="94">
        <v>44447</v>
      </c>
      <c r="BI1622" s="95" t="s">
        <v>246</v>
      </c>
      <c r="BJ1622" s="96">
        <v>13</v>
      </c>
    </row>
    <row r="1623" spans="54:62" ht="15">
      <c r="BB1623" s="187">
        <v>44385</v>
      </c>
      <c r="BC1623" s="180">
        <v>-0.51500000000000001</v>
      </c>
      <c r="BD1623" s="191">
        <v>44385</v>
      </c>
      <c r="BE1623" s="192" t="s">
        <v>215</v>
      </c>
      <c r="BH1623" s="94">
        <v>44448</v>
      </c>
      <c r="BI1623" s="95" t="s">
        <v>374</v>
      </c>
      <c r="BJ1623" s="96">
        <v>13</v>
      </c>
    </row>
    <row r="1624" spans="54:62" ht="15">
      <c r="BB1624" s="187">
        <v>44386</v>
      </c>
      <c r="BC1624" s="180">
        <v>-0.51400000000000001</v>
      </c>
      <c r="BD1624" s="191">
        <v>44386</v>
      </c>
      <c r="BE1624" s="192" t="s">
        <v>88</v>
      </c>
      <c r="BH1624" s="94">
        <v>44449</v>
      </c>
      <c r="BI1624" s="95" t="s">
        <v>292</v>
      </c>
      <c r="BJ1624" s="96">
        <v>13</v>
      </c>
    </row>
    <row r="1625" spans="54:62" ht="15">
      <c r="BB1625" s="187">
        <v>44389</v>
      </c>
      <c r="BC1625" s="180">
        <v>-0.51100000000000001</v>
      </c>
      <c r="BD1625" s="191">
        <v>44389</v>
      </c>
      <c r="BE1625" s="192" t="s">
        <v>214</v>
      </c>
      <c r="BH1625" s="94">
        <v>44452</v>
      </c>
      <c r="BI1625" s="95" t="s">
        <v>377</v>
      </c>
      <c r="BJ1625" s="96">
        <v>12.99</v>
      </c>
    </row>
    <row r="1626" spans="54:62" ht="15">
      <c r="BB1626" s="187">
        <v>44390</v>
      </c>
      <c r="BC1626" s="180">
        <v>-0.51300000000000001</v>
      </c>
      <c r="BD1626" s="191">
        <v>44390</v>
      </c>
      <c r="BE1626" s="192" t="s">
        <v>213</v>
      </c>
      <c r="BH1626" s="94">
        <v>44453</v>
      </c>
      <c r="BI1626" s="95" t="s">
        <v>291</v>
      </c>
      <c r="BJ1626" s="96">
        <v>12.99</v>
      </c>
    </row>
    <row r="1627" spans="54:62" ht="15">
      <c r="BB1627" s="187">
        <v>44391</v>
      </c>
      <c r="BC1627" s="180">
        <v>-0.51300000000000001</v>
      </c>
      <c r="BD1627" s="191">
        <v>44391</v>
      </c>
      <c r="BE1627" s="192" t="s">
        <v>95</v>
      </c>
      <c r="BH1627" s="94">
        <v>44454</v>
      </c>
      <c r="BI1627" s="95" t="s">
        <v>373</v>
      </c>
      <c r="BJ1627" s="96">
        <v>12.98</v>
      </c>
    </row>
    <row r="1628" spans="54:62" ht="15">
      <c r="BB1628" s="187">
        <v>44392</v>
      </c>
      <c r="BC1628" s="180">
        <v>-0.51300000000000001</v>
      </c>
      <c r="BD1628" s="191">
        <v>44392</v>
      </c>
      <c r="BE1628" s="192" t="s">
        <v>92</v>
      </c>
      <c r="BH1628" s="94">
        <v>44455</v>
      </c>
      <c r="BI1628" s="95" t="s">
        <v>289</v>
      </c>
      <c r="BJ1628" s="96">
        <v>12.98</v>
      </c>
    </row>
    <row r="1629" spans="54:62" ht="15">
      <c r="BB1629" s="187">
        <v>44393</v>
      </c>
      <c r="BC1629" s="180">
        <v>-0.51500000000000001</v>
      </c>
      <c r="BD1629" s="191">
        <v>44393</v>
      </c>
      <c r="BE1629" s="192" t="s">
        <v>145</v>
      </c>
      <c r="BH1629" s="94">
        <v>44456</v>
      </c>
      <c r="BI1629" s="95" t="s">
        <v>289</v>
      </c>
      <c r="BJ1629" s="96">
        <v>12.97</v>
      </c>
    </row>
    <row r="1630" spans="54:62" ht="15">
      <c r="BB1630" s="187">
        <v>44396</v>
      </c>
      <c r="BC1630" s="180">
        <v>-0.51500000000000001</v>
      </c>
      <c r="BD1630" s="191">
        <v>44396</v>
      </c>
      <c r="BE1630" s="192" t="s">
        <v>226</v>
      </c>
      <c r="BH1630" s="94">
        <v>44459</v>
      </c>
      <c r="BI1630" s="95" t="s">
        <v>347</v>
      </c>
      <c r="BJ1630" s="96">
        <v>13.32</v>
      </c>
    </row>
    <row r="1631" spans="54:62" ht="15">
      <c r="BB1631" s="187">
        <v>44397</v>
      </c>
      <c r="BC1631" s="180">
        <v>-0.51800000000000002</v>
      </c>
      <c r="BD1631" s="191">
        <v>44397</v>
      </c>
      <c r="BE1631" s="192" t="s">
        <v>208</v>
      </c>
      <c r="BH1631" s="94">
        <v>44460</v>
      </c>
      <c r="BI1631" s="95" t="s">
        <v>249</v>
      </c>
      <c r="BJ1631" s="96">
        <v>13.32</v>
      </c>
    </row>
    <row r="1632" spans="54:62" ht="15">
      <c r="BB1632" s="187">
        <v>44398</v>
      </c>
      <c r="BC1632" s="180">
        <v>-0.51300000000000001</v>
      </c>
      <c r="BD1632" s="191">
        <v>44398</v>
      </c>
      <c r="BE1632" s="192" t="s">
        <v>227</v>
      </c>
      <c r="BH1632" s="94">
        <v>44461</v>
      </c>
      <c r="BI1632" s="95" t="s">
        <v>232</v>
      </c>
      <c r="BJ1632" s="96">
        <v>13.32</v>
      </c>
    </row>
    <row r="1633" spans="54:62" ht="15">
      <c r="BB1633" s="187">
        <v>44399</v>
      </c>
      <c r="BC1633" s="180">
        <v>-0.51700000000000002</v>
      </c>
      <c r="BD1633" s="191">
        <v>44399</v>
      </c>
      <c r="BE1633" s="192" t="s">
        <v>153</v>
      </c>
      <c r="BH1633" s="94">
        <v>44462</v>
      </c>
      <c r="BI1633" s="95" t="s">
        <v>250</v>
      </c>
      <c r="BJ1633" s="96">
        <v>13.35</v>
      </c>
    </row>
    <row r="1634" spans="54:62" ht="15">
      <c r="BB1634" s="187">
        <v>44400</v>
      </c>
      <c r="BC1634" s="180">
        <v>-0.51900000000000002</v>
      </c>
      <c r="BD1634" s="191">
        <v>44400</v>
      </c>
      <c r="BE1634" s="192" t="s">
        <v>269</v>
      </c>
      <c r="BH1634" s="94">
        <v>44463</v>
      </c>
      <c r="BI1634" s="95" t="s">
        <v>281</v>
      </c>
      <c r="BJ1634" s="96">
        <v>13.35</v>
      </c>
    </row>
    <row r="1635" spans="54:62" ht="15">
      <c r="BB1635" s="187">
        <v>44403</v>
      </c>
      <c r="BC1635" s="180">
        <v>-0.51900000000000002</v>
      </c>
      <c r="BD1635" s="191">
        <v>44403</v>
      </c>
      <c r="BE1635" s="192" t="s">
        <v>370</v>
      </c>
      <c r="BH1635" s="94">
        <v>44466</v>
      </c>
      <c r="BI1635" s="95" t="s">
        <v>280</v>
      </c>
      <c r="BJ1635" s="96">
        <v>13.34</v>
      </c>
    </row>
    <row r="1636" spans="54:62" ht="15">
      <c r="BB1636" s="187">
        <v>44404</v>
      </c>
      <c r="BC1636" s="180">
        <v>-0.52300000000000002</v>
      </c>
      <c r="BD1636" s="191">
        <v>44404</v>
      </c>
      <c r="BE1636" s="192" t="s">
        <v>280</v>
      </c>
      <c r="BH1636" s="94">
        <v>44467</v>
      </c>
      <c r="BI1636" s="95" t="s">
        <v>378</v>
      </c>
      <c r="BJ1636" s="96">
        <v>13.34</v>
      </c>
    </row>
    <row r="1637" spans="54:62" ht="15">
      <c r="BB1637" s="187">
        <v>44405</v>
      </c>
      <c r="BC1637" s="180">
        <v>-0.52400000000000002</v>
      </c>
      <c r="BD1637" s="191">
        <v>44405</v>
      </c>
      <c r="BE1637" s="192" t="s">
        <v>357</v>
      </c>
      <c r="BH1637" s="94">
        <v>44468</v>
      </c>
      <c r="BI1637" s="95" t="s">
        <v>228</v>
      </c>
      <c r="BJ1637" s="96">
        <v>13.34</v>
      </c>
    </row>
    <row r="1638" spans="54:62" ht="15">
      <c r="BB1638" s="187">
        <v>44406</v>
      </c>
      <c r="BC1638" s="180">
        <v>-0.52400000000000002</v>
      </c>
      <c r="BD1638" s="191">
        <v>44406</v>
      </c>
      <c r="BE1638" s="192" t="s">
        <v>349</v>
      </c>
      <c r="BH1638" s="94">
        <v>44469</v>
      </c>
      <c r="BI1638" s="95" t="s">
        <v>271</v>
      </c>
      <c r="BJ1638" s="96">
        <v>13.33</v>
      </c>
    </row>
    <row r="1639" spans="54:62" ht="15">
      <c r="BB1639" s="187">
        <v>44407</v>
      </c>
      <c r="BC1639" s="180">
        <v>-0.52300000000000002</v>
      </c>
      <c r="BD1639" s="191">
        <v>44407</v>
      </c>
      <c r="BE1639" s="192" t="s">
        <v>232</v>
      </c>
      <c r="BH1639" s="94">
        <v>44470</v>
      </c>
      <c r="BI1639" s="95" t="s">
        <v>272</v>
      </c>
      <c r="BJ1639" s="96">
        <v>13.33</v>
      </c>
    </row>
    <row r="1640" spans="54:62" ht="15">
      <c r="BB1640" s="187">
        <v>44410</v>
      </c>
      <c r="BC1640" s="180">
        <v>-0.52300000000000002</v>
      </c>
      <c r="BD1640" s="191">
        <v>44410</v>
      </c>
      <c r="BE1640" s="192" t="s">
        <v>347</v>
      </c>
      <c r="BH1640" s="94">
        <v>44473</v>
      </c>
      <c r="BI1640" s="95" t="s">
        <v>273</v>
      </c>
      <c r="BJ1640" s="96">
        <v>13.32</v>
      </c>
    </row>
    <row r="1641" spans="54:62" ht="15">
      <c r="BB1641" s="187">
        <v>44411</v>
      </c>
      <c r="BC1641" s="180">
        <v>-0.52500000000000002</v>
      </c>
      <c r="BD1641" s="191">
        <v>44411</v>
      </c>
      <c r="BE1641" s="192" t="s">
        <v>371</v>
      </c>
      <c r="BH1641" s="94">
        <v>44474</v>
      </c>
      <c r="BI1641" s="95" t="s">
        <v>274</v>
      </c>
      <c r="BJ1641" s="96">
        <v>13.32</v>
      </c>
    </row>
    <row r="1642" spans="54:62" ht="15">
      <c r="BB1642" s="187">
        <v>44412</v>
      </c>
      <c r="BC1642" s="180">
        <v>-0.53100000000000003</v>
      </c>
      <c r="BD1642" s="191">
        <v>44412</v>
      </c>
      <c r="BE1642" s="192" t="s">
        <v>372</v>
      </c>
      <c r="BH1642" s="94">
        <v>44475</v>
      </c>
      <c r="BI1642" s="95" t="s">
        <v>362</v>
      </c>
      <c r="BJ1642" s="96">
        <v>13.32</v>
      </c>
    </row>
    <row r="1643" spans="54:62" ht="15">
      <c r="BB1643" s="187">
        <v>44413</v>
      </c>
      <c r="BC1643" s="180">
        <v>-0.52700000000000002</v>
      </c>
      <c r="BD1643" s="191">
        <v>44413</v>
      </c>
      <c r="BE1643" s="192" t="s">
        <v>373</v>
      </c>
      <c r="BH1643" s="94">
        <v>44476</v>
      </c>
      <c r="BI1643" s="95" t="s">
        <v>253</v>
      </c>
      <c r="BJ1643" s="96">
        <v>13.28</v>
      </c>
    </row>
    <row r="1644" spans="54:62" ht="15">
      <c r="BB1644" s="187">
        <v>44414</v>
      </c>
      <c r="BC1644" s="180">
        <v>-0.52400000000000002</v>
      </c>
      <c r="BD1644" s="191">
        <v>44414</v>
      </c>
      <c r="BE1644" s="192" t="s">
        <v>291</v>
      </c>
      <c r="BH1644" s="94">
        <v>44477</v>
      </c>
      <c r="BI1644" s="95" t="s">
        <v>148</v>
      </c>
      <c r="BJ1644" s="96">
        <v>13.27</v>
      </c>
    </row>
    <row r="1645" spans="54:62" ht="15">
      <c r="BB1645" s="187">
        <v>44417</v>
      </c>
      <c r="BC1645" s="180">
        <v>-0.52700000000000002</v>
      </c>
      <c r="BD1645" s="191">
        <v>44417</v>
      </c>
      <c r="BE1645" s="192" t="s">
        <v>161</v>
      </c>
      <c r="BH1645" s="94">
        <v>44480</v>
      </c>
      <c r="BI1645" s="95" t="s">
        <v>379</v>
      </c>
      <c r="BJ1645" s="96">
        <v>13.27</v>
      </c>
    </row>
    <row r="1646" spans="54:62" ht="15">
      <c r="BB1646" s="187">
        <v>44418</v>
      </c>
      <c r="BC1646" s="180">
        <v>-0.52800000000000002</v>
      </c>
      <c r="BD1646" s="191">
        <v>44418</v>
      </c>
      <c r="BE1646" s="192" t="s">
        <v>374</v>
      </c>
      <c r="BH1646" s="94">
        <v>44481</v>
      </c>
      <c r="BI1646" s="95" t="s">
        <v>92</v>
      </c>
      <c r="BJ1646" s="96">
        <v>13.26</v>
      </c>
    </row>
    <row r="1647" spans="54:62" ht="15">
      <c r="BB1647" s="187">
        <v>44419</v>
      </c>
      <c r="BC1647" s="180">
        <v>-0.53</v>
      </c>
      <c r="BD1647" s="191">
        <v>44419</v>
      </c>
      <c r="BE1647" s="192" t="s">
        <v>246</v>
      </c>
      <c r="BH1647" s="94">
        <v>44482</v>
      </c>
      <c r="BI1647" s="95" t="s">
        <v>214</v>
      </c>
      <c r="BJ1647" s="96">
        <v>13.28</v>
      </c>
    </row>
    <row r="1648" spans="54:62" ht="15">
      <c r="BB1648" s="187">
        <v>44420</v>
      </c>
      <c r="BC1648" s="180">
        <v>-0.52700000000000002</v>
      </c>
      <c r="BD1648" s="191">
        <v>44420</v>
      </c>
      <c r="BE1648" s="192" t="s">
        <v>295</v>
      </c>
      <c r="BH1648" s="94">
        <v>44483</v>
      </c>
      <c r="BI1648" s="95" t="s">
        <v>266</v>
      </c>
      <c r="BJ1648" s="96">
        <v>13.28</v>
      </c>
    </row>
    <row r="1649" spans="54:62" ht="15">
      <c r="BB1649" s="187">
        <v>44421</v>
      </c>
      <c r="BC1649" s="180">
        <v>-0.52800000000000002</v>
      </c>
      <c r="BD1649" s="191">
        <v>44421</v>
      </c>
      <c r="BE1649" s="192" t="s">
        <v>193</v>
      </c>
      <c r="BH1649" s="94">
        <v>44484</v>
      </c>
      <c r="BI1649" s="95" t="s">
        <v>86</v>
      </c>
      <c r="BJ1649" s="96">
        <v>13.28</v>
      </c>
    </row>
    <row r="1650" spans="54:62" ht="15">
      <c r="BB1650" s="187">
        <v>44424</v>
      </c>
      <c r="BC1650" s="180">
        <v>-0.52700000000000002</v>
      </c>
      <c r="BD1650" s="191">
        <v>44424</v>
      </c>
      <c r="BE1650" s="192" t="s">
        <v>192</v>
      </c>
      <c r="BH1650" s="94">
        <v>44487</v>
      </c>
      <c r="BI1650" s="95" t="s">
        <v>223</v>
      </c>
      <c r="BJ1650" s="96">
        <v>13.27</v>
      </c>
    </row>
    <row r="1651" spans="54:62" ht="15">
      <c r="BB1651" s="187">
        <v>44425</v>
      </c>
      <c r="BC1651" s="180">
        <v>-0.52700000000000002</v>
      </c>
      <c r="BD1651" s="191">
        <v>44425</v>
      </c>
      <c r="BE1651" s="192" t="s">
        <v>307</v>
      </c>
      <c r="BH1651" s="94">
        <v>44488</v>
      </c>
      <c r="BI1651" s="95" t="s">
        <v>80</v>
      </c>
      <c r="BJ1651" s="96">
        <v>13.26</v>
      </c>
    </row>
    <row r="1652" spans="54:62" ht="15">
      <c r="BB1652" s="187">
        <v>44426</v>
      </c>
      <c r="BC1652" s="180">
        <v>-0.52700000000000002</v>
      </c>
      <c r="BD1652" s="191">
        <v>44426</v>
      </c>
      <c r="BE1652" s="192" t="s">
        <v>191</v>
      </c>
      <c r="BH1652" s="94">
        <v>44489</v>
      </c>
      <c r="BI1652" s="95" t="s">
        <v>102</v>
      </c>
      <c r="BJ1652" s="96">
        <v>13.26</v>
      </c>
    </row>
    <row r="1653" spans="54:62" ht="15">
      <c r="BB1653" s="187">
        <v>44427</v>
      </c>
      <c r="BC1653" s="180">
        <v>-0.52900000000000003</v>
      </c>
      <c r="BD1653" s="191">
        <v>44427</v>
      </c>
      <c r="BE1653" s="192" t="s">
        <v>189</v>
      </c>
      <c r="BH1653" s="94">
        <v>44490</v>
      </c>
      <c r="BI1653" s="95" t="s">
        <v>76</v>
      </c>
      <c r="BJ1653" s="96">
        <v>13.26</v>
      </c>
    </row>
    <row r="1654" spans="54:62" ht="15">
      <c r="BB1654" s="187">
        <v>44428</v>
      </c>
      <c r="BC1654" s="180">
        <v>-0.52800000000000002</v>
      </c>
      <c r="BD1654" s="191">
        <v>44428</v>
      </c>
      <c r="BE1654" s="192" t="s">
        <v>297</v>
      </c>
      <c r="BH1654" s="94">
        <v>44491</v>
      </c>
      <c r="BI1654" s="95" t="s">
        <v>99</v>
      </c>
      <c r="BJ1654" s="96">
        <v>13.26</v>
      </c>
    </row>
    <row r="1655" spans="54:62" ht="15">
      <c r="BB1655" s="187">
        <v>44431</v>
      </c>
      <c r="BC1655" s="180">
        <v>-0.52900000000000003</v>
      </c>
      <c r="BD1655" s="191">
        <v>44431</v>
      </c>
      <c r="BE1655" s="192" t="s">
        <v>375</v>
      </c>
      <c r="BH1655" s="94">
        <v>44494</v>
      </c>
      <c r="BI1655" s="95" t="s">
        <v>101</v>
      </c>
      <c r="BJ1655" s="96">
        <v>13.25</v>
      </c>
    </row>
    <row r="1656" spans="54:62" ht="15">
      <c r="BB1656" s="187">
        <v>44432</v>
      </c>
      <c r="BC1656" s="180">
        <v>-0.52700000000000002</v>
      </c>
      <c r="BD1656" s="191">
        <v>44432</v>
      </c>
      <c r="BE1656" s="192" t="s">
        <v>306</v>
      </c>
      <c r="BH1656" s="94">
        <v>44496</v>
      </c>
      <c r="BI1656" s="95" t="s">
        <v>108</v>
      </c>
      <c r="BJ1656" s="96">
        <v>13.24</v>
      </c>
    </row>
    <row r="1657" spans="54:62" ht="15">
      <c r="BB1657" s="187">
        <v>44433</v>
      </c>
      <c r="BC1657" s="180">
        <v>-0.52800000000000002</v>
      </c>
      <c r="BD1657" s="191">
        <v>44433</v>
      </c>
      <c r="BE1657" s="192" t="s">
        <v>305</v>
      </c>
      <c r="BH1657" s="94">
        <v>44497</v>
      </c>
      <c r="BI1657" s="95" t="s">
        <v>109</v>
      </c>
      <c r="BJ1657" s="96">
        <v>13.24</v>
      </c>
    </row>
    <row r="1658" spans="54:62" ht="15">
      <c r="BB1658" s="187">
        <v>44434</v>
      </c>
      <c r="BC1658" s="180">
        <v>-0.53</v>
      </c>
      <c r="BD1658" s="191">
        <v>44434</v>
      </c>
      <c r="BE1658" s="192" t="s">
        <v>306</v>
      </c>
      <c r="BH1658" s="94">
        <v>44498</v>
      </c>
      <c r="BI1658" s="95" t="s">
        <v>365</v>
      </c>
      <c r="BJ1658" s="96">
        <v>13.24</v>
      </c>
    </row>
    <row r="1659" spans="54:62" ht="15">
      <c r="BB1659" s="187">
        <v>44435</v>
      </c>
      <c r="BC1659" s="180">
        <v>-0.52900000000000003</v>
      </c>
      <c r="BD1659" s="191">
        <v>44435</v>
      </c>
      <c r="BE1659" s="192" t="s">
        <v>189</v>
      </c>
      <c r="BH1659" s="94">
        <v>44502</v>
      </c>
      <c r="BI1659" s="95" t="s">
        <v>366</v>
      </c>
      <c r="BJ1659" s="96">
        <v>13.23</v>
      </c>
    </row>
    <row r="1660" spans="54:62" ht="15">
      <c r="BB1660" s="187">
        <v>44438</v>
      </c>
      <c r="BC1660" s="180">
        <v>-0.52900000000000003</v>
      </c>
      <c r="BD1660" s="191">
        <v>44438</v>
      </c>
      <c r="BE1660" s="192" t="s">
        <v>375</v>
      </c>
      <c r="BH1660" s="94">
        <v>44503</v>
      </c>
      <c r="BI1660" s="95" t="s">
        <v>71</v>
      </c>
      <c r="BJ1660" s="96">
        <v>13.22</v>
      </c>
    </row>
    <row r="1661" spans="54:62" ht="15">
      <c r="BB1661" s="187">
        <v>44439</v>
      </c>
      <c r="BC1661" s="180">
        <v>-0.52200000000000002</v>
      </c>
      <c r="BD1661" s="191">
        <v>44439</v>
      </c>
      <c r="BE1661" s="192" t="s">
        <v>191</v>
      </c>
      <c r="BH1661" s="94">
        <v>44504</v>
      </c>
      <c r="BI1661" s="95" t="s">
        <v>380</v>
      </c>
      <c r="BJ1661" s="96">
        <v>13.23</v>
      </c>
    </row>
    <row r="1662" spans="54:62" ht="15">
      <c r="BB1662" s="187">
        <v>44440</v>
      </c>
      <c r="BC1662" s="180">
        <v>-0.52100000000000002</v>
      </c>
      <c r="BD1662" s="191">
        <v>44440</v>
      </c>
      <c r="BE1662" s="192" t="s">
        <v>163</v>
      </c>
      <c r="BH1662" s="94">
        <v>44505</v>
      </c>
      <c r="BI1662" s="95" t="s">
        <v>112</v>
      </c>
      <c r="BJ1662" s="96">
        <v>13.22</v>
      </c>
    </row>
    <row r="1663" spans="54:62" ht="15">
      <c r="BB1663" s="187">
        <v>44441</v>
      </c>
      <c r="BC1663" s="180">
        <v>-0.52</v>
      </c>
      <c r="BD1663" s="191">
        <v>44441</v>
      </c>
      <c r="BE1663" s="192" t="s">
        <v>192</v>
      </c>
      <c r="BH1663" s="94">
        <v>44508</v>
      </c>
      <c r="BI1663" s="95" t="s">
        <v>366</v>
      </c>
      <c r="BJ1663" s="96">
        <v>13.22</v>
      </c>
    </row>
    <row r="1664" spans="54:62" ht="15">
      <c r="BB1664" s="187">
        <v>44442</v>
      </c>
      <c r="BC1664" s="180">
        <v>-0.51900000000000002</v>
      </c>
      <c r="BD1664" s="191">
        <v>44442</v>
      </c>
      <c r="BE1664" s="192" t="s">
        <v>376</v>
      </c>
      <c r="BH1664" s="94">
        <v>44509</v>
      </c>
      <c r="BI1664" s="95" t="s">
        <v>364</v>
      </c>
      <c r="BJ1664" s="96">
        <v>13.21</v>
      </c>
    </row>
    <row r="1665" spans="54:62" ht="15">
      <c r="BB1665" s="187">
        <v>44445</v>
      </c>
      <c r="BC1665" s="180">
        <v>-0.52</v>
      </c>
      <c r="BD1665" s="191">
        <v>44445</v>
      </c>
      <c r="BE1665" s="192" t="s">
        <v>237</v>
      </c>
      <c r="BH1665" s="94">
        <v>44510</v>
      </c>
      <c r="BI1665" s="95" t="s">
        <v>142</v>
      </c>
      <c r="BJ1665" s="96">
        <v>13.21</v>
      </c>
    </row>
    <row r="1666" spans="54:62" ht="15">
      <c r="BB1666" s="187">
        <v>44446</v>
      </c>
      <c r="BC1666" s="180">
        <v>-0.51800000000000002</v>
      </c>
      <c r="BD1666" s="191">
        <v>44446</v>
      </c>
      <c r="BE1666" s="192" t="s">
        <v>162</v>
      </c>
      <c r="BH1666" s="94">
        <v>44511</v>
      </c>
      <c r="BI1666" s="95" t="s">
        <v>73</v>
      </c>
      <c r="BJ1666" s="96">
        <v>13.21</v>
      </c>
    </row>
    <row r="1667" spans="54:62" ht="15">
      <c r="BB1667" s="187">
        <v>44447</v>
      </c>
      <c r="BC1667" s="180">
        <v>-0.51700000000000002</v>
      </c>
      <c r="BD1667" s="191">
        <v>44447</v>
      </c>
      <c r="BE1667" s="192" t="s">
        <v>246</v>
      </c>
      <c r="BH1667" s="94">
        <v>44512</v>
      </c>
      <c r="BI1667" s="95" t="s">
        <v>75</v>
      </c>
      <c r="BJ1667" s="96">
        <v>13.2</v>
      </c>
    </row>
    <row r="1668" spans="54:62" ht="15">
      <c r="BB1668" s="187">
        <v>44448</v>
      </c>
      <c r="BC1668" s="180">
        <v>-0.52200000000000002</v>
      </c>
      <c r="BD1668" s="191">
        <v>44448</v>
      </c>
      <c r="BE1668" s="192" t="s">
        <v>374</v>
      </c>
      <c r="BH1668" s="94">
        <v>44515</v>
      </c>
      <c r="BI1668" s="95" t="s">
        <v>97</v>
      </c>
      <c r="BJ1668" s="96">
        <v>13.2</v>
      </c>
    </row>
    <row r="1669" spans="54:62" ht="15">
      <c r="BB1669" s="187">
        <v>44449</v>
      </c>
      <c r="BC1669" s="180">
        <v>-0.51900000000000002</v>
      </c>
      <c r="BD1669" s="191">
        <v>44449</v>
      </c>
      <c r="BE1669" s="192" t="s">
        <v>292</v>
      </c>
      <c r="BH1669" s="94">
        <v>44516</v>
      </c>
      <c r="BI1669" s="95" t="s">
        <v>221</v>
      </c>
      <c r="BJ1669" s="96">
        <v>13.19</v>
      </c>
    </row>
    <row r="1670" spans="54:62" ht="15">
      <c r="BB1670" s="187">
        <v>44452</v>
      </c>
      <c r="BC1670" s="180">
        <v>-0.52</v>
      </c>
      <c r="BD1670" s="191">
        <v>44452</v>
      </c>
      <c r="BE1670" s="192" t="s">
        <v>377</v>
      </c>
      <c r="BH1670" s="94">
        <v>44517</v>
      </c>
      <c r="BI1670" s="95" t="s">
        <v>103</v>
      </c>
      <c r="BJ1670" s="96">
        <v>13.19</v>
      </c>
    </row>
    <row r="1671" spans="54:62" ht="15">
      <c r="BB1671" s="187">
        <v>44453</v>
      </c>
      <c r="BC1671" s="180">
        <v>-0.52200000000000002</v>
      </c>
      <c r="BD1671" s="191">
        <v>44453</v>
      </c>
      <c r="BE1671" s="192" t="s">
        <v>291</v>
      </c>
      <c r="BH1671" s="94">
        <v>44518</v>
      </c>
      <c r="BI1671" s="95" t="s">
        <v>80</v>
      </c>
      <c r="BJ1671" s="96">
        <v>13.19</v>
      </c>
    </row>
    <row r="1672" spans="54:62" ht="15">
      <c r="BB1672" s="187">
        <v>44454</v>
      </c>
      <c r="BC1672" s="180">
        <v>-0.52400000000000002</v>
      </c>
      <c r="BD1672" s="191">
        <v>44454</v>
      </c>
      <c r="BE1672" s="192" t="s">
        <v>373</v>
      </c>
      <c r="BH1672" s="94">
        <v>44519</v>
      </c>
      <c r="BI1672" s="95" t="s">
        <v>223</v>
      </c>
      <c r="BJ1672" s="96">
        <v>13.19</v>
      </c>
    </row>
    <row r="1673" spans="54:62" ht="15">
      <c r="BB1673" s="187">
        <v>44455</v>
      </c>
      <c r="BC1673" s="180">
        <v>-0.52200000000000002</v>
      </c>
      <c r="BD1673" s="191">
        <v>44455</v>
      </c>
      <c r="BE1673" s="192" t="s">
        <v>289</v>
      </c>
      <c r="BH1673" s="94">
        <v>44522</v>
      </c>
      <c r="BI1673" s="95" t="s">
        <v>78</v>
      </c>
      <c r="BJ1673" s="96">
        <v>13.74</v>
      </c>
    </row>
    <row r="1674" spans="54:62" ht="15">
      <c r="BB1674" s="187">
        <v>44456</v>
      </c>
      <c r="BC1674" s="180">
        <v>-0.52600000000000002</v>
      </c>
      <c r="BD1674" s="191">
        <v>44456</v>
      </c>
      <c r="BE1674" s="192" t="s">
        <v>289</v>
      </c>
      <c r="BH1674" s="94">
        <v>44523</v>
      </c>
      <c r="BI1674" s="95" t="s">
        <v>367</v>
      </c>
      <c r="BJ1674" s="96">
        <v>13.73</v>
      </c>
    </row>
    <row r="1675" spans="54:62" ht="15">
      <c r="BB1675" s="187">
        <v>44459</v>
      </c>
      <c r="BC1675" s="180">
        <v>-0.52800000000000002</v>
      </c>
      <c r="BD1675" s="191">
        <v>44459</v>
      </c>
      <c r="BE1675" s="192" t="s">
        <v>347</v>
      </c>
      <c r="BH1675" s="94">
        <v>44524</v>
      </c>
      <c r="BI1675" s="95" t="s">
        <v>219</v>
      </c>
      <c r="BJ1675" s="96">
        <v>13.73</v>
      </c>
    </row>
    <row r="1676" spans="54:62" ht="15">
      <c r="BB1676" s="187">
        <v>44460</v>
      </c>
      <c r="BC1676" s="180">
        <v>-0.53</v>
      </c>
      <c r="BD1676" s="191">
        <v>44460</v>
      </c>
      <c r="BE1676" s="192" t="s">
        <v>249</v>
      </c>
      <c r="BH1676" s="94">
        <v>44525</v>
      </c>
      <c r="BI1676" s="95" t="s">
        <v>368</v>
      </c>
      <c r="BJ1676" s="96">
        <v>13.73</v>
      </c>
    </row>
    <row r="1677" spans="54:62" ht="15">
      <c r="BB1677" s="187">
        <v>44461</v>
      </c>
      <c r="BC1677" s="180">
        <v>-0.52300000000000002</v>
      </c>
      <c r="BD1677" s="191">
        <v>44461</v>
      </c>
      <c r="BE1677" s="192" t="s">
        <v>232</v>
      </c>
      <c r="BH1677" s="94">
        <v>44526</v>
      </c>
      <c r="BI1677" s="95" t="s">
        <v>381</v>
      </c>
      <c r="BJ1677" s="96">
        <v>13.73</v>
      </c>
    </row>
    <row r="1678" spans="54:62" ht="15">
      <c r="BB1678" s="187">
        <v>44462</v>
      </c>
      <c r="BC1678" s="180">
        <v>-0.52800000000000002</v>
      </c>
      <c r="BD1678" s="191">
        <v>44462</v>
      </c>
      <c r="BE1678" s="192" t="s">
        <v>250</v>
      </c>
      <c r="BH1678" s="94">
        <v>44529</v>
      </c>
      <c r="BI1678" s="95" t="s">
        <v>266</v>
      </c>
      <c r="BJ1678" s="96">
        <v>13.72</v>
      </c>
    </row>
    <row r="1679" spans="54:62" ht="15">
      <c r="BB1679" s="187">
        <v>44463</v>
      </c>
      <c r="BC1679" s="180">
        <v>-0.52300000000000002</v>
      </c>
      <c r="BD1679" s="191">
        <v>44463</v>
      </c>
      <c r="BE1679" s="192" t="s">
        <v>281</v>
      </c>
      <c r="BH1679" s="94">
        <v>44530</v>
      </c>
      <c r="BI1679" s="95" t="s">
        <v>89</v>
      </c>
      <c r="BJ1679" s="96">
        <v>13.72</v>
      </c>
    </row>
    <row r="1680" spans="54:62" ht="15">
      <c r="BB1680" s="187">
        <v>44466</v>
      </c>
      <c r="BC1680" s="180">
        <v>-0.51700000000000002</v>
      </c>
      <c r="BD1680" s="191">
        <v>44466</v>
      </c>
      <c r="BE1680" s="192" t="s">
        <v>280</v>
      </c>
      <c r="BH1680" s="94">
        <v>44531</v>
      </c>
      <c r="BI1680" s="95" t="s">
        <v>93</v>
      </c>
      <c r="BJ1680" s="96">
        <v>13.71</v>
      </c>
    </row>
    <row r="1681" spans="54:62" ht="15">
      <c r="BB1681" s="187">
        <v>44467</v>
      </c>
      <c r="BC1681" s="180">
        <v>-0.52300000000000002</v>
      </c>
      <c r="BD1681" s="191">
        <v>44467</v>
      </c>
      <c r="BE1681" s="192" t="s">
        <v>378</v>
      </c>
      <c r="BH1681" s="94">
        <v>44532</v>
      </c>
      <c r="BI1681" s="95" t="s">
        <v>144</v>
      </c>
      <c r="BJ1681" s="96">
        <v>13.71</v>
      </c>
    </row>
    <row r="1682" spans="54:62" ht="15">
      <c r="BB1682" s="187">
        <v>44468</v>
      </c>
      <c r="BC1682" s="180">
        <v>-0.52300000000000002</v>
      </c>
      <c r="BD1682" s="191">
        <v>44468</v>
      </c>
      <c r="BE1682" s="192" t="s">
        <v>228</v>
      </c>
      <c r="BH1682" s="94">
        <v>44533</v>
      </c>
      <c r="BI1682" s="95" t="s">
        <v>225</v>
      </c>
      <c r="BJ1682" s="96">
        <v>13.71</v>
      </c>
    </row>
    <row r="1683" spans="54:62" ht="15">
      <c r="BB1683" s="187">
        <v>44469</v>
      </c>
      <c r="BC1683" s="180">
        <v>-0.52800000000000002</v>
      </c>
      <c r="BD1683" s="191">
        <v>44469</v>
      </c>
      <c r="BE1683" s="192" t="s">
        <v>271</v>
      </c>
      <c r="BH1683" s="94">
        <v>44536</v>
      </c>
      <c r="BI1683" s="95" t="s">
        <v>147</v>
      </c>
      <c r="BJ1683" s="96">
        <v>13.7</v>
      </c>
    </row>
    <row r="1684" spans="54:62" ht="15">
      <c r="BB1684" s="187">
        <v>44470</v>
      </c>
      <c r="BC1684" s="180">
        <v>-0.52600000000000002</v>
      </c>
      <c r="BD1684" s="191">
        <v>44470</v>
      </c>
      <c r="BE1684" s="192" t="s">
        <v>272</v>
      </c>
      <c r="BH1684" s="94">
        <v>44537</v>
      </c>
      <c r="BI1684" s="95" t="s">
        <v>226</v>
      </c>
      <c r="BJ1684" s="96">
        <v>13.7</v>
      </c>
    </row>
    <row r="1685" spans="54:62" ht="15">
      <c r="BB1685" s="187">
        <v>44473</v>
      </c>
      <c r="BC1685" s="180">
        <v>-0.52700000000000002</v>
      </c>
      <c r="BD1685" s="191">
        <v>44473</v>
      </c>
      <c r="BE1685" s="192" t="s">
        <v>273</v>
      </c>
      <c r="BH1685" s="94">
        <v>44539</v>
      </c>
      <c r="BI1685" s="95" t="s">
        <v>226</v>
      </c>
      <c r="BJ1685" s="96">
        <v>13.69</v>
      </c>
    </row>
    <row r="1686" spans="54:62" ht="15">
      <c r="BB1686" s="187">
        <v>44474</v>
      </c>
      <c r="BC1686" s="180">
        <v>-0.52500000000000002</v>
      </c>
      <c r="BD1686" s="191">
        <v>44474</v>
      </c>
      <c r="BE1686" s="192" t="s">
        <v>274</v>
      </c>
      <c r="BH1686" s="94">
        <v>44540</v>
      </c>
      <c r="BI1686" s="95" t="s">
        <v>148</v>
      </c>
      <c r="BJ1686" s="96">
        <v>13.69</v>
      </c>
    </row>
    <row r="1687" spans="54:62" ht="15">
      <c r="BB1687" s="187">
        <v>44475</v>
      </c>
      <c r="BC1687" s="180">
        <v>-0.53</v>
      </c>
      <c r="BD1687" s="191">
        <v>44475</v>
      </c>
      <c r="BE1687" s="192" t="s">
        <v>362</v>
      </c>
      <c r="BH1687" s="94">
        <v>44543</v>
      </c>
      <c r="BI1687" s="95" t="s">
        <v>382</v>
      </c>
      <c r="BJ1687" s="96">
        <v>13.68</v>
      </c>
    </row>
    <row r="1688" spans="54:62" ht="15">
      <c r="BB1688" s="187">
        <v>44476</v>
      </c>
      <c r="BC1688" s="180">
        <v>-0.52600000000000002</v>
      </c>
      <c r="BD1688" s="191">
        <v>44476</v>
      </c>
      <c r="BE1688" s="192" t="s">
        <v>253</v>
      </c>
      <c r="BH1688" s="94">
        <v>44544</v>
      </c>
      <c r="BI1688" s="95" t="s">
        <v>149</v>
      </c>
      <c r="BJ1688" s="96">
        <v>13.68</v>
      </c>
    </row>
    <row r="1689" spans="54:62" ht="15">
      <c r="BB1689" s="187">
        <v>44477</v>
      </c>
      <c r="BC1689" s="180">
        <v>-0.51800000000000002</v>
      </c>
      <c r="BD1689" s="191">
        <v>44477</v>
      </c>
      <c r="BE1689" s="192" t="s">
        <v>148</v>
      </c>
      <c r="BH1689" s="94">
        <v>44545</v>
      </c>
      <c r="BI1689" s="95" t="s">
        <v>253</v>
      </c>
      <c r="BJ1689" s="96">
        <v>13.67</v>
      </c>
    </row>
    <row r="1690" spans="54:62" ht="15">
      <c r="BB1690" s="187">
        <v>44480</v>
      </c>
      <c r="BC1690" s="180">
        <v>-0.52100000000000002</v>
      </c>
      <c r="BD1690" s="191">
        <v>44480</v>
      </c>
      <c r="BE1690" s="192" t="s">
        <v>379</v>
      </c>
      <c r="BH1690" s="94">
        <v>44546</v>
      </c>
      <c r="BI1690" s="95" t="s">
        <v>150</v>
      </c>
      <c r="BJ1690" s="96">
        <v>13.66</v>
      </c>
    </row>
    <row r="1691" spans="54:62" ht="15">
      <c r="BB1691" s="187">
        <v>44481</v>
      </c>
      <c r="BC1691" s="180">
        <v>-0.52300000000000002</v>
      </c>
      <c r="BD1691" s="191">
        <v>44481</v>
      </c>
      <c r="BE1691" s="192" t="s">
        <v>92</v>
      </c>
      <c r="BH1691" s="94">
        <v>44547</v>
      </c>
      <c r="BI1691" s="95" t="s">
        <v>383</v>
      </c>
      <c r="BJ1691" s="96">
        <v>13.65</v>
      </c>
    </row>
    <row r="1692" spans="54:62" ht="15">
      <c r="BB1692" s="187">
        <v>44482</v>
      </c>
      <c r="BC1692" s="180">
        <v>-0.52400000000000002</v>
      </c>
      <c r="BD1692" s="191">
        <v>44482</v>
      </c>
      <c r="BE1692" s="192" t="s">
        <v>214</v>
      </c>
      <c r="BH1692" s="94">
        <v>44550</v>
      </c>
      <c r="BI1692" s="95" t="s">
        <v>362</v>
      </c>
      <c r="BJ1692" s="96">
        <v>13.64</v>
      </c>
    </row>
    <row r="1693" spans="54:62" ht="15">
      <c r="BB1693" s="187">
        <v>44483</v>
      </c>
      <c r="BC1693" s="180">
        <v>-0.52300000000000002</v>
      </c>
      <c r="BD1693" s="191">
        <v>44483</v>
      </c>
      <c r="BE1693" s="192" t="s">
        <v>266</v>
      </c>
      <c r="BH1693" s="94">
        <v>44551</v>
      </c>
      <c r="BI1693" s="95" t="s">
        <v>383</v>
      </c>
      <c r="BJ1693" s="96">
        <v>13.65</v>
      </c>
    </row>
    <row r="1694" spans="54:62" ht="15">
      <c r="BB1694" s="187">
        <v>44484</v>
      </c>
      <c r="BC1694" s="180">
        <v>-0.52800000000000002</v>
      </c>
      <c r="BD1694" s="191">
        <v>44484</v>
      </c>
      <c r="BE1694" s="192" t="s">
        <v>86</v>
      </c>
      <c r="BH1694" s="94">
        <v>44552</v>
      </c>
      <c r="BI1694" s="95" t="s">
        <v>268</v>
      </c>
      <c r="BJ1694" s="96">
        <v>13.65</v>
      </c>
    </row>
    <row r="1695" spans="54:62" ht="15">
      <c r="BB1695" s="187">
        <v>44487</v>
      </c>
      <c r="BC1695" s="180">
        <v>-0.52700000000000002</v>
      </c>
      <c r="BD1695" s="191">
        <v>44487</v>
      </c>
      <c r="BE1695" s="192" t="s">
        <v>223</v>
      </c>
      <c r="BH1695" s="94">
        <v>44553</v>
      </c>
      <c r="BI1695" s="95" t="s">
        <v>383</v>
      </c>
      <c r="BJ1695" s="96">
        <v>13.65</v>
      </c>
    </row>
    <row r="1696" spans="54:62" ht="15">
      <c r="BB1696" s="187">
        <v>44488</v>
      </c>
      <c r="BC1696" s="180">
        <v>-0.52400000000000002</v>
      </c>
      <c r="BD1696" s="191">
        <v>44488</v>
      </c>
      <c r="BE1696" s="192" t="s">
        <v>80</v>
      </c>
      <c r="BH1696" s="94">
        <v>44557</v>
      </c>
      <c r="BI1696" s="95" t="s">
        <v>383</v>
      </c>
      <c r="BJ1696" s="96">
        <v>13.63</v>
      </c>
    </row>
    <row r="1697" spans="54:62" ht="15">
      <c r="BB1697" s="187">
        <v>44489</v>
      </c>
      <c r="BC1697" s="180">
        <v>-0.52700000000000002</v>
      </c>
      <c r="BD1697" s="191">
        <v>44489</v>
      </c>
      <c r="BE1697" s="192" t="s">
        <v>102</v>
      </c>
      <c r="BH1697" s="94">
        <v>44558</v>
      </c>
      <c r="BI1697" s="95" t="s">
        <v>208</v>
      </c>
      <c r="BJ1697" s="96">
        <v>13.63</v>
      </c>
    </row>
    <row r="1698" spans="54:62" ht="15">
      <c r="BB1698" s="187">
        <v>44490</v>
      </c>
      <c r="BC1698" s="180">
        <v>-0.53200000000000003</v>
      </c>
      <c r="BD1698" s="191">
        <v>44490</v>
      </c>
      <c r="BE1698" s="192" t="s">
        <v>76</v>
      </c>
      <c r="BH1698" s="94">
        <v>44559</v>
      </c>
      <c r="BI1698" s="95" t="s">
        <v>384</v>
      </c>
      <c r="BJ1698" s="96">
        <v>13.63</v>
      </c>
    </row>
    <row r="1699" spans="54:62" ht="15">
      <c r="BB1699" s="187">
        <v>44491</v>
      </c>
      <c r="BC1699" s="180">
        <v>-0.53400000000000003</v>
      </c>
      <c r="BD1699" s="191">
        <v>44491</v>
      </c>
      <c r="BE1699" s="192" t="s">
        <v>99</v>
      </c>
      <c r="BH1699" s="94">
        <v>44560</v>
      </c>
      <c r="BI1699" s="95" t="s">
        <v>379</v>
      </c>
      <c r="BJ1699" s="96">
        <v>13.63</v>
      </c>
    </row>
    <row r="1700" spans="54:62" ht="15">
      <c r="BB1700" s="187">
        <v>44494</v>
      </c>
      <c r="BC1700" s="180">
        <v>-0.52800000000000002</v>
      </c>
      <c r="BD1700" s="191">
        <v>44494</v>
      </c>
      <c r="BE1700" s="192" t="s">
        <v>101</v>
      </c>
      <c r="BH1700" s="94">
        <v>44561</v>
      </c>
      <c r="BI1700" s="95" t="s">
        <v>211</v>
      </c>
      <c r="BJ1700" s="96">
        <v>13.62</v>
      </c>
    </row>
    <row r="1701" spans="54:62" ht="15">
      <c r="BB1701" s="187">
        <v>44495</v>
      </c>
      <c r="BC1701" s="180">
        <v>-0.53300000000000003</v>
      </c>
      <c r="BD1701" s="191"/>
      <c r="BE1701" s="193" t="str">
        <f>+BE1700</f>
        <v>−0,144</v>
      </c>
      <c r="BH1701" s="94">
        <v>44564</v>
      </c>
      <c r="BI1701" s="95" t="s">
        <v>212</v>
      </c>
      <c r="BJ1701" s="96">
        <v>13.62</v>
      </c>
    </row>
    <row r="1702" spans="54:62" ht="15">
      <c r="BB1702" s="187">
        <v>44496</v>
      </c>
      <c r="BC1702" s="180">
        <v>-0.53600000000000003</v>
      </c>
      <c r="BD1702" s="191">
        <v>44496</v>
      </c>
      <c r="BE1702" s="192" t="s">
        <v>108</v>
      </c>
      <c r="BH1702" s="94">
        <v>44565</v>
      </c>
      <c r="BI1702" s="95" t="s">
        <v>86</v>
      </c>
      <c r="BJ1702" s="96">
        <v>13.61</v>
      </c>
    </row>
    <row r="1703" spans="54:62" ht="15">
      <c r="BB1703" s="187">
        <v>44497</v>
      </c>
      <c r="BC1703" s="180">
        <v>-0.53300000000000003</v>
      </c>
      <c r="BD1703" s="191">
        <v>44497</v>
      </c>
      <c r="BE1703" s="192" t="s">
        <v>109</v>
      </c>
      <c r="BH1703" s="94">
        <v>44566</v>
      </c>
      <c r="BI1703" s="95" t="s">
        <v>368</v>
      </c>
      <c r="BJ1703" s="96">
        <v>13.61</v>
      </c>
    </row>
    <row r="1704" spans="54:62" ht="15">
      <c r="BB1704" s="187">
        <v>44498</v>
      </c>
      <c r="BC1704" s="180">
        <v>-0.52700000000000002</v>
      </c>
      <c r="BD1704" s="191">
        <v>44498</v>
      </c>
      <c r="BE1704" s="192" t="s">
        <v>365</v>
      </c>
      <c r="BH1704" s="94">
        <v>44568</v>
      </c>
      <c r="BI1704" s="95" t="s">
        <v>78</v>
      </c>
      <c r="BJ1704" s="96">
        <v>13.6</v>
      </c>
    </row>
    <row r="1705" spans="54:62" ht="15">
      <c r="BB1705" s="187">
        <v>44501</v>
      </c>
      <c r="BC1705" s="180">
        <v>-0.52900000000000003</v>
      </c>
      <c r="BD1705" s="191"/>
      <c r="BE1705" s="193">
        <v>-0.13400000000000001</v>
      </c>
      <c r="BF1705" s="111">
        <f>+(BC1705+BE1705)/2+0.37</f>
        <v>3.8499999999999979E-2</v>
      </c>
      <c r="BH1705" s="94">
        <v>44571</v>
      </c>
      <c r="BI1705" s="95" t="s">
        <v>143</v>
      </c>
      <c r="BJ1705" s="96">
        <v>13.6</v>
      </c>
    </row>
    <row r="1706" spans="54:62" ht="15">
      <c r="BB1706" s="187">
        <v>44502</v>
      </c>
      <c r="BC1706" s="180">
        <v>-0.53400000000000003</v>
      </c>
      <c r="BD1706" s="191">
        <v>44502</v>
      </c>
      <c r="BE1706" s="192" t="s">
        <v>366</v>
      </c>
      <c r="BH1706" s="94">
        <v>44572</v>
      </c>
      <c r="BI1706" s="95" t="s">
        <v>363</v>
      </c>
      <c r="BJ1706" s="96">
        <v>13.59</v>
      </c>
    </row>
    <row r="1707" spans="54:62" ht="15">
      <c r="BB1707" s="187">
        <v>44503</v>
      </c>
      <c r="BC1707" s="180">
        <v>-0.53800000000000003</v>
      </c>
      <c r="BD1707" s="191">
        <v>44503</v>
      </c>
      <c r="BE1707" s="192" t="s">
        <v>71</v>
      </c>
      <c r="BH1707" s="94">
        <v>44573</v>
      </c>
      <c r="BI1707" s="95" t="s">
        <v>265</v>
      </c>
      <c r="BJ1707" s="96">
        <v>13.59</v>
      </c>
    </row>
    <row r="1708" spans="54:62" ht="15">
      <c r="BB1708" s="187">
        <v>44504</v>
      </c>
      <c r="BC1708" s="180">
        <v>-0.53800000000000003</v>
      </c>
      <c r="BD1708" s="191">
        <v>44504</v>
      </c>
      <c r="BE1708" s="192" t="s">
        <v>380</v>
      </c>
      <c r="BH1708" s="94">
        <v>44574</v>
      </c>
      <c r="BI1708" s="95" t="s">
        <v>385</v>
      </c>
      <c r="BJ1708" s="96">
        <v>13.62</v>
      </c>
    </row>
    <row r="1709" spans="54:62" ht="15">
      <c r="BB1709" s="187">
        <v>44505</v>
      </c>
      <c r="BC1709" s="180">
        <v>-0.53600000000000003</v>
      </c>
      <c r="BD1709" s="191">
        <v>44505</v>
      </c>
      <c r="BE1709" s="192" t="s">
        <v>112</v>
      </c>
      <c r="BH1709" s="94">
        <v>44575</v>
      </c>
      <c r="BI1709" s="95" t="s">
        <v>386</v>
      </c>
      <c r="BJ1709" s="96">
        <v>13.62</v>
      </c>
    </row>
    <row r="1710" spans="54:62" ht="15">
      <c r="BB1710" s="187">
        <v>44508</v>
      </c>
      <c r="BC1710" s="180">
        <v>-0.53700000000000003</v>
      </c>
      <c r="BD1710" s="191">
        <v>44508</v>
      </c>
      <c r="BE1710" s="192" t="s">
        <v>366</v>
      </c>
      <c r="BH1710" s="94">
        <v>44578</v>
      </c>
      <c r="BI1710" s="95" t="s">
        <v>387</v>
      </c>
      <c r="BJ1710" s="96">
        <v>13.61</v>
      </c>
    </row>
    <row r="1711" spans="54:62" ht="15">
      <c r="BB1711" s="187">
        <v>44509</v>
      </c>
      <c r="BC1711" s="180">
        <v>-0.53300000000000003</v>
      </c>
      <c r="BD1711" s="191">
        <v>44509</v>
      </c>
      <c r="BE1711" s="192" t="s">
        <v>364</v>
      </c>
      <c r="BH1711" s="94">
        <v>44579</v>
      </c>
      <c r="BI1711" s="95" t="s">
        <v>256</v>
      </c>
      <c r="BJ1711" s="96">
        <v>13.6</v>
      </c>
    </row>
    <row r="1712" spans="54:62" ht="15">
      <c r="BB1712" s="187">
        <v>44510</v>
      </c>
      <c r="BC1712" s="180">
        <v>-0.53200000000000003</v>
      </c>
      <c r="BD1712" s="191">
        <v>44510</v>
      </c>
      <c r="BE1712" s="192" t="s">
        <v>142</v>
      </c>
      <c r="BH1712" s="94">
        <v>44580</v>
      </c>
      <c r="BI1712" s="95" t="s">
        <v>388</v>
      </c>
      <c r="BJ1712" s="96">
        <v>13.6</v>
      </c>
    </row>
    <row r="1713" spans="54:62" ht="15">
      <c r="BB1713" s="187">
        <v>44511</v>
      </c>
      <c r="BC1713" s="180">
        <v>-0.52700000000000002</v>
      </c>
      <c r="BD1713" s="191">
        <v>44511</v>
      </c>
      <c r="BE1713" s="192" t="s">
        <v>73</v>
      </c>
      <c r="BH1713" s="94">
        <v>44581</v>
      </c>
      <c r="BI1713" s="95" t="s">
        <v>389</v>
      </c>
      <c r="BJ1713" s="96">
        <v>13.6</v>
      </c>
    </row>
    <row r="1714" spans="54:62" ht="15">
      <c r="BB1714" s="187">
        <v>44512</v>
      </c>
      <c r="BC1714" s="180">
        <v>-0.53300000000000003</v>
      </c>
      <c r="BD1714" s="191">
        <v>44512</v>
      </c>
      <c r="BE1714" s="192" t="s">
        <v>75</v>
      </c>
      <c r="BH1714" s="94">
        <v>44582</v>
      </c>
      <c r="BI1714" s="95" t="s">
        <v>390</v>
      </c>
      <c r="BJ1714" s="96">
        <v>13.6</v>
      </c>
    </row>
    <row r="1715" spans="54:62" ht="15">
      <c r="BB1715" s="187">
        <v>44515</v>
      </c>
      <c r="BC1715" s="180">
        <v>-0.52800000000000002</v>
      </c>
      <c r="BD1715" s="191">
        <v>44515</v>
      </c>
      <c r="BE1715" s="192" t="s">
        <v>97</v>
      </c>
      <c r="BH1715" s="94">
        <v>44585</v>
      </c>
      <c r="BI1715" s="95" t="s">
        <v>122</v>
      </c>
      <c r="BJ1715" s="96">
        <v>13.59</v>
      </c>
    </row>
    <row r="1716" spans="54:62" ht="15">
      <c r="BB1716" s="187">
        <v>44516</v>
      </c>
      <c r="BC1716" s="180">
        <v>-0.53</v>
      </c>
      <c r="BD1716" s="191">
        <v>44516</v>
      </c>
      <c r="BE1716" s="192" t="s">
        <v>221</v>
      </c>
      <c r="BH1716" s="94">
        <v>44586</v>
      </c>
      <c r="BI1716" s="95" t="s">
        <v>391</v>
      </c>
      <c r="BJ1716" s="96">
        <v>13.59</v>
      </c>
    </row>
    <row r="1717" spans="54:62" ht="15">
      <c r="BB1717" s="187">
        <v>44517</v>
      </c>
      <c r="BC1717" s="180">
        <v>-0.53800000000000003</v>
      </c>
      <c r="BD1717" s="191">
        <v>44517</v>
      </c>
      <c r="BE1717" s="192" t="s">
        <v>103</v>
      </c>
      <c r="BH1717" s="94">
        <v>44587</v>
      </c>
      <c r="BI1717" s="95" t="s">
        <v>392</v>
      </c>
      <c r="BJ1717" s="96">
        <v>13.7</v>
      </c>
    </row>
    <row r="1718" spans="54:62" ht="15">
      <c r="BB1718" s="187">
        <v>44518</v>
      </c>
      <c r="BC1718" s="180">
        <v>-0.53300000000000003</v>
      </c>
      <c r="BD1718" s="191">
        <v>44518</v>
      </c>
      <c r="BE1718" s="192" t="s">
        <v>80</v>
      </c>
      <c r="BH1718" s="94">
        <v>44588</v>
      </c>
      <c r="BI1718" s="95" t="s">
        <v>124</v>
      </c>
      <c r="BJ1718" s="96">
        <v>13.7</v>
      </c>
    </row>
    <row r="1719" spans="54:62" ht="15">
      <c r="BB1719" s="187">
        <v>44519</v>
      </c>
      <c r="BC1719" s="180">
        <v>-0.52800000000000002</v>
      </c>
      <c r="BD1719" s="191">
        <v>44519</v>
      </c>
      <c r="BE1719" s="192" t="s">
        <v>223</v>
      </c>
      <c r="BH1719" s="94">
        <v>44589</v>
      </c>
      <c r="BI1719" s="95" t="s">
        <v>393</v>
      </c>
      <c r="BJ1719" s="96">
        <v>13.7</v>
      </c>
    </row>
    <row r="1720" spans="54:62" ht="15">
      <c r="BB1720" s="187">
        <v>44522</v>
      </c>
      <c r="BC1720" s="180">
        <v>-0.52800000000000002</v>
      </c>
      <c r="BD1720" s="191">
        <v>44522</v>
      </c>
      <c r="BE1720" s="192" t="s">
        <v>78</v>
      </c>
      <c r="BH1720" s="94">
        <v>44592</v>
      </c>
      <c r="BI1720" s="95" t="s">
        <v>394</v>
      </c>
      <c r="BJ1720" s="96">
        <v>13.69</v>
      </c>
    </row>
    <row r="1721" spans="54:62" ht="15">
      <c r="BB1721" s="187">
        <v>44523</v>
      </c>
      <c r="BC1721" s="180">
        <v>-0.53300000000000003</v>
      </c>
      <c r="BD1721" s="191">
        <v>44523</v>
      </c>
      <c r="BE1721" s="192" t="s">
        <v>367</v>
      </c>
      <c r="BH1721" s="94">
        <v>44593</v>
      </c>
      <c r="BI1721" s="95">
        <v>0</v>
      </c>
      <c r="BJ1721" s="96">
        <v>13.77</v>
      </c>
    </row>
    <row r="1722" spans="54:62" ht="15">
      <c r="BB1722" s="187">
        <v>44524</v>
      </c>
      <c r="BC1722" s="180">
        <v>-0.54</v>
      </c>
      <c r="BD1722" s="191">
        <v>44524</v>
      </c>
      <c r="BE1722" s="192" t="s">
        <v>219</v>
      </c>
      <c r="BH1722" s="94">
        <v>44594</v>
      </c>
      <c r="BI1722" s="95">
        <v>7.0000000000000001E-3</v>
      </c>
      <c r="BJ1722" s="96">
        <v>13.77</v>
      </c>
    </row>
    <row r="1723" spans="54:62" ht="15">
      <c r="BB1723" s="187">
        <v>44525</v>
      </c>
      <c r="BC1723" s="180">
        <v>-0.54200000000000004</v>
      </c>
      <c r="BD1723" s="191">
        <v>44525</v>
      </c>
      <c r="BE1723" s="192" t="s">
        <v>368</v>
      </c>
      <c r="BH1723" s="94">
        <v>44595</v>
      </c>
      <c r="BI1723" s="95">
        <v>1.6E-2</v>
      </c>
      <c r="BJ1723" s="96">
        <v>13.77</v>
      </c>
    </row>
    <row r="1724" spans="54:62" ht="15">
      <c r="BB1724" s="187">
        <v>44526</v>
      </c>
      <c r="BC1724" s="180">
        <v>-0.53700000000000003</v>
      </c>
      <c r="BD1724" s="191">
        <v>44526</v>
      </c>
      <c r="BE1724" s="192" t="s">
        <v>381</v>
      </c>
      <c r="BH1724" s="94">
        <v>44596</v>
      </c>
      <c r="BI1724" s="95">
        <v>0.03</v>
      </c>
      <c r="BJ1724" s="96">
        <v>13.76</v>
      </c>
    </row>
    <row r="1725" spans="54:62" ht="15">
      <c r="BB1725" s="187">
        <v>44529</v>
      </c>
      <c r="BC1725" s="180">
        <v>-0.53600000000000003</v>
      </c>
      <c r="BD1725" s="191">
        <v>44529</v>
      </c>
      <c r="BE1725" s="192" t="s">
        <v>266</v>
      </c>
      <c r="BH1725" s="94">
        <v>44599</v>
      </c>
      <c r="BI1725" s="95">
        <v>4.5999999999999999E-2</v>
      </c>
      <c r="BJ1725" s="96">
        <v>13.75</v>
      </c>
    </row>
    <row r="1726" spans="54:62" ht="15">
      <c r="BB1726" s="187">
        <v>44530</v>
      </c>
      <c r="BC1726" s="180">
        <v>-0.53800000000000003</v>
      </c>
      <c r="BD1726" s="191">
        <v>44530</v>
      </c>
      <c r="BE1726" s="192" t="s">
        <v>89</v>
      </c>
      <c r="BH1726" s="94">
        <v>44600</v>
      </c>
      <c r="BI1726" s="95">
        <v>6.2E-2</v>
      </c>
      <c r="BJ1726" s="96">
        <v>13.74</v>
      </c>
    </row>
    <row r="1727" spans="54:62" ht="15">
      <c r="BB1727" s="187">
        <v>44531</v>
      </c>
      <c r="BC1727" s="180">
        <v>-0.54100000000000004</v>
      </c>
      <c r="BD1727" s="191">
        <v>44531</v>
      </c>
      <c r="BE1727" s="192" t="s">
        <v>93</v>
      </c>
      <c r="BH1727" s="94">
        <v>44601</v>
      </c>
      <c r="BI1727" s="95">
        <v>7.6999999999999999E-2</v>
      </c>
      <c r="BJ1727" s="96">
        <v>13.74</v>
      </c>
    </row>
    <row r="1728" spans="54:62" ht="15">
      <c r="BB1728" s="187">
        <v>44532</v>
      </c>
      <c r="BC1728" s="180">
        <v>-0.54100000000000004</v>
      </c>
      <c r="BD1728" s="191">
        <v>44532</v>
      </c>
      <c r="BE1728" s="192" t="s">
        <v>144</v>
      </c>
      <c r="BH1728" s="94">
        <v>44602</v>
      </c>
      <c r="BI1728" s="95">
        <v>9.4E-2</v>
      </c>
      <c r="BJ1728" s="96">
        <v>13.74</v>
      </c>
    </row>
    <row r="1729" spans="54:62" ht="15">
      <c r="BB1729" s="187">
        <v>44533</v>
      </c>
      <c r="BC1729" s="180">
        <v>-0.53700000000000003</v>
      </c>
      <c r="BD1729" s="191">
        <v>44533</v>
      </c>
      <c r="BE1729" s="192" t="s">
        <v>225</v>
      </c>
      <c r="BH1729" s="94">
        <v>44603</v>
      </c>
      <c r="BI1729" s="95">
        <v>0.114</v>
      </c>
      <c r="BJ1729" s="96">
        <v>13.74</v>
      </c>
    </row>
    <row r="1730" spans="54:62" ht="15">
      <c r="BB1730" s="187">
        <v>44536</v>
      </c>
      <c r="BC1730" s="180">
        <v>-0.54300000000000004</v>
      </c>
      <c r="BD1730" s="191">
        <v>44536</v>
      </c>
      <c r="BE1730" s="192" t="s">
        <v>147</v>
      </c>
      <c r="BH1730" s="94">
        <v>44606</v>
      </c>
      <c r="BI1730" s="95">
        <v>0.13</v>
      </c>
      <c r="BJ1730" s="96">
        <v>13.73</v>
      </c>
    </row>
    <row r="1731" spans="54:62" ht="15">
      <c r="BB1731" s="187">
        <v>44537</v>
      </c>
      <c r="BC1731" s="180">
        <v>-0.53800000000000003</v>
      </c>
      <c r="BD1731" s="191">
        <v>44537</v>
      </c>
      <c r="BE1731" s="192" t="s">
        <v>226</v>
      </c>
      <c r="BH1731" s="94">
        <v>44607</v>
      </c>
      <c r="BI1731" s="95">
        <v>0.14699999999999999</v>
      </c>
      <c r="BJ1731" s="96">
        <v>13.73</v>
      </c>
    </row>
    <row r="1732" spans="54:62" ht="15">
      <c r="BB1732" s="187">
        <v>44538</v>
      </c>
      <c r="BC1732" s="180">
        <v>-0.54</v>
      </c>
      <c r="BD1732" s="191"/>
      <c r="BE1732" s="193" t="str">
        <f>+BE1731</f>
        <v>−0,208</v>
      </c>
      <c r="BH1732" s="94">
        <v>44608</v>
      </c>
      <c r="BI1732" s="95">
        <v>0.16300000000000001</v>
      </c>
      <c r="BJ1732" s="96">
        <v>13.72</v>
      </c>
    </row>
    <row r="1733" spans="54:62" ht="15">
      <c r="BB1733" s="187">
        <v>44539</v>
      </c>
      <c r="BC1733" s="180">
        <v>-0.54600000000000004</v>
      </c>
      <c r="BD1733" s="191">
        <v>44539</v>
      </c>
      <c r="BE1733" s="192" t="s">
        <v>226</v>
      </c>
      <c r="BH1733" s="94">
        <v>44609</v>
      </c>
      <c r="BI1733" s="95">
        <v>0.17899999999999999</v>
      </c>
      <c r="BJ1733" s="96">
        <v>13.72</v>
      </c>
    </row>
    <row r="1734" spans="54:62" ht="15">
      <c r="BB1734" s="187">
        <v>44540</v>
      </c>
      <c r="BC1734" s="180">
        <v>-0.54300000000000004</v>
      </c>
      <c r="BD1734" s="191">
        <v>44540</v>
      </c>
      <c r="BE1734" s="192" t="s">
        <v>148</v>
      </c>
      <c r="BH1734" s="94">
        <v>44610</v>
      </c>
      <c r="BI1734" s="95">
        <v>0.193</v>
      </c>
      <c r="BJ1734" s="96">
        <v>13.72</v>
      </c>
    </row>
    <row r="1735" spans="54:62" ht="15">
      <c r="BB1735" s="187">
        <v>44543</v>
      </c>
      <c r="BC1735" s="180">
        <v>-0.54700000000000004</v>
      </c>
      <c r="BD1735" s="191">
        <v>44543</v>
      </c>
      <c r="BE1735" s="192" t="s">
        <v>382</v>
      </c>
      <c r="BH1735" s="94">
        <v>44613</v>
      </c>
      <c r="BI1735" s="95">
        <v>0.21</v>
      </c>
      <c r="BJ1735" s="96">
        <v>13.71</v>
      </c>
    </row>
    <row r="1736" spans="54:62" ht="15">
      <c r="BB1736" s="187">
        <v>44544</v>
      </c>
      <c r="BC1736" s="180">
        <v>-0.54500000000000004</v>
      </c>
      <c r="BD1736" s="191">
        <v>44544</v>
      </c>
      <c r="BE1736" s="192" t="s">
        <v>149</v>
      </c>
      <c r="BH1736" s="94">
        <v>44614</v>
      </c>
      <c r="BI1736" s="95">
        <v>0.22700000000000001</v>
      </c>
      <c r="BJ1736" s="96">
        <v>13.71</v>
      </c>
    </row>
    <row r="1737" spans="54:62" ht="15">
      <c r="BB1737" s="187">
        <v>44545</v>
      </c>
      <c r="BC1737" s="180">
        <v>-0.54700000000000004</v>
      </c>
      <c r="BD1737" s="191">
        <v>44545</v>
      </c>
      <c r="BE1737" s="192" t="s">
        <v>253</v>
      </c>
      <c r="BH1737" s="94">
        <v>44615</v>
      </c>
      <c r="BI1737" s="95">
        <v>0.24399999999999999</v>
      </c>
      <c r="BJ1737" s="96">
        <v>13.7</v>
      </c>
    </row>
    <row r="1738" spans="54:62" ht="15">
      <c r="BB1738" s="187">
        <v>44546</v>
      </c>
      <c r="BC1738" s="180">
        <v>-0.54800000000000004</v>
      </c>
      <c r="BD1738" s="191">
        <v>44546</v>
      </c>
      <c r="BE1738" s="192" t="s">
        <v>150</v>
      </c>
      <c r="BH1738" s="94">
        <v>44616</v>
      </c>
      <c r="BI1738" s="95">
        <v>0.25700000000000001</v>
      </c>
      <c r="BJ1738" s="96">
        <v>13.69</v>
      </c>
    </row>
    <row r="1739" spans="54:62" ht="15">
      <c r="BB1739" s="187">
        <v>44547</v>
      </c>
      <c r="BC1739" s="180">
        <v>-0.55100000000000005</v>
      </c>
      <c r="BD1739" s="191">
        <v>44547</v>
      </c>
      <c r="BE1739" s="192" t="s">
        <v>383</v>
      </c>
      <c r="BH1739" s="94">
        <v>44617</v>
      </c>
      <c r="BI1739" s="95">
        <v>0.27100000000000002</v>
      </c>
      <c r="BJ1739" s="96">
        <v>13.68</v>
      </c>
    </row>
    <row r="1740" spans="54:62" ht="15">
      <c r="BB1740" s="187">
        <v>44550</v>
      </c>
      <c r="BC1740" s="180">
        <v>-0.55400000000000005</v>
      </c>
      <c r="BD1740" s="191">
        <v>44550</v>
      </c>
      <c r="BE1740" s="192" t="s">
        <v>362</v>
      </c>
      <c r="BH1740" s="94">
        <v>44620</v>
      </c>
      <c r="BI1740" s="95">
        <v>0.28199999999999997</v>
      </c>
      <c r="BJ1740" s="96">
        <v>13.67</v>
      </c>
    </row>
    <row r="1741" spans="54:62" ht="15">
      <c r="BB1741" s="187">
        <v>44551</v>
      </c>
      <c r="BC1741" s="180">
        <v>-0.55100000000000005</v>
      </c>
      <c r="BD1741" s="191">
        <v>44551</v>
      </c>
      <c r="BE1741" s="192" t="s">
        <v>383</v>
      </c>
      <c r="BH1741" s="94">
        <v>44621</v>
      </c>
      <c r="BI1741" s="95">
        <v>0.28499999999999998</v>
      </c>
      <c r="BJ1741" s="96">
        <v>13.67</v>
      </c>
    </row>
    <row r="1742" spans="54:62" ht="15">
      <c r="BB1742" s="187">
        <v>44552</v>
      </c>
      <c r="BC1742" s="180">
        <v>-0.54500000000000004</v>
      </c>
      <c r="BD1742" s="191">
        <v>44552</v>
      </c>
      <c r="BE1742" s="192" t="s">
        <v>268</v>
      </c>
      <c r="BH1742" s="94">
        <v>44622</v>
      </c>
      <c r="BI1742" s="95">
        <v>0.28599999999999998</v>
      </c>
      <c r="BJ1742" s="96">
        <v>13.67</v>
      </c>
    </row>
    <row r="1743" spans="54:62" ht="15">
      <c r="BB1743" s="187">
        <v>44553</v>
      </c>
      <c r="BC1743" s="180">
        <v>-0.53700000000000003</v>
      </c>
      <c r="BD1743" s="191">
        <v>44553</v>
      </c>
      <c r="BE1743" s="192" t="s">
        <v>383</v>
      </c>
      <c r="BH1743" s="94">
        <v>44623</v>
      </c>
      <c r="BI1743" s="95">
        <v>0.28899999999999998</v>
      </c>
      <c r="BJ1743" s="96">
        <v>13.67</v>
      </c>
    </row>
    <row r="1744" spans="54:62" ht="15">
      <c r="BB1744" s="187">
        <v>44554</v>
      </c>
      <c r="BC1744" s="180">
        <v>-0.54400000000000004</v>
      </c>
      <c r="BD1744" s="191"/>
      <c r="BE1744" s="193" t="str">
        <f>+BE1743</f>
        <v>−0,219</v>
      </c>
      <c r="BH1744" s="94">
        <v>44624</v>
      </c>
      <c r="BI1744" s="95">
        <v>0.28100000000000003</v>
      </c>
      <c r="BJ1744" s="96">
        <v>13.66</v>
      </c>
    </row>
    <row r="1745" spans="54:62" ht="15">
      <c r="BB1745" s="187">
        <v>44557</v>
      </c>
      <c r="BC1745" s="180">
        <v>-0.54400000000000004</v>
      </c>
      <c r="BD1745" s="191">
        <v>44557</v>
      </c>
      <c r="BE1745" s="192" t="s">
        <v>383</v>
      </c>
      <c r="BH1745" s="94">
        <v>44627</v>
      </c>
      <c r="BI1745" s="95">
        <v>0.27200000000000002</v>
      </c>
      <c r="BJ1745" s="96">
        <v>13.66</v>
      </c>
    </row>
    <row r="1746" spans="54:62" ht="15">
      <c r="BB1746" s="187">
        <v>44558</v>
      </c>
      <c r="BC1746" s="180">
        <v>-0.54800000000000004</v>
      </c>
      <c r="BD1746" s="191">
        <v>44558</v>
      </c>
      <c r="BE1746" s="192" t="s">
        <v>208</v>
      </c>
      <c r="BH1746" s="94">
        <v>44628</v>
      </c>
      <c r="BI1746" s="95">
        <v>0.26600000000000001</v>
      </c>
      <c r="BJ1746" s="96">
        <v>13.72</v>
      </c>
    </row>
    <row r="1747" spans="54:62" ht="15">
      <c r="BB1747" s="187">
        <v>44559</v>
      </c>
      <c r="BC1747" s="180">
        <v>-0.54400000000000004</v>
      </c>
      <c r="BD1747" s="191">
        <v>44559</v>
      </c>
      <c r="BE1747" s="192" t="s">
        <v>384</v>
      </c>
      <c r="BH1747" s="94">
        <v>44629</v>
      </c>
      <c r="BI1747" s="95">
        <v>0.26500000000000001</v>
      </c>
      <c r="BJ1747" s="96">
        <v>13.72</v>
      </c>
    </row>
    <row r="1748" spans="54:62" ht="15">
      <c r="BB1748" s="187">
        <v>44560</v>
      </c>
      <c r="BC1748" s="180">
        <v>-0.54600000000000004</v>
      </c>
      <c r="BD1748" s="191">
        <v>44560</v>
      </c>
      <c r="BE1748" s="192" t="s">
        <v>379</v>
      </c>
      <c r="BH1748" s="94">
        <v>44630</v>
      </c>
      <c r="BI1748" s="95">
        <v>0.26300000000000001</v>
      </c>
      <c r="BJ1748" s="96">
        <v>13.67</v>
      </c>
    </row>
    <row r="1749" spans="54:62" ht="15">
      <c r="BB1749" s="187">
        <v>44561</v>
      </c>
      <c r="BC1749" s="180">
        <v>-0.54600000000000004</v>
      </c>
      <c r="BD1749" s="191">
        <v>44561</v>
      </c>
      <c r="BE1749" s="192" t="s">
        <v>211</v>
      </c>
      <c r="BH1749" s="94">
        <v>44631</v>
      </c>
      <c r="BI1749" s="95">
        <v>0.26500000000000001</v>
      </c>
      <c r="BJ1749" s="96">
        <v>13.67</v>
      </c>
    </row>
    <row r="1750" spans="54:62" ht="15">
      <c r="BB1750" s="187">
        <v>44564</v>
      </c>
      <c r="BC1750" s="180">
        <v>-0.53900000000000003</v>
      </c>
      <c r="BD1750" s="191">
        <v>44564</v>
      </c>
      <c r="BE1750" s="192" t="s">
        <v>212</v>
      </c>
      <c r="BH1750" s="94">
        <v>44634</v>
      </c>
      <c r="BI1750" s="95">
        <v>0.27200000000000002</v>
      </c>
      <c r="BJ1750" s="96">
        <v>13.66</v>
      </c>
    </row>
    <row r="1751" spans="54:62" ht="15">
      <c r="BB1751" s="187">
        <v>44565</v>
      </c>
      <c r="BC1751" s="180">
        <v>-0.53500000000000003</v>
      </c>
      <c r="BD1751" s="191">
        <v>44565</v>
      </c>
      <c r="BE1751" s="192" t="s">
        <v>86</v>
      </c>
      <c r="BH1751" s="94">
        <v>44635</v>
      </c>
      <c r="BI1751" s="95">
        <v>0.27400000000000002</v>
      </c>
      <c r="BJ1751" s="96">
        <v>13.66</v>
      </c>
    </row>
    <row r="1752" spans="54:62" ht="15">
      <c r="BB1752" s="187">
        <v>44566</v>
      </c>
      <c r="BC1752" s="180">
        <v>-0.54100000000000004</v>
      </c>
      <c r="BD1752" s="191">
        <v>44566</v>
      </c>
      <c r="BE1752" s="192" t="s">
        <v>368</v>
      </c>
      <c r="BH1752" s="94">
        <v>44636</v>
      </c>
      <c r="BI1752" s="95">
        <v>0.27800000000000002</v>
      </c>
      <c r="BJ1752" s="96">
        <v>13.64</v>
      </c>
    </row>
    <row r="1753" spans="54:62" ht="15">
      <c r="BB1753" s="187">
        <v>44567</v>
      </c>
      <c r="BC1753" s="180">
        <v>-0.53400000000000003</v>
      </c>
      <c r="BD1753" s="191"/>
      <c r="BE1753" s="193" t="str">
        <f>+BE1752</f>
        <v>−0,171</v>
      </c>
      <c r="BH1753" s="94">
        <v>44637</v>
      </c>
      <c r="BI1753" s="95">
        <v>0.28399999999999997</v>
      </c>
      <c r="BJ1753" s="96">
        <v>13.63</v>
      </c>
    </row>
    <row r="1754" spans="54:62" ht="15">
      <c r="BB1754" s="187">
        <v>44568</v>
      </c>
      <c r="BC1754" s="180">
        <v>-0.53600000000000003</v>
      </c>
      <c r="BD1754" s="191">
        <v>44568</v>
      </c>
      <c r="BE1754" s="192" t="s">
        <v>78</v>
      </c>
      <c r="BH1754" s="94">
        <v>44638</v>
      </c>
      <c r="BI1754" s="95">
        <v>0.28999999999999998</v>
      </c>
      <c r="BJ1754" s="96">
        <v>13.63</v>
      </c>
    </row>
    <row r="1755" spans="54:62" ht="15">
      <c r="BB1755" s="187">
        <v>44571</v>
      </c>
      <c r="BC1755" s="180">
        <v>-0.53100000000000003</v>
      </c>
      <c r="BD1755" s="191">
        <v>44571</v>
      </c>
      <c r="BE1755" s="192" t="s">
        <v>143</v>
      </c>
      <c r="BH1755" s="94">
        <v>44641</v>
      </c>
      <c r="BI1755" s="95">
        <v>0.29899999999999999</v>
      </c>
      <c r="BJ1755" s="96">
        <v>13.62</v>
      </c>
    </row>
    <row r="1756" spans="54:62" ht="15">
      <c r="BB1756" s="187">
        <v>44572</v>
      </c>
      <c r="BC1756" s="180">
        <v>-0.52800000000000002</v>
      </c>
      <c r="BD1756" s="191">
        <v>44572</v>
      </c>
      <c r="BE1756" s="192" t="s">
        <v>363</v>
      </c>
      <c r="BH1756" s="94">
        <v>44642</v>
      </c>
      <c r="BI1756" s="95">
        <v>0.31</v>
      </c>
      <c r="BJ1756" s="96">
        <v>13.62</v>
      </c>
    </row>
    <row r="1757" spans="54:62" ht="15">
      <c r="BB1757" s="187">
        <v>44573</v>
      </c>
      <c r="BC1757" s="180">
        <v>-0.52900000000000003</v>
      </c>
      <c r="BD1757" s="191">
        <v>44573</v>
      </c>
      <c r="BE1757" s="192" t="s">
        <v>265</v>
      </c>
      <c r="BH1757" s="94">
        <v>44643</v>
      </c>
      <c r="BI1757" s="95">
        <v>0.31900000000000001</v>
      </c>
      <c r="BJ1757" s="96">
        <v>13.62</v>
      </c>
    </row>
    <row r="1758" spans="54:62" ht="15">
      <c r="BB1758" s="187">
        <v>44574</v>
      </c>
      <c r="BC1758" s="180">
        <v>-0.53400000000000003</v>
      </c>
      <c r="BD1758" s="191">
        <v>44574</v>
      </c>
      <c r="BE1758" s="192" t="s">
        <v>385</v>
      </c>
      <c r="BH1758" s="94">
        <v>44644</v>
      </c>
      <c r="BI1758" s="95">
        <v>0.33200000000000002</v>
      </c>
      <c r="BJ1758" s="96">
        <v>13.61</v>
      </c>
    </row>
    <row r="1759" spans="54:62" ht="15">
      <c r="BB1759" s="187">
        <v>44575</v>
      </c>
      <c r="BC1759" s="180">
        <v>-0.53300000000000003</v>
      </c>
      <c r="BD1759" s="191">
        <v>44575</v>
      </c>
      <c r="BE1759" s="192" t="s">
        <v>386</v>
      </c>
      <c r="BH1759" s="94">
        <v>44645</v>
      </c>
      <c r="BI1759" s="95">
        <v>0.34399999999999997</v>
      </c>
      <c r="BJ1759" s="96">
        <v>13.61</v>
      </c>
    </row>
    <row r="1760" spans="54:62" ht="15">
      <c r="BB1760" s="187">
        <v>44578</v>
      </c>
      <c r="BC1760" s="180">
        <v>-0.52300000000000002</v>
      </c>
      <c r="BD1760" s="191">
        <v>44578</v>
      </c>
      <c r="BE1760" s="192" t="s">
        <v>387</v>
      </c>
      <c r="BH1760" s="94">
        <v>44648</v>
      </c>
      <c r="BI1760" s="95">
        <v>0.36</v>
      </c>
      <c r="BJ1760" s="96">
        <v>13.6</v>
      </c>
    </row>
    <row r="1761" spans="54:62" ht="15">
      <c r="BB1761" s="187">
        <v>44579</v>
      </c>
      <c r="BC1761" s="180">
        <v>-0.52400000000000002</v>
      </c>
      <c r="BD1761" s="191">
        <v>44579</v>
      </c>
      <c r="BE1761" s="192" t="s">
        <v>256</v>
      </c>
      <c r="BH1761" s="94">
        <v>44649</v>
      </c>
      <c r="BI1761" s="95">
        <v>0.38700000000000001</v>
      </c>
      <c r="BJ1761" s="96">
        <v>13.6</v>
      </c>
    </row>
    <row r="1762" spans="54:62" ht="15">
      <c r="BB1762" s="187">
        <v>44580</v>
      </c>
      <c r="BC1762" s="180">
        <v>-0.52400000000000002</v>
      </c>
      <c r="BD1762" s="191">
        <v>44580</v>
      </c>
      <c r="BE1762" s="192" t="s">
        <v>388</v>
      </c>
      <c r="BH1762" s="94">
        <v>44650</v>
      </c>
      <c r="BI1762" s="95">
        <v>0.42799999999999999</v>
      </c>
      <c r="BJ1762" s="96">
        <v>13.53</v>
      </c>
    </row>
    <row r="1763" spans="54:62" ht="15">
      <c r="BB1763" s="187">
        <v>44581</v>
      </c>
      <c r="BC1763" s="180">
        <v>-0.52100000000000002</v>
      </c>
      <c r="BD1763" s="191">
        <v>44581</v>
      </c>
      <c r="BE1763" s="192" t="s">
        <v>389</v>
      </c>
      <c r="BH1763" s="94">
        <v>44651</v>
      </c>
      <c r="BI1763" s="95">
        <v>0.44900000000000001</v>
      </c>
      <c r="BJ1763" s="96">
        <v>13.53</v>
      </c>
    </row>
    <row r="1764" spans="54:62" ht="15">
      <c r="BB1764" s="187">
        <v>44582</v>
      </c>
      <c r="BC1764" s="180">
        <v>-0.52200000000000002</v>
      </c>
      <c r="BD1764" s="191">
        <v>44582</v>
      </c>
      <c r="BE1764" s="192" t="s">
        <v>390</v>
      </c>
      <c r="BH1764" s="94">
        <v>44652</v>
      </c>
      <c r="BI1764" s="95">
        <v>0.47399999999999998</v>
      </c>
      <c r="BJ1764" s="96">
        <v>13.53</v>
      </c>
    </row>
    <row r="1765" spans="54:62" ht="15">
      <c r="BB1765" s="187">
        <v>44585</v>
      </c>
      <c r="BC1765" s="180">
        <v>-0.52200000000000002</v>
      </c>
      <c r="BD1765" s="191">
        <v>44585</v>
      </c>
      <c r="BE1765" s="192" t="s">
        <v>122</v>
      </c>
      <c r="BH1765" s="94">
        <v>44655</v>
      </c>
      <c r="BI1765" s="95">
        <v>0.497</v>
      </c>
      <c r="BJ1765" s="96">
        <v>13.52</v>
      </c>
    </row>
    <row r="1766" spans="54:62" ht="15">
      <c r="BB1766" s="187">
        <v>44586</v>
      </c>
      <c r="BC1766" s="180">
        <v>-0.52300000000000002</v>
      </c>
      <c r="BD1766" s="191">
        <v>44586</v>
      </c>
      <c r="BE1766" s="192" t="s">
        <v>391</v>
      </c>
      <c r="BH1766" s="94">
        <v>44656</v>
      </c>
      <c r="BI1766" s="95">
        <v>0.52200000000000002</v>
      </c>
      <c r="BJ1766" s="96">
        <v>13.51</v>
      </c>
    </row>
    <row r="1767" spans="54:62" ht="15">
      <c r="BB1767" s="187">
        <v>44587</v>
      </c>
      <c r="BC1767" s="180">
        <v>-0.52400000000000002</v>
      </c>
      <c r="BD1767" s="191">
        <v>44587</v>
      </c>
      <c r="BE1767" s="192" t="s">
        <v>392</v>
      </c>
      <c r="BH1767" s="94">
        <v>44657</v>
      </c>
      <c r="BI1767" s="95">
        <v>0.54600000000000004</v>
      </c>
      <c r="BJ1767" s="96">
        <v>13.51</v>
      </c>
    </row>
    <row r="1768" spans="54:62" ht="15">
      <c r="BB1768" s="187">
        <v>44588</v>
      </c>
      <c r="BC1768" s="180">
        <v>-0.51800000000000002</v>
      </c>
      <c r="BD1768" s="191">
        <v>44588</v>
      </c>
      <c r="BE1768" s="192" t="s">
        <v>124</v>
      </c>
      <c r="BH1768" s="94">
        <v>44658</v>
      </c>
      <c r="BI1768" s="95">
        <v>0.57099999999999995</v>
      </c>
      <c r="BJ1768" s="96">
        <v>13.52</v>
      </c>
    </row>
    <row r="1769" spans="54:62" ht="15">
      <c r="BB1769" s="187">
        <v>44589</v>
      </c>
      <c r="BC1769" s="180">
        <v>-0.51900000000000002</v>
      </c>
      <c r="BD1769" s="191">
        <v>44589</v>
      </c>
      <c r="BE1769" s="192" t="s">
        <v>393</v>
      </c>
      <c r="BH1769" s="94">
        <v>44659</v>
      </c>
      <c r="BI1769" s="95">
        <v>0.59099999999999997</v>
      </c>
      <c r="BJ1769" s="96">
        <v>13.52</v>
      </c>
    </row>
    <row r="1770" spans="54:62" ht="15">
      <c r="BB1770" s="187">
        <v>44592</v>
      </c>
      <c r="BC1770" s="180">
        <v>-0.51400000000000001</v>
      </c>
      <c r="BD1770" s="191">
        <v>44592</v>
      </c>
      <c r="BE1770" s="192" t="s">
        <v>394</v>
      </c>
      <c r="BH1770" s="94">
        <v>44662</v>
      </c>
      <c r="BI1770" s="95">
        <v>0.61199999999999999</v>
      </c>
      <c r="BJ1770" s="96">
        <v>13.5</v>
      </c>
    </row>
    <row r="1771" spans="54:62" ht="15">
      <c r="BB1771" s="187">
        <v>44593</v>
      </c>
      <c r="BC1771" s="180">
        <v>-0.503</v>
      </c>
      <c r="BD1771" s="191">
        <v>44593</v>
      </c>
      <c r="BE1771" s="192">
        <v>0</v>
      </c>
      <c r="BH1771" s="94">
        <v>44663</v>
      </c>
      <c r="BI1771" s="95">
        <v>0.63300000000000001</v>
      </c>
      <c r="BJ1771" s="96">
        <v>13.5</v>
      </c>
    </row>
    <row r="1772" spans="54:62" ht="15">
      <c r="BB1772" s="187">
        <v>44594</v>
      </c>
      <c r="BC1772" s="180">
        <v>-0.502</v>
      </c>
      <c r="BD1772" s="191">
        <v>44594</v>
      </c>
      <c r="BE1772" s="192">
        <v>7.0000000000000001E-3</v>
      </c>
      <c r="BH1772" s="94">
        <v>44664</v>
      </c>
      <c r="BI1772" s="95">
        <v>0.65300000000000002</v>
      </c>
      <c r="BJ1772" s="96">
        <v>13.49</v>
      </c>
    </row>
    <row r="1773" spans="54:62" ht="15">
      <c r="BB1773" s="187">
        <v>44595</v>
      </c>
      <c r="BC1773" s="180">
        <v>-0.499</v>
      </c>
      <c r="BD1773" s="191">
        <v>44595</v>
      </c>
      <c r="BE1773" s="192">
        <v>1.6E-2</v>
      </c>
      <c r="BH1773" s="94">
        <v>44665</v>
      </c>
      <c r="BI1773" s="95">
        <v>0.67100000000000004</v>
      </c>
      <c r="BJ1773" s="96">
        <v>13.49</v>
      </c>
    </row>
    <row r="1774" spans="54:62" ht="15">
      <c r="BB1774" s="187">
        <v>44596</v>
      </c>
      <c r="BC1774" s="180">
        <v>-0.47299999999999998</v>
      </c>
      <c r="BD1774" s="191">
        <v>44596</v>
      </c>
      <c r="BE1774" s="192">
        <v>0.03</v>
      </c>
      <c r="BH1774" s="94">
        <v>44666</v>
      </c>
      <c r="BI1774" s="95">
        <v>0.68400000000000005</v>
      </c>
      <c r="BJ1774" s="96">
        <v>13.49</v>
      </c>
    </row>
    <row r="1775" spans="54:62" ht="15">
      <c r="BB1775" s="187">
        <v>44599</v>
      </c>
      <c r="BC1775" s="180">
        <v>-0.45600000000000002</v>
      </c>
      <c r="BD1775" s="191">
        <v>44599</v>
      </c>
      <c r="BE1775" s="192">
        <v>4.5999999999999999E-2</v>
      </c>
      <c r="BH1775" s="94">
        <v>44670</v>
      </c>
      <c r="BI1775" s="95">
        <v>0.70699999999999996</v>
      </c>
      <c r="BJ1775" s="96">
        <v>13.48</v>
      </c>
    </row>
    <row r="1776" spans="54:62" ht="15">
      <c r="BB1776" s="187">
        <v>44600</v>
      </c>
      <c r="BC1776" s="180">
        <v>-0.46300000000000002</v>
      </c>
      <c r="BD1776" s="191">
        <v>44600</v>
      </c>
      <c r="BE1776" s="192">
        <v>6.2E-2</v>
      </c>
      <c r="BH1776" s="94">
        <v>44671</v>
      </c>
      <c r="BI1776" s="95">
        <v>0.754</v>
      </c>
      <c r="BJ1776" s="96">
        <v>13.79</v>
      </c>
    </row>
    <row r="1777" spans="54:62" ht="15">
      <c r="BB1777" s="187">
        <v>44601</v>
      </c>
      <c r="BC1777" s="180">
        <v>-0.45700000000000002</v>
      </c>
      <c r="BD1777" s="191">
        <v>44601</v>
      </c>
      <c r="BE1777" s="192">
        <v>7.6999999999999999E-2</v>
      </c>
      <c r="BH1777" s="94">
        <v>44672</v>
      </c>
      <c r="BI1777" s="95">
        <v>0.77300000000000002</v>
      </c>
      <c r="BJ1777" s="96">
        <v>13.78</v>
      </c>
    </row>
    <row r="1778" spans="54:62" ht="15">
      <c r="BB1778" s="187">
        <v>44602</v>
      </c>
      <c r="BC1778" s="180">
        <v>-0.46700000000000003</v>
      </c>
      <c r="BD1778" s="191">
        <v>44602</v>
      </c>
      <c r="BE1778" s="192">
        <v>9.4E-2</v>
      </c>
      <c r="BH1778" s="94">
        <v>44673</v>
      </c>
      <c r="BI1778" s="95">
        <v>0.79400000000000004</v>
      </c>
      <c r="BJ1778" s="96">
        <v>13.78</v>
      </c>
    </row>
    <row r="1779" spans="54:62" ht="15">
      <c r="BB1779" s="187">
        <v>44603</v>
      </c>
      <c r="BC1779" s="180">
        <v>-0.45800000000000002</v>
      </c>
      <c r="BD1779" s="191">
        <v>44603</v>
      </c>
      <c r="BE1779" s="192">
        <v>0.114</v>
      </c>
      <c r="BH1779" s="94">
        <v>44676</v>
      </c>
      <c r="BI1779" s="95">
        <v>0.81200000000000006</v>
      </c>
      <c r="BJ1779" s="96">
        <v>13.77</v>
      </c>
    </row>
    <row r="1780" spans="54:62" ht="15">
      <c r="BB1780" s="187">
        <v>44606</v>
      </c>
      <c r="BC1780" s="180">
        <v>-0.44800000000000001</v>
      </c>
      <c r="BD1780" s="191">
        <v>44606</v>
      </c>
      <c r="BE1780" s="192">
        <v>0.13</v>
      </c>
      <c r="BH1780" s="94">
        <v>44677</v>
      </c>
      <c r="BI1780" s="95">
        <v>0.82399999999999995</v>
      </c>
      <c r="BJ1780" s="96">
        <v>13.76</v>
      </c>
    </row>
    <row r="1781" spans="54:62" ht="15">
      <c r="BB1781" s="187">
        <v>44607</v>
      </c>
      <c r="BC1781" s="180">
        <v>-0.45500000000000002</v>
      </c>
      <c r="BD1781" s="191">
        <v>44607</v>
      </c>
      <c r="BE1781" s="192">
        <v>0.14699999999999999</v>
      </c>
      <c r="BH1781" s="94">
        <v>44678</v>
      </c>
      <c r="BI1781" s="95">
        <v>0.83299999999999996</v>
      </c>
      <c r="BJ1781" s="96">
        <v>13.76</v>
      </c>
    </row>
    <row r="1782" spans="54:62" ht="15">
      <c r="BB1782" s="187">
        <v>44608</v>
      </c>
      <c r="BC1782" s="180">
        <v>-0.46100000000000002</v>
      </c>
      <c r="BD1782" s="191">
        <v>44608</v>
      </c>
      <c r="BE1782" s="192">
        <v>0.16300000000000001</v>
      </c>
      <c r="BH1782" s="94">
        <v>44679</v>
      </c>
      <c r="BI1782" s="95">
        <v>0.84199999999999997</v>
      </c>
      <c r="BJ1782" s="96">
        <v>13.76</v>
      </c>
    </row>
    <row r="1783" spans="54:62" ht="15">
      <c r="BB1783" s="187">
        <v>44609</v>
      </c>
      <c r="BC1783" s="180">
        <v>-0.47799999999999998</v>
      </c>
      <c r="BD1783" s="191">
        <v>44609</v>
      </c>
      <c r="BE1783" s="192">
        <v>0.17899999999999999</v>
      </c>
      <c r="BH1783" s="94">
        <v>44680</v>
      </c>
      <c r="BI1783" s="95">
        <v>0.86</v>
      </c>
      <c r="BJ1783" s="96">
        <v>13.74</v>
      </c>
    </row>
    <row r="1784" spans="54:62" ht="15">
      <c r="BB1784" s="187">
        <v>44610</v>
      </c>
      <c r="BC1784" s="180">
        <v>-0.48699999999999999</v>
      </c>
      <c r="BD1784" s="191">
        <v>44610</v>
      </c>
      <c r="BE1784" s="192">
        <v>0.193</v>
      </c>
      <c r="BH1784" s="94">
        <v>44683</v>
      </c>
      <c r="BI1784" s="95">
        <v>0.877</v>
      </c>
      <c r="BJ1784" s="96">
        <v>13.73</v>
      </c>
    </row>
    <row r="1785" spans="54:62" ht="15">
      <c r="BB1785" s="187">
        <v>44613</v>
      </c>
      <c r="BC1785" s="180">
        <v>-0.48199999999999998</v>
      </c>
      <c r="BD1785" s="191">
        <v>44613</v>
      </c>
      <c r="BE1785" s="192">
        <v>0.21</v>
      </c>
      <c r="BH1785" s="94">
        <v>44684</v>
      </c>
      <c r="BI1785" s="95">
        <v>0.89800000000000002</v>
      </c>
      <c r="BJ1785" s="96">
        <v>13.73</v>
      </c>
    </row>
    <row r="1786" spans="54:62" ht="15">
      <c r="BB1786" s="187">
        <v>44614</v>
      </c>
      <c r="BC1786" s="180">
        <v>-0.49</v>
      </c>
      <c r="BD1786" s="191">
        <v>44614</v>
      </c>
      <c r="BE1786" s="192">
        <v>0.22700000000000001</v>
      </c>
      <c r="BH1786" s="94">
        <v>44685</v>
      </c>
      <c r="BI1786" s="95">
        <v>0.91700000000000004</v>
      </c>
      <c r="BJ1786" s="96">
        <v>13.72</v>
      </c>
    </row>
    <row r="1787" spans="54:62" ht="15">
      <c r="BB1787" s="187">
        <v>44615</v>
      </c>
      <c r="BC1787" s="180">
        <v>-0.48299999999999998</v>
      </c>
      <c r="BD1787" s="191">
        <v>44615</v>
      </c>
      <c r="BE1787" s="192">
        <v>0.24399999999999999</v>
      </c>
      <c r="BH1787" s="94">
        <v>44686</v>
      </c>
      <c r="BI1787" s="95">
        <v>0.92900000000000005</v>
      </c>
      <c r="BJ1787" s="96">
        <v>13.71</v>
      </c>
    </row>
    <row r="1788" spans="54:62" ht="15">
      <c r="BB1788" s="187">
        <v>44616</v>
      </c>
      <c r="BC1788" s="180">
        <v>-0.48</v>
      </c>
      <c r="BD1788" s="191">
        <v>44616</v>
      </c>
      <c r="BE1788" s="192">
        <v>0.25700000000000001</v>
      </c>
      <c r="BH1788" s="94">
        <v>44687</v>
      </c>
      <c r="BI1788" s="95">
        <v>0.94799999999999995</v>
      </c>
      <c r="BJ1788" s="96">
        <v>13.71</v>
      </c>
    </row>
    <row r="1789" spans="54:62" ht="15">
      <c r="BB1789" s="187">
        <v>44617</v>
      </c>
      <c r="BC1789" s="180">
        <v>-0.48799999999999999</v>
      </c>
      <c r="BD1789" s="191">
        <v>44617</v>
      </c>
      <c r="BE1789" s="192">
        <v>0.27100000000000002</v>
      </c>
      <c r="BH1789" s="94">
        <v>44690</v>
      </c>
      <c r="BI1789" s="95">
        <v>0.96599999999999997</v>
      </c>
      <c r="BJ1789" s="96">
        <v>13.7</v>
      </c>
    </row>
    <row r="1790" spans="54:62" ht="15">
      <c r="BB1790" s="187">
        <v>44620</v>
      </c>
      <c r="BC1790" s="180">
        <v>-0.49299999999999999</v>
      </c>
      <c r="BD1790" s="191">
        <v>44620</v>
      </c>
      <c r="BE1790" s="192">
        <v>0.28199999999999997</v>
      </c>
      <c r="BH1790" s="94">
        <v>44691</v>
      </c>
      <c r="BI1790" s="95">
        <v>0.97499999999999998</v>
      </c>
      <c r="BJ1790" s="96">
        <v>13.7</v>
      </c>
    </row>
    <row r="1791" spans="54:62" ht="15">
      <c r="BB1791" s="187">
        <v>44621</v>
      </c>
      <c r="BC1791" s="180">
        <v>-0.496</v>
      </c>
      <c r="BD1791" s="191">
        <v>44621</v>
      </c>
      <c r="BE1791" s="192">
        <v>0.28499999999999998</v>
      </c>
      <c r="BH1791" s="94">
        <v>44692</v>
      </c>
      <c r="BI1791" s="95">
        <v>0.98199999999999998</v>
      </c>
      <c r="BJ1791" s="96">
        <v>13.69</v>
      </c>
    </row>
    <row r="1792" spans="54:62" ht="15">
      <c r="BB1792" s="187">
        <v>44622</v>
      </c>
      <c r="BC1792" s="180">
        <v>-0.502</v>
      </c>
      <c r="BD1792" s="191">
        <v>44622</v>
      </c>
      <c r="BE1792" s="192">
        <v>0.28599999999999998</v>
      </c>
      <c r="BH1792" s="94">
        <v>44693</v>
      </c>
      <c r="BI1792" s="95">
        <v>0.98699999999999999</v>
      </c>
      <c r="BJ1792" s="96">
        <v>13.65</v>
      </c>
    </row>
    <row r="1793" spans="54:62" ht="15">
      <c r="BB1793" s="187">
        <v>44623</v>
      </c>
      <c r="BC1793" s="180">
        <v>-0.48499999999999999</v>
      </c>
      <c r="BD1793" s="191">
        <v>44623</v>
      </c>
      <c r="BE1793" s="192">
        <v>0.28899999999999998</v>
      </c>
      <c r="BH1793" s="94">
        <v>44694</v>
      </c>
      <c r="BI1793" s="95">
        <v>0.99299999999999999</v>
      </c>
      <c r="BJ1793" s="96">
        <v>13.66</v>
      </c>
    </row>
    <row r="1794" spans="54:62" ht="15">
      <c r="BB1794" s="187">
        <v>44624</v>
      </c>
      <c r="BC1794" s="180">
        <v>-0.48199999999999998</v>
      </c>
      <c r="BD1794" s="191">
        <v>44624</v>
      </c>
      <c r="BE1794" s="192">
        <v>0.28100000000000003</v>
      </c>
      <c r="BH1794" s="94">
        <v>44697</v>
      </c>
      <c r="BI1794" s="95">
        <v>0.995</v>
      </c>
      <c r="BJ1794" s="96">
        <v>13.72</v>
      </c>
    </row>
    <row r="1795" spans="54:62" ht="15">
      <c r="BB1795" s="187">
        <v>44627</v>
      </c>
      <c r="BC1795" s="180">
        <v>-0.45300000000000001</v>
      </c>
      <c r="BD1795" s="191">
        <v>44627</v>
      </c>
      <c r="BE1795" s="192">
        <v>0.27200000000000002</v>
      </c>
      <c r="BH1795" s="94">
        <v>44698</v>
      </c>
      <c r="BI1795" s="95">
        <v>1.0009999999999999</v>
      </c>
      <c r="BJ1795" s="96">
        <v>13.72</v>
      </c>
    </row>
    <row r="1796" spans="54:62" ht="15">
      <c r="BB1796" s="187">
        <v>44628</v>
      </c>
      <c r="BC1796" s="180">
        <v>-0.443</v>
      </c>
      <c r="BD1796" s="191">
        <v>44628</v>
      </c>
      <c r="BE1796" s="192">
        <v>0.26600000000000001</v>
      </c>
      <c r="BH1796" s="94">
        <v>44699</v>
      </c>
      <c r="BI1796" s="95">
        <v>1.0109999999999999</v>
      </c>
      <c r="BJ1796" s="96">
        <v>13.7</v>
      </c>
    </row>
    <row r="1797" spans="54:62" ht="15">
      <c r="BB1797" s="187">
        <v>44629</v>
      </c>
      <c r="BC1797" s="180">
        <v>-0.42399999999999999</v>
      </c>
      <c r="BD1797" s="191">
        <v>44629</v>
      </c>
      <c r="BE1797" s="192">
        <v>0.26500000000000001</v>
      </c>
      <c r="BH1797" s="94">
        <v>44700</v>
      </c>
      <c r="BI1797" s="95">
        <v>1.0169999999999999</v>
      </c>
      <c r="BJ1797" s="96">
        <v>13.7</v>
      </c>
    </row>
    <row r="1798" spans="54:62" ht="15">
      <c r="BB1798" s="187">
        <v>44630</v>
      </c>
      <c r="BC1798" s="180">
        <v>-0.42699999999999999</v>
      </c>
      <c r="BD1798" s="191">
        <v>44630</v>
      </c>
      <c r="BE1798" s="192">
        <v>0.26300000000000001</v>
      </c>
      <c r="BH1798" s="94">
        <v>44701</v>
      </c>
      <c r="BI1798" s="95">
        <v>1.0209999999999999</v>
      </c>
      <c r="BJ1798" s="96">
        <v>13.7</v>
      </c>
    </row>
    <row r="1799" spans="54:62" ht="15">
      <c r="BB1799" s="187">
        <v>44631</v>
      </c>
      <c r="BC1799" s="180">
        <v>-0.41399999999999998</v>
      </c>
      <c r="BD1799" s="191">
        <v>44631</v>
      </c>
      <c r="BE1799" s="192">
        <v>0.26500000000000001</v>
      </c>
      <c r="BH1799" s="94">
        <v>44704</v>
      </c>
      <c r="BI1799" s="95">
        <v>1.0289999999999999</v>
      </c>
      <c r="BJ1799" s="96">
        <v>13.69</v>
      </c>
    </row>
    <row r="1800" spans="54:62" ht="15">
      <c r="BB1800" s="187">
        <v>44634</v>
      </c>
      <c r="BC1800" s="180">
        <v>-0.41299999999999998</v>
      </c>
      <c r="BD1800" s="191">
        <v>44634</v>
      </c>
      <c r="BE1800" s="192">
        <v>0.27200000000000002</v>
      </c>
      <c r="BH1800" s="94">
        <v>44705</v>
      </c>
      <c r="BI1800" s="95">
        <v>1.0409999999999999</v>
      </c>
      <c r="BJ1800" s="96">
        <v>13.69</v>
      </c>
    </row>
    <row r="1801" spans="54:62" ht="15">
      <c r="BB1801" s="187">
        <v>44635</v>
      </c>
      <c r="BC1801" s="180">
        <v>-0.40699999999999997</v>
      </c>
      <c r="BD1801" s="191">
        <v>44635</v>
      </c>
      <c r="BE1801" s="192">
        <v>0.27400000000000002</v>
      </c>
      <c r="BH1801" s="94">
        <v>44706</v>
      </c>
      <c r="BI1801" s="95">
        <v>1.0509999999999999</v>
      </c>
      <c r="BJ1801" s="96">
        <v>13.69</v>
      </c>
    </row>
    <row r="1802" spans="54:62" ht="15">
      <c r="BB1802" s="187">
        <v>44636</v>
      </c>
      <c r="BC1802" s="180">
        <v>-0.39300000000000002</v>
      </c>
      <c r="BD1802" s="191">
        <v>44636</v>
      </c>
      <c r="BE1802" s="192">
        <v>0.27800000000000002</v>
      </c>
      <c r="BH1802" s="94">
        <v>44708</v>
      </c>
      <c r="BI1802" s="95">
        <v>1.0609999999999999</v>
      </c>
      <c r="BJ1802" s="96">
        <v>13.67</v>
      </c>
    </row>
    <row r="1803" spans="54:62" ht="15">
      <c r="BB1803" s="187">
        <v>44637</v>
      </c>
      <c r="BC1803" s="180">
        <v>-0.40200000000000002</v>
      </c>
      <c r="BD1803" s="191">
        <v>44637</v>
      </c>
      <c r="BE1803" s="192">
        <v>0.28399999999999997</v>
      </c>
      <c r="BH1803" s="94">
        <v>44711</v>
      </c>
      <c r="BI1803" s="95">
        <v>1.07</v>
      </c>
      <c r="BJ1803" s="96">
        <v>13.66</v>
      </c>
    </row>
    <row r="1804" spans="54:62" ht="15">
      <c r="BB1804" s="187">
        <v>44638</v>
      </c>
      <c r="BC1804" s="180">
        <v>-0.39300000000000002</v>
      </c>
      <c r="BD1804" s="191">
        <v>44638</v>
      </c>
      <c r="BE1804" s="192">
        <v>0.28999999999999998</v>
      </c>
      <c r="BH1804" s="94">
        <v>44712</v>
      </c>
      <c r="BI1804" s="95">
        <v>1.095</v>
      </c>
      <c r="BJ1804" s="96">
        <v>13.87</v>
      </c>
    </row>
    <row r="1805" spans="54:62" ht="15">
      <c r="BB1805" s="187">
        <v>44641</v>
      </c>
      <c r="BC1805" s="180">
        <v>-0.39100000000000001</v>
      </c>
      <c r="BD1805" s="191">
        <v>44641</v>
      </c>
      <c r="BE1805" s="192">
        <v>0.29899999999999999</v>
      </c>
      <c r="BH1805" s="94">
        <v>44713</v>
      </c>
      <c r="BI1805" s="95">
        <v>1.1060000000000001</v>
      </c>
      <c r="BJ1805" s="96">
        <v>13.87</v>
      </c>
    </row>
    <row r="1806" spans="54:62" ht="15">
      <c r="BB1806" s="187">
        <v>44642</v>
      </c>
      <c r="BC1806" s="180">
        <v>-0.39300000000000002</v>
      </c>
      <c r="BD1806" s="191">
        <v>44642</v>
      </c>
      <c r="BE1806" s="192">
        <v>0.31</v>
      </c>
      <c r="BH1806" s="94">
        <v>44714</v>
      </c>
      <c r="BI1806" s="95">
        <v>1.119</v>
      </c>
      <c r="BJ1806" s="96">
        <v>13.86</v>
      </c>
    </row>
    <row r="1807" spans="54:62" ht="15">
      <c r="BB1807" s="187">
        <v>44643</v>
      </c>
      <c r="BC1807" s="180">
        <v>-0.39200000000000002</v>
      </c>
      <c r="BD1807" s="191">
        <v>44643</v>
      </c>
      <c r="BE1807" s="192">
        <v>0.31900000000000001</v>
      </c>
      <c r="BH1807" s="94">
        <v>44715</v>
      </c>
      <c r="BI1807" s="95">
        <v>1.135</v>
      </c>
      <c r="BJ1807" s="96">
        <v>13.86</v>
      </c>
    </row>
    <row r="1808" spans="54:62" ht="15">
      <c r="BB1808" s="187">
        <v>44644</v>
      </c>
      <c r="BC1808" s="180">
        <v>-0.39700000000000002</v>
      </c>
      <c r="BD1808" s="191">
        <v>44644</v>
      </c>
      <c r="BE1808" s="192">
        <v>0.33200000000000002</v>
      </c>
      <c r="BH1808" s="94">
        <v>44719</v>
      </c>
      <c r="BI1808" s="95">
        <v>1.147</v>
      </c>
      <c r="BJ1808" s="96">
        <v>13.85</v>
      </c>
    </row>
    <row r="1809" spans="54:62" ht="15">
      <c r="BB1809" s="187">
        <v>44645</v>
      </c>
      <c r="BC1809" s="180">
        <v>-0.39200000000000002</v>
      </c>
      <c r="BD1809" s="191">
        <v>44645</v>
      </c>
      <c r="BE1809" s="192">
        <v>0.34399999999999997</v>
      </c>
      <c r="BH1809" s="94">
        <v>44720</v>
      </c>
      <c r="BI1809" s="95">
        <v>1.161</v>
      </c>
      <c r="BJ1809" s="96">
        <v>13.84</v>
      </c>
    </row>
    <row r="1810" spans="54:62" ht="15">
      <c r="BB1810" s="187">
        <v>44648</v>
      </c>
      <c r="BC1810" s="180">
        <v>-0.38800000000000001</v>
      </c>
      <c r="BD1810" s="191">
        <v>44648</v>
      </c>
      <c r="BE1810" s="192">
        <v>0.36</v>
      </c>
      <c r="BH1810" s="94">
        <v>44721</v>
      </c>
      <c r="BI1810" s="95">
        <v>1.1819999999999999</v>
      </c>
      <c r="BJ1810" s="96">
        <v>13.81</v>
      </c>
    </row>
    <row r="1811" spans="54:62" ht="15">
      <c r="BB1811" s="187">
        <v>44649</v>
      </c>
      <c r="BC1811" s="180">
        <v>-0.38100000000000001</v>
      </c>
      <c r="BD1811" s="191">
        <v>44649</v>
      </c>
      <c r="BE1811" s="192">
        <v>0.38700000000000001</v>
      </c>
      <c r="BH1811" s="94">
        <v>44722</v>
      </c>
      <c r="BI1811" s="95">
        <v>1.2090000000000001</v>
      </c>
      <c r="BJ1811" s="96">
        <v>13.8</v>
      </c>
    </row>
    <row r="1812" spans="54:62" ht="15">
      <c r="BB1812" s="187">
        <v>44650</v>
      </c>
      <c r="BC1812" s="180">
        <v>-0.371</v>
      </c>
      <c r="BD1812" s="191">
        <v>44650</v>
      </c>
      <c r="BE1812" s="192">
        <v>0.42799999999999999</v>
      </c>
      <c r="BH1812" s="94">
        <v>44725</v>
      </c>
      <c r="BI1812" s="95">
        <v>1.2490000000000001</v>
      </c>
      <c r="BJ1812" s="96">
        <v>13.79</v>
      </c>
    </row>
    <row r="1813" spans="54:62" ht="15">
      <c r="BB1813" s="187">
        <v>44651</v>
      </c>
      <c r="BC1813" s="180">
        <v>-0.36699999999999999</v>
      </c>
      <c r="BD1813" s="191">
        <v>44651</v>
      </c>
      <c r="BE1813" s="192">
        <v>0.44900000000000001</v>
      </c>
      <c r="BH1813" s="94">
        <v>44726</v>
      </c>
      <c r="BI1813" s="95">
        <v>1.2929999999999999</v>
      </c>
      <c r="BJ1813" s="96">
        <v>13.79</v>
      </c>
    </row>
    <row r="1814" spans="54:62" ht="15">
      <c r="BB1814" s="187">
        <v>44652</v>
      </c>
      <c r="BC1814" s="180">
        <v>-0.36199999999999999</v>
      </c>
      <c r="BD1814" s="191">
        <v>44652</v>
      </c>
      <c r="BE1814" s="192">
        <v>0.47399999999999998</v>
      </c>
      <c r="BH1814" s="94">
        <v>44727</v>
      </c>
      <c r="BI1814" s="95">
        <v>1.333</v>
      </c>
      <c r="BJ1814" s="96">
        <v>13.79</v>
      </c>
    </row>
    <row r="1815" spans="54:62" ht="15">
      <c r="BB1815" s="187">
        <v>44655</v>
      </c>
      <c r="BC1815" s="180">
        <v>-0.35799999999999998</v>
      </c>
      <c r="BD1815" s="191">
        <v>44655</v>
      </c>
      <c r="BE1815" s="192">
        <v>0.497</v>
      </c>
      <c r="BH1815" s="94">
        <v>44729</v>
      </c>
      <c r="BI1815" s="95">
        <v>1.371</v>
      </c>
      <c r="BJ1815" s="96">
        <v>13.78</v>
      </c>
    </row>
    <row r="1816" spans="54:62" ht="15">
      <c r="BB1816" s="187">
        <v>44656</v>
      </c>
      <c r="BC1816" s="180">
        <v>-0.375</v>
      </c>
      <c r="BD1816" s="191">
        <v>44656</v>
      </c>
      <c r="BE1816" s="192">
        <v>0.52200000000000002</v>
      </c>
      <c r="BH1816" s="94">
        <v>44732</v>
      </c>
      <c r="BI1816" s="95">
        <v>1.405</v>
      </c>
      <c r="BJ1816" s="96">
        <v>13.78</v>
      </c>
    </row>
    <row r="1817" spans="54:62" ht="15">
      <c r="BB1817" s="187">
        <v>44657</v>
      </c>
      <c r="BC1817" s="180">
        <v>-0.36099999999999999</v>
      </c>
      <c r="BD1817" s="191">
        <v>44657</v>
      </c>
      <c r="BE1817" s="192">
        <v>0.54600000000000004</v>
      </c>
      <c r="BH1817" s="94">
        <v>44733</v>
      </c>
      <c r="BI1817" s="95">
        <v>1.448</v>
      </c>
      <c r="BJ1817" s="96">
        <v>13.77</v>
      </c>
    </row>
    <row r="1818" spans="54:62" ht="15">
      <c r="BB1818" s="187">
        <v>44658</v>
      </c>
      <c r="BC1818" s="180">
        <v>-0.35499999999999998</v>
      </c>
      <c r="BD1818" s="191">
        <v>44658</v>
      </c>
      <c r="BE1818" s="192">
        <v>0.57099999999999995</v>
      </c>
      <c r="BH1818" s="94">
        <v>44734</v>
      </c>
      <c r="BI1818" s="95">
        <v>1.4850000000000001</v>
      </c>
      <c r="BJ1818" s="96">
        <v>13.77</v>
      </c>
    </row>
    <row r="1819" spans="54:62" ht="15">
      <c r="BB1819" s="187">
        <v>44659</v>
      </c>
      <c r="BC1819" s="180">
        <v>-0.35</v>
      </c>
      <c r="BD1819" s="191">
        <v>44659</v>
      </c>
      <c r="BE1819" s="192">
        <v>0.59099999999999997</v>
      </c>
      <c r="BH1819" s="94">
        <v>44735</v>
      </c>
      <c r="BI1819" s="95">
        <v>1.5089999999999999</v>
      </c>
      <c r="BJ1819" s="96">
        <v>13.77</v>
      </c>
    </row>
    <row r="1820" spans="54:62" ht="15">
      <c r="BB1820" s="187">
        <v>44662</v>
      </c>
      <c r="BC1820" s="180">
        <v>-0.33400000000000002</v>
      </c>
      <c r="BD1820" s="191">
        <v>44662</v>
      </c>
      <c r="BE1820" s="192">
        <v>0.61199999999999999</v>
      </c>
      <c r="BH1820" s="94">
        <v>44736</v>
      </c>
      <c r="BI1820" s="95">
        <v>1.532</v>
      </c>
      <c r="BJ1820" s="96">
        <v>13.76</v>
      </c>
    </row>
    <row r="1821" spans="54:62" ht="15">
      <c r="BB1821" s="187">
        <v>44663</v>
      </c>
      <c r="BC1821" s="180">
        <v>-0.32</v>
      </c>
      <c r="BD1821" s="191">
        <v>44663</v>
      </c>
      <c r="BE1821" s="192">
        <v>0.63300000000000001</v>
      </c>
      <c r="BH1821" s="94">
        <v>44739</v>
      </c>
      <c r="BI1821" s="95">
        <v>1.5609999999999999</v>
      </c>
      <c r="BJ1821" s="96">
        <v>13.76</v>
      </c>
    </row>
    <row r="1822" spans="54:62" ht="15">
      <c r="BB1822" s="187">
        <v>44664</v>
      </c>
      <c r="BC1822" s="180">
        <v>-0.32800000000000001</v>
      </c>
      <c r="BD1822" s="191">
        <v>44664</v>
      </c>
      <c r="BE1822" s="192">
        <v>0.65300000000000002</v>
      </c>
      <c r="BH1822" s="94">
        <v>44740</v>
      </c>
      <c r="BI1822" s="95">
        <v>1.593</v>
      </c>
      <c r="BJ1822" s="96">
        <v>13.76</v>
      </c>
    </row>
    <row r="1823" spans="54:62" ht="15">
      <c r="BB1823" s="187">
        <v>44665</v>
      </c>
      <c r="BC1823" s="180">
        <v>-0.317</v>
      </c>
      <c r="BD1823" s="191">
        <v>44665</v>
      </c>
      <c r="BE1823" s="192">
        <v>0.67100000000000004</v>
      </c>
      <c r="BH1823" s="94">
        <v>44741</v>
      </c>
      <c r="BI1823" s="95">
        <v>1.6180000000000001</v>
      </c>
      <c r="BJ1823" s="96">
        <v>13.72</v>
      </c>
    </row>
    <row r="1824" spans="54:62" ht="15">
      <c r="BB1824" s="187">
        <v>44666</v>
      </c>
      <c r="BC1824" s="180">
        <v>-0.317</v>
      </c>
      <c r="BD1824" s="191">
        <v>44666</v>
      </c>
      <c r="BE1824" s="192">
        <v>0.68400000000000005</v>
      </c>
      <c r="BH1824" s="94">
        <v>44742</v>
      </c>
      <c r="BI1824" s="95">
        <v>1.633</v>
      </c>
      <c r="BJ1824" s="96">
        <v>13.72</v>
      </c>
    </row>
    <row r="1825" spans="54:62" ht="15">
      <c r="BB1825" s="187">
        <v>44669</v>
      </c>
      <c r="BC1825" s="180">
        <v>-0.317</v>
      </c>
      <c r="BD1825" s="191"/>
      <c r="BE1825" s="193">
        <f>+BE1824</f>
        <v>0.68400000000000005</v>
      </c>
      <c r="BH1825" s="94">
        <v>44743</v>
      </c>
      <c r="BI1825" s="95">
        <v>1.641</v>
      </c>
      <c r="BJ1825" s="96">
        <v>13.72</v>
      </c>
    </row>
    <row r="1826" spans="54:62" ht="15">
      <c r="BB1826" s="187">
        <v>44670</v>
      </c>
      <c r="BC1826" s="180">
        <v>-0.33300000000000002</v>
      </c>
      <c r="BD1826" s="191">
        <v>44670</v>
      </c>
      <c r="BE1826" s="192">
        <v>0.70699999999999996</v>
      </c>
      <c r="BH1826" s="94">
        <v>44746</v>
      </c>
      <c r="BI1826" s="95">
        <v>1.645</v>
      </c>
      <c r="BJ1826" s="96">
        <v>13.71</v>
      </c>
    </row>
    <row r="1827" spans="54:62" ht="15">
      <c r="BB1827" s="187">
        <v>44671</v>
      </c>
      <c r="BC1827" s="180">
        <v>-0.33200000000000002</v>
      </c>
      <c r="BD1827" s="191">
        <v>44671</v>
      </c>
      <c r="BE1827" s="192">
        <v>0.754</v>
      </c>
      <c r="BH1827" s="94">
        <v>44747</v>
      </c>
      <c r="BI1827" s="95">
        <v>1.6459999999999999</v>
      </c>
      <c r="BJ1827" s="96">
        <v>13.71</v>
      </c>
    </row>
    <row r="1828" spans="54:62" ht="15">
      <c r="BB1828" s="187">
        <v>44672</v>
      </c>
      <c r="BC1828" s="180">
        <v>-0.31</v>
      </c>
      <c r="BD1828" s="191">
        <v>44672</v>
      </c>
      <c r="BE1828" s="192">
        <v>0.77300000000000002</v>
      </c>
      <c r="BH1828" s="94">
        <v>44748</v>
      </c>
      <c r="BI1828" s="95">
        <v>1.641</v>
      </c>
      <c r="BJ1828" s="96">
        <v>13.7</v>
      </c>
    </row>
    <row r="1829" spans="54:62" ht="15">
      <c r="BB1829" s="187">
        <v>44673</v>
      </c>
      <c r="BC1829" s="180">
        <v>-0.26800000000000002</v>
      </c>
      <c r="BD1829" s="191">
        <v>44673</v>
      </c>
      <c r="BE1829" s="192">
        <v>0.79400000000000004</v>
      </c>
      <c r="BH1829" s="94">
        <v>44749</v>
      </c>
      <c r="BI1829" s="95">
        <v>1.641</v>
      </c>
      <c r="BJ1829" s="96">
        <v>13.66</v>
      </c>
    </row>
    <row r="1830" spans="54:62" ht="15">
      <c r="BB1830" s="187">
        <v>44676</v>
      </c>
      <c r="BC1830" s="180">
        <v>-0.23899999999999999</v>
      </c>
      <c r="BD1830" s="191">
        <v>44676</v>
      </c>
      <c r="BE1830" s="192">
        <v>0.81200000000000006</v>
      </c>
      <c r="BH1830" s="94">
        <v>44750</v>
      </c>
      <c r="BI1830" s="95">
        <v>1.637</v>
      </c>
      <c r="BJ1830" s="96">
        <v>13.66</v>
      </c>
    </row>
    <row r="1831" spans="54:62" ht="15">
      <c r="BB1831" s="187">
        <v>44677</v>
      </c>
      <c r="BC1831" s="180">
        <v>-0.246</v>
      </c>
      <c r="BD1831" s="191">
        <v>44677</v>
      </c>
      <c r="BE1831" s="192">
        <v>0.82399999999999995</v>
      </c>
      <c r="BH1831" s="94">
        <v>44753</v>
      </c>
      <c r="BI1831" s="95">
        <v>1.6259999999999999</v>
      </c>
      <c r="BJ1831" s="96">
        <v>13.65</v>
      </c>
    </row>
    <row r="1832" spans="54:62" ht="15">
      <c r="BB1832" s="187">
        <v>44678</v>
      </c>
      <c r="BC1832" s="180">
        <v>-0.251</v>
      </c>
      <c r="BD1832" s="191">
        <v>44678</v>
      </c>
      <c r="BE1832" s="192">
        <v>0.83299999999999996</v>
      </c>
      <c r="BH1832" s="94">
        <v>44754</v>
      </c>
      <c r="BI1832" s="95">
        <v>1.6020000000000001</v>
      </c>
      <c r="BJ1832" s="96">
        <v>13.65</v>
      </c>
    </row>
    <row r="1833" spans="54:62" ht="15">
      <c r="BB1833" s="187">
        <v>44679</v>
      </c>
      <c r="BC1833" s="180">
        <v>-0.24199999999999999</v>
      </c>
      <c r="BD1833" s="191">
        <v>44679</v>
      </c>
      <c r="BE1833" s="192">
        <v>0.84199999999999997</v>
      </c>
      <c r="BH1833" s="94">
        <v>44755</v>
      </c>
      <c r="BI1833" s="95">
        <v>1.573</v>
      </c>
      <c r="BJ1833" s="96">
        <v>13.65</v>
      </c>
    </row>
    <row r="1834" spans="54:62" ht="15">
      <c r="BB1834" s="187">
        <v>44680</v>
      </c>
      <c r="BC1834" s="180">
        <v>-0.22600000000000001</v>
      </c>
      <c r="BD1834" s="191">
        <v>44680</v>
      </c>
      <c r="BE1834" s="192">
        <v>0.86</v>
      </c>
      <c r="BH1834" s="94">
        <v>44756</v>
      </c>
      <c r="BI1834" s="95">
        <v>1.55</v>
      </c>
      <c r="BJ1834" s="96">
        <v>13.65</v>
      </c>
    </row>
    <row r="1835" spans="54:62" ht="15">
      <c r="BB1835" s="187">
        <v>44683</v>
      </c>
      <c r="BC1835" s="180">
        <v>-0.20399999999999999</v>
      </c>
      <c r="BD1835" s="191">
        <v>44683</v>
      </c>
      <c r="BE1835" s="192">
        <v>0.877</v>
      </c>
      <c r="BF1835" s="111">
        <f>+(BC1835+BE1835)/2+0.37</f>
        <v>0.70650000000000002</v>
      </c>
      <c r="BH1835" s="94">
        <v>44757</v>
      </c>
      <c r="BI1835" s="95">
        <v>1.5629999999999999</v>
      </c>
      <c r="BJ1835" s="96">
        <v>14.15</v>
      </c>
    </row>
    <row r="1836" spans="54:62" ht="15">
      <c r="BB1836" s="187">
        <v>44684</v>
      </c>
      <c r="BC1836" s="180">
        <v>-0.19800000000000001</v>
      </c>
      <c r="BD1836" s="191">
        <v>44684</v>
      </c>
      <c r="BE1836" s="192">
        <v>0.89800000000000002</v>
      </c>
      <c r="BH1836" s="94">
        <v>44760</v>
      </c>
      <c r="BI1836" s="95">
        <v>1.54</v>
      </c>
      <c r="BJ1836" s="96">
        <v>14.14</v>
      </c>
    </row>
    <row r="1837" spans="54:62" ht="15">
      <c r="BB1837" s="187">
        <v>44685</v>
      </c>
      <c r="BC1837" s="180">
        <v>-0.20499999999999999</v>
      </c>
      <c r="BD1837" s="191">
        <v>44685</v>
      </c>
      <c r="BE1837" s="192">
        <v>0.91700000000000004</v>
      </c>
      <c r="BH1837" s="94">
        <v>44761</v>
      </c>
      <c r="BI1837" s="95">
        <v>1.514</v>
      </c>
      <c r="BJ1837" s="96">
        <v>14.14</v>
      </c>
    </row>
    <row r="1838" spans="54:62" ht="15">
      <c r="BB1838" s="187">
        <v>44686</v>
      </c>
      <c r="BC1838" s="180">
        <v>-0.20599999999999999</v>
      </c>
      <c r="BD1838" s="191">
        <v>44686</v>
      </c>
      <c r="BE1838" s="192">
        <v>0.92900000000000005</v>
      </c>
      <c r="BH1838" s="94">
        <v>44762</v>
      </c>
      <c r="BI1838" s="95">
        <v>1.4930000000000001</v>
      </c>
      <c r="BJ1838" s="96">
        <v>14.14</v>
      </c>
    </row>
    <row r="1839" spans="54:62" ht="15">
      <c r="BB1839" s="187">
        <v>44687</v>
      </c>
      <c r="BC1839" s="180">
        <v>-0.20599999999999999</v>
      </c>
      <c r="BD1839" s="191">
        <v>44687</v>
      </c>
      <c r="BE1839" s="192">
        <v>0.94799999999999995</v>
      </c>
      <c r="BH1839" s="94">
        <v>44763</v>
      </c>
      <c r="BI1839" s="95">
        <v>1.4830000000000001</v>
      </c>
      <c r="BJ1839" s="96">
        <v>14.13</v>
      </c>
    </row>
    <row r="1840" spans="54:62" ht="15">
      <c r="BB1840" s="187">
        <v>44690</v>
      </c>
      <c r="BC1840" s="180">
        <v>-0.183</v>
      </c>
      <c r="BD1840" s="191">
        <v>44690</v>
      </c>
      <c r="BE1840" s="192">
        <v>0.96599999999999997</v>
      </c>
      <c r="BH1840" s="94">
        <v>44764</v>
      </c>
      <c r="BI1840" s="95">
        <v>1.4650000000000001</v>
      </c>
      <c r="BJ1840" s="96">
        <v>14.13</v>
      </c>
    </row>
    <row r="1841" spans="54:62" ht="15">
      <c r="BB1841" s="187">
        <v>44691</v>
      </c>
      <c r="BC1841" s="180">
        <v>-0.20200000000000001</v>
      </c>
      <c r="BD1841" s="191">
        <v>44691</v>
      </c>
      <c r="BE1841" s="192">
        <v>0.97499999999999998</v>
      </c>
      <c r="BH1841" s="94">
        <v>44767</v>
      </c>
      <c r="BI1841" s="95">
        <v>1.4419999999999999</v>
      </c>
      <c r="BJ1841" s="96">
        <v>14.12</v>
      </c>
    </row>
    <row r="1842" spans="54:62" ht="15">
      <c r="BB1842" s="187">
        <v>44692</v>
      </c>
      <c r="BC1842" s="180">
        <v>-0.20799999999999999</v>
      </c>
      <c r="BD1842" s="191">
        <v>44692</v>
      </c>
      <c r="BE1842" s="192">
        <v>0.98199999999999998</v>
      </c>
      <c r="BH1842" s="94">
        <v>44768</v>
      </c>
      <c r="BI1842" s="95">
        <v>1.411</v>
      </c>
      <c r="BJ1842" s="96">
        <v>14.12</v>
      </c>
    </row>
    <row r="1843" spans="54:62" ht="15">
      <c r="BB1843" s="187">
        <v>44693</v>
      </c>
      <c r="BC1843" s="180">
        <v>-0.21099999999999999</v>
      </c>
      <c r="BD1843" s="191">
        <v>44693</v>
      </c>
      <c r="BE1843" s="192">
        <v>0.98699999999999999</v>
      </c>
      <c r="BH1843" s="94">
        <v>44769</v>
      </c>
      <c r="BI1843" s="95">
        <v>1.383</v>
      </c>
      <c r="BJ1843" s="96">
        <v>14.12</v>
      </c>
    </row>
    <row r="1844" spans="54:62" ht="15">
      <c r="BB1844" s="187">
        <v>44694</v>
      </c>
      <c r="BC1844" s="180">
        <v>-0.20899999999999999</v>
      </c>
      <c r="BD1844" s="191">
        <v>44694</v>
      </c>
      <c r="BE1844" s="192">
        <v>0.99299999999999999</v>
      </c>
      <c r="BH1844" s="94">
        <v>44770</v>
      </c>
      <c r="BI1844" s="95">
        <v>1.36</v>
      </c>
      <c r="BJ1844" s="96">
        <v>14.11</v>
      </c>
    </row>
    <row r="1845" spans="54:62" ht="15">
      <c r="BB1845" s="187">
        <v>44697</v>
      </c>
      <c r="BC1845" s="180">
        <v>-0.192</v>
      </c>
      <c r="BD1845" s="191">
        <v>44697</v>
      </c>
      <c r="BE1845" s="192">
        <v>0.995</v>
      </c>
      <c r="BH1845" s="94">
        <v>44771</v>
      </c>
      <c r="BI1845" s="95">
        <v>1.341</v>
      </c>
      <c r="BJ1845" s="96">
        <v>14.11</v>
      </c>
    </row>
    <row r="1846" spans="54:62" ht="15">
      <c r="BB1846" s="187">
        <v>44698</v>
      </c>
      <c r="BC1846" s="180">
        <v>-0.16600000000000001</v>
      </c>
      <c r="BD1846" s="191">
        <v>44698</v>
      </c>
      <c r="BE1846" s="192">
        <v>1.0009999999999999</v>
      </c>
      <c r="BH1846" s="94">
        <v>44774</v>
      </c>
      <c r="BI1846" s="95">
        <v>1.319</v>
      </c>
      <c r="BJ1846" s="96">
        <v>14.1</v>
      </c>
    </row>
    <row r="1847" spans="54:62" ht="15">
      <c r="BB1847" s="187">
        <v>44699</v>
      </c>
      <c r="BC1847" s="180">
        <v>-0.126</v>
      </c>
      <c r="BD1847" s="191">
        <v>44699</v>
      </c>
      <c r="BE1847" s="192">
        <v>1.0109999999999999</v>
      </c>
      <c r="BH1847" s="94">
        <v>44775</v>
      </c>
      <c r="BI1847" s="95">
        <v>1.296</v>
      </c>
      <c r="BJ1847" s="96">
        <v>14.1</v>
      </c>
    </row>
    <row r="1848" spans="54:62" ht="15">
      <c r="BB1848" s="187">
        <v>44700</v>
      </c>
      <c r="BC1848" s="180">
        <v>-9.6000000000000002E-2</v>
      </c>
      <c r="BD1848" s="191">
        <v>44700</v>
      </c>
      <c r="BE1848" s="192">
        <v>1.0169999999999999</v>
      </c>
      <c r="BH1848" s="94">
        <v>44776</v>
      </c>
      <c r="BI1848" s="95">
        <v>1.284</v>
      </c>
      <c r="BJ1848" s="96">
        <v>14.1</v>
      </c>
    </row>
    <row r="1849" spans="54:62" ht="15">
      <c r="BB1849" s="187">
        <v>44701</v>
      </c>
      <c r="BC1849" s="180">
        <v>-7.8E-2</v>
      </c>
      <c r="BD1849" s="191">
        <v>44701</v>
      </c>
      <c r="BE1849" s="192">
        <v>1.0209999999999999</v>
      </c>
      <c r="BH1849" s="94">
        <v>44777</v>
      </c>
      <c r="BI1849" s="95">
        <v>1.266</v>
      </c>
      <c r="BJ1849" s="96">
        <v>14.09</v>
      </c>
    </row>
    <row r="1850" spans="54:62" ht="15">
      <c r="BB1850" s="187">
        <v>44704</v>
      </c>
      <c r="BC1850" s="180">
        <v>-8.5000000000000006E-2</v>
      </c>
      <c r="BD1850" s="191">
        <v>44704</v>
      </c>
      <c r="BE1850" s="192">
        <v>1.0289999999999999</v>
      </c>
      <c r="BH1850" s="94">
        <v>44778</v>
      </c>
      <c r="BI1850" s="95">
        <v>1.248</v>
      </c>
      <c r="BJ1850" s="96">
        <v>14.09</v>
      </c>
    </row>
    <row r="1851" spans="54:62" ht="15">
      <c r="BB1851" s="187">
        <v>44705</v>
      </c>
      <c r="BC1851" s="180">
        <v>-7.2999999999999995E-2</v>
      </c>
      <c r="BD1851" s="191">
        <v>44705</v>
      </c>
      <c r="BE1851" s="192">
        <v>1.0409999999999999</v>
      </c>
      <c r="BH1851" s="94">
        <v>44781</v>
      </c>
      <c r="BI1851" s="95">
        <v>1.234</v>
      </c>
      <c r="BJ1851" s="96">
        <v>14.08</v>
      </c>
    </row>
    <row r="1852" spans="54:62" ht="15">
      <c r="BB1852" s="187">
        <v>44706</v>
      </c>
      <c r="BC1852" s="180">
        <v>-6.2E-2</v>
      </c>
      <c r="BD1852" s="191">
        <v>44706</v>
      </c>
      <c r="BE1852" s="192">
        <v>1.0509999999999999</v>
      </c>
      <c r="BH1852" s="94">
        <v>44782</v>
      </c>
      <c r="BI1852" s="95">
        <v>1.2290000000000001</v>
      </c>
      <c r="BJ1852" s="96">
        <v>14.08</v>
      </c>
    </row>
    <row r="1853" spans="54:62" ht="15">
      <c r="BB1853" s="187">
        <v>44707</v>
      </c>
      <c r="BC1853" s="180">
        <v>-6.0999999999999999E-2</v>
      </c>
      <c r="BD1853" s="191"/>
      <c r="BE1853" s="193">
        <f>+BE1852</f>
        <v>1.0509999999999999</v>
      </c>
      <c r="BH1853" s="94">
        <v>44783</v>
      </c>
      <c r="BI1853" s="95">
        <v>1.2190000000000001</v>
      </c>
      <c r="BJ1853" s="96">
        <v>14.08</v>
      </c>
    </row>
    <row r="1854" spans="54:62" ht="15">
      <c r="BB1854" s="187">
        <v>44708</v>
      </c>
      <c r="BC1854" s="180">
        <v>-7.5999999999999998E-2</v>
      </c>
      <c r="BD1854" s="191">
        <v>44708</v>
      </c>
      <c r="BE1854" s="192">
        <v>1.0609999999999999</v>
      </c>
      <c r="BH1854" s="94">
        <v>44784</v>
      </c>
      <c r="BI1854" s="95">
        <v>1.21</v>
      </c>
      <c r="BJ1854" s="96">
        <v>14.08</v>
      </c>
    </row>
    <row r="1855" spans="54:62" ht="15">
      <c r="BB1855" s="187">
        <v>44711</v>
      </c>
      <c r="BC1855" s="180">
        <v>-6.8000000000000005E-2</v>
      </c>
      <c r="BD1855" s="191">
        <v>44711</v>
      </c>
      <c r="BE1855" s="192">
        <v>1.07</v>
      </c>
      <c r="BH1855" s="94">
        <v>44785</v>
      </c>
      <c r="BI1855" s="95">
        <v>1.206</v>
      </c>
      <c r="BJ1855" s="96">
        <v>14.08</v>
      </c>
    </row>
    <row r="1856" spans="54:62" ht="15">
      <c r="BB1856" s="187">
        <v>44712</v>
      </c>
      <c r="BC1856" s="180">
        <v>-4.4999999999999998E-2</v>
      </c>
      <c r="BD1856" s="191">
        <v>44712</v>
      </c>
      <c r="BE1856" s="192">
        <v>1.095</v>
      </c>
      <c r="BH1856" s="94">
        <v>44789</v>
      </c>
      <c r="BI1856" s="95">
        <v>1.198</v>
      </c>
      <c r="BJ1856" s="96">
        <v>14.06</v>
      </c>
    </row>
    <row r="1857" spans="54:62" ht="15">
      <c r="BB1857" s="187">
        <v>44713</v>
      </c>
      <c r="BC1857" s="180">
        <v>-3.4000000000000002E-2</v>
      </c>
      <c r="BD1857" s="191">
        <v>44713</v>
      </c>
      <c r="BE1857" s="192">
        <v>1.1060000000000001</v>
      </c>
      <c r="BH1857" s="94">
        <v>44790</v>
      </c>
      <c r="BI1857" s="95">
        <v>1.1919999999999999</v>
      </c>
      <c r="BJ1857" s="96">
        <v>14.06</v>
      </c>
    </row>
    <row r="1858" spans="54:62" ht="15">
      <c r="BB1858" s="187">
        <v>44714</v>
      </c>
      <c r="BC1858" s="180">
        <v>-1.7000000000000001E-2</v>
      </c>
      <c r="BD1858" s="191">
        <v>44714</v>
      </c>
      <c r="BE1858" s="192">
        <v>1.119</v>
      </c>
      <c r="BH1858" s="94">
        <v>44791</v>
      </c>
      <c r="BI1858" s="95">
        <v>1.1870000000000001</v>
      </c>
      <c r="BJ1858" s="96">
        <v>14.02</v>
      </c>
    </row>
    <row r="1859" spans="54:62" ht="15">
      <c r="BB1859" s="187">
        <v>44715</v>
      </c>
      <c r="BC1859" s="180">
        <v>-8.0000000000000002E-3</v>
      </c>
      <c r="BD1859" s="191">
        <v>44715</v>
      </c>
      <c r="BE1859" s="192">
        <v>1.135</v>
      </c>
      <c r="BH1859" s="94">
        <v>44792</v>
      </c>
      <c r="BI1859" s="95">
        <v>1.1879999999999999</v>
      </c>
      <c r="BJ1859" s="96">
        <v>14.01</v>
      </c>
    </row>
    <row r="1860" spans="54:62" ht="15">
      <c r="BB1860" s="187">
        <v>44718</v>
      </c>
      <c r="BC1860" s="180">
        <v>8.9999999999999993E-3</v>
      </c>
      <c r="BD1860" s="191"/>
      <c r="BE1860" s="193">
        <f>+BE1859</f>
        <v>1.135</v>
      </c>
      <c r="BH1860" s="94">
        <v>44795</v>
      </c>
      <c r="BI1860" s="95">
        <v>1.2</v>
      </c>
      <c r="BJ1860" s="96">
        <v>14.01</v>
      </c>
    </row>
    <row r="1861" spans="54:62" ht="15">
      <c r="BB1861" s="187">
        <v>44719</v>
      </c>
      <c r="BC1861" s="180">
        <v>2.9000000000000001E-2</v>
      </c>
      <c r="BD1861" s="191">
        <v>44719</v>
      </c>
      <c r="BE1861" s="192">
        <v>1.147</v>
      </c>
      <c r="BH1861" s="94">
        <v>44796</v>
      </c>
      <c r="BI1861" s="95">
        <v>1.216</v>
      </c>
      <c r="BJ1861" s="96">
        <v>14</v>
      </c>
    </row>
    <row r="1862" spans="54:62" ht="15">
      <c r="BB1862" s="187">
        <v>44720</v>
      </c>
      <c r="BC1862" s="180">
        <v>3.4000000000000002E-2</v>
      </c>
      <c r="BD1862" s="191">
        <v>44720</v>
      </c>
      <c r="BE1862" s="192">
        <v>1.161</v>
      </c>
      <c r="BH1862" s="94">
        <v>44797</v>
      </c>
      <c r="BI1862" s="95">
        <v>1.238</v>
      </c>
      <c r="BJ1862" s="96">
        <v>14</v>
      </c>
    </row>
    <row r="1863" spans="54:62" ht="15">
      <c r="BB1863" s="187">
        <v>44721</v>
      </c>
      <c r="BC1863" s="180">
        <v>6.3E-2</v>
      </c>
      <c r="BD1863" s="191">
        <v>44721</v>
      </c>
      <c r="BE1863" s="192">
        <v>1.1819999999999999</v>
      </c>
      <c r="BH1863" s="94">
        <v>44798</v>
      </c>
      <c r="BI1863" s="95">
        <v>1.2589999999999999</v>
      </c>
      <c r="BJ1863" s="96">
        <v>14</v>
      </c>
    </row>
    <row r="1864" spans="54:62" ht="15">
      <c r="BB1864" s="187">
        <v>44722</v>
      </c>
      <c r="BC1864" s="180">
        <v>8.3000000000000004E-2</v>
      </c>
      <c r="BD1864" s="191">
        <v>44722</v>
      </c>
      <c r="BE1864" s="192">
        <v>1.2090000000000001</v>
      </c>
      <c r="BH1864" s="94">
        <v>44799</v>
      </c>
      <c r="BI1864" s="95">
        <v>1.286</v>
      </c>
      <c r="BJ1864" s="96">
        <v>13.99</v>
      </c>
    </row>
    <row r="1865" spans="54:62" ht="15">
      <c r="BB1865" s="187">
        <v>44725</v>
      </c>
      <c r="BC1865" s="180">
        <v>0.108</v>
      </c>
      <c r="BD1865" s="191">
        <v>44725</v>
      </c>
      <c r="BE1865" s="192">
        <v>1.2490000000000001</v>
      </c>
      <c r="BH1865" s="94">
        <v>44802</v>
      </c>
      <c r="BI1865" s="95">
        <v>1.3220000000000001</v>
      </c>
      <c r="BJ1865" s="96">
        <v>13.99</v>
      </c>
    </row>
    <row r="1866" spans="54:62" ht="15">
      <c r="BB1866" s="187">
        <v>44726</v>
      </c>
      <c r="BC1866" s="180">
        <v>0.17499999999999999</v>
      </c>
      <c r="BD1866" s="191">
        <v>44726</v>
      </c>
      <c r="BE1866" s="192">
        <v>1.2929999999999999</v>
      </c>
      <c r="BH1866" s="94">
        <v>44803</v>
      </c>
      <c r="BI1866" s="95">
        <v>1.361</v>
      </c>
      <c r="BJ1866" s="96">
        <v>13.98</v>
      </c>
    </row>
    <row r="1867" spans="54:62" ht="15">
      <c r="BB1867" s="187">
        <v>44727</v>
      </c>
      <c r="BC1867" s="180">
        <v>0.23699999999999999</v>
      </c>
      <c r="BD1867" s="191">
        <v>44727</v>
      </c>
      <c r="BE1867" s="192">
        <v>1.333</v>
      </c>
      <c r="BH1867" s="94">
        <v>44804</v>
      </c>
      <c r="BI1867" s="95">
        <v>1.4039999999999999</v>
      </c>
      <c r="BJ1867" s="96">
        <v>13.98</v>
      </c>
    </row>
    <row r="1868" spans="54:62" ht="15">
      <c r="BB1868" s="187">
        <v>44728</v>
      </c>
      <c r="BC1868" s="180">
        <v>0.249</v>
      </c>
      <c r="BD1868" s="191"/>
      <c r="BE1868" s="193">
        <f>+BE1867</f>
        <v>1.333</v>
      </c>
      <c r="BH1868" s="94">
        <v>44805</v>
      </c>
      <c r="BI1868" s="95">
        <v>1.4430000000000001</v>
      </c>
      <c r="BJ1868" s="96">
        <v>13.98</v>
      </c>
    </row>
    <row r="1869" spans="54:62" ht="15">
      <c r="BB1869" s="187">
        <v>44729</v>
      </c>
      <c r="BC1869" s="180">
        <v>0.29099999999999998</v>
      </c>
      <c r="BD1869" s="191">
        <v>44729</v>
      </c>
      <c r="BE1869" s="192">
        <v>1.371</v>
      </c>
      <c r="BH1869" s="94">
        <v>44806</v>
      </c>
      <c r="BI1869" s="95">
        <v>1.4810000000000001</v>
      </c>
      <c r="BJ1869" s="96">
        <v>13.98</v>
      </c>
    </row>
    <row r="1870" spans="54:62" ht="15">
      <c r="BB1870" s="187">
        <v>44732</v>
      </c>
      <c r="BC1870" s="180">
        <v>0.27300000000000002</v>
      </c>
      <c r="BD1870" s="191">
        <v>44732</v>
      </c>
      <c r="BE1870" s="192">
        <v>1.405</v>
      </c>
      <c r="BH1870" s="94">
        <v>44809</v>
      </c>
      <c r="BI1870" s="95">
        <v>1.5189999999999999</v>
      </c>
      <c r="BJ1870" s="96">
        <v>13.97</v>
      </c>
    </row>
    <row r="1871" spans="54:62" ht="15">
      <c r="BB1871" s="187">
        <v>44733</v>
      </c>
      <c r="BC1871" s="180">
        <v>0.28899999999999998</v>
      </c>
      <c r="BD1871" s="191">
        <v>44733</v>
      </c>
      <c r="BE1871" s="192">
        <v>1.448</v>
      </c>
      <c r="BH1871" s="94">
        <v>44810</v>
      </c>
      <c r="BI1871" s="95">
        <v>1.5529999999999999</v>
      </c>
      <c r="BJ1871" s="96">
        <v>13.96</v>
      </c>
    </row>
    <row r="1872" spans="54:62" ht="15">
      <c r="BB1872" s="187">
        <v>44734</v>
      </c>
      <c r="BC1872" s="180">
        <v>0.29099999999999998</v>
      </c>
      <c r="BD1872" s="191">
        <v>44734</v>
      </c>
      <c r="BE1872" s="192">
        <v>1.4850000000000001</v>
      </c>
      <c r="BH1872" s="94">
        <v>44811</v>
      </c>
      <c r="BI1872" s="95">
        <v>1.585</v>
      </c>
      <c r="BJ1872" s="96">
        <v>13.96</v>
      </c>
    </row>
    <row r="1873" spans="54:62" ht="15">
      <c r="BB1873" s="187">
        <v>44735</v>
      </c>
      <c r="BC1873" s="180">
        <v>0.27300000000000002</v>
      </c>
      <c r="BD1873" s="191">
        <v>44735</v>
      </c>
      <c r="BE1873" s="192">
        <v>1.5089999999999999</v>
      </c>
      <c r="BH1873" s="94">
        <v>44812</v>
      </c>
      <c r="BI1873" s="95">
        <v>1.6240000000000001</v>
      </c>
      <c r="BJ1873" s="96">
        <v>13.91</v>
      </c>
    </row>
    <row r="1874" spans="54:62" ht="15">
      <c r="BB1874" s="187">
        <v>44736</v>
      </c>
      <c r="BC1874" s="180">
        <v>0.223</v>
      </c>
      <c r="BD1874" s="191">
        <v>44736</v>
      </c>
      <c r="BE1874" s="192">
        <v>1.532</v>
      </c>
      <c r="BH1874" s="94">
        <v>44813</v>
      </c>
      <c r="BI1874" s="95">
        <v>1.663</v>
      </c>
      <c r="BJ1874" s="96">
        <v>13.9</v>
      </c>
    </row>
    <row r="1875" spans="54:62" ht="15">
      <c r="BB1875" s="187">
        <v>44739</v>
      </c>
      <c r="BC1875" s="180">
        <v>0.223</v>
      </c>
      <c r="BD1875" s="191">
        <v>44739</v>
      </c>
      <c r="BE1875" s="192">
        <v>1.5609999999999999</v>
      </c>
      <c r="BH1875" s="94">
        <v>44816</v>
      </c>
      <c r="BI1875" s="95">
        <v>1.7</v>
      </c>
      <c r="BJ1875" s="96">
        <v>13.9</v>
      </c>
    </row>
    <row r="1876" spans="54:62" ht="15">
      <c r="BB1876" s="187">
        <v>44740</v>
      </c>
      <c r="BC1876" s="180">
        <v>0.22500000000000001</v>
      </c>
      <c r="BD1876" s="191">
        <v>44740</v>
      </c>
      <c r="BE1876" s="192">
        <v>1.593</v>
      </c>
      <c r="BH1876" s="94">
        <v>44817</v>
      </c>
      <c r="BI1876" s="95">
        <v>1.738</v>
      </c>
      <c r="BJ1876" s="96">
        <v>13.89</v>
      </c>
    </row>
    <row r="1877" spans="54:62" ht="15">
      <c r="BB1877" s="187">
        <v>44741</v>
      </c>
      <c r="BC1877" s="180">
        <v>0.27800000000000002</v>
      </c>
      <c r="BD1877" s="191">
        <v>44741</v>
      </c>
      <c r="BE1877" s="192">
        <v>1.6180000000000001</v>
      </c>
      <c r="BH1877" s="94">
        <v>44818</v>
      </c>
      <c r="BI1877" s="95">
        <v>1.7729999999999999</v>
      </c>
      <c r="BJ1877" s="96">
        <v>13.89</v>
      </c>
    </row>
    <row r="1878" spans="54:62" ht="15">
      <c r="BB1878" s="187">
        <v>44742</v>
      </c>
      <c r="BC1878" s="180">
        <v>0.26300000000000001</v>
      </c>
      <c r="BD1878" s="191">
        <v>44742</v>
      </c>
      <c r="BE1878" s="192">
        <v>1.633</v>
      </c>
      <c r="BH1878" s="94">
        <v>44819</v>
      </c>
      <c r="BI1878" s="95">
        <v>1.8069999999999999</v>
      </c>
      <c r="BJ1878" s="96">
        <v>13.89</v>
      </c>
    </row>
    <row r="1879" spans="54:62" ht="15">
      <c r="BB1879" s="187">
        <v>44743</v>
      </c>
      <c r="BC1879" s="180">
        <v>0.23799999999999999</v>
      </c>
      <c r="BD1879" s="191">
        <v>44743</v>
      </c>
      <c r="BE1879" s="192">
        <v>1.641</v>
      </c>
      <c r="BH1879" s="94">
        <v>44820</v>
      </c>
      <c r="BI1879" s="95">
        <v>1.8380000000000001</v>
      </c>
      <c r="BJ1879" s="96">
        <v>13.89</v>
      </c>
    </row>
    <row r="1880" spans="54:62" ht="15">
      <c r="BB1880" s="187">
        <v>44746</v>
      </c>
      <c r="BC1880" s="180">
        <v>0.24099999999999999</v>
      </c>
      <c r="BD1880" s="191">
        <v>44746</v>
      </c>
      <c r="BE1880" s="192">
        <v>1.645</v>
      </c>
      <c r="BH1880" s="94">
        <v>44823</v>
      </c>
      <c r="BI1880" s="95">
        <v>1.869</v>
      </c>
      <c r="BJ1880" s="96">
        <v>13.88</v>
      </c>
    </row>
    <row r="1881" spans="54:62" ht="15">
      <c r="BB1881" s="187">
        <v>44747</v>
      </c>
      <c r="BC1881" s="180">
        <v>0.23400000000000001</v>
      </c>
      <c r="BD1881" s="191">
        <v>44747</v>
      </c>
      <c r="BE1881" s="192">
        <v>1.6459999999999999</v>
      </c>
      <c r="BH1881" s="94">
        <v>44824</v>
      </c>
      <c r="BI1881" s="95">
        <v>1.9019999999999999</v>
      </c>
      <c r="BJ1881" s="96">
        <v>13.87</v>
      </c>
    </row>
    <row r="1882" spans="54:62" ht="15">
      <c r="BB1882" s="187">
        <v>44748</v>
      </c>
      <c r="BC1882" s="180">
        <v>0.22600000000000001</v>
      </c>
      <c r="BD1882" s="191">
        <v>44748</v>
      </c>
      <c r="BE1882" s="192">
        <v>1.641</v>
      </c>
      <c r="BH1882" s="94">
        <v>44825</v>
      </c>
      <c r="BI1882" s="95">
        <v>1.9330000000000001</v>
      </c>
      <c r="BJ1882" s="96">
        <v>13.87</v>
      </c>
    </row>
    <row r="1883" spans="54:62" ht="15">
      <c r="BB1883" s="187">
        <v>44749</v>
      </c>
      <c r="BC1883" s="180">
        <v>0.23799999999999999</v>
      </c>
      <c r="BD1883" s="191">
        <v>44749</v>
      </c>
      <c r="BE1883" s="192">
        <v>1.641</v>
      </c>
      <c r="BH1883" s="94">
        <v>44826</v>
      </c>
      <c r="BI1883" s="95">
        <v>1.9670000000000001</v>
      </c>
      <c r="BJ1883" s="96">
        <v>13.87</v>
      </c>
    </row>
    <row r="1884" spans="54:62" ht="15">
      <c r="BB1884" s="187">
        <v>44750</v>
      </c>
      <c r="BC1884" s="180">
        <v>0.32200000000000001</v>
      </c>
      <c r="BD1884" s="191">
        <v>44750</v>
      </c>
      <c r="BE1884" s="192">
        <v>1.637</v>
      </c>
      <c r="BH1884" s="94">
        <v>44827</v>
      </c>
      <c r="BI1884" s="95">
        <v>2.0009999999999999</v>
      </c>
      <c r="BJ1884" s="96">
        <v>13.87</v>
      </c>
    </row>
    <row r="1885" spans="54:62" ht="15">
      <c r="BB1885" s="187">
        <v>44753</v>
      </c>
      <c r="BC1885" s="180">
        <v>0.36499999999999999</v>
      </c>
      <c r="BD1885" s="191">
        <v>44753</v>
      </c>
      <c r="BE1885" s="192">
        <v>1.6259999999999999</v>
      </c>
      <c r="BH1885" s="94">
        <v>44830</v>
      </c>
      <c r="BI1885" s="95">
        <v>2.0329999999999999</v>
      </c>
      <c r="BJ1885" s="96">
        <v>13.83</v>
      </c>
    </row>
    <row r="1886" spans="54:62" ht="15">
      <c r="BB1886" s="187">
        <v>44754</v>
      </c>
      <c r="BC1886" s="180">
        <v>0.379</v>
      </c>
      <c r="BD1886" s="191">
        <v>44754</v>
      </c>
      <c r="BE1886" s="192">
        <v>1.6020000000000001</v>
      </c>
      <c r="BH1886" s="94">
        <v>44831</v>
      </c>
      <c r="BI1886" s="95">
        <v>2.0659999999999998</v>
      </c>
      <c r="BJ1886" s="96">
        <v>13.82</v>
      </c>
    </row>
    <row r="1887" spans="54:62" ht="15">
      <c r="BB1887" s="187">
        <v>44755</v>
      </c>
      <c r="BC1887" s="180">
        <v>0.36299999999999999</v>
      </c>
      <c r="BD1887" s="191">
        <v>44755</v>
      </c>
      <c r="BE1887" s="192">
        <v>1.573</v>
      </c>
      <c r="BH1887" s="94">
        <v>44832</v>
      </c>
      <c r="BI1887" s="95">
        <v>2.1030000000000002</v>
      </c>
      <c r="BJ1887" s="96">
        <v>13.68</v>
      </c>
    </row>
    <row r="1888" spans="54:62" ht="15">
      <c r="BB1888" s="187">
        <v>44756</v>
      </c>
      <c r="BC1888" s="180">
        <v>0.44800000000000001</v>
      </c>
      <c r="BD1888" s="191">
        <v>44756</v>
      </c>
      <c r="BE1888" s="192">
        <v>1.55</v>
      </c>
      <c r="BH1888" s="94">
        <v>44833</v>
      </c>
      <c r="BI1888" s="95">
        <v>2.1349999999999998</v>
      </c>
      <c r="BJ1888" s="96">
        <v>13.68</v>
      </c>
    </row>
    <row r="1889" spans="54:62" ht="15">
      <c r="BB1889" s="187">
        <v>44757</v>
      </c>
      <c r="BC1889" s="180">
        <v>0.53200000000000003</v>
      </c>
      <c r="BD1889" s="191">
        <v>44757</v>
      </c>
      <c r="BE1889" s="192">
        <v>1.5629999999999999</v>
      </c>
      <c r="BH1889" s="94">
        <v>44834</v>
      </c>
      <c r="BI1889" s="95">
        <v>2.1629999999999998</v>
      </c>
      <c r="BJ1889" s="96">
        <v>13.68</v>
      </c>
    </row>
    <row r="1890" spans="54:62" ht="15">
      <c r="BB1890" s="187">
        <v>44760</v>
      </c>
      <c r="BC1890" s="180">
        <v>0.503</v>
      </c>
      <c r="BD1890" s="191">
        <v>44760</v>
      </c>
      <c r="BE1890" s="192">
        <v>1.54</v>
      </c>
      <c r="BH1890" s="94">
        <v>44837</v>
      </c>
      <c r="BI1890" s="95">
        <v>2.1869999999999998</v>
      </c>
      <c r="BJ1890" s="96">
        <v>13.67</v>
      </c>
    </row>
    <row r="1891" spans="54:62" ht="15">
      <c r="BB1891" s="187">
        <v>44761</v>
      </c>
      <c r="BC1891" s="180">
        <v>0.53400000000000003</v>
      </c>
      <c r="BD1891" s="191">
        <v>44761</v>
      </c>
      <c r="BE1891" s="192">
        <v>1.514</v>
      </c>
      <c r="BH1891" s="94">
        <v>44838</v>
      </c>
      <c r="BI1891" s="95">
        <v>2.2040000000000002</v>
      </c>
      <c r="BJ1891" s="96">
        <v>13.67</v>
      </c>
    </row>
    <row r="1892" spans="54:62" ht="15">
      <c r="BB1892" s="187">
        <v>44762</v>
      </c>
      <c r="BC1892" s="180">
        <v>0.63500000000000001</v>
      </c>
      <c r="BD1892" s="191">
        <v>44762</v>
      </c>
      <c r="BE1892" s="192">
        <v>1.4930000000000001</v>
      </c>
      <c r="BH1892" s="94">
        <v>44839</v>
      </c>
      <c r="BI1892" s="95">
        <v>2.2269999999999999</v>
      </c>
      <c r="BJ1892" s="96">
        <v>13.66</v>
      </c>
    </row>
    <row r="1893" spans="54:62" ht="15">
      <c r="BB1893" s="187">
        <v>44763</v>
      </c>
      <c r="BC1893" s="180">
        <v>0.63200000000000001</v>
      </c>
      <c r="BD1893" s="191">
        <v>44763</v>
      </c>
      <c r="BE1893" s="192">
        <v>1.4830000000000001</v>
      </c>
      <c r="BH1893" s="94">
        <v>44840</v>
      </c>
      <c r="BI1893" s="95">
        <v>2.2519999999999998</v>
      </c>
      <c r="BJ1893" s="96">
        <v>13.7</v>
      </c>
    </row>
    <row r="1894" spans="54:62" ht="15">
      <c r="BB1894" s="187">
        <v>44764</v>
      </c>
      <c r="BC1894" s="180">
        <v>0.70599999999999996</v>
      </c>
      <c r="BD1894" s="191">
        <v>44764</v>
      </c>
      <c r="BE1894" s="192">
        <v>1.4650000000000001</v>
      </c>
      <c r="BH1894" s="94">
        <v>44841</v>
      </c>
      <c r="BI1894" s="95">
        <v>2.2770000000000001</v>
      </c>
      <c r="BJ1894" s="96">
        <v>13.7</v>
      </c>
    </row>
    <row r="1895" spans="54:62" ht="15">
      <c r="BB1895" s="187">
        <v>44767</v>
      </c>
      <c r="BC1895" s="180">
        <v>0.63300000000000001</v>
      </c>
      <c r="BD1895" s="191">
        <v>44767</v>
      </c>
      <c r="BE1895" s="192">
        <v>1.4419999999999999</v>
      </c>
      <c r="BH1895" s="94">
        <v>44844</v>
      </c>
      <c r="BI1895" s="95">
        <v>2.3050000000000002</v>
      </c>
      <c r="BJ1895" s="96">
        <v>13.69</v>
      </c>
    </row>
    <row r="1896" spans="54:62" ht="15">
      <c r="BB1896" s="187">
        <v>44768</v>
      </c>
      <c r="BC1896" s="180">
        <v>0.623</v>
      </c>
      <c r="BD1896" s="191">
        <v>44768</v>
      </c>
      <c r="BE1896" s="192">
        <v>1.411</v>
      </c>
      <c r="BH1896" s="94">
        <v>44845</v>
      </c>
      <c r="BI1896" s="95">
        <v>2.3359999999999999</v>
      </c>
      <c r="BJ1896" s="96">
        <v>13.69</v>
      </c>
    </row>
    <row r="1897" spans="54:62" ht="15">
      <c r="BB1897" s="187">
        <v>44769</v>
      </c>
      <c r="BC1897" s="180">
        <v>0.63100000000000001</v>
      </c>
      <c r="BD1897" s="191">
        <v>44769</v>
      </c>
      <c r="BE1897" s="192">
        <v>1.383</v>
      </c>
      <c r="BH1897" s="94">
        <v>44846</v>
      </c>
      <c r="BI1897" s="95">
        <v>2.367</v>
      </c>
      <c r="BJ1897" s="96">
        <v>13.69</v>
      </c>
    </row>
    <row r="1898" spans="54:62" ht="15">
      <c r="BB1898" s="187">
        <v>44770</v>
      </c>
      <c r="BC1898" s="180">
        <v>0.66</v>
      </c>
      <c r="BD1898" s="191">
        <v>44770</v>
      </c>
      <c r="BE1898" s="192">
        <v>1.36</v>
      </c>
      <c r="BH1898" s="94">
        <v>44847</v>
      </c>
      <c r="BI1898" s="95">
        <v>2.3959999999999999</v>
      </c>
      <c r="BJ1898" s="96">
        <v>13.68</v>
      </c>
    </row>
    <row r="1899" spans="54:62" ht="15">
      <c r="BB1899" s="187">
        <v>44771</v>
      </c>
      <c r="BC1899" s="180">
        <v>0.65300000000000002</v>
      </c>
      <c r="BD1899" s="191">
        <v>44771</v>
      </c>
      <c r="BE1899" s="192">
        <v>1.341</v>
      </c>
      <c r="BH1899" s="94">
        <v>44848</v>
      </c>
      <c r="BI1899" s="95">
        <v>2.42</v>
      </c>
      <c r="BJ1899" s="96">
        <v>13.68</v>
      </c>
    </row>
    <row r="1900" spans="54:62" ht="15">
      <c r="BB1900" s="187">
        <v>44774</v>
      </c>
      <c r="BC1900" s="180">
        <v>0.65400000000000003</v>
      </c>
      <c r="BD1900" s="191">
        <v>44774</v>
      </c>
      <c r="BE1900" s="192">
        <v>1.319</v>
      </c>
      <c r="BH1900" s="94">
        <v>44851</v>
      </c>
      <c r="BI1900" s="95">
        <v>2.444</v>
      </c>
      <c r="BJ1900" s="96">
        <v>13.67</v>
      </c>
    </row>
    <row r="1901" spans="54:62" ht="15">
      <c r="BB1901" s="187">
        <v>44775</v>
      </c>
      <c r="BC1901" s="180">
        <v>0.65200000000000002</v>
      </c>
      <c r="BD1901" s="191">
        <v>44775</v>
      </c>
      <c r="BE1901" s="192">
        <v>1.296</v>
      </c>
      <c r="BH1901" s="94">
        <v>44852</v>
      </c>
      <c r="BI1901" s="95">
        <v>2.4649999999999999</v>
      </c>
      <c r="BJ1901" s="96">
        <v>13.67</v>
      </c>
    </row>
    <row r="1902" spans="54:62" ht="15">
      <c r="BB1902" s="187">
        <v>44776</v>
      </c>
      <c r="BC1902" s="180">
        <v>0.66700000000000004</v>
      </c>
      <c r="BD1902" s="191">
        <v>44776</v>
      </c>
      <c r="BE1902" s="192">
        <v>1.284</v>
      </c>
      <c r="BH1902" s="94">
        <v>44853</v>
      </c>
      <c r="BI1902" s="95">
        <v>2.488</v>
      </c>
      <c r="BJ1902" s="96">
        <v>13.67</v>
      </c>
    </row>
    <row r="1903" spans="54:62" ht="15">
      <c r="BB1903" s="187">
        <v>44777</v>
      </c>
      <c r="BC1903" s="180">
        <v>0.68899999999999995</v>
      </c>
      <c r="BD1903" s="191">
        <v>44777</v>
      </c>
      <c r="BE1903" s="192">
        <v>1.266</v>
      </c>
      <c r="BH1903" s="94">
        <v>44854</v>
      </c>
      <c r="BI1903" s="95">
        <v>2.552</v>
      </c>
      <c r="BJ1903" s="96">
        <v>14.29</v>
      </c>
    </row>
    <row r="1904" spans="54:62" ht="15">
      <c r="BB1904" s="187">
        <v>44778</v>
      </c>
      <c r="BC1904" s="180">
        <v>0.67800000000000005</v>
      </c>
      <c r="BD1904" s="191">
        <v>44778</v>
      </c>
      <c r="BE1904" s="192">
        <v>1.248</v>
      </c>
      <c r="BH1904" s="94">
        <v>44855</v>
      </c>
      <c r="BI1904" s="95">
        <v>2.5750000000000002</v>
      </c>
      <c r="BJ1904" s="96">
        <v>14.29</v>
      </c>
    </row>
    <row r="1905" spans="54:62" ht="15">
      <c r="BB1905" s="187">
        <v>44781</v>
      </c>
      <c r="BC1905" s="180">
        <v>0.72899999999999998</v>
      </c>
      <c r="BD1905" s="191">
        <v>44781</v>
      </c>
      <c r="BE1905" s="192">
        <v>1.234</v>
      </c>
      <c r="BH1905" s="94">
        <v>44858</v>
      </c>
      <c r="BI1905" s="95">
        <v>2.5859999999999999</v>
      </c>
      <c r="BJ1905" s="96">
        <v>14.23</v>
      </c>
    </row>
    <row r="1906" spans="54:62" ht="15">
      <c r="BB1906" s="187">
        <v>44782</v>
      </c>
      <c r="BC1906" s="180">
        <v>0.73699999999999999</v>
      </c>
      <c r="BD1906" s="191">
        <v>44782</v>
      </c>
      <c r="BE1906" s="192">
        <v>1.2290000000000001</v>
      </c>
      <c r="BH1906" s="94">
        <v>44859</v>
      </c>
      <c r="BI1906" s="95">
        <v>2.593</v>
      </c>
      <c r="BJ1906" s="96">
        <v>14.22</v>
      </c>
    </row>
    <row r="1907" spans="54:62" ht="15">
      <c r="BB1907" s="187">
        <v>44783</v>
      </c>
      <c r="BC1907" s="180">
        <v>0.77400000000000002</v>
      </c>
      <c r="BD1907" s="191">
        <v>44783</v>
      </c>
      <c r="BE1907" s="192">
        <v>1.2190000000000001</v>
      </c>
      <c r="BH1907" s="94">
        <v>44861</v>
      </c>
      <c r="BI1907" s="95">
        <v>2.593</v>
      </c>
      <c r="BJ1907" s="96">
        <v>14.22</v>
      </c>
    </row>
    <row r="1908" spans="54:62" ht="15">
      <c r="BB1908" s="187">
        <v>44784</v>
      </c>
      <c r="BC1908" s="180">
        <v>0.76400000000000001</v>
      </c>
      <c r="BD1908" s="191">
        <v>44784</v>
      </c>
      <c r="BE1908" s="192">
        <v>1.21</v>
      </c>
      <c r="BH1908" s="94">
        <v>44862</v>
      </c>
      <c r="BI1908" s="95">
        <v>2.5880000000000001</v>
      </c>
      <c r="BJ1908" s="96">
        <v>14.22</v>
      </c>
    </row>
    <row r="1909" spans="54:62" ht="15">
      <c r="BB1909" s="187">
        <v>44785</v>
      </c>
      <c r="BC1909" s="180">
        <v>0.76600000000000001</v>
      </c>
      <c r="BD1909" s="191">
        <v>44785</v>
      </c>
      <c r="BE1909" s="192">
        <v>1.206</v>
      </c>
      <c r="BH1909" s="94">
        <v>44865</v>
      </c>
      <c r="BI1909" s="95">
        <v>2.5910000000000002</v>
      </c>
      <c r="BJ1909" s="96">
        <v>14.21</v>
      </c>
    </row>
    <row r="1910" spans="54:62" ht="15">
      <c r="BB1910" s="187">
        <v>44788</v>
      </c>
      <c r="BC1910" s="180">
        <v>0.745</v>
      </c>
      <c r="BD1910" s="191"/>
      <c r="BE1910" s="193">
        <f>+BE1909</f>
        <v>1.206</v>
      </c>
      <c r="BH1910" s="94">
        <v>44867</v>
      </c>
      <c r="BI1910" s="95">
        <v>2.5990000000000002</v>
      </c>
      <c r="BJ1910" s="96">
        <v>14.2</v>
      </c>
    </row>
    <row r="1911" spans="54:62" ht="15">
      <c r="BB1911" s="187">
        <v>44789</v>
      </c>
      <c r="BC1911" s="180">
        <v>0.73499999999999999</v>
      </c>
      <c r="BD1911" s="191">
        <v>44789</v>
      </c>
      <c r="BE1911" s="192">
        <v>1.198</v>
      </c>
      <c r="BH1911" s="94">
        <v>44868</v>
      </c>
      <c r="BI1911" s="95">
        <v>2.6190000000000002</v>
      </c>
      <c r="BJ1911" s="96">
        <v>14.2</v>
      </c>
    </row>
    <row r="1912" spans="54:62" ht="15">
      <c r="BB1912" s="187">
        <v>44790</v>
      </c>
      <c r="BC1912" s="180">
        <v>0.753</v>
      </c>
      <c r="BD1912" s="191">
        <v>44790</v>
      </c>
      <c r="BE1912" s="192">
        <v>1.1919999999999999</v>
      </c>
      <c r="BH1912" s="94">
        <v>44869</v>
      </c>
      <c r="BI1912" s="95">
        <v>2.6339999999999999</v>
      </c>
      <c r="BJ1912" s="96">
        <v>14.2</v>
      </c>
    </row>
    <row r="1913" spans="54:62" ht="15">
      <c r="BB1913" s="187">
        <v>44791</v>
      </c>
      <c r="BC1913" s="180">
        <v>0.82599999999999996</v>
      </c>
      <c r="BD1913" s="191">
        <v>44791</v>
      </c>
      <c r="BE1913" s="192">
        <v>1.1870000000000001</v>
      </c>
      <c r="BH1913" s="94">
        <v>44872</v>
      </c>
      <c r="BI1913" s="95">
        <v>2.6469999999999998</v>
      </c>
      <c r="BJ1913" s="96">
        <v>14.19</v>
      </c>
    </row>
    <row r="1914" spans="54:62" ht="15">
      <c r="BB1914" s="187">
        <v>44792</v>
      </c>
      <c r="BC1914" s="180">
        <v>0.86199999999999999</v>
      </c>
      <c r="BD1914" s="191">
        <v>44792</v>
      </c>
      <c r="BE1914" s="192">
        <v>1.1879999999999999</v>
      </c>
      <c r="BH1914" s="94">
        <v>44873</v>
      </c>
      <c r="BI1914" s="95">
        <v>2.6549999999999998</v>
      </c>
      <c r="BJ1914" s="96">
        <v>14.19</v>
      </c>
    </row>
    <row r="1915" spans="54:62" ht="15">
      <c r="BB1915" s="187">
        <v>44795</v>
      </c>
      <c r="BC1915" s="180">
        <v>0.90800000000000003</v>
      </c>
      <c r="BD1915" s="191">
        <v>44795</v>
      </c>
      <c r="BE1915" s="192">
        <v>1.2</v>
      </c>
      <c r="BH1915" s="94">
        <v>44874</v>
      </c>
      <c r="BI1915" s="95">
        <v>2.6579999999999999</v>
      </c>
      <c r="BJ1915" s="96">
        <v>14.18</v>
      </c>
    </row>
    <row r="1916" spans="54:62" ht="15">
      <c r="BB1916" s="187">
        <v>44796</v>
      </c>
      <c r="BC1916" s="180">
        <v>0.92600000000000005</v>
      </c>
      <c r="BD1916" s="191">
        <v>44796</v>
      </c>
      <c r="BE1916" s="192">
        <v>1.216</v>
      </c>
      <c r="BH1916" s="94">
        <v>44875</v>
      </c>
      <c r="BI1916" s="95">
        <v>2.6509999999999998</v>
      </c>
      <c r="BJ1916" s="96">
        <v>14.14</v>
      </c>
    </row>
    <row r="1917" spans="54:62" ht="15">
      <c r="BB1917" s="187">
        <v>44797</v>
      </c>
      <c r="BC1917" s="180">
        <v>0.94699999999999995</v>
      </c>
      <c r="BD1917" s="191">
        <v>44797</v>
      </c>
      <c r="BE1917" s="192">
        <v>1.238</v>
      </c>
      <c r="BH1917" s="94">
        <v>44876</v>
      </c>
      <c r="BI1917" s="95">
        <v>2.6419999999999999</v>
      </c>
      <c r="BJ1917" s="96">
        <v>14.13</v>
      </c>
    </row>
    <row r="1918" spans="54:62" ht="15">
      <c r="BB1918" s="187">
        <v>44798</v>
      </c>
      <c r="BC1918" s="180">
        <v>0.98399999999999999</v>
      </c>
      <c r="BD1918" s="191">
        <v>44798</v>
      </c>
      <c r="BE1918" s="192">
        <v>1.2589999999999999</v>
      </c>
      <c r="BH1918" s="94">
        <v>44879</v>
      </c>
      <c r="BI1918" s="95">
        <v>2.6349999999999998</v>
      </c>
      <c r="BJ1918" s="96">
        <v>14.13</v>
      </c>
    </row>
    <row r="1919" spans="54:62" ht="15">
      <c r="BB1919" s="187">
        <v>44799</v>
      </c>
      <c r="BC1919" s="180">
        <v>0.98299999999999998</v>
      </c>
      <c r="BD1919" s="191">
        <v>44799</v>
      </c>
      <c r="BE1919" s="192">
        <v>1.286</v>
      </c>
      <c r="BH1919" s="94">
        <v>44880</v>
      </c>
      <c r="BI1919" s="95">
        <v>2.63</v>
      </c>
      <c r="BJ1919" s="96">
        <v>14.12</v>
      </c>
    </row>
    <row r="1920" spans="54:62" ht="15">
      <c r="BB1920" s="187">
        <v>44802</v>
      </c>
      <c r="BC1920" s="180">
        <v>1.077</v>
      </c>
      <c r="BD1920" s="191">
        <v>44802</v>
      </c>
      <c r="BE1920" s="192">
        <v>1.3220000000000001</v>
      </c>
      <c r="BH1920" s="94">
        <v>44881</v>
      </c>
      <c r="BI1920" s="95">
        <v>2.62</v>
      </c>
      <c r="BJ1920" s="96">
        <v>14.12</v>
      </c>
    </row>
    <row r="1921" spans="54:64" ht="15">
      <c r="BB1921" s="187">
        <v>44803</v>
      </c>
      <c r="BC1921" s="180">
        <v>1.1930000000000001</v>
      </c>
      <c r="BD1921" s="191">
        <v>44803</v>
      </c>
      <c r="BE1921" s="192">
        <v>1.361</v>
      </c>
      <c r="BH1921" s="94">
        <v>44882</v>
      </c>
      <c r="BI1921" s="95">
        <v>2.6070000000000002</v>
      </c>
      <c r="BJ1921" s="96">
        <v>14.12</v>
      </c>
    </row>
    <row r="1922" spans="54:64" ht="15">
      <c r="BB1922" s="187">
        <v>44804</v>
      </c>
      <c r="BC1922" s="180">
        <v>1.2030000000000001</v>
      </c>
      <c r="BD1922" s="191">
        <v>44804</v>
      </c>
      <c r="BE1922" s="192">
        <v>1.4039999999999999</v>
      </c>
      <c r="BH1922" s="94">
        <v>44883</v>
      </c>
      <c r="BI1922" s="95">
        <v>2.5920000000000001</v>
      </c>
      <c r="BJ1922" s="96">
        <v>14.12</v>
      </c>
    </row>
    <row r="1923" spans="54:64" ht="15">
      <c r="BB1923" s="187">
        <v>44805</v>
      </c>
      <c r="BC1923" s="180">
        <v>1.24</v>
      </c>
      <c r="BD1923" s="191">
        <v>44805</v>
      </c>
      <c r="BE1923" s="192">
        <v>1.4430000000000001</v>
      </c>
      <c r="BH1923" s="94">
        <v>44886</v>
      </c>
      <c r="BI1923" s="95">
        <v>2.5720000000000001</v>
      </c>
      <c r="BJ1923" s="96">
        <v>14.11</v>
      </c>
    </row>
    <row r="1924" spans="54:64" ht="15">
      <c r="BB1924" s="187">
        <v>44806</v>
      </c>
      <c r="BC1924" s="180">
        <v>1.29</v>
      </c>
      <c r="BD1924" s="191">
        <v>44806</v>
      </c>
      <c r="BE1924" s="192">
        <v>1.4810000000000001</v>
      </c>
      <c r="BH1924" s="94">
        <v>44887</v>
      </c>
      <c r="BI1924" s="95">
        <v>2.5499999999999998</v>
      </c>
      <c r="BJ1924" s="96">
        <v>14.1</v>
      </c>
    </row>
    <row r="1925" spans="54:64" ht="15">
      <c r="BB1925" s="187">
        <v>44809</v>
      </c>
      <c r="BC1925" s="180">
        <v>1.298</v>
      </c>
      <c r="BD1925" s="191">
        <v>44809</v>
      </c>
      <c r="BE1925" s="192">
        <v>1.5189999999999999</v>
      </c>
      <c r="BH1925" s="94">
        <v>44888</v>
      </c>
      <c r="BI1925" s="95">
        <v>2.5329999999999999</v>
      </c>
      <c r="BJ1925" s="96">
        <v>14.11</v>
      </c>
    </row>
    <row r="1926" spans="54:64" ht="15">
      <c r="BB1926" s="187">
        <v>44810</v>
      </c>
      <c r="BC1926" s="180">
        <v>1.337</v>
      </c>
      <c r="BD1926" s="191">
        <v>44810</v>
      </c>
      <c r="BE1926" s="192">
        <v>1.5529999999999999</v>
      </c>
      <c r="BH1926" s="94">
        <v>44889</v>
      </c>
      <c r="BI1926" s="95">
        <v>2.5139999999999998</v>
      </c>
      <c r="BJ1926" s="96">
        <v>14.11</v>
      </c>
    </row>
    <row r="1927" spans="54:64" ht="15">
      <c r="BB1927" s="187">
        <v>44811</v>
      </c>
      <c r="BC1927" s="180">
        <v>1.363</v>
      </c>
      <c r="BD1927" s="191">
        <v>44811</v>
      </c>
      <c r="BE1927" s="192">
        <v>1.585</v>
      </c>
      <c r="BH1927" s="94">
        <v>44890</v>
      </c>
      <c r="BI1927" s="95">
        <v>2.504</v>
      </c>
      <c r="BJ1927" s="96">
        <v>14.1</v>
      </c>
    </row>
    <row r="1928" spans="54:64" ht="15">
      <c r="BB1928" s="187">
        <v>44812</v>
      </c>
      <c r="BC1928" s="180">
        <v>1.3540000000000001</v>
      </c>
      <c r="BD1928" s="191">
        <v>44812</v>
      </c>
      <c r="BE1928" s="192">
        <v>1.6240000000000001</v>
      </c>
      <c r="BH1928" s="94">
        <v>44893</v>
      </c>
      <c r="BI1928" s="95">
        <v>2.4990000000000001</v>
      </c>
      <c r="BJ1928" s="96">
        <v>14.13</v>
      </c>
    </row>
    <row r="1929" spans="54:64" ht="15">
      <c r="BB1929" s="187">
        <v>44813</v>
      </c>
      <c r="BC1929" s="180">
        <v>1.4419999999999999</v>
      </c>
      <c r="BD1929" s="191">
        <v>44813</v>
      </c>
      <c r="BE1929" s="192">
        <v>1.663</v>
      </c>
      <c r="BH1929" s="94">
        <v>44894</v>
      </c>
      <c r="BI1929" s="95">
        <v>2.4870000000000001</v>
      </c>
      <c r="BJ1929" s="96">
        <v>14.13</v>
      </c>
    </row>
    <row r="1930" spans="54:64" ht="15">
      <c r="BB1930" s="187">
        <v>44816</v>
      </c>
      <c r="BC1930" s="180">
        <v>1.494</v>
      </c>
      <c r="BD1930" s="191">
        <v>44816</v>
      </c>
      <c r="BE1930" s="192">
        <v>1.7</v>
      </c>
      <c r="BH1930" s="94">
        <v>44895</v>
      </c>
      <c r="BI1930" s="95">
        <v>2.476</v>
      </c>
      <c r="BJ1930" s="96">
        <v>14.13</v>
      </c>
    </row>
    <row r="1931" spans="54:64" ht="15">
      <c r="BB1931" s="187">
        <v>44817</v>
      </c>
      <c r="BC1931" s="180">
        <v>1.538</v>
      </c>
      <c r="BD1931" s="191">
        <v>44817</v>
      </c>
      <c r="BE1931" s="192">
        <v>1.738</v>
      </c>
      <c r="BH1931" s="94">
        <v>44896</v>
      </c>
      <c r="BI1931" s="95">
        <v>2.456</v>
      </c>
      <c r="BJ1931" s="96">
        <v>14.13</v>
      </c>
    </row>
    <row r="1932" spans="54:64" ht="15">
      <c r="BB1932" s="187">
        <v>44818</v>
      </c>
      <c r="BC1932" s="180">
        <v>1.548</v>
      </c>
      <c r="BD1932" s="191">
        <v>44818</v>
      </c>
      <c r="BE1932" s="192">
        <v>1.7729999999999999</v>
      </c>
      <c r="BH1932" s="94">
        <v>44897</v>
      </c>
      <c r="BI1932" s="95">
        <v>2.4329999999999998</v>
      </c>
      <c r="BJ1932" s="96">
        <v>14.12</v>
      </c>
    </row>
    <row r="1933" spans="54:64" ht="15">
      <c r="BB1933" s="187">
        <v>44819</v>
      </c>
      <c r="BC1933" s="180">
        <v>1.6080000000000001</v>
      </c>
      <c r="BD1933" s="191">
        <v>44819</v>
      </c>
      <c r="BE1933" s="192">
        <v>1.8069999999999999</v>
      </c>
      <c r="BH1933" s="645"/>
      <c r="BI1933" s="645"/>
      <c r="BJ1933" s="645"/>
    </row>
    <row r="1934" spans="54:64" ht="12.75" customHeight="1">
      <c r="BB1934" s="187">
        <v>44820</v>
      </c>
      <c r="BC1934" s="180">
        <v>1.6719999999999999</v>
      </c>
      <c r="BD1934" s="191">
        <v>44820</v>
      </c>
      <c r="BE1934" s="192">
        <v>1.8380000000000001</v>
      </c>
      <c r="BH1934" s="643" t="s">
        <v>395</v>
      </c>
      <c r="BI1934" s="643"/>
      <c r="BJ1934" s="643"/>
    </row>
    <row r="1935" spans="54:64" ht="15.75" thickBot="1">
      <c r="BB1935" s="187">
        <v>44823</v>
      </c>
      <c r="BC1935" s="180">
        <v>1.7370000000000001</v>
      </c>
      <c r="BD1935" s="191">
        <v>44823</v>
      </c>
      <c r="BE1935" s="192">
        <v>1.869</v>
      </c>
    </row>
    <row r="1936" spans="54:64" ht="17.25" thickTop="1" thickBot="1">
      <c r="BB1936" s="187">
        <v>44824</v>
      </c>
      <c r="BC1936" s="180">
        <v>1.74</v>
      </c>
      <c r="BD1936" s="191">
        <v>44824</v>
      </c>
      <c r="BE1936" s="192">
        <v>1.9019999999999999</v>
      </c>
      <c r="BH1936" s="98" t="s">
        <v>396</v>
      </c>
      <c r="BI1936" s="99" t="s">
        <v>397</v>
      </c>
      <c r="BJ1936" s="99" t="s">
        <v>398</v>
      </c>
      <c r="BK1936" s="100" t="s">
        <v>399</v>
      </c>
      <c r="BL1936" s="101" t="s">
        <v>400</v>
      </c>
    </row>
    <row r="1937" spans="54:57" ht="15.75" thickTop="1">
      <c r="BB1937" s="187">
        <v>44825</v>
      </c>
      <c r="BC1937" s="180">
        <v>1.766</v>
      </c>
      <c r="BD1937" s="191">
        <v>44825</v>
      </c>
      <c r="BE1937" s="192">
        <v>1.9330000000000001</v>
      </c>
    </row>
    <row r="1938" spans="54:57" ht="15">
      <c r="BB1938" s="187">
        <v>44826</v>
      </c>
      <c r="BC1938" s="180">
        <v>1.7629999999999999</v>
      </c>
      <c r="BD1938" s="191">
        <v>44826</v>
      </c>
      <c r="BE1938" s="192">
        <v>1.9670000000000001</v>
      </c>
    </row>
    <row r="1939" spans="54:57" ht="15">
      <c r="BB1939" s="187">
        <v>44827</v>
      </c>
      <c r="BC1939" s="180">
        <v>1.8029999999999999</v>
      </c>
      <c r="BD1939" s="191">
        <v>44827</v>
      </c>
      <c r="BE1939" s="192">
        <v>2.0009999999999999</v>
      </c>
    </row>
    <row r="1940" spans="54:57" ht="15">
      <c r="BB1940" s="187">
        <v>44830</v>
      </c>
      <c r="BC1940" s="180">
        <v>1.8029999999999999</v>
      </c>
      <c r="BD1940" s="191">
        <v>44830</v>
      </c>
      <c r="BE1940" s="192">
        <v>2.0329999999999999</v>
      </c>
    </row>
    <row r="1941" spans="54:57" ht="15">
      <c r="BB1941" s="187">
        <v>44831</v>
      </c>
      <c r="BC1941" s="180">
        <v>1.851</v>
      </c>
      <c r="BD1941" s="191">
        <v>44831</v>
      </c>
      <c r="BE1941" s="192">
        <v>2.0659999999999998</v>
      </c>
    </row>
    <row r="1942" spans="54:57" ht="15">
      <c r="BB1942" s="187">
        <v>44832</v>
      </c>
      <c r="BC1942" s="180">
        <v>1.8580000000000001</v>
      </c>
      <c r="BD1942" s="191">
        <v>44832</v>
      </c>
      <c r="BE1942" s="192">
        <v>2.1030000000000002</v>
      </c>
    </row>
    <row r="1943" spans="54:57" ht="15">
      <c r="BB1943" s="187">
        <v>44833</v>
      </c>
      <c r="BC1943" s="180">
        <v>1.8</v>
      </c>
      <c r="BD1943" s="191">
        <v>44833</v>
      </c>
      <c r="BE1943" s="192">
        <v>2.1349999999999998</v>
      </c>
    </row>
    <row r="1944" spans="54:57" ht="15">
      <c r="BB1944" s="187">
        <v>44834</v>
      </c>
      <c r="BC1944" s="180">
        <v>1.8089999999999999</v>
      </c>
      <c r="BD1944" s="191">
        <v>44834</v>
      </c>
      <c r="BE1944" s="192">
        <v>2.1629999999999998</v>
      </c>
    </row>
    <row r="1945" spans="54:57" ht="15">
      <c r="BB1945" s="187">
        <v>44837</v>
      </c>
      <c r="BC1945" s="180">
        <v>1.7749999999999999</v>
      </c>
      <c r="BD1945" s="191">
        <v>44837</v>
      </c>
      <c r="BE1945" s="192">
        <v>2.1869999999999998</v>
      </c>
    </row>
    <row r="1946" spans="54:57" ht="15">
      <c r="BB1946" s="187">
        <v>44838</v>
      </c>
      <c r="BC1946" s="180">
        <v>1.762</v>
      </c>
      <c r="BD1946" s="191">
        <v>44838</v>
      </c>
      <c r="BE1946" s="192">
        <v>2.2040000000000002</v>
      </c>
    </row>
    <row r="1947" spans="54:57" ht="15">
      <c r="BB1947" s="187">
        <v>44839</v>
      </c>
      <c r="BC1947" s="180">
        <v>1.7310000000000001</v>
      </c>
      <c r="BD1947" s="191">
        <v>44839</v>
      </c>
      <c r="BE1947" s="192">
        <v>2.2269999999999999</v>
      </c>
    </row>
    <row r="1948" spans="54:57" ht="15">
      <c r="BB1948" s="187">
        <v>44840</v>
      </c>
      <c r="BC1948" s="180">
        <v>1.8380000000000001</v>
      </c>
      <c r="BD1948" s="191">
        <v>44840</v>
      </c>
      <c r="BE1948" s="192">
        <v>2.2519999999999998</v>
      </c>
    </row>
    <row r="1949" spans="54:57" ht="15">
      <c r="BB1949" s="187">
        <v>44841</v>
      </c>
      <c r="BC1949" s="180">
        <v>1.897</v>
      </c>
      <c r="BD1949" s="191">
        <v>44841</v>
      </c>
      <c r="BE1949" s="192">
        <v>2.2770000000000001</v>
      </c>
    </row>
    <row r="1950" spans="54:57" ht="15">
      <c r="BB1950" s="187">
        <v>44844</v>
      </c>
      <c r="BC1950" s="180">
        <v>1.962</v>
      </c>
      <c r="BD1950" s="191">
        <v>44844</v>
      </c>
      <c r="BE1950" s="192">
        <v>2.3050000000000002</v>
      </c>
    </row>
    <row r="1951" spans="54:57" ht="15">
      <c r="BB1951" s="187">
        <v>44845</v>
      </c>
      <c r="BC1951" s="180">
        <v>2.0030000000000001</v>
      </c>
      <c r="BD1951" s="191">
        <v>44845</v>
      </c>
      <c r="BE1951" s="192">
        <v>2.3359999999999999</v>
      </c>
    </row>
    <row r="1952" spans="54:57" ht="15">
      <c r="BB1952" s="187">
        <v>44846</v>
      </c>
      <c r="BC1952" s="180">
        <v>1.998</v>
      </c>
      <c r="BD1952" s="191">
        <v>44846</v>
      </c>
      <c r="BE1952" s="192">
        <v>2.367</v>
      </c>
    </row>
    <row r="1953" spans="54:58" ht="15">
      <c r="BB1953" s="187">
        <v>44847</v>
      </c>
      <c r="BC1953" s="180">
        <v>2.012</v>
      </c>
      <c r="BD1953" s="191">
        <v>44847</v>
      </c>
      <c r="BE1953" s="192">
        <v>2.3959999999999999</v>
      </c>
    </row>
    <row r="1954" spans="54:58" ht="15">
      <c r="BB1954" s="187">
        <v>44848</v>
      </c>
      <c r="BC1954" s="180">
        <v>2.0270000000000001</v>
      </c>
      <c r="BD1954" s="191">
        <v>44848</v>
      </c>
      <c r="BE1954" s="192">
        <v>2.42</v>
      </c>
    </row>
    <row r="1955" spans="54:58" ht="15">
      <c r="BB1955" s="187">
        <v>44851</v>
      </c>
      <c r="BC1955" s="180">
        <v>2.032</v>
      </c>
      <c r="BD1955" s="191">
        <v>44851</v>
      </c>
      <c r="BE1955" s="192">
        <v>2.444</v>
      </c>
    </row>
    <row r="1956" spans="54:58" ht="15">
      <c r="BB1956" s="187">
        <v>44852</v>
      </c>
      <c r="BC1956" s="180">
        <v>2.0379999999999998</v>
      </c>
      <c r="BD1956" s="191">
        <v>44852</v>
      </c>
      <c r="BE1956" s="192">
        <v>2.4649999999999999</v>
      </c>
    </row>
    <row r="1957" spans="54:58" ht="15">
      <c r="BB1957" s="187">
        <v>44853</v>
      </c>
      <c r="BC1957" s="180">
        <v>2.0569999999999999</v>
      </c>
      <c r="BD1957" s="191">
        <v>44853</v>
      </c>
      <c r="BE1957" s="192">
        <v>2.488</v>
      </c>
    </row>
    <row r="1958" spans="54:58" ht="15">
      <c r="BB1958" s="187">
        <v>44854</v>
      </c>
      <c r="BC1958" s="180">
        <v>2.0830000000000002</v>
      </c>
      <c r="BD1958" s="191">
        <v>44854</v>
      </c>
      <c r="BE1958" s="192">
        <v>2.552</v>
      </c>
    </row>
    <row r="1959" spans="54:58" ht="15">
      <c r="BB1959" s="187">
        <v>44855</v>
      </c>
      <c r="BC1959" s="180">
        <v>2.1070000000000002</v>
      </c>
      <c r="BD1959" s="191">
        <v>44855</v>
      </c>
      <c r="BE1959" s="192">
        <v>2.5750000000000002</v>
      </c>
    </row>
    <row r="1960" spans="54:58" ht="15">
      <c r="BB1960" s="187">
        <v>44858</v>
      </c>
      <c r="BC1960" s="180">
        <v>2.1320000000000001</v>
      </c>
      <c r="BD1960" s="191">
        <v>44858</v>
      </c>
      <c r="BE1960" s="192">
        <v>2.5859999999999999</v>
      </c>
    </row>
    <row r="1961" spans="54:58" ht="15">
      <c r="BB1961" s="187">
        <v>44859</v>
      </c>
      <c r="BC1961" s="180">
        <v>2.1059999999999999</v>
      </c>
      <c r="BD1961" s="191">
        <v>44859</v>
      </c>
      <c r="BE1961" s="192">
        <v>2.593</v>
      </c>
    </row>
    <row r="1962" spans="54:58" ht="15">
      <c r="BB1962" s="187">
        <v>44860</v>
      </c>
      <c r="BC1962" s="180">
        <v>2.1030000000000002</v>
      </c>
      <c r="BD1962" s="191"/>
      <c r="BE1962" s="193">
        <f>+BE1961</f>
        <v>2.593</v>
      </c>
    </row>
    <row r="1963" spans="54:58" ht="15">
      <c r="BB1963" s="187">
        <v>44861</v>
      </c>
      <c r="BC1963" s="180">
        <v>2.1179999999999999</v>
      </c>
      <c r="BD1963" s="191">
        <v>44861</v>
      </c>
      <c r="BE1963" s="192">
        <v>2.593</v>
      </c>
    </row>
    <row r="1964" spans="54:58" ht="15">
      <c r="BB1964" s="187">
        <v>44862</v>
      </c>
      <c r="BC1964" s="180">
        <v>2.0339999999999998</v>
      </c>
      <c r="BD1964" s="191">
        <v>44862</v>
      </c>
      <c r="BE1964" s="192">
        <v>2.5880000000000001</v>
      </c>
    </row>
    <row r="1965" spans="54:58" ht="15">
      <c r="BB1965" s="187">
        <v>44865</v>
      </c>
      <c r="BC1965" s="180">
        <v>2.13</v>
      </c>
      <c r="BD1965" s="191">
        <v>44865</v>
      </c>
      <c r="BE1965" s="192">
        <v>2.5910000000000002</v>
      </c>
    </row>
    <row r="1966" spans="54:58" ht="15">
      <c r="BB1966" s="187">
        <v>44866</v>
      </c>
      <c r="BC1966" s="180">
        <v>2.1680000000000001</v>
      </c>
      <c r="BD1966" s="191"/>
      <c r="BE1966" s="193">
        <f>+BE1965</f>
        <v>2.5910000000000002</v>
      </c>
      <c r="BF1966" s="111">
        <f>+(BC1966+BE1966)/2+0.37</f>
        <v>2.7495000000000003</v>
      </c>
    </row>
    <row r="1967" spans="54:58" ht="15">
      <c r="BB1967" s="187">
        <v>44867</v>
      </c>
      <c r="BC1967" s="180">
        <v>2.198</v>
      </c>
      <c r="BD1967" s="191">
        <v>44867</v>
      </c>
      <c r="BE1967" s="192">
        <v>2.5990000000000002</v>
      </c>
    </row>
    <row r="1968" spans="54:58" ht="15">
      <c r="BB1968" s="187">
        <v>44868</v>
      </c>
      <c r="BC1968" s="180">
        <v>2.2250000000000001</v>
      </c>
      <c r="BD1968" s="191">
        <v>44868</v>
      </c>
      <c r="BE1968" s="192">
        <v>2.6190000000000002</v>
      </c>
    </row>
    <row r="1969" spans="54:57" ht="15">
      <c r="BB1969" s="187">
        <v>44869</v>
      </c>
      <c r="BC1969" s="180">
        <v>2.278</v>
      </c>
      <c r="BD1969" s="191">
        <v>44869</v>
      </c>
      <c r="BE1969" s="192">
        <v>2.6339999999999999</v>
      </c>
    </row>
    <row r="1970" spans="54:57" ht="15">
      <c r="BB1970" s="187">
        <v>44872</v>
      </c>
      <c r="BC1970" s="180">
        <v>2.2959999999999998</v>
      </c>
      <c r="BD1970" s="191">
        <v>44872</v>
      </c>
      <c r="BE1970" s="192">
        <v>2.6469999999999998</v>
      </c>
    </row>
    <row r="1971" spans="54:57" ht="15">
      <c r="BB1971" s="187">
        <v>44873</v>
      </c>
      <c r="BC1971" s="180">
        <v>2.3159999999999998</v>
      </c>
      <c r="BD1971" s="191">
        <v>44873</v>
      </c>
      <c r="BE1971" s="192">
        <v>2.6549999999999998</v>
      </c>
    </row>
    <row r="1972" spans="54:57" ht="15">
      <c r="BB1972" s="187">
        <v>44874</v>
      </c>
      <c r="BC1972" s="180">
        <v>2.3330000000000002</v>
      </c>
      <c r="BD1972" s="191">
        <v>44874</v>
      </c>
      <c r="BE1972" s="192">
        <v>2.6579999999999999</v>
      </c>
    </row>
    <row r="1973" spans="54:57" ht="15">
      <c r="BB1973" s="187">
        <v>44875</v>
      </c>
      <c r="BC1973" s="180">
        <v>2.319</v>
      </c>
      <c r="BD1973" s="191">
        <v>44875</v>
      </c>
      <c r="BE1973" s="192">
        <v>2.6509999999999998</v>
      </c>
    </row>
    <row r="1974" spans="54:57" ht="15">
      <c r="BB1974" s="187">
        <v>44876</v>
      </c>
      <c r="BC1974" s="180">
        <v>2.2909999999999999</v>
      </c>
      <c r="BD1974" s="191">
        <v>44876</v>
      </c>
      <c r="BE1974" s="192">
        <v>2.6419999999999999</v>
      </c>
    </row>
    <row r="1975" spans="54:57" ht="15">
      <c r="BB1975" s="187">
        <v>44879</v>
      </c>
      <c r="BC1975" s="180">
        <v>2.3370000000000002</v>
      </c>
      <c r="BD1975" s="191">
        <v>44879</v>
      </c>
      <c r="BE1975" s="192">
        <v>2.6349999999999998</v>
      </c>
    </row>
    <row r="1976" spans="54:57" ht="15">
      <c r="BB1976" s="187">
        <v>44880</v>
      </c>
      <c r="BC1976" s="180">
        <v>2.2999999999999998</v>
      </c>
      <c r="BD1976" s="191">
        <v>44880</v>
      </c>
      <c r="BE1976" s="192">
        <v>2.63</v>
      </c>
    </row>
    <row r="1977" spans="54:57" ht="15">
      <c r="BB1977" s="187">
        <v>44881</v>
      </c>
      <c r="BC1977" s="180">
        <v>2.3109999999999999</v>
      </c>
      <c r="BD1977" s="191">
        <v>44881</v>
      </c>
      <c r="BE1977" s="192">
        <v>2.62</v>
      </c>
    </row>
    <row r="1978" spans="54:57" ht="15">
      <c r="BB1978" s="187">
        <v>44882</v>
      </c>
      <c r="BC1978" s="180">
        <v>2.294</v>
      </c>
      <c r="BD1978" s="191">
        <v>44882</v>
      </c>
      <c r="BE1978" s="192">
        <v>2.6070000000000002</v>
      </c>
    </row>
    <row r="1979" spans="54:57" ht="15">
      <c r="BB1979" s="187">
        <v>44883</v>
      </c>
      <c r="BC1979" s="180">
        <v>2.3420000000000001</v>
      </c>
      <c r="BD1979" s="191">
        <v>44883</v>
      </c>
      <c r="BE1979" s="192">
        <v>2.5920000000000001</v>
      </c>
    </row>
    <row r="1980" spans="54:57" ht="15">
      <c r="BB1980" s="187">
        <v>44886</v>
      </c>
      <c r="BC1980" s="180">
        <v>2.327</v>
      </c>
      <c r="BD1980" s="191">
        <v>44886</v>
      </c>
      <c r="BE1980" s="192">
        <v>2.5720000000000001</v>
      </c>
    </row>
    <row r="1981" spans="54:57" ht="15">
      <c r="BB1981" s="187">
        <v>44887</v>
      </c>
      <c r="BC1981" s="180">
        <v>2.3380000000000001</v>
      </c>
      <c r="BD1981" s="191">
        <v>44887</v>
      </c>
      <c r="BE1981" s="192">
        <v>2.5499999999999998</v>
      </c>
    </row>
    <row r="1982" spans="54:57" ht="15">
      <c r="BB1982" s="187">
        <v>44888</v>
      </c>
      <c r="BC1982" s="180">
        <v>2.36</v>
      </c>
      <c r="BD1982" s="191">
        <v>44888</v>
      </c>
      <c r="BE1982" s="192">
        <v>2.5329999999999999</v>
      </c>
    </row>
    <row r="1983" spans="54:57" ht="15">
      <c r="BB1983" s="187">
        <v>44889</v>
      </c>
      <c r="BC1983" s="180">
        <v>2.3679999999999999</v>
      </c>
      <c r="BD1983" s="191">
        <v>44889</v>
      </c>
      <c r="BE1983" s="192">
        <v>2.5139999999999998</v>
      </c>
    </row>
    <row r="1984" spans="54:57" ht="15">
      <c r="BB1984" s="187">
        <v>44890</v>
      </c>
      <c r="BC1984" s="180">
        <v>2.3740000000000001</v>
      </c>
      <c r="BD1984" s="191">
        <v>44890</v>
      </c>
      <c r="BE1984" s="192">
        <v>2.504</v>
      </c>
    </row>
    <row r="1985" spans="54:57" ht="15">
      <c r="BB1985" s="187">
        <v>44893</v>
      </c>
      <c r="BC1985" s="180">
        <v>2.4359999999999999</v>
      </c>
      <c r="BD1985" s="191">
        <v>44893</v>
      </c>
      <c r="BE1985" s="192">
        <v>2.4990000000000001</v>
      </c>
    </row>
    <row r="1986" spans="54:57" ht="15">
      <c r="BB1986" s="187">
        <v>44894</v>
      </c>
      <c r="BC1986" s="180">
        <v>2.4420000000000002</v>
      </c>
      <c r="BD1986" s="191">
        <v>44894</v>
      </c>
      <c r="BE1986" s="192">
        <v>2.4870000000000001</v>
      </c>
    </row>
    <row r="1987" spans="54:57" ht="15">
      <c r="BB1987" s="187">
        <v>44895</v>
      </c>
      <c r="BC1987" s="180">
        <v>2.4140000000000001</v>
      </c>
      <c r="BD1987" s="191">
        <v>44895</v>
      </c>
      <c r="BE1987" s="192">
        <v>2.476</v>
      </c>
    </row>
    <row r="1988" spans="54:57" ht="15">
      <c r="BB1988" s="187">
        <v>44896</v>
      </c>
      <c r="BC1988" s="180">
        <v>2.4049999999999998</v>
      </c>
      <c r="BD1988" s="191">
        <v>44896</v>
      </c>
      <c r="BE1988" s="192">
        <v>2.456</v>
      </c>
    </row>
    <row r="1989" spans="54:57" ht="15">
      <c r="BB1989" s="187">
        <v>44897</v>
      </c>
      <c r="BC1989" s="180">
        <v>2.4060000000000001</v>
      </c>
      <c r="BD1989" s="191">
        <v>44897</v>
      </c>
      <c r="BE1989" s="192">
        <v>2.4329999999999998</v>
      </c>
    </row>
    <row r="1990" spans="54:57">
      <c r="BB1990" s="187">
        <v>44900</v>
      </c>
      <c r="BC1990" s="180">
        <v>2.4359999999999999</v>
      </c>
      <c r="BE1990" s="531">
        <f>+$BE$1989</f>
        <v>2.4329999999999998</v>
      </c>
    </row>
    <row r="1991" spans="54:57">
      <c r="BB1991" s="187">
        <v>44901</v>
      </c>
      <c r="BC1991" s="180">
        <v>2.4430000000000001</v>
      </c>
      <c r="BE1991" s="531">
        <f t="shared" ref="BE1991:BE2000" si="38">+$BE$1989</f>
        <v>2.4329999999999998</v>
      </c>
    </row>
    <row r="1992" spans="54:57">
      <c r="BB1992" s="187">
        <v>44902</v>
      </c>
      <c r="BC1992" s="180">
        <v>2.4420000000000002</v>
      </c>
      <c r="BE1992" s="531">
        <f t="shared" si="38"/>
        <v>2.4329999999999998</v>
      </c>
    </row>
    <row r="1993" spans="54:57">
      <c r="BB1993" s="187">
        <v>44903</v>
      </c>
      <c r="BC1993" s="180">
        <v>2.456</v>
      </c>
      <c r="BE1993" s="531">
        <f t="shared" si="38"/>
        <v>2.4329999999999998</v>
      </c>
    </row>
    <row r="1994" spans="54:57">
      <c r="BB1994" s="187">
        <v>44904</v>
      </c>
      <c r="BC1994" s="180">
        <v>2.4660000000000002</v>
      </c>
      <c r="BE1994" s="531">
        <f t="shared" si="38"/>
        <v>2.4329999999999998</v>
      </c>
    </row>
    <row r="1995" spans="54:57">
      <c r="BB1995" s="187">
        <v>44907</v>
      </c>
      <c r="BC1995" s="180">
        <v>2.5270000000000001</v>
      </c>
      <c r="BE1995" s="531">
        <f t="shared" si="38"/>
        <v>2.4329999999999998</v>
      </c>
    </row>
    <row r="1996" spans="54:57">
      <c r="BB1996" s="187">
        <v>44908</v>
      </c>
      <c r="BC1996" s="180">
        <v>2.4790000000000001</v>
      </c>
      <c r="BE1996" s="531">
        <f t="shared" si="38"/>
        <v>2.4329999999999998</v>
      </c>
    </row>
    <row r="1997" spans="54:57">
      <c r="BB1997" s="187">
        <v>44909</v>
      </c>
      <c r="BC1997" s="180">
        <v>2.5190000000000001</v>
      </c>
      <c r="BE1997" s="531">
        <f t="shared" si="38"/>
        <v>2.4329999999999998</v>
      </c>
    </row>
    <row r="1998" spans="54:57">
      <c r="BB1998" s="102">
        <v>44910</v>
      </c>
      <c r="BC1998">
        <v>2.4929999999999999</v>
      </c>
      <c r="BE1998" s="531">
        <f t="shared" si="38"/>
        <v>2.4329999999999998</v>
      </c>
    </row>
    <row r="1999" spans="54:57">
      <c r="BB1999" s="102">
        <v>44911</v>
      </c>
      <c r="BC1999">
        <v>2.569</v>
      </c>
      <c r="BE1999" s="531">
        <f t="shared" si="38"/>
        <v>2.4329999999999998</v>
      </c>
    </row>
    <row r="2000" spans="54:57">
      <c r="BB2000" s="102">
        <v>44914</v>
      </c>
      <c r="BC2000">
        <v>2.585</v>
      </c>
      <c r="BE2000" s="531">
        <f t="shared" si="38"/>
        <v>2.4329999999999998</v>
      </c>
    </row>
    <row r="2001" spans="54:55">
      <c r="BB2001" s="102">
        <v>44915</v>
      </c>
      <c r="BC2001">
        <v>2.625</v>
      </c>
    </row>
    <row r="2002" spans="54:55">
      <c r="BB2002" s="102">
        <v>44916</v>
      </c>
      <c r="BC2002">
        <v>2.645</v>
      </c>
    </row>
    <row r="2003" spans="54:55">
      <c r="BB2003" s="102">
        <v>44917</v>
      </c>
      <c r="BC2003">
        <v>2.6960000000000002</v>
      </c>
    </row>
    <row r="2004" spans="54:55">
      <c r="BB2004" s="102">
        <v>44918</v>
      </c>
      <c r="BC2004">
        <v>2.7010000000000001</v>
      </c>
    </row>
    <row r="2005" spans="54:55">
      <c r="BB2005" s="102">
        <v>44921</v>
      </c>
      <c r="BC2005">
        <v>2.7010000000000001</v>
      </c>
    </row>
    <row r="2006" spans="54:55">
      <c r="BB2006" s="102">
        <v>44922</v>
      </c>
      <c r="BC2006">
        <v>2.7029999999999998</v>
      </c>
    </row>
    <row r="2007" spans="54:55">
      <c r="BB2007" s="102">
        <v>44923</v>
      </c>
      <c r="BC2007">
        <v>2.7519999999999998</v>
      </c>
    </row>
    <row r="2008" spans="54:55">
      <c r="BB2008" s="102">
        <v>44924</v>
      </c>
      <c r="BC2008">
        <v>2.726</v>
      </c>
    </row>
    <row r="2009" spans="54:55">
      <c r="BB2009" s="102">
        <v>44925</v>
      </c>
      <c r="BC2009">
        <v>2.6930000000000001</v>
      </c>
    </row>
    <row r="2010" spans="54:55">
      <c r="BB2010" s="102">
        <v>44928</v>
      </c>
      <c r="BC2010">
        <v>2.7320000000000002</v>
      </c>
    </row>
    <row r="2011" spans="54:55">
      <c r="BB2011" s="102">
        <v>44929</v>
      </c>
      <c r="BC2011">
        <v>2.7389999999999999</v>
      </c>
    </row>
    <row r="2012" spans="54:55">
      <c r="BB2012" s="102">
        <v>44930</v>
      </c>
      <c r="BC2012">
        <v>2.7610000000000001</v>
      </c>
    </row>
    <row r="2013" spans="54:55">
      <c r="BB2013" s="102">
        <v>44931</v>
      </c>
      <c r="BC2013">
        <v>2.7719999999999998</v>
      </c>
    </row>
    <row r="2014" spans="54:55">
      <c r="BB2014" s="102">
        <v>44932</v>
      </c>
      <c r="BC2014">
        <v>2.8050000000000002</v>
      </c>
    </row>
    <row r="2015" spans="54:55">
      <c r="BB2015" s="102">
        <v>44935</v>
      </c>
      <c r="BC2015">
        <v>2.8090000000000002</v>
      </c>
    </row>
    <row r="2016" spans="54:55">
      <c r="BB2016" s="102">
        <v>44936</v>
      </c>
      <c r="BC2016">
        <v>2.82</v>
      </c>
    </row>
    <row r="2017" spans="54:55">
      <c r="BB2017" s="102">
        <v>44937</v>
      </c>
      <c r="BC2017">
        <v>2.8580000000000001</v>
      </c>
    </row>
    <row r="2018" spans="54:55">
      <c r="BB2018" s="102">
        <v>44938</v>
      </c>
      <c r="BC2018">
        <v>2.8180000000000001</v>
      </c>
    </row>
    <row r="2019" spans="54:55">
      <c r="BB2019" s="102">
        <v>44939</v>
      </c>
      <c r="BC2019">
        <v>2.8759999999999999</v>
      </c>
    </row>
    <row r="2020" spans="54:55">
      <c r="BB2020" s="102">
        <v>44942</v>
      </c>
      <c r="BC2020">
        <v>2.843</v>
      </c>
    </row>
    <row r="2021" spans="54:55">
      <c r="BB2021" s="102">
        <v>44943</v>
      </c>
      <c r="BC2021">
        <v>2.8780000000000001</v>
      </c>
    </row>
    <row r="2022" spans="54:55">
      <c r="BB2022" s="102">
        <v>44944</v>
      </c>
      <c r="BC2022">
        <v>2.8319999999999999</v>
      </c>
    </row>
    <row r="2023" spans="54:55">
      <c r="BB2023" s="102">
        <v>44945</v>
      </c>
      <c r="BC2023">
        <v>2.8570000000000002</v>
      </c>
    </row>
    <row r="2024" spans="54:55">
      <c r="BB2024" s="102">
        <v>44946</v>
      </c>
      <c r="BC2024">
        <v>2.895</v>
      </c>
    </row>
    <row r="2025" spans="54:55">
      <c r="BB2025" s="102">
        <v>44949</v>
      </c>
      <c r="BC2025">
        <v>2.9169999999999998</v>
      </c>
    </row>
    <row r="2026" spans="54:55">
      <c r="BB2026" s="102">
        <v>44950</v>
      </c>
      <c r="BC2026">
        <v>2.9220000000000002</v>
      </c>
    </row>
    <row r="2027" spans="54:55">
      <c r="BB2027" s="102">
        <v>44951</v>
      </c>
      <c r="BC2027">
        <v>2.9279999999999999</v>
      </c>
    </row>
    <row r="2028" spans="54:55">
      <c r="BB2028" s="102">
        <v>44952</v>
      </c>
      <c r="BC2028">
        <v>2.9220000000000002</v>
      </c>
    </row>
    <row r="2029" spans="54:55">
      <c r="BB2029" s="102">
        <v>44953</v>
      </c>
      <c r="BC2029">
        <v>2.9420000000000002</v>
      </c>
    </row>
    <row r="2030" spans="54:55">
      <c r="BB2030" s="102">
        <v>44956</v>
      </c>
      <c r="BC2030">
        <v>2.9590000000000001</v>
      </c>
    </row>
    <row r="2031" spans="54:55">
      <c r="BB2031" s="102">
        <v>44957</v>
      </c>
      <c r="BC2031">
        <v>2.988</v>
      </c>
    </row>
    <row r="2032" spans="54:55">
      <c r="BB2032">
        <v>44958</v>
      </c>
      <c r="BC2032">
        <v>3.0089999999999999</v>
      </c>
    </row>
    <row r="2033" spans="54:55">
      <c r="BB2033">
        <v>44959</v>
      </c>
      <c r="BC2033">
        <v>3.0289999999999999</v>
      </c>
    </row>
    <row r="2034" spans="54:55">
      <c r="BB2034">
        <v>44960</v>
      </c>
      <c r="BC2034">
        <v>3.0110000000000001</v>
      </c>
    </row>
    <row r="2035" spans="54:55">
      <c r="BB2035">
        <v>44963</v>
      </c>
      <c r="BC2035">
        <v>3.008</v>
      </c>
    </row>
    <row r="2036" spans="54:55">
      <c r="BB2036">
        <v>44964</v>
      </c>
      <c r="BC2036">
        <v>3.0289999999999999</v>
      </c>
    </row>
    <row r="2037" spans="54:55">
      <c r="BB2037">
        <v>44965</v>
      </c>
      <c r="BC2037">
        <v>3.0539999999999998</v>
      </c>
    </row>
    <row r="2038" spans="54:55">
      <c r="BB2038">
        <v>44966</v>
      </c>
      <c r="BC2038">
        <v>3.1030000000000002</v>
      </c>
    </row>
    <row r="2039" spans="54:55">
      <c r="BB2039">
        <v>44967</v>
      </c>
      <c r="BC2039">
        <v>3.08</v>
      </c>
    </row>
    <row r="2040" spans="54:55">
      <c r="BB2040">
        <v>44970</v>
      </c>
      <c r="BC2040">
        <v>3.1019999999999999</v>
      </c>
    </row>
    <row r="2041" spans="54:55">
      <c r="BB2041">
        <v>44971</v>
      </c>
      <c r="BC2041">
        <v>3.1349999999999998</v>
      </c>
    </row>
    <row r="2042" spans="54:55">
      <c r="BB2042">
        <v>44972</v>
      </c>
      <c r="BC2042">
        <v>3.1659999999999999</v>
      </c>
    </row>
    <row r="2043" spans="54:55">
      <c r="BB2043">
        <v>44973</v>
      </c>
      <c r="BC2043">
        <v>3.1920000000000002</v>
      </c>
    </row>
    <row r="2044" spans="54:55">
      <c r="BB2044">
        <v>44974</v>
      </c>
      <c r="BC2044">
        <v>3.2120000000000002</v>
      </c>
    </row>
    <row r="2045" spans="54:55">
      <c r="BB2045">
        <v>44977</v>
      </c>
      <c r="BC2045">
        <v>3.1920000000000002</v>
      </c>
    </row>
    <row r="2046" spans="54:55">
      <c r="BB2046">
        <v>44978</v>
      </c>
      <c r="BC2046">
        <v>3.2250000000000001</v>
      </c>
    </row>
    <row r="2047" spans="54:55">
      <c r="BB2047">
        <v>44979</v>
      </c>
      <c r="BC2047">
        <v>3.1970000000000001</v>
      </c>
    </row>
    <row r="2048" spans="54:55">
      <c r="BB2048">
        <v>44980</v>
      </c>
      <c r="BC2048">
        <v>3.198</v>
      </c>
    </row>
    <row r="2049" spans="54:55">
      <c r="BB2049">
        <v>44981</v>
      </c>
      <c r="BC2049">
        <v>3.2330000000000001</v>
      </c>
    </row>
    <row r="2050" spans="54:55">
      <c r="BB2050">
        <v>44984</v>
      </c>
      <c r="BC2050">
        <v>3.242</v>
      </c>
    </row>
    <row r="2051" spans="54:55">
      <c r="BB2051">
        <v>44985</v>
      </c>
      <c r="BC2051">
        <v>3.29</v>
      </c>
    </row>
    <row r="2052" spans="54:55">
      <c r="BB2052">
        <v>44986</v>
      </c>
      <c r="BC2052">
        <v>3.3109999999999999</v>
      </c>
    </row>
    <row r="2053" spans="54:55">
      <c r="BB2053">
        <v>44987</v>
      </c>
      <c r="BC2053">
        <v>3.3660000000000001</v>
      </c>
    </row>
    <row r="2054" spans="54:55">
      <c r="BB2054">
        <v>44988</v>
      </c>
      <c r="BC2054">
        <v>3.3530000000000002</v>
      </c>
    </row>
    <row r="2055" spans="54:55">
      <c r="BB2055">
        <v>44991</v>
      </c>
      <c r="BC2055">
        <v>3.363</v>
      </c>
    </row>
    <row r="2056" spans="54:55">
      <c r="BB2056">
        <v>44992</v>
      </c>
      <c r="BC2056">
        <v>3.4180000000000001</v>
      </c>
    </row>
    <row r="2057" spans="54:55">
      <c r="BB2057">
        <v>44993</v>
      </c>
      <c r="BC2057">
        <v>3.4510000000000001</v>
      </c>
    </row>
    <row r="2058" spans="54:55">
      <c r="BB2058">
        <v>44994</v>
      </c>
      <c r="BC2058">
        <v>3.4609999999999999</v>
      </c>
    </row>
    <row r="2059" spans="54:55">
      <c r="BB2059">
        <v>44995</v>
      </c>
      <c r="BC2059">
        <v>3.4449999999999998</v>
      </c>
    </row>
    <row r="2060" spans="54:55">
      <c r="BB2060">
        <v>44998</v>
      </c>
      <c r="BC2060">
        <v>3.375</v>
      </c>
    </row>
    <row r="2061" spans="54:55">
      <c r="BB2061">
        <v>44999</v>
      </c>
      <c r="BC2061">
        <v>3.0350000000000001</v>
      </c>
    </row>
    <row r="2062" spans="54:55">
      <c r="BB2062">
        <v>45000</v>
      </c>
      <c r="BC2062">
        <v>3.1309999999999998</v>
      </c>
    </row>
    <row r="2063" spans="54:55">
      <c r="BB2063">
        <v>45001</v>
      </c>
      <c r="BC2063">
        <v>2.9849999999999999</v>
      </c>
    </row>
    <row r="2064" spans="54:55">
      <c r="BB2064">
        <v>45002</v>
      </c>
      <c r="BC2064">
        <v>3.0550000000000002</v>
      </c>
    </row>
    <row r="2065" spans="54:55">
      <c r="BB2065">
        <v>45005</v>
      </c>
      <c r="BC2065">
        <v>3.0950000000000002</v>
      </c>
    </row>
    <row r="2066" spans="54:55">
      <c r="BB2066">
        <v>45006</v>
      </c>
      <c r="BC2066">
        <v>3.0710000000000002</v>
      </c>
    </row>
    <row r="2067" spans="54:55">
      <c r="BB2067">
        <v>45007</v>
      </c>
      <c r="BC2067">
        <v>3.214</v>
      </c>
    </row>
    <row r="2068" spans="54:55">
      <c r="BB2068">
        <v>45008</v>
      </c>
      <c r="BC2068">
        <v>3.29</v>
      </c>
    </row>
    <row r="2069" spans="54:55">
      <c r="BB2069">
        <v>45009</v>
      </c>
      <c r="BC2069">
        <v>3.2810000000000001</v>
      </c>
    </row>
    <row r="2070" spans="54:55">
      <c r="BB2070">
        <v>45012</v>
      </c>
      <c r="BC2070">
        <v>3.2389999999999999</v>
      </c>
    </row>
    <row r="2071" spans="54:55">
      <c r="BB2071">
        <v>45013</v>
      </c>
      <c r="BC2071">
        <v>3.2690000000000001</v>
      </c>
    </row>
    <row r="2072" spans="54:55">
      <c r="BB2072">
        <v>45014</v>
      </c>
      <c r="BC2072">
        <v>3.29</v>
      </c>
    </row>
    <row r="2073" spans="54:55">
      <c r="BB2073">
        <v>45015</v>
      </c>
      <c r="BC2073">
        <v>3.3119999999999998</v>
      </c>
    </row>
    <row r="2074" spans="54:55">
      <c r="BB2074">
        <v>45016</v>
      </c>
      <c r="BC2074">
        <v>3.3410000000000002</v>
      </c>
    </row>
    <row r="2075" spans="54:55">
      <c r="BB2075">
        <v>45019</v>
      </c>
      <c r="BC2075">
        <v>3.335</v>
      </c>
    </row>
    <row r="2076" spans="54:55">
      <c r="BB2076">
        <v>45020</v>
      </c>
      <c r="BC2076">
        <v>3.359</v>
      </c>
    </row>
    <row r="2077" spans="54:55">
      <c r="BB2077">
        <v>45021</v>
      </c>
      <c r="BC2077">
        <v>3.339</v>
      </c>
    </row>
    <row r="2078" spans="54:55">
      <c r="BB2078">
        <v>45022</v>
      </c>
      <c r="BC2078">
        <v>3.339</v>
      </c>
    </row>
    <row r="2079" spans="54:55">
      <c r="BB2079">
        <v>45023</v>
      </c>
      <c r="BC2079">
        <v>3.339</v>
      </c>
    </row>
    <row r="2080" spans="54:55">
      <c r="BB2080">
        <v>45026</v>
      </c>
      <c r="BC2080">
        <v>3.339</v>
      </c>
    </row>
    <row r="2081" spans="54:55">
      <c r="BB2081">
        <v>45027</v>
      </c>
      <c r="BC2081">
        <v>3.3559999999999999</v>
      </c>
    </row>
    <row r="2082" spans="54:55">
      <c r="BB2082">
        <v>45028</v>
      </c>
      <c r="BC2082">
        <v>3.43</v>
      </c>
    </row>
    <row r="2083" spans="54:55">
      <c r="BB2083">
        <v>45029</v>
      </c>
      <c r="BC2083">
        <v>3.49</v>
      </c>
    </row>
    <row r="2084" spans="54:55">
      <c r="BB2084">
        <v>45030</v>
      </c>
      <c r="BC2084">
        <v>3.51</v>
      </c>
    </row>
    <row r="2085" spans="54:55">
      <c r="BB2085">
        <v>45033</v>
      </c>
      <c r="BC2085">
        <v>3.5779999999999998</v>
      </c>
    </row>
    <row r="2086" spans="54:55">
      <c r="BB2086">
        <v>45034</v>
      </c>
      <c r="BC2086">
        <v>3.5619999999999998</v>
      </c>
    </row>
    <row r="2087" spans="54:55">
      <c r="BB2087">
        <v>45035</v>
      </c>
      <c r="BC2087">
        <v>3.5870000000000002</v>
      </c>
    </row>
    <row r="2088" spans="54:55">
      <c r="BB2088">
        <v>45036</v>
      </c>
      <c r="BC2088">
        <v>3.6120000000000001</v>
      </c>
    </row>
    <row r="2089" spans="54:55">
      <c r="BB2089">
        <v>45037</v>
      </c>
      <c r="BC2089">
        <v>3.601</v>
      </c>
    </row>
    <row r="2090" spans="54:55">
      <c r="BB2090">
        <v>45040</v>
      </c>
      <c r="BC2090">
        <v>3.637</v>
      </c>
    </row>
    <row r="2091" spans="54:55">
      <c r="BB2091">
        <v>45041</v>
      </c>
      <c r="BC2091">
        <v>3.6349999999999998</v>
      </c>
    </row>
    <row r="2092" spans="54:55">
      <c r="BB2092">
        <v>45042</v>
      </c>
      <c r="BC2092">
        <v>3.6480000000000001</v>
      </c>
    </row>
    <row r="2093" spans="54:55">
      <c r="BB2093">
        <v>45043</v>
      </c>
      <c r="BC2093">
        <v>3.6179999999999999</v>
      </c>
    </row>
    <row r="2094" spans="54:55">
      <c r="BB2094">
        <v>45044</v>
      </c>
      <c r="BC2094">
        <v>3.645</v>
      </c>
    </row>
    <row r="2095" spans="54:55">
      <c r="BB2095">
        <v>45047</v>
      </c>
      <c r="BC2095">
        <v>3.645</v>
      </c>
    </row>
    <row r="2096" spans="54:55">
      <c r="BB2096">
        <v>45048</v>
      </c>
      <c r="BC2096">
        <v>3.6219999999999999</v>
      </c>
    </row>
    <row r="2097" spans="54:55">
      <c r="BB2097">
        <v>45049</v>
      </c>
      <c r="BC2097">
        <v>3.6440000000000001</v>
      </c>
    </row>
    <row r="2098" spans="54:55">
      <c r="BB2098">
        <v>45050</v>
      </c>
      <c r="BC2098">
        <v>3.6509999999999998</v>
      </c>
    </row>
    <row r="2099" spans="54:55">
      <c r="BB2099">
        <v>45051</v>
      </c>
      <c r="BC2099">
        <v>3.5750000000000002</v>
      </c>
    </row>
    <row r="2100" spans="54:55">
      <c r="BB2100">
        <v>45054</v>
      </c>
      <c r="BC2100">
        <v>3.605</v>
      </c>
    </row>
  </sheetData>
  <autoFilter ref="BB8:BF1997" xr:uid="{00000000-0001-0000-0000-000000000000}"/>
  <mergeCells count="6">
    <mergeCell ref="U2:X2"/>
    <mergeCell ref="BH14:BJ14"/>
    <mergeCell ref="BH1933:BJ1933"/>
    <mergeCell ref="BH1934:BJ1934"/>
    <mergeCell ref="AC2:AF2"/>
    <mergeCell ref="Y2:AB2"/>
  </mergeCells>
  <phoneticPr fontId="15" type="noConversion"/>
  <hyperlinks>
    <hyperlink ref="BH4" r:id="rId2" display="https://www.oenb.at/isaweb/report.do?report=2.11.1" xr:uid="{3A14F11F-643D-4A82-8579-E1DE0DC6FF21}"/>
    <hyperlink ref="BH8" r:id="rId3" display="https://www.oenb.at/isaweb/meta.jsp;jsessionid=21D02462B6829581EA2DC8549133B43A?lang=DE&amp;pos=VDBZIUDRB" xr:uid="{E54321C1-E850-42D1-A8DE-12F7BC65DF4F}"/>
    <hyperlink ref="BH9" r:id="rId4" display="https://www.oenb.at/isaweb/meta.jsp;jsessionid=21D02462B6829581EA2DC8549133B43A?lang=DE&amp;pos=VDBZIUDRB" xr:uid="{10BFB8D2-62BD-4D45-89C6-53A3A7C6BA49}"/>
    <hyperlink ref="BI12" r:id="rId5" display="https://www.oenb.at/isaweb/meta.jsp;jsessionid=21D02462B6829581EA2DC8549133B43A?lang=DE&amp;pos=VDBZIUDRB" xr:uid="{B365EE09-39E9-47FE-B927-690A333EF34B}"/>
    <hyperlink ref="BI13" r:id="rId6" display="https://www.oenb.at/isaweb/meta.jsp;jsessionid=21D02462B6829581EA2DC8549133B43A?lang=DE&amp;pos=VDBZIUDRB" xr:uid="{949AEA07-3BF2-4295-8F52-3223F864F086}"/>
    <hyperlink ref="BJ11" r:id="rId7" display="https://www.oenb.at/isaweb/meta.jsp;jsessionid=21D02462B6829581EA2DC8549133B43A?lang=DE&amp;pos=VDBZIUDRBRLZ" xr:uid="{85CF2853-C265-4D8D-9F74-AC2787A5DB7F}"/>
    <hyperlink ref="BJ12" r:id="rId8" display="https://www.oenb.at/isaweb/meta.jsp;jsessionid=21D02462B6829581EA2DC8549133B43A?lang=DE&amp;pos=VDBZIUDRBRLZ" xr:uid="{AEA93997-ECE7-42A5-BDCE-A3B5300DF5C5}"/>
    <hyperlink ref="BH1934" r:id="rId9" display="https://www.oenb.at/" xr:uid="{23F27754-D4AE-4D48-A7E4-4CFB22A9D609}"/>
  </hyperlinks>
  <pageMargins left="0.7" right="0.7" top="0.78740157499999996" bottom="0.78740157499999996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7" r:id="rId13" name="Control 3">
          <controlPr defaultSize="0" r:id="rId14">
            <anchor moveWithCells="1">
              <from>
                <xdr:col>63</xdr:col>
                <xdr:colOff>161925</xdr:colOff>
                <xdr:row>2251</xdr:row>
                <xdr:rowOff>133350</xdr:rowOff>
              </from>
              <to>
                <xdr:col>63</xdr:col>
                <xdr:colOff>419100</xdr:colOff>
                <xdr:row>2253</xdr:row>
                <xdr:rowOff>57150</xdr:rowOff>
              </to>
            </anchor>
          </controlPr>
        </control>
      </mc:Choice>
      <mc:Fallback>
        <control shapeId="1027" r:id="rId13" name="Control 3"/>
      </mc:Fallback>
    </mc:AlternateContent>
    <mc:AlternateContent xmlns:mc="http://schemas.openxmlformats.org/markup-compatibility/2006">
      <mc:Choice Requires="x14">
        <control shapeId="1026" r:id="rId15" name="Control 2">
          <controlPr defaultSize="0" r:id="rId16">
            <anchor moveWithCells="1">
              <from>
                <xdr:col>61</xdr:col>
                <xdr:colOff>161925</xdr:colOff>
                <xdr:row>2251</xdr:row>
                <xdr:rowOff>133350</xdr:rowOff>
              </from>
              <to>
                <xdr:col>61</xdr:col>
                <xdr:colOff>419100</xdr:colOff>
                <xdr:row>2253</xdr:row>
                <xdr:rowOff>57150</xdr:rowOff>
              </to>
            </anchor>
          </controlPr>
        </control>
      </mc:Choice>
      <mc:Fallback>
        <control shapeId="1026" r:id="rId15" name="Control 2"/>
      </mc:Fallback>
    </mc:AlternateContent>
    <mc:AlternateContent xmlns:mc="http://schemas.openxmlformats.org/markup-compatibility/2006">
      <mc:Choice Requires="x14">
        <control shapeId="1025" r:id="rId17" name="Control 1">
          <controlPr defaultSize="0" r:id="rId18">
            <anchor moveWithCells="1">
              <from>
                <xdr:col>60</xdr:col>
                <xdr:colOff>114300</xdr:colOff>
                <xdr:row>2251</xdr:row>
                <xdr:rowOff>133350</xdr:rowOff>
              </from>
              <to>
                <xdr:col>60</xdr:col>
                <xdr:colOff>371475</xdr:colOff>
                <xdr:row>2253</xdr:row>
                <xdr:rowOff>57150</xdr:rowOff>
              </to>
            </anchor>
          </controlPr>
        </control>
      </mc:Choice>
      <mc:Fallback>
        <control shapeId="1025" r:id="rId17" name="Control 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6C55-413F-48CA-AC67-F0E67ABF06F5}">
  <sheetPr codeName="Tabelle4"/>
  <dimension ref="C1:S2031"/>
  <sheetViews>
    <sheetView workbookViewId="0"/>
  </sheetViews>
  <sheetFormatPr baseColWidth="10" defaultRowHeight="12.75"/>
  <cols>
    <col min="3" max="3" width="13.28515625" bestFit="1" customWidth="1"/>
    <col min="4" max="4" width="18" customWidth="1"/>
    <col min="5" max="6" width="12.85546875" customWidth="1"/>
    <col min="7" max="7" width="13.85546875" bestFit="1" customWidth="1"/>
    <col min="8" max="8" width="12.28515625" bestFit="1" customWidth="1"/>
    <col min="9" max="9" width="11" bestFit="1" customWidth="1"/>
    <col min="10" max="10" width="10.140625" customWidth="1"/>
    <col min="11" max="11" width="11" bestFit="1" customWidth="1"/>
    <col min="12" max="12" width="9.28515625" bestFit="1" customWidth="1"/>
    <col min="16" max="17" width="11.42578125" style="104"/>
    <col min="18" max="18" width="8.7109375" bestFit="1" customWidth="1"/>
  </cols>
  <sheetData>
    <row r="1" spans="3:18">
      <c r="P1"/>
      <c r="Q1"/>
    </row>
    <row r="2" spans="3:18">
      <c r="P2"/>
      <c r="Q2"/>
    </row>
    <row r="3" spans="3:18">
      <c r="N3" s="180" t="s">
        <v>48</v>
      </c>
      <c r="O3" s="181">
        <v>42125</v>
      </c>
      <c r="P3" s="188"/>
      <c r="Q3" s="188"/>
      <c r="R3" s="5"/>
    </row>
    <row r="4" spans="3:18">
      <c r="N4" s="180" t="s">
        <v>49</v>
      </c>
      <c r="O4" s="182">
        <v>44909</v>
      </c>
    </row>
    <row r="5" spans="3:18">
      <c r="N5" s="180"/>
      <c r="O5" s="180"/>
    </row>
    <row r="6" spans="3:18">
      <c r="N6" s="180"/>
      <c r="O6" s="180"/>
    </row>
    <row r="7" spans="3:18" ht="18.75" thickBot="1">
      <c r="C7" s="252">
        <f>+EDATE(C9,12*35)</f>
        <v>54909</v>
      </c>
      <c r="D7" s="284" t="s">
        <v>437</v>
      </c>
      <c r="E7" s="225"/>
      <c r="F7" s="225"/>
      <c r="G7" s="225"/>
      <c r="H7" s="225"/>
      <c r="I7" s="291" t="s">
        <v>456</v>
      </c>
      <c r="J7" s="225"/>
      <c r="K7" s="291" t="s">
        <v>456</v>
      </c>
      <c r="L7" s="225"/>
      <c r="N7" s="180"/>
      <c r="O7" s="183" t="s">
        <v>50</v>
      </c>
    </row>
    <row r="8" spans="3:18" ht="13.5" thickBot="1">
      <c r="C8" s="442" t="s">
        <v>30</v>
      </c>
      <c r="D8" s="354" t="s">
        <v>31</v>
      </c>
      <c r="E8" s="353" t="s">
        <v>27</v>
      </c>
      <c r="F8" s="353" t="s">
        <v>26</v>
      </c>
      <c r="G8" s="355" t="s">
        <v>32</v>
      </c>
      <c r="H8" s="356" t="s">
        <v>436</v>
      </c>
      <c r="I8" s="357" t="s">
        <v>448</v>
      </c>
      <c r="J8" s="358" t="s">
        <v>402</v>
      </c>
      <c r="K8" s="359" t="s">
        <v>466</v>
      </c>
      <c r="L8" s="356" t="s">
        <v>521</v>
      </c>
      <c r="N8" s="184" t="s">
        <v>51</v>
      </c>
      <c r="O8" s="184" t="s">
        <v>401</v>
      </c>
      <c r="P8" s="103" t="s">
        <v>404</v>
      </c>
      <c r="Q8" s="103" t="s">
        <v>402</v>
      </c>
      <c r="R8" s="106" t="s">
        <v>405</v>
      </c>
    </row>
    <row r="9" spans="3:18" ht="13.5" thickBot="1">
      <c r="C9" s="443">
        <v>42125</v>
      </c>
      <c r="E9" s="1"/>
      <c r="G9" s="256">
        <v>1488279</v>
      </c>
      <c r="H9" s="254">
        <f>+VLOOKUP(C9,$N$9:$R$2026,5,FALSE)/100</f>
        <v>4.62E-3</v>
      </c>
      <c r="I9" s="346"/>
      <c r="K9" s="346"/>
      <c r="N9" s="185">
        <v>42125</v>
      </c>
      <c r="O9" s="186">
        <v>6.4000000000000001E-2</v>
      </c>
      <c r="Q9" s="105">
        <v>0.12</v>
      </c>
      <c r="R9" s="111">
        <f>+(O9+Q9)/2+0.37</f>
        <v>0.46199999999999997</v>
      </c>
    </row>
    <row r="10" spans="3:18" ht="15.75" thickBot="1">
      <c r="C10" s="444">
        <f>+EDATE(C9,6)+1</f>
        <v>42310</v>
      </c>
      <c r="D10" s="242"/>
      <c r="E10" s="7"/>
      <c r="F10" s="7"/>
      <c r="G10" s="7"/>
      <c r="H10" s="254">
        <f t="shared" ref="H10:H24" si="0">+VLOOKUP(C10,$N$9:$R$2026,5,FALSE)/100</f>
        <v>5.6499999999999996E-3</v>
      </c>
      <c r="I10" s="347"/>
      <c r="K10" s="346"/>
      <c r="N10" s="185">
        <v>42128</v>
      </c>
      <c r="O10" s="186">
        <v>6.4000000000000001E-2</v>
      </c>
      <c r="P10" s="189">
        <v>42128</v>
      </c>
      <c r="Q10" s="190">
        <v>0.127</v>
      </c>
    </row>
    <row r="11" spans="3:18" ht="15.75" thickBot="1">
      <c r="C11" s="445">
        <f t="shared" ref="C11" si="1">+EDATE(C10,6)</f>
        <v>42492</v>
      </c>
      <c r="D11" s="7"/>
      <c r="E11" s="7"/>
      <c r="F11" s="7"/>
      <c r="G11" s="256"/>
      <c r="H11" s="254">
        <f t="shared" si="0"/>
        <v>3.5499999999999998E-3</v>
      </c>
      <c r="I11" s="346"/>
      <c r="K11" s="346"/>
      <c r="L11" s="360">
        <v>6.0800000000000003E-3</v>
      </c>
      <c r="N11" s="185">
        <v>42129</v>
      </c>
      <c r="O11" s="186">
        <v>6.0999999999999999E-2</v>
      </c>
      <c r="P11" s="189">
        <v>42129</v>
      </c>
      <c r="Q11" s="190">
        <v>0.13500000000000001</v>
      </c>
    </row>
    <row r="12" spans="3:18" ht="15.75" thickBot="1">
      <c r="C12" s="446">
        <f>+EDATE(C11,6)</f>
        <v>42676</v>
      </c>
      <c r="D12" s="242"/>
      <c r="E12" s="7"/>
      <c r="F12" s="7"/>
      <c r="G12" s="256"/>
      <c r="H12" s="254">
        <f t="shared" si="0"/>
        <v>0</v>
      </c>
      <c r="I12" s="346"/>
      <c r="K12" s="346"/>
      <c r="L12" s="360">
        <v>3.8149999999999998E-3</v>
      </c>
      <c r="N12" s="185">
        <v>42130</v>
      </c>
      <c r="O12" s="186">
        <v>6.2E-2</v>
      </c>
      <c r="P12" s="189">
        <v>42130</v>
      </c>
      <c r="Q12" s="190">
        <v>0.14699999999999999</v>
      </c>
    </row>
    <row r="13" spans="3:18" ht="15">
      <c r="C13" s="443">
        <v>42856</v>
      </c>
      <c r="D13" s="7"/>
      <c r="E13" s="7"/>
      <c r="F13" s="7"/>
      <c r="G13" s="7"/>
      <c r="H13" s="254">
        <f t="shared" si="0"/>
        <v>3.0149999999999999E-3</v>
      </c>
      <c r="I13" s="346"/>
      <c r="K13" s="346"/>
      <c r="L13" s="360">
        <v>1.805E-3</v>
      </c>
      <c r="N13" s="185">
        <v>42131</v>
      </c>
      <c r="O13" s="186">
        <v>6.0999999999999999E-2</v>
      </c>
      <c r="P13" s="189">
        <v>42131</v>
      </c>
      <c r="Q13" s="190">
        <v>0.16200000000000001</v>
      </c>
    </row>
    <row r="14" spans="3:18" ht="15">
      <c r="C14" s="447">
        <v>43040</v>
      </c>
      <c r="D14" s="7"/>
      <c r="E14" s="7"/>
      <c r="F14" s="7"/>
      <c r="G14" s="7"/>
      <c r="H14" s="254">
        <f t="shared" si="0"/>
        <v>3.4799999999999996E-3</v>
      </c>
      <c r="I14" s="346"/>
      <c r="K14" s="346"/>
      <c r="L14" s="360">
        <v>3.2299999999999998E-3</v>
      </c>
      <c r="N14" s="185">
        <v>42132</v>
      </c>
      <c r="O14" s="186">
        <v>6.0999999999999999E-2</v>
      </c>
      <c r="P14" s="189">
        <v>42132</v>
      </c>
      <c r="Q14" s="190">
        <v>0.17399999999999999</v>
      </c>
    </row>
    <row r="15" spans="3:18" ht="15">
      <c r="C15" s="445">
        <v>43221</v>
      </c>
      <c r="D15" s="7"/>
      <c r="E15" s="7"/>
      <c r="F15" s="7"/>
      <c r="G15" s="7"/>
      <c r="H15" s="254">
        <f t="shared" si="0"/>
        <v>4.1700000000000001E-3</v>
      </c>
      <c r="I15" s="346"/>
      <c r="K15" s="346"/>
      <c r="L15" s="360">
        <v>4.4200000000000003E-3</v>
      </c>
      <c r="N15" s="187">
        <v>42135</v>
      </c>
      <c r="O15" s="180">
        <v>6.0999999999999999E-2</v>
      </c>
      <c r="P15" s="191">
        <v>42135</v>
      </c>
      <c r="Q15" s="192">
        <v>0.187</v>
      </c>
    </row>
    <row r="16" spans="3:18" ht="15">
      <c r="C16" s="446">
        <v>43405</v>
      </c>
      <c r="D16" s="7"/>
      <c r="E16" s="7"/>
      <c r="F16" s="7"/>
      <c r="G16" s="7"/>
      <c r="H16" s="254">
        <f t="shared" si="0"/>
        <v>4.2849999999999997E-3</v>
      </c>
      <c r="I16" s="346"/>
      <c r="K16" s="346"/>
      <c r="L16" s="360">
        <v>3.8249999999999998E-3</v>
      </c>
      <c r="N16" s="187">
        <v>42136</v>
      </c>
      <c r="O16" s="180">
        <v>6.0999999999999999E-2</v>
      </c>
      <c r="P16" s="191">
        <v>42136</v>
      </c>
      <c r="Q16" s="192">
        <v>0.20399999999999999</v>
      </c>
    </row>
    <row r="17" spans="3:18" ht="15">
      <c r="C17" s="443">
        <v>43586</v>
      </c>
      <c r="D17" s="7"/>
      <c r="E17" s="7"/>
      <c r="F17" s="7"/>
      <c r="G17" s="7"/>
      <c r="H17" s="254">
        <f t="shared" si="0"/>
        <v>2.8699999999999997E-3</v>
      </c>
      <c r="I17" s="346"/>
      <c r="K17" s="346"/>
      <c r="L17" s="360">
        <v>3.3600000000000001E-3</v>
      </c>
      <c r="N17" s="187">
        <v>42137</v>
      </c>
      <c r="O17" s="180">
        <v>0.06</v>
      </c>
      <c r="P17" s="191">
        <v>42137</v>
      </c>
      <c r="Q17" s="192">
        <v>0.221</v>
      </c>
    </row>
    <row r="18" spans="3:18" ht="15">
      <c r="C18" s="447">
        <v>43770</v>
      </c>
      <c r="D18" s="7"/>
      <c r="E18" s="7"/>
      <c r="F18" s="7"/>
      <c r="G18" s="7"/>
      <c r="H18" s="254">
        <f t="shared" si="0"/>
        <v>6.0499999999999996E-4</v>
      </c>
      <c r="I18" s="346"/>
      <c r="K18" s="346"/>
      <c r="L18" s="360">
        <v>9.9999999999999995E-8</v>
      </c>
      <c r="N18" s="187">
        <v>42138</v>
      </c>
      <c r="O18" s="180">
        <v>5.8999999999999997E-2</v>
      </c>
      <c r="P18" s="191"/>
      <c r="Q18" s="193">
        <v>0.221</v>
      </c>
    </row>
    <row r="19" spans="3:18" ht="15">
      <c r="C19" s="445">
        <v>43952</v>
      </c>
      <c r="D19" s="7"/>
      <c r="E19" s="7"/>
      <c r="F19" s="7"/>
      <c r="G19" s="7"/>
      <c r="H19" s="254">
        <f t="shared" si="0"/>
        <v>2.215E-3</v>
      </c>
      <c r="I19" s="346"/>
      <c r="K19" s="346"/>
      <c r="L19" s="360">
        <v>9.5999999999999992E-3</v>
      </c>
      <c r="N19" s="187">
        <v>42139</v>
      </c>
      <c r="O19" s="180">
        <v>5.8000000000000003E-2</v>
      </c>
      <c r="P19" s="191">
        <v>42139</v>
      </c>
      <c r="Q19" s="192">
        <v>0.23799999999999999</v>
      </c>
    </row>
    <row r="20" spans="3:18" ht="15">
      <c r="C20" s="448">
        <v>44137</v>
      </c>
      <c r="D20" s="7"/>
      <c r="E20" s="7"/>
      <c r="F20" s="7"/>
      <c r="G20" s="7">
        <v>200472.06</v>
      </c>
      <c r="H20" s="254">
        <f t="shared" si="0"/>
        <v>-1.14E-3</v>
      </c>
      <c r="I20" s="346"/>
      <c r="K20" s="346"/>
      <c r="N20" s="187">
        <v>42142</v>
      </c>
      <c r="O20" s="180">
        <v>5.6000000000000001E-2</v>
      </c>
      <c r="P20" s="191">
        <v>42142</v>
      </c>
      <c r="Q20" s="192">
        <v>0.25600000000000001</v>
      </c>
    </row>
    <row r="21" spans="3:18" ht="15">
      <c r="C21" s="443">
        <v>44319</v>
      </c>
      <c r="D21" s="7"/>
      <c r="E21" s="7"/>
      <c r="F21" s="7"/>
      <c r="G21" s="299">
        <f t="shared" ref="G21:G75" si="2">+G20-E21</f>
        <v>200472.06</v>
      </c>
      <c r="H21" s="254">
        <f t="shared" si="0"/>
        <v>2.5000000000000022E-5</v>
      </c>
      <c r="I21" s="346"/>
      <c r="K21" s="346"/>
      <c r="N21" s="187">
        <v>42143</v>
      </c>
      <c r="O21" s="180">
        <v>5.7000000000000002E-2</v>
      </c>
      <c r="P21" s="191">
        <v>42143</v>
      </c>
      <c r="Q21" s="192">
        <v>0.27200000000000002</v>
      </c>
    </row>
    <row r="22" spans="3:18" ht="15">
      <c r="C22" s="447">
        <v>44501</v>
      </c>
      <c r="D22" s="7"/>
      <c r="E22" s="7"/>
      <c r="F22" s="7"/>
      <c r="G22" s="7">
        <f t="shared" si="2"/>
        <v>200472.06</v>
      </c>
      <c r="H22" s="254">
        <f t="shared" si="0"/>
        <v>3.8499999999999976E-4</v>
      </c>
      <c r="I22" s="346"/>
      <c r="K22" s="346"/>
      <c r="N22" s="187">
        <v>42144</v>
      </c>
      <c r="O22" s="180">
        <v>5.5E-2</v>
      </c>
      <c r="P22" s="191">
        <v>42144</v>
      </c>
      <c r="Q22" s="192">
        <v>0.28699999999999998</v>
      </c>
    </row>
    <row r="23" spans="3:18" ht="15">
      <c r="C23" s="445">
        <v>44683</v>
      </c>
      <c r="D23" s="7"/>
      <c r="E23" s="7"/>
      <c r="F23" s="7"/>
      <c r="G23" s="7">
        <f t="shared" si="2"/>
        <v>200472.06</v>
      </c>
      <c r="H23" s="254">
        <f t="shared" si="0"/>
        <v>7.0650000000000001E-3</v>
      </c>
      <c r="I23" s="346"/>
      <c r="K23" s="346"/>
      <c r="N23" s="187">
        <v>42145</v>
      </c>
      <c r="O23" s="180">
        <v>5.3999999999999999E-2</v>
      </c>
      <c r="P23" s="191">
        <v>42145</v>
      </c>
      <c r="Q23" s="192">
        <v>0.30499999999999999</v>
      </c>
    </row>
    <row r="24" spans="3:18" ht="15">
      <c r="C24" s="446">
        <v>44866</v>
      </c>
      <c r="D24" s="7"/>
      <c r="E24" s="7"/>
      <c r="F24" s="7"/>
      <c r="G24" s="7">
        <v>161994.18</v>
      </c>
      <c r="H24" s="254">
        <f t="shared" si="0"/>
        <v>2.7495000000000002E-2</v>
      </c>
      <c r="I24" s="346"/>
      <c r="K24" s="346"/>
      <c r="N24" s="400">
        <v>42146</v>
      </c>
      <c r="O24" s="225">
        <v>5.3999999999999999E-2</v>
      </c>
      <c r="P24" s="401">
        <v>42146</v>
      </c>
      <c r="Q24" s="402">
        <v>0.31900000000000001</v>
      </c>
      <c r="R24" s="225"/>
    </row>
    <row r="25" spans="3:18" ht="15">
      <c r="C25" s="449">
        <v>45049</v>
      </c>
      <c r="D25" s="7">
        <v>791.22</v>
      </c>
      <c r="E25" s="7"/>
      <c r="F25" s="7"/>
      <c r="G25" s="7">
        <v>200472.06</v>
      </c>
      <c r="H25" s="268">
        <f>+(I25+J25)/2/100+0.37%</f>
        <v>1.8999050000000003E-2</v>
      </c>
      <c r="I25" s="348">
        <v>3.0598100000000001</v>
      </c>
      <c r="J25">
        <f>+BG1955</f>
        <v>0</v>
      </c>
      <c r="K25" s="346" t="s">
        <v>467</v>
      </c>
      <c r="N25" s="400">
        <v>42149</v>
      </c>
      <c r="O25" s="225">
        <v>5.3999999999999999E-2</v>
      </c>
      <c r="P25" s="401"/>
      <c r="Q25" s="404">
        <v>0.31900000000000001</v>
      </c>
      <c r="R25" s="225"/>
    </row>
    <row r="26" spans="3:18" ht="15">
      <c r="C26" s="447">
        <v>45232</v>
      </c>
      <c r="D26" s="7">
        <f>+D25</f>
        <v>791.22</v>
      </c>
      <c r="E26" s="7">
        <f t="shared" ref="E26:E75" si="3">+D26-F26</f>
        <v>-1144.9091682010255</v>
      </c>
      <c r="F26" s="7">
        <f>+G25*H25*(C26-C25)/360</f>
        <v>1936.1291682010255</v>
      </c>
      <c r="G26" s="7">
        <f t="shared" si="2"/>
        <v>201616.96916820103</v>
      </c>
      <c r="H26" s="268">
        <f t="shared" ref="H26:H78" si="4">+(I26+J26)/2/100+0.37%</f>
        <v>210.99370049999999</v>
      </c>
      <c r="I26" s="348">
        <v>3.0001000000000002</v>
      </c>
      <c r="J26">
        <f>+$N$59</f>
        <v>42195</v>
      </c>
      <c r="K26" s="346" t="s">
        <v>468</v>
      </c>
      <c r="N26" s="187">
        <v>42150</v>
      </c>
      <c r="O26" s="180">
        <v>5.1999999999999998E-2</v>
      </c>
      <c r="P26" s="191">
        <v>42150</v>
      </c>
      <c r="Q26" s="192">
        <v>0.33200000000000002</v>
      </c>
    </row>
    <row r="27" spans="3:18" ht="15">
      <c r="C27" s="445">
        <v>45413</v>
      </c>
      <c r="D27" s="7">
        <f>+D26</f>
        <v>791.22</v>
      </c>
      <c r="E27" s="7">
        <f t="shared" si="3"/>
        <v>-21387330.401997663</v>
      </c>
      <c r="F27" s="7">
        <f t="shared" ref="F27:F76" si="5">+G26*H26*(C27-C26)/360</f>
        <v>21388121.621997662</v>
      </c>
      <c r="G27" s="7">
        <f t="shared" si="2"/>
        <v>21588947.371165864</v>
      </c>
      <c r="H27" s="268">
        <f t="shared" si="4"/>
        <v>210.99271675000003</v>
      </c>
      <c r="I27" s="348">
        <v>2.80335</v>
      </c>
      <c r="J27">
        <f t="shared" ref="J27:J78" si="6">+$N$59</f>
        <v>42195</v>
      </c>
      <c r="K27" s="346" t="s">
        <v>469</v>
      </c>
      <c r="N27" s="187">
        <v>42151</v>
      </c>
      <c r="O27" s="180">
        <v>0.05</v>
      </c>
      <c r="P27" s="191">
        <v>42151</v>
      </c>
      <c r="Q27" s="192">
        <v>0.34399999999999997</v>
      </c>
    </row>
    <row r="28" spans="3:18" ht="15">
      <c r="C28" s="446">
        <v>45597</v>
      </c>
      <c r="D28" s="7">
        <f t="shared" ref="D28:D79" si="7">+D27</f>
        <v>791.22</v>
      </c>
      <c r="E28" s="7">
        <f t="shared" si="3"/>
        <v>-2328166878.2276959</v>
      </c>
      <c r="F28" s="7">
        <f t="shared" si="5"/>
        <v>2328167669.4476957</v>
      </c>
      <c r="G28" s="7">
        <f t="shared" si="2"/>
        <v>2349755825.5988617</v>
      </c>
      <c r="H28" s="268">
        <f t="shared" si="4"/>
        <v>210.99163300000001</v>
      </c>
      <c r="I28" s="348">
        <v>2.5865999999999998</v>
      </c>
      <c r="J28">
        <f t="shared" si="6"/>
        <v>42195</v>
      </c>
      <c r="K28" s="346" t="s">
        <v>470</v>
      </c>
      <c r="N28" s="187">
        <v>42152</v>
      </c>
      <c r="O28" s="180">
        <v>4.9000000000000002E-2</v>
      </c>
      <c r="P28" s="191">
        <v>42152</v>
      </c>
      <c r="Q28" s="192">
        <v>0.35599999999999998</v>
      </c>
    </row>
    <row r="29" spans="3:18" ht="15">
      <c r="C29" s="234">
        <v>45778</v>
      </c>
      <c r="D29" s="7">
        <f t="shared" si="7"/>
        <v>791.22</v>
      </c>
      <c r="E29" s="7">
        <f t="shared" si="3"/>
        <v>-249266571991.50345</v>
      </c>
      <c r="F29" s="7">
        <f t="shared" si="5"/>
        <v>249266572782.72345</v>
      </c>
      <c r="G29" s="7">
        <f t="shared" si="2"/>
        <v>251616327817.10229</v>
      </c>
      <c r="H29" s="268">
        <f t="shared" si="4"/>
        <v>210.99137375000001</v>
      </c>
      <c r="I29" s="348">
        <v>2.5347499999999998</v>
      </c>
      <c r="J29">
        <f t="shared" si="6"/>
        <v>42195</v>
      </c>
      <c r="K29" s="346" t="s">
        <v>471</v>
      </c>
      <c r="N29" s="187">
        <v>42153</v>
      </c>
      <c r="O29" s="180">
        <v>4.9000000000000002E-2</v>
      </c>
      <c r="P29" s="191">
        <v>42153</v>
      </c>
      <c r="Q29" s="192">
        <v>0.36699999999999999</v>
      </c>
    </row>
    <row r="30" spans="3:18" ht="15">
      <c r="C30" s="235">
        <v>45962</v>
      </c>
      <c r="D30" s="7">
        <f t="shared" si="7"/>
        <v>791.22</v>
      </c>
      <c r="E30" s="7">
        <f t="shared" si="3"/>
        <v>-27134313716395.391</v>
      </c>
      <c r="F30" s="7">
        <f t="shared" si="5"/>
        <v>27134313717186.609</v>
      </c>
      <c r="G30" s="7">
        <f t="shared" si="2"/>
        <v>27385930044212.492</v>
      </c>
      <c r="H30" s="268">
        <f t="shared" si="4"/>
        <v>210.99098425000003</v>
      </c>
      <c r="I30" s="348">
        <v>2.4568500000000002</v>
      </c>
      <c r="J30">
        <f t="shared" si="6"/>
        <v>42195</v>
      </c>
      <c r="K30" s="346" t="s">
        <v>472</v>
      </c>
      <c r="N30" s="187">
        <v>42156</v>
      </c>
      <c r="O30" s="180">
        <v>4.9000000000000002E-2</v>
      </c>
      <c r="P30" s="191">
        <v>42156</v>
      </c>
      <c r="Q30" s="192">
        <v>0.374</v>
      </c>
    </row>
    <row r="31" spans="3:18" ht="15">
      <c r="C31" s="236">
        <v>46143</v>
      </c>
      <c r="D31" s="7">
        <f t="shared" si="7"/>
        <v>791.22</v>
      </c>
      <c r="E31" s="7">
        <f t="shared" si="3"/>
        <v>-2905142679354868</v>
      </c>
      <c r="F31" s="7">
        <f t="shared" si="5"/>
        <v>2905142679355659</v>
      </c>
      <c r="G31" s="7">
        <f t="shared" si="2"/>
        <v>2932528609399080.5</v>
      </c>
      <c r="H31" s="268">
        <f t="shared" si="4"/>
        <v>210.99085380000002</v>
      </c>
      <c r="I31" s="348">
        <v>2.4307599999999998</v>
      </c>
      <c r="J31">
        <f t="shared" si="6"/>
        <v>42195</v>
      </c>
      <c r="K31" s="346" t="s">
        <v>473</v>
      </c>
      <c r="N31" s="187">
        <v>42157</v>
      </c>
      <c r="O31" s="180">
        <v>4.8000000000000001E-2</v>
      </c>
      <c r="P31" s="191">
        <v>42157</v>
      </c>
      <c r="Q31" s="192">
        <v>0.38200000000000001</v>
      </c>
    </row>
    <row r="32" spans="3:18" ht="15">
      <c r="C32" s="237">
        <v>46327</v>
      </c>
      <c r="D32" s="7">
        <f t="shared" si="7"/>
        <v>791.22</v>
      </c>
      <c r="E32" s="7">
        <f t="shared" si="3"/>
        <v>-3.1624320993490797E+17</v>
      </c>
      <c r="F32" s="7">
        <f t="shared" si="5"/>
        <v>3.1624320993490874E+17</v>
      </c>
      <c r="G32" s="7">
        <f t="shared" si="2"/>
        <v>3.1917573854430707E+17</v>
      </c>
      <c r="H32" s="268">
        <f t="shared" si="4"/>
        <v>210.99083345</v>
      </c>
      <c r="I32" s="348">
        <v>2.4266899999999998</v>
      </c>
      <c r="J32">
        <f t="shared" si="6"/>
        <v>42195</v>
      </c>
      <c r="K32" s="346" t="s">
        <v>474</v>
      </c>
      <c r="N32" s="187">
        <v>42158</v>
      </c>
      <c r="O32" s="180">
        <v>4.8000000000000001E-2</v>
      </c>
      <c r="P32" s="191">
        <v>42158</v>
      </c>
      <c r="Q32" s="192">
        <v>0.39300000000000002</v>
      </c>
    </row>
    <row r="33" spans="3:17" ht="15">
      <c r="C33" s="234">
        <v>46508</v>
      </c>
      <c r="D33" s="7">
        <f t="shared" si="7"/>
        <v>791.22</v>
      </c>
      <c r="E33" s="7">
        <f t="shared" si="3"/>
        <v>-3.3858641865942663E+19</v>
      </c>
      <c r="F33" s="7">
        <f t="shared" si="5"/>
        <v>3.3858641865942663E+19</v>
      </c>
      <c r="G33" s="7">
        <f t="shared" si="2"/>
        <v>3.4177817604486971E+19</v>
      </c>
      <c r="H33" s="268">
        <f t="shared" si="4"/>
        <v>210.99082710000002</v>
      </c>
      <c r="I33" s="348">
        <v>2.4254199999999999</v>
      </c>
      <c r="J33">
        <f t="shared" si="6"/>
        <v>42195</v>
      </c>
      <c r="K33" s="346" t="s">
        <v>475</v>
      </c>
      <c r="N33" s="187">
        <v>42159</v>
      </c>
      <c r="O33" s="180">
        <v>4.9000000000000002E-2</v>
      </c>
      <c r="P33" s="191"/>
      <c r="Q33" s="193">
        <v>0.39300000000000002</v>
      </c>
    </row>
    <row r="34" spans="3:17" ht="15">
      <c r="C34" s="235">
        <v>46692</v>
      </c>
      <c r="D34" s="7">
        <f t="shared" si="7"/>
        <v>791.22</v>
      </c>
      <c r="E34" s="7">
        <f t="shared" si="3"/>
        <v>-3.6857275135867539E+21</v>
      </c>
      <c r="F34" s="7">
        <f t="shared" si="5"/>
        <v>3.6857275135867539E+21</v>
      </c>
      <c r="G34" s="7">
        <f t="shared" si="2"/>
        <v>3.7199053311912407E+21</v>
      </c>
      <c r="H34" s="268">
        <f t="shared" si="4"/>
        <v>210.99082955</v>
      </c>
      <c r="I34" s="348">
        <v>2.42591</v>
      </c>
      <c r="J34">
        <f t="shared" si="6"/>
        <v>42195</v>
      </c>
      <c r="K34" s="346" t="s">
        <v>476</v>
      </c>
      <c r="N34" s="187">
        <v>42160</v>
      </c>
      <c r="O34" s="180">
        <v>0.05</v>
      </c>
      <c r="P34" s="191">
        <v>42160</v>
      </c>
      <c r="Q34" s="192">
        <v>0.40600000000000003</v>
      </c>
    </row>
    <row r="35" spans="3:17" ht="15">
      <c r="C35" s="236">
        <v>46874</v>
      </c>
      <c r="D35" s="7">
        <f t="shared" si="7"/>
        <v>791.22</v>
      </c>
      <c r="E35" s="7">
        <f t="shared" si="3"/>
        <v>-3.967933220137287E+23</v>
      </c>
      <c r="F35" s="7">
        <f t="shared" si="5"/>
        <v>3.967933220137287E+23</v>
      </c>
      <c r="G35" s="7">
        <f t="shared" si="2"/>
        <v>4.0051322734491994E+23</v>
      </c>
      <c r="H35" s="268">
        <f t="shared" si="4"/>
        <v>210.99083155000002</v>
      </c>
      <c r="I35" s="348">
        <v>2.42631</v>
      </c>
      <c r="J35">
        <f t="shared" si="6"/>
        <v>42195</v>
      </c>
      <c r="K35" s="346" t="s">
        <v>477</v>
      </c>
      <c r="N35" s="187">
        <v>42163</v>
      </c>
      <c r="O35" s="180">
        <v>4.9000000000000002E-2</v>
      </c>
      <c r="P35" s="191">
        <v>42163</v>
      </c>
      <c r="Q35" s="192">
        <v>0.41499999999999998</v>
      </c>
    </row>
    <row r="36" spans="3:17" ht="15">
      <c r="C36" s="237">
        <v>47058</v>
      </c>
      <c r="D36" s="7">
        <f t="shared" si="7"/>
        <v>791.22</v>
      </c>
      <c r="E36" s="7">
        <f t="shared" si="3"/>
        <v>-4.3191249651964761E+25</v>
      </c>
      <c r="F36" s="7">
        <f t="shared" si="5"/>
        <v>4.3191249651964761E+25</v>
      </c>
      <c r="G36" s="7">
        <f t="shared" si="2"/>
        <v>4.359176287930968E+25</v>
      </c>
      <c r="H36" s="268">
        <f t="shared" si="4"/>
        <v>210.99081080000002</v>
      </c>
      <c r="I36" s="348">
        <v>2.4221599999999999</v>
      </c>
      <c r="J36">
        <f t="shared" si="6"/>
        <v>42195</v>
      </c>
      <c r="K36" s="346" t="s">
        <v>478</v>
      </c>
      <c r="N36" s="187">
        <v>42164</v>
      </c>
      <c r="O36" s="180">
        <v>4.9000000000000002E-2</v>
      </c>
      <c r="P36" s="191">
        <v>42164</v>
      </c>
      <c r="Q36" s="192">
        <v>0.42399999999999999</v>
      </c>
    </row>
    <row r="37" spans="3:17" ht="15">
      <c r="C37" s="234">
        <v>47239</v>
      </c>
      <c r="D37" s="7">
        <f t="shared" si="7"/>
        <v>791.22</v>
      </c>
      <c r="E37" s="7">
        <f t="shared" si="3"/>
        <v>-4.6242792009259656E+27</v>
      </c>
      <c r="F37" s="7">
        <f t="shared" si="5"/>
        <v>4.6242792009259656E+27</v>
      </c>
      <c r="G37" s="7">
        <f t="shared" si="2"/>
        <v>4.6678709638052753E+27</v>
      </c>
      <c r="H37" s="268">
        <f t="shared" si="4"/>
        <v>210.99080520000001</v>
      </c>
      <c r="I37" s="348">
        <v>2.4210400000000001</v>
      </c>
      <c r="J37">
        <f t="shared" si="6"/>
        <v>42195</v>
      </c>
      <c r="K37" s="346" t="s">
        <v>479</v>
      </c>
      <c r="N37" s="187">
        <v>42165</v>
      </c>
      <c r="O37" s="180">
        <v>4.9000000000000002E-2</v>
      </c>
      <c r="P37" s="191">
        <v>42165</v>
      </c>
      <c r="Q37" s="192">
        <v>0.437</v>
      </c>
    </row>
    <row r="38" spans="3:17" ht="15">
      <c r="C38" s="235">
        <v>47423</v>
      </c>
      <c r="D38" s="7">
        <f t="shared" si="7"/>
        <v>791.22</v>
      </c>
      <c r="E38" s="7">
        <f t="shared" si="3"/>
        <v>-5.0338201386952072E+29</v>
      </c>
      <c r="F38" s="7">
        <f t="shared" si="5"/>
        <v>5.0338201386952072E+29</v>
      </c>
      <c r="G38" s="7">
        <f t="shared" si="2"/>
        <v>5.0804988483332602E+29</v>
      </c>
      <c r="H38" s="268">
        <f t="shared" si="4"/>
        <v>210.99105390000003</v>
      </c>
      <c r="I38" s="348">
        <v>2.47078</v>
      </c>
      <c r="J38">
        <f t="shared" si="6"/>
        <v>42195</v>
      </c>
      <c r="K38" s="346" t="s">
        <v>480</v>
      </c>
      <c r="N38" s="187">
        <v>42166</v>
      </c>
      <c r="O38" s="180">
        <v>4.9000000000000002E-2</v>
      </c>
      <c r="P38" s="191">
        <v>42166</v>
      </c>
      <c r="Q38" s="192">
        <v>0.44900000000000001</v>
      </c>
    </row>
    <row r="39" spans="3:17" ht="15">
      <c r="C39" s="236">
        <v>47604</v>
      </c>
      <c r="D39" s="7">
        <f t="shared" si="7"/>
        <v>791.22</v>
      </c>
      <c r="E39" s="7">
        <f t="shared" si="3"/>
        <v>-5.3894751374697318E+31</v>
      </c>
      <c r="F39" s="7">
        <f t="shared" si="5"/>
        <v>5.3894751374697318E+31</v>
      </c>
      <c r="G39" s="7">
        <f t="shared" si="2"/>
        <v>5.4402801259530646E+31</v>
      </c>
      <c r="H39" s="268">
        <f t="shared" si="4"/>
        <v>210.99114370000001</v>
      </c>
      <c r="I39" s="348">
        <v>2.48874</v>
      </c>
      <c r="J39">
        <f t="shared" si="6"/>
        <v>42195</v>
      </c>
      <c r="K39" s="346" t="s">
        <v>481</v>
      </c>
      <c r="N39" s="187">
        <v>42167</v>
      </c>
      <c r="O39" s="180">
        <v>0.05</v>
      </c>
      <c r="P39" s="191">
        <v>42167</v>
      </c>
      <c r="Q39" s="192">
        <v>0.45600000000000002</v>
      </c>
    </row>
    <row r="40" spans="3:17" ht="15">
      <c r="C40" s="237">
        <v>47788</v>
      </c>
      <c r="D40" s="7">
        <f t="shared" si="7"/>
        <v>791.22</v>
      </c>
      <c r="E40" s="7">
        <f t="shared" si="3"/>
        <v>-5.8667936208742217E+33</v>
      </c>
      <c r="F40" s="7">
        <f t="shared" si="5"/>
        <v>5.8667936208742217E+33</v>
      </c>
      <c r="G40" s="7">
        <f t="shared" si="2"/>
        <v>5.9211964221337521E+33</v>
      </c>
      <c r="H40" s="268">
        <f t="shared" si="4"/>
        <v>210.99136565000003</v>
      </c>
      <c r="I40" s="348">
        <v>2.5331299999999999</v>
      </c>
      <c r="J40">
        <f t="shared" si="6"/>
        <v>42195</v>
      </c>
      <c r="K40" s="346" t="s">
        <v>482</v>
      </c>
      <c r="N40" s="187">
        <v>42170</v>
      </c>
      <c r="O40" s="180">
        <v>4.9000000000000002E-2</v>
      </c>
      <c r="P40" s="191">
        <v>42170</v>
      </c>
      <c r="Q40" s="192">
        <v>0.46300000000000002</v>
      </c>
    </row>
    <row r="41" spans="3:17" ht="15">
      <c r="C41" s="234">
        <v>47969</v>
      </c>
      <c r="D41" s="7">
        <f t="shared" si="7"/>
        <v>791.22</v>
      </c>
      <c r="E41" s="7">
        <f t="shared" si="3"/>
        <v>-6.2813099669224697E+35</v>
      </c>
      <c r="F41" s="7">
        <f t="shared" si="5"/>
        <v>6.2813099669224697E+35</v>
      </c>
      <c r="G41" s="7">
        <f t="shared" si="2"/>
        <v>6.3405219311438071E+35</v>
      </c>
      <c r="H41" s="268">
        <f t="shared" si="4"/>
        <v>210.99144045</v>
      </c>
      <c r="I41" s="348">
        <v>2.5480900000000002</v>
      </c>
      <c r="J41">
        <f t="shared" si="6"/>
        <v>42195</v>
      </c>
      <c r="K41" s="346" t="s">
        <v>483</v>
      </c>
      <c r="N41" s="187">
        <v>42171</v>
      </c>
      <c r="O41" s="180">
        <v>5.0999999999999997E-2</v>
      </c>
      <c r="P41" s="191">
        <v>42171</v>
      </c>
      <c r="Q41" s="192">
        <v>0.47</v>
      </c>
    </row>
    <row r="42" spans="3:17" ht="15">
      <c r="C42" s="235">
        <v>48153</v>
      </c>
      <c r="D42" s="7">
        <f t="shared" si="7"/>
        <v>791.22</v>
      </c>
      <c r="E42" s="7">
        <f t="shared" si="3"/>
        <v>-6.8376232612238887E+37</v>
      </c>
      <c r="F42" s="7">
        <f t="shared" si="5"/>
        <v>6.8376232612238887E+37</v>
      </c>
      <c r="G42" s="7">
        <f t="shared" si="2"/>
        <v>6.9010284805353269E+37</v>
      </c>
      <c r="H42" s="268">
        <f t="shared" si="4"/>
        <v>210.99163665000003</v>
      </c>
      <c r="I42" s="348">
        <v>2.5873300000000001</v>
      </c>
      <c r="J42">
        <f t="shared" si="6"/>
        <v>42195</v>
      </c>
      <c r="K42" s="346" t="s">
        <v>484</v>
      </c>
      <c r="N42" s="187">
        <v>42172</v>
      </c>
      <c r="O42" s="180">
        <v>4.9000000000000002E-2</v>
      </c>
      <c r="P42" s="191">
        <v>42172</v>
      </c>
      <c r="Q42" s="192">
        <v>0.47799999999999998</v>
      </c>
    </row>
    <row r="43" spans="3:17" ht="15">
      <c r="C43" s="236">
        <v>48335</v>
      </c>
      <c r="D43" s="7">
        <f t="shared" si="7"/>
        <v>791.22</v>
      </c>
      <c r="E43" s="7">
        <f t="shared" si="3"/>
        <v>-7.3611886513640795E+39</v>
      </c>
      <c r="F43" s="7">
        <f t="shared" si="5"/>
        <v>7.3611886513640795E+39</v>
      </c>
      <c r="G43" s="7">
        <f t="shared" si="2"/>
        <v>7.4301989361694328E+39</v>
      </c>
      <c r="H43" s="268">
        <f t="shared" si="4"/>
        <v>210.9917044</v>
      </c>
      <c r="I43" s="348">
        <v>2.6008800000000001</v>
      </c>
      <c r="J43">
        <f t="shared" si="6"/>
        <v>42195</v>
      </c>
      <c r="K43" s="346" t="s">
        <v>485</v>
      </c>
      <c r="N43" s="187">
        <v>42173</v>
      </c>
      <c r="O43" s="180">
        <v>4.9000000000000002E-2</v>
      </c>
      <c r="P43" s="191">
        <v>42173</v>
      </c>
      <c r="Q43" s="192">
        <v>0.48599999999999999</v>
      </c>
    </row>
    <row r="44" spans="3:17" ht="15">
      <c r="C44" s="237">
        <v>48519</v>
      </c>
      <c r="D44" s="7">
        <f t="shared" si="7"/>
        <v>791.22</v>
      </c>
      <c r="E44" s="7">
        <f t="shared" si="3"/>
        <v>-8.012741725375439E+41</v>
      </c>
      <c r="F44" s="7">
        <f t="shared" si="5"/>
        <v>8.012741725375439E+41</v>
      </c>
      <c r="G44" s="7">
        <f t="shared" si="2"/>
        <v>8.087043714737133E+41</v>
      </c>
      <c r="H44" s="268">
        <f t="shared" si="4"/>
        <v>210.99177069999999</v>
      </c>
      <c r="I44" s="348">
        <v>2.6141399999999999</v>
      </c>
      <c r="J44">
        <f t="shared" si="6"/>
        <v>42195</v>
      </c>
      <c r="K44" s="346" t="s">
        <v>486</v>
      </c>
      <c r="N44" s="187">
        <v>42174</v>
      </c>
      <c r="O44" s="180">
        <v>0.05</v>
      </c>
      <c r="P44" s="191">
        <v>42174</v>
      </c>
      <c r="Q44" s="192">
        <v>0.49399999999999999</v>
      </c>
    </row>
    <row r="45" spans="3:17" ht="15">
      <c r="C45" s="234">
        <v>48700</v>
      </c>
      <c r="D45" s="7">
        <f t="shared" si="7"/>
        <v>791.22</v>
      </c>
      <c r="E45" s="7">
        <f t="shared" si="3"/>
        <v>-8.5788955786451514E+43</v>
      </c>
      <c r="F45" s="7">
        <f t="shared" si="5"/>
        <v>8.5788955786451514E+43</v>
      </c>
      <c r="G45" s="7">
        <f t="shared" si="2"/>
        <v>8.659766015792523E+43</v>
      </c>
      <c r="H45" s="268">
        <f t="shared" si="4"/>
        <v>210.99179724999999</v>
      </c>
      <c r="I45" s="348">
        <v>2.6194500000000001</v>
      </c>
      <c r="J45">
        <f t="shared" si="6"/>
        <v>42195</v>
      </c>
      <c r="K45" s="346" t="s">
        <v>487</v>
      </c>
      <c r="N45" s="187">
        <v>42177</v>
      </c>
      <c r="O45" s="180">
        <v>4.8000000000000001E-2</v>
      </c>
      <c r="P45" s="191">
        <v>42177</v>
      </c>
      <c r="Q45" s="192">
        <v>0.502</v>
      </c>
    </row>
    <row r="46" spans="3:17" ht="15">
      <c r="C46" s="235">
        <v>48884</v>
      </c>
      <c r="D46" s="7">
        <f t="shared" si="7"/>
        <v>791.22</v>
      </c>
      <c r="E46" s="7">
        <f t="shared" si="3"/>
        <v>-9.3387134877867399E+45</v>
      </c>
      <c r="F46" s="7">
        <f t="shared" si="5"/>
        <v>9.3387134877867399E+45</v>
      </c>
      <c r="G46" s="7">
        <f t="shared" si="2"/>
        <v>9.4253111479446645E+45</v>
      </c>
      <c r="H46" s="268">
        <f t="shared" si="4"/>
        <v>210.9915819</v>
      </c>
      <c r="I46" s="348">
        <v>2.5763799999999999</v>
      </c>
      <c r="J46">
        <f t="shared" si="6"/>
        <v>42195</v>
      </c>
      <c r="K46" s="346" t="s">
        <v>488</v>
      </c>
      <c r="N46" s="187">
        <v>42178</v>
      </c>
      <c r="O46" s="180">
        <v>4.8000000000000001E-2</v>
      </c>
      <c r="P46" s="191">
        <v>42178</v>
      </c>
      <c r="Q46" s="192">
        <v>0.51200000000000001</v>
      </c>
    </row>
    <row r="47" spans="3:17" ht="15">
      <c r="C47" s="236">
        <v>49065</v>
      </c>
      <c r="D47" s="7">
        <f t="shared" si="7"/>
        <v>791.22</v>
      </c>
      <c r="E47" s="7">
        <f t="shared" si="3"/>
        <v>-9.9985471369395419E+47</v>
      </c>
      <c r="F47" s="7">
        <f t="shared" si="5"/>
        <v>9.9985471369395419E+47</v>
      </c>
      <c r="G47" s="7">
        <f t="shared" si="2"/>
        <v>1.0092800248418988E+48</v>
      </c>
      <c r="H47" s="268">
        <f t="shared" si="4"/>
        <v>210.99150610000004</v>
      </c>
      <c r="I47" s="348">
        <v>2.5612200000000001</v>
      </c>
      <c r="J47">
        <f t="shared" si="6"/>
        <v>42195</v>
      </c>
      <c r="K47" s="346" t="s">
        <v>489</v>
      </c>
      <c r="N47" s="187">
        <v>42179</v>
      </c>
      <c r="O47" s="180">
        <v>4.9000000000000002E-2</v>
      </c>
      <c r="P47" s="191">
        <v>42179</v>
      </c>
      <c r="Q47" s="192">
        <v>0.53700000000000003</v>
      </c>
    </row>
    <row r="48" spans="3:17" ht="15">
      <c r="C48" s="237">
        <v>49249</v>
      </c>
      <c r="D48" s="7">
        <f t="shared" si="7"/>
        <v>791.22</v>
      </c>
      <c r="E48" s="7">
        <f t="shared" si="3"/>
        <v>-1.0884086195366371E+50</v>
      </c>
      <c r="F48" s="7">
        <f t="shared" si="5"/>
        <v>1.0884086195366371E+50</v>
      </c>
      <c r="G48" s="7">
        <f t="shared" si="2"/>
        <v>1.0985014197850561E+50</v>
      </c>
      <c r="H48" s="268">
        <f t="shared" si="4"/>
        <v>210.99118850000002</v>
      </c>
      <c r="I48" s="348">
        <v>2.4977</v>
      </c>
      <c r="J48">
        <f t="shared" si="6"/>
        <v>42195</v>
      </c>
      <c r="K48" s="346" t="s">
        <v>490</v>
      </c>
      <c r="N48" s="187">
        <v>42180</v>
      </c>
      <c r="O48" s="180">
        <v>4.9000000000000002E-2</v>
      </c>
      <c r="P48" s="191">
        <v>42180</v>
      </c>
      <c r="Q48" s="192">
        <v>0.54800000000000004</v>
      </c>
    </row>
    <row r="49" spans="3:17" ht="15">
      <c r="C49" s="234">
        <v>49430</v>
      </c>
      <c r="D49" s="7">
        <f t="shared" si="7"/>
        <v>791.22</v>
      </c>
      <c r="E49" s="7">
        <f t="shared" si="3"/>
        <v>-1.1653087706505263E+52</v>
      </c>
      <c r="F49" s="7">
        <f t="shared" si="5"/>
        <v>1.1653087706505263E+52</v>
      </c>
      <c r="G49" s="7">
        <f t="shared" si="2"/>
        <v>1.1762937848483768E+52</v>
      </c>
      <c r="H49" s="268">
        <f t="shared" si="4"/>
        <v>210.99107890000002</v>
      </c>
      <c r="I49" s="348">
        <v>2.4757799999999999</v>
      </c>
      <c r="J49">
        <f t="shared" si="6"/>
        <v>42195</v>
      </c>
      <c r="K49" s="346" t="s">
        <v>491</v>
      </c>
      <c r="N49" s="187">
        <v>42181</v>
      </c>
      <c r="O49" s="180">
        <v>0.05</v>
      </c>
      <c r="P49" s="191">
        <v>42181</v>
      </c>
      <c r="Q49" s="192">
        <v>0.56000000000000005</v>
      </c>
    </row>
    <row r="50" spans="3:17" ht="15">
      <c r="C50" s="235">
        <v>49614</v>
      </c>
      <c r="D50" s="7">
        <f t="shared" si="7"/>
        <v>791.22</v>
      </c>
      <c r="E50" s="7">
        <f t="shared" si="3"/>
        <v>-1.2685138621502313E+54</v>
      </c>
      <c r="F50" s="7">
        <f t="shared" si="5"/>
        <v>1.2685138621502313E+54</v>
      </c>
      <c r="G50" s="7">
        <f t="shared" si="2"/>
        <v>1.2802767999987151E+54</v>
      </c>
      <c r="H50" s="268">
        <f t="shared" si="4"/>
        <v>210.99058480000002</v>
      </c>
      <c r="I50" s="348">
        <v>2.37696</v>
      </c>
      <c r="J50">
        <f t="shared" si="6"/>
        <v>42195</v>
      </c>
      <c r="K50" s="346" t="s">
        <v>492</v>
      </c>
      <c r="N50" s="187">
        <v>42184</v>
      </c>
      <c r="O50" s="180">
        <v>0.05</v>
      </c>
      <c r="P50" s="191">
        <v>42184</v>
      </c>
      <c r="Q50" s="192">
        <v>0.57199999999999995</v>
      </c>
    </row>
    <row r="51" spans="3:17" ht="15">
      <c r="C51" s="236">
        <v>49796</v>
      </c>
      <c r="D51" s="7">
        <f t="shared" si="7"/>
        <v>791.22</v>
      </c>
      <c r="E51" s="7">
        <f t="shared" si="3"/>
        <v>-1.3656387731734302E+56</v>
      </c>
      <c r="F51" s="7">
        <f t="shared" si="5"/>
        <v>1.3656387731734302E+56</v>
      </c>
      <c r="G51" s="7">
        <f t="shared" si="2"/>
        <v>1.3784415411734174E+56</v>
      </c>
      <c r="H51" s="268">
        <f t="shared" si="4"/>
        <v>210.99041425000001</v>
      </c>
      <c r="I51" s="348">
        <v>2.3428499999999999</v>
      </c>
      <c r="J51">
        <f t="shared" si="6"/>
        <v>42195</v>
      </c>
      <c r="K51" s="346" t="s">
        <v>493</v>
      </c>
      <c r="N51" s="187">
        <v>42185</v>
      </c>
      <c r="O51" s="180">
        <v>0.05</v>
      </c>
      <c r="P51" s="191">
        <v>42185</v>
      </c>
      <c r="Q51" s="192">
        <v>0.58299999999999996</v>
      </c>
    </row>
    <row r="52" spans="3:17" ht="15">
      <c r="C52" s="237">
        <v>49980</v>
      </c>
      <c r="D52" s="7">
        <f t="shared" si="7"/>
        <v>791.22</v>
      </c>
      <c r="E52" s="7">
        <f t="shared" si="3"/>
        <v>-1.4865050869347822E+58</v>
      </c>
      <c r="F52" s="7">
        <f t="shared" si="5"/>
        <v>1.4865050869347822E+58</v>
      </c>
      <c r="G52" s="7">
        <f t="shared" si="2"/>
        <v>1.5002895023465165E+58</v>
      </c>
      <c r="H52" s="268">
        <f t="shared" si="4"/>
        <v>210.98981864999999</v>
      </c>
      <c r="I52" s="348">
        <v>2.2237300000000002</v>
      </c>
      <c r="J52">
        <f t="shared" si="6"/>
        <v>42195</v>
      </c>
      <c r="K52" s="346" t="s">
        <v>494</v>
      </c>
      <c r="N52" s="187">
        <v>42186</v>
      </c>
      <c r="O52" s="180">
        <v>4.9000000000000002E-2</v>
      </c>
      <c r="P52" s="191">
        <v>42186</v>
      </c>
      <c r="Q52" s="192">
        <v>0.59</v>
      </c>
    </row>
    <row r="53" spans="3:17" ht="15">
      <c r="C53" s="234">
        <v>50161</v>
      </c>
      <c r="D53" s="7">
        <f t="shared" si="7"/>
        <v>791.22</v>
      </c>
      <c r="E53" s="7">
        <f t="shared" si="3"/>
        <v>-1.5915219892802453E+60</v>
      </c>
      <c r="F53" s="7">
        <f t="shared" si="5"/>
        <v>1.5915219892802453E+60</v>
      </c>
      <c r="G53" s="7">
        <f t="shared" si="2"/>
        <v>1.6065248843037105E+60</v>
      </c>
      <c r="H53" s="268">
        <f t="shared" si="4"/>
        <v>210.98961835</v>
      </c>
      <c r="I53" s="348">
        <v>2.1836700000000002</v>
      </c>
      <c r="J53">
        <f t="shared" si="6"/>
        <v>42195</v>
      </c>
      <c r="K53" s="346" t="s">
        <v>495</v>
      </c>
      <c r="N53" s="187">
        <v>42187</v>
      </c>
      <c r="O53" s="180">
        <v>4.8000000000000001E-2</v>
      </c>
      <c r="P53" s="191">
        <v>42187</v>
      </c>
      <c r="Q53" s="192">
        <v>0.59599999999999997</v>
      </c>
    </row>
    <row r="54" spans="3:17" ht="15">
      <c r="C54" s="235">
        <v>50345</v>
      </c>
      <c r="D54" s="7">
        <f t="shared" si="7"/>
        <v>791.22</v>
      </c>
      <c r="E54" s="7">
        <f t="shared" si="3"/>
        <v>-1.7324625912905354E+62</v>
      </c>
      <c r="F54" s="7">
        <f t="shared" si="5"/>
        <v>1.7324625912905354E+62</v>
      </c>
      <c r="G54" s="7">
        <f t="shared" si="2"/>
        <v>1.7485278401335726E+62</v>
      </c>
      <c r="H54" s="268">
        <f t="shared" si="4"/>
        <v>210.9889422</v>
      </c>
      <c r="I54" s="348">
        <v>2.0484399999999998</v>
      </c>
      <c r="J54">
        <f t="shared" si="6"/>
        <v>42195</v>
      </c>
      <c r="K54" s="346" t="s">
        <v>496</v>
      </c>
      <c r="N54" s="187">
        <v>42188</v>
      </c>
      <c r="O54" s="180">
        <v>4.9000000000000002E-2</v>
      </c>
      <c r="P54" s="191">
        <v>42188</v>
      </c>
      <c r="Q54" s="192">
        <v>0.59799999999999998</v>
      </c>
    </row>
    <row r="55" spans="3:17" ht="15">
      <c r="C55" s="236">
        <v>50526</v>
      </c>
      <c r="D55" s="7">
        <f t="shared" si="7"/>
        <v>791.22</v>
      </c>
      <c r="E55" s="7">
        <f t="shared" si="3"/>
        <v>-1.8548479758573057E+64</v>
      </c>
      <c r="F55" s="7">
        <f t="shared" si="5"/>
        <v>1.8548479758573057E+64</v>
      </c>
      <c r="G55" s="7">
        <f t="shared" si="2"/>
        <v>1.8723332542586414E+64</v>
      </c>
      <c r="H55" s="268">
        <f t="shared" si="4"/>
        <v>210.98869404999999</v>
      </c>
      <c r="I55" s="348">
        <v>1.99881</v>
      </c>
      <c r="J55">
        <f t="shared" si="6"/>
        <v>42195</v>
      </c>
      <c r="K55" s="346" t="s">
        <v>497</v>
      </c>
      <c r="N55" s="187">
        <v>42191</v>
      </c>
      <c r="O55" s="180">
        <v>4.9000000000000002E-2</v>
      </c>
      <c r="P55" s="191">
        <v>42191</v>
      </c>
      <c r="Q55" s="192">
        <v>0.59799999999999998</v>
      </c>
    </row>
    <row r="56" spans="3:17" ht="15">
      <c r="C56" s="237">
        <v>50710</v>
      </c>
      <c r="D56" s="7">
        <f t="shared" si="7"/>
        <v>791.22</v>
      </c>
      <c r="E56" s="7">
        <f t="shared" si="3"/>
        <v>-2.0190992016167999E+66</v>
      </c>
      <c r="F56" s="7">
        <f t="shared" si="5"/>
        <v>2.0190992016167999E+66</v>
      </c>
      <c r="G56" s="7">
        <f t="shared" si="2"/>
        <v>2.0378225341593865E+66</v>
      </c>
      <c r="H56" s="268">
        <f t="shared" si="4"/>
        <v>210.98797765</v>
      </c>
      <c r="I56" s="348">
        <v>1.8555299999999999</v>
      </c>
      <c r="J56">
        <f t="shared" si="6"/>
        <v>42195</v>
      </c>
      <c r="K56" s="346" t="s">
        <v>498</v>
      </c>
      <c r="N56" s="187">
        <v>42192</v>
      </c>
      <c r="O56" s="180">
        <v>4.9000000000000002E-2</v>
      </c>
      <c r="P56" s="191">
        <v>42192</v>
      </c>
      <c r="Q56" s="192">
        <v>0.59499999999999997</v>
      </c>
    </row>
    <row r="57" spans="3:17" ht="15">
      <c r="C57" s="234">
        <v>50891</v>
      </c>
      <c r="D57" s="7">
        <f t="shared" si="7"/>
        <v>791.22</v>
      </c>
      <c r="E57" s="7">
        <f t="shared" si="3"/>
        <v>-2.1617235002175432E+68</v>
      </c>
      <c r="F57" s="7">
        <f t="shared" si="5"/>
        <v>2.1617235002175432E+68</v>
      </c>
      <c r="G57" s="7">
        <f t="shared" si="2"/>
        <v>2.1821017255591372E+68</v>
      </c>
      <c r="H57" s="268">
        <f t="shared" si="4"/>
        <v>210.9877128</v>
      </c>
      <c r="I57" s="348">
        <v>1.8025599999999999</v>
      </c>
      <c r="J57">
        <f t="shared" si="6"/>
        <v>42195</v>
      </c>
      <c r="K57" s="346" t="s">
        <v>499</v>
      </c>
      <c r="N57" s="187">
        <v>42193</v>
      </c>
      <c r="O57" s="180">
        <v>4.9000000000000002E-2</v>
      </c>
      <c r="P57" s="191">
        <v>42193</v>
      </c>
      <c r="Q57" s="192">
        <v>0.58699999999999997</v>
      </c>
    </row>
    <row r="58" spans="3:17" ht="15">
      <c r="C58" s="235">
        <v>51075</v>
      </c>
      <c r="D58" s="7">
        <f t="shared" si="7"/>
        <v>791.22</v>
      </c>
      <c r="E58" s="7">
        <f t="shared" si="3"/>
        <v>-2.3531384444380179E+70</v>
      </c>
      <c r="F58" s="7">
        <f t="shared" si="5"/>
        <v>2.3531384444380179E+70</v>
      </c>
      <c r="G58" s="7">
        <f t="shared" si="2"/>
        <v>2.3749594616936094E+70</v>
      </c>
      <c r="H58" s="268">
        <f t="shared" si="4"/>
        <v>210.98703585000001</v>
      </c>
      <c r="I58" s="349">
        <v>1.66717</v>
      </c>
      <c r="J58">
        <f t="shared" si="6"/>
        <v>42195</v>
      </c>
      <c r="K58" s="346" t="s">
        <v>500</v>
      </c>
      <c r="N58" s="187">
        <v>42194</v>
      </c>
      <c r="O58" s="180">
        <v>4.9000000000000002E-2</v>
      </c>
      <c r="P58" s="191">
        <v>42194</v>
      </c>
      <c r="Q58" s="192">
        <v>0.58399999999999996</v>
      </c>
    </row>
    <row r="59" spans="3:17" ht="15">
      <c r="C59" s="236">
        <v>51257</v>
      </c>
      <c r="D59" s="7">
        <f t="shared" si="7"/>
        <v>791.22</v>
      </c>
      <c r="E59" s="7">
        <f t="shared" si="3"/>
        <v>-2.5332663774936009E+72</v>
      </c>
      <c r="F59" s="7">
        <f t="shared" si="5"/>
        <v>2.5332663774936009E+72</v>
      </c>
      <c r="G59" s="7">
        <f t="shared" si="2"/>
        <v>2.557015972110537E+72</v>
      </c>
      <c r="H59" s="268">
        <f t="shared" si="4"/>
        <v>210.986794</v>
      </c>
      <c r="I59" s="349">
        <v>1.6188</v>
      </c>
      <c r="J59">
        <f t="shared" si="6"/>
        <v>42195</v>
      </c>
      <c r="K59" s="346" t="s">
        <v>501</v>
      </c>
      <c r="N59" s="187">
        <v>42195</v>
      </c>
      <c r="O59" s="180">
        <v>4.9000000000000002E-2</v>
      </c>
      <c r="P59" s="191">
        <v>42195</v>
      </c>
      <c r="Q59" s="192">
        <v>0.58299999999999996</v>
      </c>
    </row>
    <row r="60" spans="3:17" ht="15">
      <c r="C60" s="237">
        <v>51441</v>
      </c>
      <c r="D60" s="7">
        <f t="shared" si="7"/>
        <v>791.22</v>
      </c>
      <c r="E60" s="7">
        <f t="shared" si="3"/>
        <v>-2.7574270777189104E+74</v>
      </c>
      <c r="F60" s="7">
        <f t="shared" si="5"/>
        <v>2.7574270777189104E+74</v>
      </c>
      <c r="G60" s="7">
        <f t="shared" si="2"/>
        <v>2.7829972374400156E+74</v>
      </c>
      <c r="H60" s="268">
        <f t="shared" si="4"/>
        <v>210.98628005</v>
      </c>
      <c r="I60" s="350">
        <v>1.5160100000000001</v>
      </c>
      <c r="J60">
        <f t="shared" si="6"/>
        <v>42195</v>
      </c>
      <c r="K60" s="346" t="s">
        <v>502</v>
      </c>
      <c r="N60" s="187">
        <v>42198</v>
      </c>
      <c r="O60" s="180">
        <v>4.9000000000000002E-2</v>
      </c>
      <c r="P60" s="191">
        <v>42198</v>
      </c>
      <c r="Q60" s="192">
        <v>0.58499999999999996</v>
      </c>
    </row>
    <row r="61" spans="3:17" ht="15">
      <c r="C61" s="234">
        <v>51622</v>
      </c>
      <c r="D61" s="7">
        <f t="shared" si="7"/>
        <v>791.22</v>
      </c>
      <c r="E61" s="7">
        <f t="shared" si="3"/>
        <v>-2.9521815679877248E+76</v>
      </c>
      <c r="F61" s="7">
        <f t="shared" si="5"/>
        <v>2.9521815679877248E+76</v>
      </c>
      <c r="G61" s="7">
        <f t="shared" si="2"/>
        <v>2.9800115403621246E+76</v>
      </c>
      <c r="H61" s="268">
        <f t="shared" si="4"/>
        <v>210.9861008</v>
      </c>
      <c r="I61" s="350">
        <v>1.4801599999999999</v>
      </c>
      <c r="J61">
        <f t="shared" si="6"/>
        <v>42195</v>
      </c>
      <c r="K61" s="346" t="s">
        <v>503</v>
      </c>
      <c r="N61" s="187">
        <v>42199</v>
      </c>
      <c r="O61" s="180">
        <v>4.9000000000000002E-2</v>
      </c>
      <c r="P61" s="191">
        <v>42199</v>
      </c>
      <c r="Q61" s="192">
        <v>0.58499999999999996</v>
      </c>
    </row>
    <row r="62" spans="3:17" ht="15">
      <c r="C62" s="260">
        <v>51806</v>
      </c>
      <c r="D62" s="7">
        <f t="shared" si="7"/>
        <v>791.22</v>
      </c>
      <c r="E62" s="261">
        <f t="shared" si="3"/>
        <v>-3.2135651890044777E+78</v>
      </c>
      <c r="F62" s="261">
        <f t="shared" si="5"/>
        <v>3.2135651890044777E+78</v>
      </c>
      <c r="G62" s="261">
        <f t="shared" si="2"/>
        <v>3.2433653044080991E+78</v>
      </c>
      <c r="H62" s="268">
        <f t="shared" si="4"/>
        <v>210.98554665</v>
      </c>
      <c r="I62" s="350">
        <v>1.3693299999999999</v>
      </c>
      <c r="J62">
        <f t="shared" si="6"/>
        <v>42195</v>
      </c>
      <c r="K62" s="346" t="s">
        <v>504</v>
      </c>
      <c r="N62" s="187">
        <v>42200</v>
      </c>
      <c r="O62" s="180">
        <v>4.9000000000000002E-2</v>
      </c>
      <c r="P62" s="191">
        <v>42200</v>
      </c>
      <c r="Q62" s="192">
        <v>0.58199999999999996</v>
      </c>
    </row>
    <row r="63" spans="3:17" ht="15">
      <c r="C63" s="236">
        <v>51987</v>
      </c>
      <c r="D63" s="7">
        <f t="shared" si="7"/>
        <v>791.22</v>
      </c>
      <c r="E63" s="7">
        <f t="shared" si="3"/>
        <v>-3.4405244309513816E+80</v>
      </c>
      <c r="F63" s="7">
        <f t="shared" si="5"/>
        <v>3.4405244309513816E+80</v>
      </c>
      <c r="G63" s="7">
        <f t="shared" si="2"/>
        <v>3.4729580839954626E+80</v>
      </c>
      <c r="H63" s="268">
        <f t="shared" si="4"/>
        <v>210.98536525</v>
      </c>
      <c r="I63" s="350">
        <v>1.3330500000000001</v>
      </c>
      <c r="J63">
        <f t="shared" si="6"/>
        <v>42195</v>
      </c>
      <c r="K63" s="346" t="s">
        <v>505</v>
      </c>
      <c r="N63" s="187">
        <v>42201</v>
      </c>
      <c r="O63" s="180">
        <v>4.9000000000000002E-2</v>
      </c>
      <c r="P63" s="191">
        <v>42201</v>
      </c>
      <c r="Q63" s="192">
        <v>0.57999999999999996</v>
      </c>
    </row>
    <row r="64" spans="3:17" ht="15">
      <c r="C64" s="237">
        <v>52171</v>
      </c>
      <c r="D64" s="7">
        <f t="shared" si="7"/>
        <v>791.22</v>
      </c>
      <c r="E64" s="7">
        <f t="shared" si="3"/>
        <v>-3.7451325747874719E+82</v>
      </c>
      <c r="F64" s="7">
        <f t="shared" si="5"/>
        <v>3.7451325747874719E+82</v>
      </c>
      <c r="G64" s="7">
        <f t="shared" si="2"/>
        <v>3.7798621556274263E+82</v>
      </c>
      <c r="H64" s="268">
        <f t="shared" si="4"/>
        <v>210.98484190000002</v>
      </c>
      <c r="I64" s="348">
        <v>1.22838</v>
      </c>
      <c r="J64">
        <f t="shared" si="6"/>
        <v>42195</v>
      </c>
      <c r="K64" s="346" t="s">
        <v>506</v>
      </c>
      <c r="N64" s="187">
        <v>42202</v>
      </c>
      <c r="O64" s="180">
        <v>4.9000000000000002E-2</v>
      </c>
      <c r="P64" s="191">
        <v>42202</v>
      </c>
      <c r="Q64" s="192">
        <v>0.57799999999999996</v>
      </c>
    </row>
    <row r="65" spans="3:17" ht="15">
      <c r="C65" s="234">
        <v>52352</v>
      </c>
      <c r="D65" s="7">
        <f t="shared" si="7"/>
        <v>791.22</v>
      </c>
      <c r="E65" s="7">
        <f t="shared" si="3"/>
        <v>-4.0096206970805861E+84</v>
      </c>
      <c r="F65" s="7">
        <f t="shared" si="5"/>
        <v>4.0096206970805861E+84</v>
      </c>
      <c r="G65" s="7">
        <f t="shared" si="2"/>
        <v>4.0474193186368603E+84</v>
      </c>
      <c r="H65" s="268">
        <f t="shared" si="4"/>
        <v>210.98466525000001</v>
      </c>
      <c r="I65" s="348">
        <v>1.1930499999999999</v>
      </c>
      <c r="J65">
        <f t="shared" si="6"/>
        <v>42195</v>
      </c>
      <c r="K65" s="346" t="s">
        <v>507</v>
      </c>
      <c r="N65" s="187">
        <v>42205</v>
      </c>
      <c r="O65" s="180">
        <v>4.9000000000000002E-2</v>
      </c>
      <c r="P65" s="191">
        <v>42205</v>
      </c>
      <c r="Q65" s="192">
        <v>0.57099999999999995</v>
      </c>
    </row>
    <row r="66" spans="3:17" ht="15">
      <c r="C66" s="235">
        <v>52536</v>
      </c>
      <c r="D66" s="7">
        <f t="shared" si="7"/>
        <v>791.22</v>
      </c>
      <c r="E66" s="7">
        <f t="shared" si="3"/>
        <v>-4.3645996514636808E+86</v>
      </c>
      <c r="F66" s="7">
        <f t="shared" si="5"/>
        <v>4.3645996514636808E+86</v>
      </c>
      <c r="G66" s="7">
        <f t="shared" si="2"/>
        <v>4.4050738446500496E+86</v>
      </c>
      <c r="H66" s="268">
        <f t="shared" si="4"/>
        <v>210.98466740000001</v>
      </c>
      <c r="I66" s="348">
        <v>1.1934800000000001</v>
      </c>
      <c r="J66">
        <f t="shared" si="6"/>
        <v>42195</v>
      </c>
      <c r="K66" s="346" t="s">
        <v>508</v>
      </c>
      <c r="N66" s="187">
        <v>42206</v>
      </c>
      <c r="O66" s="180">
        <v>4.9000000000000002E-2</v>
      </c>
      <c r="P66" s="191">
        <v>42206</v>
      </c>
      <c r="Q66" s="192">
        <v>0.56399999999999995</v>
      </c>
    </row>
    <row r="67" spans="3:17" ht="15">
      <c r="C67" s="236">
        <v>52718</v>
      </c>
      <c r="D67" s="7">
        <f t="shared" si="7"/>
        <v>791.22</v>
      </c>
      <c r="E67" s="7">
        <f t="shared" si="3"/>
        <v>-4.6986487021510904E+88</v>
      </c>
      <c r="F67" s="7">
        <f t="shared" si="5"/>
        <v>4.6986487021510904E+88</v>
      </c>
      <c r="G67" s="7">
        <f t="shared" si="2"/>
        <v>4.7426994405975912E+88</v>
      </c>
      <c r="H67" s="268">
        <f t="shared" si="4"/>
        <v>210.98466845000002</v>
      </c>
      <c r="I67" s="348">
        <v>1.1936899999999999</v>
      </c>
      <c r="J67">
        <f t="shared" si="6"/>
        <v>42195</v>
      </c>
      <c r="K67" s="346" t="s">
        <v>509</v>
      </c>
      <c r="N67" s="187">
        <v>42207</v>
      </c>
      <c r="O67" s="180">
        <v>4.9000000000000002E-2</v>
      </c>
      <c r="P67" s="191">
        <v>42207</v>
      </c>
      <c r="Q67" s="192">
        <v>0.55800000000000005</v>
      </c>
    </row>
    <row r="68" spans="3:17" ht="15">
      <c r="C68" s="237">
        <v>52902</v>
      </c>
      <c r="D68" s="7">
        <f t="shared" si="7"/>
        <v>791.22</v>
      </c>
      <c r="E68" s="7">
        <f t="shared" si="3"/>
        <v>-5.1143662194993591E+90</v>
      </c>
      <c r="F68" s="7">
        <f t="shared" si="5"/>
        <v>5.1143662194993591E+90</v>
      </c>
      <c r="G68" s="7">
        <f t="shared" si="2"/>
        <v>5.1617932139053352E+90</v>
      </c>
      <c r="H68" s="268">
        <f t="shared" si="4"/>
        <v>210.98440600000001</v>
      </c>
      <c r="I68" s="348">
        <v>1.1412</v>
      </c>
      <c r="J68">
        <f t="shared" si="6"/>
        <v>42195</v>
      </c>
      <c r="K68" s="346" t="s">
        <v>510</v>
      </c>
      <c r="N68" s="187">
        <v>42208</v>
      </c>
      <c r="O68" s="180">
        <v>4.9000000000000002E-2</v>
      </c>
      <c r="P68" s="191">
        <v>42208</v>
      </c>
      <c r="Q68" s="192">
        <v>0.55100000000000005</v>
      </c>
    </row>
    <row r="69" spans="3:17" ht="15">
      <c r="C69" s="234">
        <v>53083</v>
      </c>
      <c r="D69" s="7">
        <f t="shared" si="7"/>
        <v>791.22</v>
      </c>
      <c r="E69" s="7">
        <f t="shared" si="3"/>
        <v>-5.4755409832957591E+92</v>
      </c>
      <c r="F69" s="7">
        <f t="shared" si="5"/>
        <v>5.4755409832957591E+92</v>
      </c>
      <c r="G69" s="7">
        <f t="shared" si="2"/>
        <v>5.5271589154348122E+92</v>
      </c>
      <c r="H69" s="268">
        <f t="shared" si="4"/>
        <v>210.98431170000001</v>
      </c>
      <c r="I69" s="348">
        <v>1.1223399999999999</v>
      </c>
      <c r="J69">
        <f t="shared" si="6"/>
        <v>42195</v>
      </c>
      <c r="K69" s="346" t="s">
        <v>511</v>
      </c>
      <c r="N69" s="187">
        <v>42209</v>
      </c>
      <c r="O69" s="180">
        <v>4.8000000000000001E-2</v>
      </c>
      <c r="P69" s="191">
        <v>42209</v>
      </c>
      <c r="Q69" s="192">
        <v>0.54300000000000004</v>
      </c>
    </row>
    <row r="70" spans="3:17" ht="15">
      <c r="C70" s="235">
        <v>53267</v>
      </c>
      <c r="D70" s="7">
        <f t="shared" si="7"/>
        <v>791.22</v>
      </c>
      <c r="E70" s="7">
        <f t="shared" si="3"/>
        <v>-5.9602906326398318E+94</v>
      </c>
      <c r="F70" s="7">
        <f t="shared" si="5"/>
        <v>5.9602906326398318E+94</v>
      </c>
      <c r="G70" s="7">
        <f t="shared" si="2"/>
        <v>6.0155622217941803E+94</v>
      </c>
      <c r="H70" s="268">
        <f t="shared" si="4"/>
        <v>210.98401774999999</v>
      </c>
      <c r="I70" s="348">
        <v>1.06355</v>
      </c>
      <c r="J70">
        <f t="shared" si="6"/>
        <v>42195</v>
      </c>
      <c r="K70" s="346" t="s">
        <v>512</v>
      </c>
      <c r="N70" s="187">
        <v>42212</v>
      </c>
      <c r="O70" s="180">
        <v>4.9000000000000002E-2</v>
      </c>
      <c r="P70" s="191">
        <v>42212</v>
      </c>
      <c r="Q70" s="192">
        <v>0.53500000000000003</v>
      </c>
    </row>
    <row r="71" spans="3:17" ht="15">
      <c r="C71" s="236">
        <v>53448</v>
      </c>
      <c r="D71" s="7">
        <f t="shared" si="7"/>
        <v>791.22</v>
      </c>
      <c r="E71" s="7">
        <f t="shared" si="3"/>
        <v>-6.3811926408567993E+96</v>
      </c>
      <c r="F71" s="7">
        <f t="shared" si="5"/>
        <v>6.3811926408567993E+96</v>
      </c>
      <c r="G71" s="7">
        <f t="shared" si="2"/>
        <v>6.4413482630747412E+96</v>
      </c>
      <c r="H71" s="268">
        <f t="shared" si="4"/>
        <v>210.983915</v>
      </c>
      <c r="I71" s="348">
        <v>1.0429999999999999</v>
      </c>
      <c r="J71">
        <f t="shared" si="6"/>
        <v>42195</v>
      </c>
      <c r="K71" s="346" t="s">
        <v>513</v>
      </c>
      <c r="N71" s="187">
        <v>42213</v>
      </c>
      <c r="O71" s="180">
        <v>4.8000000000000001E-2</v>
      </c>
      <c r="P71" s="191">
        <v>42213</v>
      </c>
      <c r="Q71" s="192">
        <v>0.52900000000000003</v>
      </c>
    </row>
    <row r="72" spans="3:17" ht="15">
      <c r="C72" s="237">
        <v>53632</v>
      </c>
      <c r="D72" s="7">
        <f t="shared" si="7"/>
        <v>791.22</v>
      </c>
      <c r="E72" s="7">
        <f t="shared" si="3"/>
        <v>-6.9461066914900114E+98</v>
      </c>
      <c r="F72" s="7">
        <f t="shared" si="5"/>
        <v>6.9461066914900114E+98</v>
      </c>
      <c r="G72" s="7">
        <f t="shared" si="2"/>
        <v>7.0105201741207584E+98</v>
      </c>
      <c r="H72" s="268">
        <f t="shared" si="4"/>
        <v>210.98393304999999</v>
      </c>
      <c r="I72" s="348">
        <v>1.04661</v>
      </c>
      <c r="J72">
        <f t="shared" si="6"/>
        <v>42195</v>
      </c>
      <c r="K72" s="346" t="s">
        <v>514</v>
      </c>
      <c r="N72" s="187">
        <v>42214</v>
      </c>
      <c r="O72" s="180">
        <v>4.8000000000000001E-2</v>
      </c>
      <c r="P72" s="191">
        <v>42214</v>
      </c>
      <c r="Q72" s="192">
        <v>0.52200000000000002</v>
      </c>
    </row>
    <row r="73" spans="3:17" ht="15">
      <c r="C73" s="234">
        <v>53813</v>
      </c>
      <c r="D73" s="7">
        <f t="shared" si="7"/>
        <v>791.22</v>
      </c>
      <c r="E73" s="7">
        <f t="shared" si="3"/>
        <v>-7.4366219041746864E+100</v>
      </c>
      <c r="F73" s="7">
        <f t="shared" si="5"/>
        <v>7.4366219041746864E+100</v>
      </c>
      <c r="G73" s="7">
        <f t="shared" si="2"/>
        <v>7.5067271059158947E+100</v>
      </c>
      <c r="H73" s="268">
        <f t="shared" si="4"/>
        <v>210.98393985000001</v>
      </c>
      <c r="I73" s="348">
        <v>1.0479700000000001</v>
      </c>
      <c r="J73">
        <f t="shared" si="6"/>
        <v>42195</v>
      </c>
      <c r="K73" s="346" t="s">
        <v>515</v>
      </c>
      <c r="N73" s="187">
        <v>42215</v>
      </c>
      <c r="O73" s="180">
        <v>4.8000000000000001E-2</v>
      </c>
      <c r="P73" s="191">
        <v>42215</v>
      </c>
      <c r="Q73" s="192">
        <v>0.51100000000000001</v>
      </c>
    </row>
    <row r="74" spans="3:17" ht="15">
      <c r="C74" s="235">
        <v>53997</v>
      </c>
      <c r="D74" s="7">
        <f t="shared" si="7"/>
        <v>791.22</v>
      </c>
      <c r="E74" s="7">
        <f t="shared" si="3"/>
        <v>-8.0949719520562762E+102</v>
      </c>
      <c r="F74" s="7">
        <f t="shared" si="5"/>
        <v>8.0949719520562762E+102</v>
      </c>
      <c r="G74" s="7">
        <f t="shared" si="2"/>
        <v>8.1700392231154346E+102</v>
      </c>
      <c r="H74" s="268">
        <f t="shared" si="4"/>
        <v>210.98310565000003</v>
      </c>
      <c r="I74" s="348">
        <v>0.88112999999999997</v>
      </c>
      <c r="J74">
        <f t="shared" si="6"/>
        <v>42195</v>
      </c>
      <c r="K74" s="346" t="s">
        <v>516</v>
      </c>
      <c r="N74" s="187">
        <v>42216</v>
      </c>
      <c r="O74" s="180">
        <v>4.8000000000000001E-2</v>
      </c>
      <c r="P74" s="191">
        <v>42216</v>
      </c>
      <c r="Q74" s="192">
        <v>0.501</v>
      </c>
    </row>
    <row r="75" spans="3:17" ht="15">
      <c r="C75" s="236">
        <v>54179</v>
      </c>
      <c r="D75" s="7">
        <f t="shared" si="7"/>
        <v>791.22</v>
      </c>
      <c r="E75" s="7">
        <f t="shared" si="3"/>
        <v>-8.714464590019106E+104</v>
      </c>
      <c r="F75" s="7">
        <f t="shared" si="5"/>
        <v>8.714464590019106E+104</v>
      </c>
      <c r="G75" s="7">
        <f t="shared" si="2"/>
        <v>8.7961649822502599E+104</v>
      </c>
      <c r="H75" s="268">
        <f t="shared" si="4"/>
        <v>210.98283195000002</v>
      </c>
      <c r="I75" s="346">
        <v>0.82638999999999996</v>
      </c>
      <c r="J75">
        <f t="shared" si="6"/>
        <v>42195</v>
      </c>
      <c r="K75" s="346" t="s">
        <v>517</v>
      </c>
      <c r="N75" s="187">
        <v>42219</v>
      </c>
      <c r="O75" s="180">
        <v>4.9000000000000002E-2</v>
      </c>
      <c r="P75" s="191">
        <v>42219</v>
      </c>
      <c r="Q75" s="192">
        <v>0.49199999999999999</v>
      </c>
    </row>
    <row r="76" spans="3:17" ht="15">
      <c r="C76" s="237">
        <v>54363</v>
      </c>
      <c r="D76" s="7">
        <f t="shared" si="7"/>
        <v>791.22</v>
      </c>
      <c r="E76" s="7">
        <f t="shared" ref="E76:E79" si="8">+D76-F76</f>
        <v>-9.4854034133011952E+106</v>
      </c>
      <c r="F76" s="7">
        <f t="shared" si="5"/>
        <v>9.4854034133011952E+106</v>
      </c>
      <c r="G76" s="7">
        <f t="shared" ref="G76:G79" si="9">+G75-E76</f>
        <v>9.5733650631236981E+106</v>
      </c>
      <c r="H76" s="268">
        <f t="shared" si="4"/>
        <v>210.98351870000002</v>
      </c>
      <c r="I76" s="346">
        <v>0.96374000000000004</v>
      </c>
      <c r="J76">
        <f t="shared" si="6"/>
        <v>42195</v>
      </c>
      <c r="K76" s="346" t="s">
        <v>518</v>
      </c>
      <c r="N76" s="187">
        <v>42220</v>
      </c>
      <c r="O76" s="180">
        <v>4.8000000000000001E-2</v>
      </c>
      <c r="P76" s="191">
        <v>42220</v>
      </c>
      <c r="Q76" s="192">
        <v>0.48399999999999999</v>
      </c>
    </row>
    <row r="77" spans="3:17" ht="15">
      <c r="C77" s="234">
        <v>54544</v>
      </c>
      <c r="D77" s="7">
        <f t="shared" si="7"/>
        <v>791.22</v>
      </c>
      <c r="E77" s="7">
        <f t="shared" si="8"/>
        <v>-1.0155217407610137E+109</v>
      </c>
      <c r="F77" s="7">
        <f t="shared" ref="F77:F79" si="10">+G76*H76*(C77-C76)/360</f>
        <v>1.0155217407610137E+109</v>
      </c>
      <c r="G77" s="7">
        <f t="shared" si="9"/>
        <v>1.0250951058241373E+109</v>
      </c>
      <c r="H77" s="268">
        <f t="shared" si="4"/>
        <v>210.98377200000002</v>
      </c>
      <c r="I77" s="346">
        <v>1.0144</v>
      </c>
      <c r="J77">
        <f t="shared" si="6"/>
        <v>42195</v>
      </c>
      <c r="K77" s="346" t="s">
        <v>519</v>
      </c>
      <c r="N77" s="187">
        <v>42221</v>
      </c>
      <c r="O77" s="180">
        <v>4.8000000000000001E-2</v>
      </c>
      <c r="P77" s="191">
        <v>42221</v>
      </c>
      <c r="Q77" s="192">
        <v>0.48</v>
      </c>
    </row>
    <row r="78" spans="3:17" ht="15">
      <c r="C78" s="235">
        <v>54728</v>
      </c>
      <c r="D78" s="7">
        <f t="shared" si="7"/>
        <v>791.22</v>
      </c>
      <c r="E78" s="7">
        <f t="shared" si="8"/>
        <v>-1.105423097325969E+111</v>
      </c>
      <c r="F78" s="7">
        <f t="shared" si="10"/>
        <v>1.105423097325969E+111</v>
      </c>
      <c r="G78" s="7">
        <f t="shared" si="9"/>
        <v>1.1156740483842104E+111</v>
      </c>
      <c r="H78" s="268">
        <f t="shared" si="4"/>
        <v>210.98291755</v>
      </c>
      <c r="I78" s="346">
        <v>0.84350999999999998</v>
      </c>
      <c r="J78">
        <f t="shared" si="6"/>
        <v>42195</v>
      </c>
      <c r="K78" s="346" t="s">
        <v>520</v>
      </c>
      <c r="N78" s="187">
        <v>42222</v>
      </c>
      <c r="O78" s="180">
        <v>4.7E-2</v>
      </c>
      <c r="P78" s="191">
        <v>42222</v>
      </c>
      <c r="Q78" s="192">
        <v>0.48099999999999998</v>
      </c>
    </row>
    <row r="79" spans="3:17" ht="15">
      <c r="C79" s="236">
        <v>54909</v>
      </c>
      <c r="D79" s="7">
        <f t="shared" si="7"/>
        <v>791.22</v>
      </c>
      <c r="E79" s="7">
        <f t="shared" si="8"/>
        <v>-1.1834793889746842E+113</v>
      </c>
      <c r="F79" s="7">
        <f t="shared" si="10"/>
        <v>1.1834793889746842E+113</v>
      </c>
      <c r="G79" s="240">
        <f t="shared" si="9"/>
        <v>1.1946361294585263E+113</v>
      </c>
      <c r="H79" s="268"/>
      <c r="I79" s="346"/>
      <c r="K79" s="346"/>
      <c r="N79" s="187">
        <v>42223</v>
      </c>
      <c r="O79" s="180">
        <v>4.5999999999999999E-2</v>
      </c>
      <c r="P79" s="191">
        <v>42223</v>
      </c>
      <c r="Q79" s="192">
        <v>0.47299999999999998</v>
      </c>
    </row>
    <row r="80" spans="3:17" ht="15">
      <c r="N80" s="187">
        <v>42226</v>
      </c>
      <c r="O80" s="180">
        <v>4.8000000000000001E-2</v>
      </c>
      <c r="P80" s="191">
        <v>42226</v>
      </c>
      <c r="Q80" s="192">
        <v>0.46300000000000002</v>
      </c>
    </row>
    <row r="81" spans="14:17" ht="15">
      <c r="N81" s="187">
        <v>42227</v>
      </c>
      <c r="O81" s="180">
        <v>4.5999999999999999E-2</v>
      </c>
      <c r="P81" s="191">
        <v>42227</v>
      </c>
      <c r="Q81" s="192">
        <v>0.45300000000000001</v>
      </c>
    </row>
    <row r="82" spans="14:17" ht="15">
      <c r="N82" s="187">
        <v>42228</v>
      </c>
      <c r="O82" s="180">
        <v>4.5999999999999999E-2</v>
      </c>
      <c r="P82" s="191">
        <v>42228</v>
      </c>
      <c r="Q82" s="192">
        <v>0.44500000000000001</v>
      </c>
    </row>
    <row r="83" spans="14:17" ht="15">
      <c r="N83" s="187">
        <v>42229</v>
      </c>
      <c r="O83" s="180">
        <v>4.5999999999999999E-2</v>
      </c>
      <c r="P83" s="191">
        <v>42229</v>
      </c>
      <c r="Q83" s="192">
        <v>0.438</v>
      </c>
    </row>
    <row r="84" spans="14:17" ht="15">
      <c r="N84" s="187">
        <v>42230</v>
      </c>
      <c r="O84" s="180">
        <v>4.5999999999999999E-2</v>
      </c>
      <c r="P84" s="191">
        <v>42230</v>
      </c>
      <c r="Q84" s="192">
        <v>0.433</v>
      </c>
    </row>
    <row r="85" spans="14:17" ht="15">
      <c r="N85" s="187">
        <v>42233</v>
      </c>
      <c r="O85" s="180">
        <v>4.3999999999999997E-2</v>
      </c>
      <c r="P85" s="191">
        <v>42233</v>
      </c>
      <c r="Q85" s="192">
        <v>0.42899999999999999</v>
      </c>
    </row>
    <row r="86" spans="14:17" ht="15">
      <c r="N86" s="187">
        <v>42234</v>
      </c>
      <c r="O86" s="180">
        <v>4.2999999999999997E-2</v>
      </c>
      <c r="P86" s="191">
        <v>42234</v>
      </c>
      <c r="Q86" s="192">
        <v>0.42499999999999999</v>
      </c>
    </row>
    <row r="87" spans="14:17" ht="15">
      <c r="N87" s="187">
        <v>42235</v>
      </c>
      <c r="O87" s="180">
        <v>4.2000000000000003E-2</v>
      </c>
      <c r="P87" s="191">
        <v>42235</v>
      </c>
      <c r="Q87" s="192">
        <v>0.42199999999999999</v>
      </c>
    </row>
    <row r="88" spans="14:17" ht="15">
      <c r="N88" s="187">
        <v>42236</v>
      </c>
      <c r="O88" s="180">
        <v>4.2000000000000003E-2</v>
      </c>
      <c r="P88" s="191">
        <v>42236</v>
      </c>
      <c r="Q88" s="192">
        <v>0.41699999999999998</v>
      </c>
    </row>
    <row r="89" spans="14:17" ht="15">
      <c r="N89" s="187">
        <v>42237</v>
      </c>
      <c r="O89" s="180">
        <v>4.2000000000000003E-2</v>
      </c>
      <c r="P89" s="191">
        <v>42237</v>
      </c>
      <c r="Q89" s="192">
        <v>0.41499999999999998</v>
      </c>
    </row>
    <row r="90" spans="14:17" ht="15">
      <c r="N90" s="187">
        <v>42240</v>
      </c>
      <c r="O90" s="180">
        <v>4.1000000000000002E-2</v>
      </c>
      <c r="P90" s="191">
        <v>42240</v>
      </c>
      <c r="Q90" s="192">
        <v>0.41299999999999998</v>
      </c>
    </row>
    <row r="91" spans="14:17" ht="15">
      <c r="N91" s="187">
        <v>42241</v>
      </c>
      <c r="O91" s="180">
        <v>4.1000000000000002E-2</v>
      </c>
      <c r="P91" s="191">
        <v>42241</v>
      </c>
      <c r="Q91" s="192">
        <v>0.41299999999999998</v>
      </c>
    </row>
    <row r="92" spans="14:17" ht="15">
      <c r="N92" s="187">
        <v>42242</v>
      </c>
      <c r="O92" s="180">
        <v>3.9E-2</v>
      </c>
      <c r="P92" s="191">
        <v>42242</v>
      </c>
      <c r="Q92" s="192">
        <v>0.41499999999999998</v>
      </c>
    </row>
    <row r="93" spans="14:17" ht="15">
      <c r="N93" s="187">
        <v>42243</v>
      </c>
      <c r="O93" s="180">
        <v>3.9E-2</v>
      </c>
      <c r="P93" s="191">
        <v>42243</v>
      </c>
      <c r="Q93" s="192">
        <v>0.41799999999999998</v>
      </c>
    </row>
    <row r="94" spans="14:17" ht="15">
      <c r="N94" s="187">
        <v>42244</v>
      </c>
      <c r="O94" s="180">
        <v>0.04</v>
      </c>
      <c r="P94" s="191">
        <v>42244</v>
      </c>
      <c r="Q94" s="192">
        <v>0.42099999999999999</v>
      </c>
    </row>
    <row r="95" spans="14:17" ht="15">
      <c r="N95" s="187">
        <v>42247</v>
      </c>
      <c r="O95" s="180">
        <v>3.9E-2</v>
      </c>
      <c r="P95" s="191">
        <v>42247</v>
      </c>
      <c r="Q95" s="192">
        <v>0.42599999999999999</v>
      </c>
    </row>
    <row r="96" spans="14:17" ht="15">
      <c r="N96" s="187">
        <v>42248</v>
      </c>
      <c r="O96" s="180">
        <v>3.9E-2</v>
      </c>
      <c r="P96" s="191">
        <v>42248</v>
      </c>
      <c r="Q96" s="192">
        <v>0.433</v>
      </c>
    </row>
    <row r="97" spans="14:17" ht="15">
      <c r="N97" s="187">
        <v>42249</v>
      </c>
      <c r="O97" s="180">
        <v>3.9E-2</v>
      </c>
      <c r="P97" s="191">
        <v>42249</v>
      </c>
      <c r="Q97" s="192">
        <v>0.437</v>
      </c>
    </row>
    <row r="98" spans="14:17" ht="15">
      <c r="N98" s="187">
        <v>42250</v>
      </c>
      <c r="O98" s="180">
        <v>3.7999999999999999E-2</v>
      </c>
      <c r="P98" s="191">
        <v>42250</v>
      </c>
      <c r="Q98" s="192">
        <v>0.439</v>
      </c>
    </row>
    <row r="99" spans="14:17" ht="15">
      <c r="N99" s="187">
        <v>42251</v>
      </c>
      <c r="O99" s="180">
        <v>3.7999999999999999E-2</v>
      </c>
      <c r="P99" s="191">
        <v>42251</v>
      </c>
      <c r="Q99" s="192">
        <v>0.44</v>
      </c>
    </row>
    <row r="100" spans="14:17" ht="15">
      <c r="N100" s="187">
        <v>42254</v>
      </c>
      <c r="O100" s="180">
        <v>3.7999999999999999E-2</v>
      </c>
      <c r="P100" s="191">
        <v>42254</v>
      </c>
      <c r="Q100" s="192">
        <v>0.441</v>
      </c>
    </row>
    <row r="101" spans="14:17" ht="15">
      <c r="N101" s="187">
        <v>42255</v>
      </c>
      <c r="O101" s="180">
        <v>3.7999999999999999E-2</v>
      </c>
      <c r="P101" s="191">
        <v>42255</v>
      </c>
      <c r="Q101" s="192">
        <v>0.443</v>
      </c>
    </row>
    <row r="102" spans="14:17" ht="15">
      <c r="N102" s="187">
        <v>42256</v>
      </c>
      <c r="O102" s="180">
        <v>3.7999999999999999E-2</v>
      </c>
      <c r="P102" s="191">
        <v>42256</v>
      </c>
      <c r="Q102" s="192">
        <v>0.44700000000000001</v>
      </c>
    </row>
    <row r="103" spans="14:17" ht="15">
      <c r="N103" s="187">
        <v>42257</v>
      </c>
      <c r="O103" s="180">
        <v>3.7999999999999999E-2</v>
      </c>
      <c r="P103" s="191">
        <v>42257</v>
      </c>
      <c r="Q103" s="192">
        <v>0.44900000000000001</v>
      </c>
    </row>
    <row r="104" spans="14:17" ht="15">
      <c r="N104" s="187">
        <v>42258</v>
      </c>
      <c r="O104" s="180">
        <v>3.6999999999999998E-2</v>
      </c>
      <c r="P104" s="191">
        <v>42258</v>
      </c>
      <c r="Q104" s="192">
        <v>0.45</v>
      </c>
    </row>
    <row r="105" spans="14:17" ht="15">
      <c r="N105" s="187">
        <v>42261</v>
      </c>
      <c r="O105" s="180">
        <v>3.6999999999999998E-2</v>
      </c>
      <c r="P105" s="191">
        <v>42261</v>
      </c>
      <c r="Q105" s="192">
        <v>0.45100000000000001</v>
      </c>
    </row>
    <row r="106" spans="14:17" ht="15">
      <c r="N106" s="187">
        <v>42262</v>
      </c>
      <c r="O106" s="180">
        <v>3.5999999999999997E-2</v>
      </c>
      <c r="P106" s="191">
        <v>42262</v>
      </c>
      <c r="Q106" s="192">
        <v>0.49399999999999999</v>
      </c>
    </row>
    <row r="107" spans="14:17" ht="15">
      <c r="N107" s="187">
        <v>42263</v>
      </c>
      <c r="O107" s="180">
        <v>3.5999999999999997E-2</v>
      </c>
      <c r="P107" s="191">
        <v>42263</v>
      </c>
      <c r="Q107" s="192">
        <v>0.497</v>
      </c>
    </row>
    <row r="108" spans="14:17" ht="15">
      <c r="N108" s="187">
        <v>42264</v>
      </c>
      <c r="O108" s="180">
        <v>3.5999999999999997E-2</v>
      </c>
      <c r="P108" s="191">
        <v>42264</v>
      </c>
      <c r="Q108" s="192">
        <v>0.503</v>
      </c>
    </row>
    <row r="109" spans="14:17" ht="15">
      <c r="N109" s="187">
        <v>42265</v>
      </c>
      <c r="O109" s="180">
        <v>3.5999999999999997E-2</v>
      </c>
      <c r="P109" s="191">
        <v>42265</v>
      </c>
      <c r="Q109" s="192">
        <v>0.504</v>
      </c>
    </row>
    <row r="110" spans="14:17" ht="15">
      <c r="N110" s="187">
        <v>42268</v>
      </c>
      <c r="O110" s="180">
        <v>3.5999999999999997E-2</v>
      </c>
      <c r="P110" s="191">
        <v>42268</v>
      </c>
      <c r="Q110" s="192">
        <v>0.50600000000000001</v>
      </c>
    </row>
    <row r="111" spans="14:17" ht="15">
      <c r="N111" s="187">
        <v>42269</v>
      </c>
      <c r="O111" s="180">
        <v>3.4000000000000002E-2</v>
      </c>
      <c r="P111" s="191">
        <v>42269</v>
      </c>
      <c r="Q111" s="192">
        <v>0.503</v>
      </c>
    </row>
    <row r="112" spans="14:17" ht="15">
      <c r="N112" s="187">
        <v>42270</v>
      </c>
      <c r="O112" s="180">
        <v>3.3000000000000002E-2</v>
      </c>
      <c r="P112" s="191">
        <v>42270</v>
      </c>
      <c r="Q112" s="192">
        <v>0.498</v>
      </c>
    </row>
    <row r="113" spans="14:17" ht="15">
      <c r="N113" s="187">
        <v>42271</v>
      </c>
      <c r="O113" s="180">
        <v>3.2000000000000001E-2</v>
      </c>
      <c r="P113" s="191">
        <v>42271</v>
      </c>
      <c r="Q113" s="192">
        <v>0.49199999999999999</v>
      </c>
    </row>
    <row r="114" spans="14:17" ht="15">
      <c r="N114" s="187">
        <v>42272</v>
      </c>
      <c r="O114" s="180">
        <v>0.03</v>
      </c>
      <c r="P114" s="191">
        <v>42272</v>
      </c>
      <c r="Q114" s="192">
        <v>0.48799999999999999</v>
      </c>
    </row>
    <row r="115" spans="14:17" ht="15">
      <c r="N115" s="187">
        <v>42275</v>
      </c>
      <c r="O115" s="180">
        <v>2.9000000000000001E-2</v>
      </c>
      <c r="P115" s="191">
        <v>42275</v>
      </c>
      <c r="Q115" s="192">
        <v>0.48199999999999998</v>
      </c>
    </row>
    <row r="116" spans="14:17" ht="15">
      <c r="N116" s="187">
        <v>42276</v>
      </c>
      <c r="O116" s="180">
        <v>2.9000000000000001E-2</v>
      </c>
      <c r="P116" s="191">
        <v>42276</v>
      </c>
      <c r="Q116" s="192">
        <v>0.47499999999999998</v>
      </c>
    </row>
    <row r="117" spans="14:17" ht="15">
      <c r="N117" s="187">
        <v>42277</v>
      </c>
      <c r="O117" s="180">
        <v>2.9000000000000001E-2</v>
      </c>
      <c r="P117" s="191">
        <v>42277</v>
      </c>
      <c r="Q117" s="192">
        <v>0.46800000000000003</v>
      </c>
    </row>
    <row r="118" spans="14:17" ht="15">
      <c r="N118" s="187">
        <v>42278</v>
      </c>
      <c r="O118" s="180">
        <v>2.7E-2</v>
      </c>
      <c r="P118" s="191">
        <v>42278</v>
      </c>
      <c r="Q118" s="192">
        <v>0.46200000000000002</v>
      </c>
    </row>
    <row r="119" spans="14:17" ht="15">
      <c r="N119" s="187">
        <v>42279</v>
      </c>
      <c r="O119" s="180">
        <v>2.5999999999999999E-2</v>
      </c>
      <c r="P119" s="191">
        <v>42279</v>
      </c>
      <c r="Q119" s="192">
        <v>0.45700000000000002</v>
      </c>
    </row>
    <row r="120" spans="14:17" ht="15">
      <c r="N120" s="187">
        <v>42282</v>
      </c>
      <c r="O120" s="180">
        <v>2.7E-2</v>
      </c>
      <c r="P120" s="191">
        <v>42282</v>
      </c>
      <c r="Q120" s="192">
        <v>0.45200000000000001</v>
      </c>
    </row>
    <row r="121" spans="14:17" ht="15">
      <c r="N121" s="187">
        <v>42283</v>
      </c>
      <c r="O121" s="180">
        <v>2.7E-2</v>
      </c>
      <c r="P121" s="191">
        <v>42283</v>
      </c>
      <c r="Q121" s="192">
        <v>0.44900000000000001</v>
      </c>
    </row>
    <row r="122" spans="14:17" ht="15">
      <c r="N122" s="187">
        <v>42284</v>
      </c>
      <c r="O122" s="180">
        <v>2.8000000000000001E-2</v>
      </c>
      <c r="P122" s="191">
        <v>42284</v>
      </c>
      <c r="Q122" s="192">
        <v>0.44600000000000001</v>
      </c>
    </row>
    <row r="123" spans="14:17" ht="15">
      <c r="N123" s="187">
        <v>42285</v>
      </c>
      <c r="O123" s="180">
        <v>2.8000000000000001E-2</v>
      </c>
      <c r="P123" s="191">
        <v>42285</v>
      </c>
      <c r="Q123" s="192">
        <v>0.44500000000000001</v>
      </c>
    </row>
    <row r="124" spans="14:17" ht="15">
      <c r="N124" s="187">
        <v>42286</v>
      </c>
      <c r="O124" s="180">
        <v>2.8000000000000001E-2</v>
      </c>
      <c r="P124" s="191">
        <v>42286</v>
      </c>
      <c r="Q124" s="192">
        <v>0.443</v>
      </c>
    </row>
    <row r="125" spans="14:17" ht="15">
      <c r="N125" s="187">
        <v>42289</v>
      </c>
      <c r="O125" s="180">
        <v>2.7E-2</v>
      </c>
      <c r="P125" s="191">
        <v>42289</v>
      </c>
      <c r="Q125" s="192">
        <v>0.441</v>
      </c>
    </row>
    <row r="126" spans="14:17" ht="15">
      <c r="N126" s="187">
        <v>42290</v>
      </c>
      <c r="O126" s="180">
        <v>2.5999999999999999E-2</v>
      </c>
      <c r="P126" s="191">
        <v>42290</v>
      </c>
      <c r="Q126" s="192">
        <v>0.438</v>
      </c>
    </row>
    <row r="127" spans="14:17" ht="15">
      <c r="N127" s="187">
        <v>42291</v>
      </c>
      <c r="O127" s="180">
        <v>2.7E-2</v>
      </c>
      <c r="P127" s="191">
        <v>42291</v>
      </c>
      <c r="Q127" s="192">
        <v>0.432</v>
      </c>
    </row>
    <row r="128" spans="14:17" ht="15">
      <c r="N128" s="187">
        <v>42292</v>
      </c>
      <c r="O128" s="180">
        <v>2.4E-2</v>
      </c>
      <c r="P128" s="191">
        <v>42292</v>
      </c>
      <c r="Q128" s="192">
        <v>0.42399999999999999</v>
      </c>
    </row>
    <row r="129" spans="14:18" ht="15">
      <c r="N129" s="187">
        <v>42293</v>
      </c>
      <c r="O129" s="180">
        <v>2.1000000000000001E-2</v>
      </c>
      <c r="P129" s="191">
        <v>42293</v>
      </c>
      <c r="Q129" s="192">
        <v>0.42</v>
      </c>
    </row>
    <row r="130" spans="14:18" ht="15">
      <c r="N130" s="187">
        <v>42296</v>
      </c>
      <c r="O130" s="180">
        <v>1.9E-2</v>
      </c>
      <c r="P130" s="191">
        <v>42296</v>
      </c>
      <c r="Q130" s="192">
        <v>0.41699999999999998</v>
      </c>
    </row>
    <row r="131" spans="14:18" ht="15">
      <c r="N131" s="187">
        <v>42297</v>
      </c>
      <c r="O131" s="180">
        <v>1.7999999999999999E-2</v>
      </c>
      <c r="P131" s="191">
        <v>42297</v>
      </c>
      <c r="Q131" s="192">
        <v>0.41599999999999998</v>
      </c>
    </row>
    <row r="132" spans="14:18" ht="15">
      <c r="N132" s="187">
        <v>42298</v>
      </c>
      <c r="O132" s="180">
        <v>1.9E-2</v>
      </c>
      <c r="P132" s="191">
        <v>42298</v>
      </c>
      <c r="Q132" s="192">
        <v>0.41599999999999998</v>
      </c>
    </row>
    <row r="133" spans="14:18" ht="15">
      <c r="N133" s="187">
        <v>42299</v>
      </c>
      <c r="O133" s="180">
        <v>1.9E-2</v>
      </c>
      <c r="P133" s="191">
        <v>42299</v>
      </c>
      <c r="Q133" s="192">
        <v>0.41399999999999998</v>
      </c>
    </row>
    <row r="134" spans="14:18" ht="15">
      <c r="N134" s="187">
        <v>42300</v>
      </c>
      <c r="O134" s="180">
        <v>0.01</v>
      </c>
      <c r="P134" s="191">
        <v>42300</v>
      </c>
      <c r="Q134" s="192">
        <v>0.40799999999999997</v>
      </c>
    </row>
    <row r="135" spans="14:18" ht="15">
      <c r="N135" s="187">
        <v>42303</v>
      </c>
      <c r="O135" s="180">
        <v>8.0000000000000002E-3</v>
      </c>
      <c r="P135" s="191"/>
      <c r="Q135" s="193">
        <v>0.40799999999999997</v>
      </c>
    </row>
    <row r="136" spans="14:18" ht="15">
      <c r="N136" s="187">
        <v>42304</v>
      </c>
      <c r="O136" s="180">
        <v>8.0000000000000002E-3</v>
      </c>
      <c r="P136" s="191">
        <v>42304</v>
      </c>
      <c r="Q136" s="192">
        <v>0.40100000000000002</v>
      </c>
    </row>
    <row r="137" spans="14:18" ht="15">
      <c r="N137" s="187">
        <v>42305</v>
      </c>
      <c r="O137" s="180">
        <v>6.0000000000000001E-3</v>
      </c>
      <c r="P137" s="191">
        <v>42305</v>
      </c>
      <c r="Q137" s="192">
        <v>0.39400000000000002</v>
      </c>
    </row>
    <row r="138" spans="14:18" ht="15">
      <c r="N138" s="187">
        <v>42306</v>
      </c>
      <c r="O138" s="180">
        <v>4.0000000000000001E-3</v>
      </c>
      <c r="P138" s="191">
        <v>42306</v>
      </c>
      <c r="Q138" s="192">
        <v>0.38800000000000001</v>
      </c>
    </row>
    <row r="139" spans="14:18" ht="15">
      <c r="N139" s="187">
        <v>42307</v>
      </c>
      <c r="O139" s="180">
        <v>6.0000000000000001E-3</v>
      </c>
      <c r="P139" s="191">
        <v>42307</v>
      </c>
      <c r="Q139" s="192">
        <v>0.38400000000000001</v>
      </c>
    </row>
    <row r="140" spans="14:18" ht="15">
      <c r="N140" s="187">
        <v>42310</v>
      </c>
      <c r="O140" s="180">
        <v>7.0000000000000001E-3</v>
      </c>
      <c r="P140" s="191">
        <v>42310</v>
      </c>
      <c r="Q140" s="192">
        <v>0.38300000000000001</v>
      </c>
      <c r="R140" s="111">
        <f>+(O140+Q140)/2+0.37</f>
        <v>0.56499999999999995</v>
      </c>
    </row>
    <row r="141" spans="14:18" ht="15">
      <c r="N141" s="187">
        <v>42311</v>
      </c>
      <c r="O141" s="180">
        <v>3.0000000000000001E-3</v>
      </c>
      <c r="P141" s="191">
        <v>42311</v>
      </c>
      <c r="Q141" s="192">
        <v>0.38200000000000001</v>
      </c>
    </row>
    <row r="142" spans="14:18" ht="15">
      <c r="N142" s="187">
        <v>42312</v>
      </c>
      <c r="O142" s="180">
        <v>0</v>
      </c>
      <c r="P142" s="191">
        <v>42312</v>
      </c>
      <c r="Q142" s="192">
        <v>0.379</v>
      </c>
    </row>
    <row r="143" spans="14:18" ht="15">
      <c r="N143" s="187">
        <v>42313</v>
      </c>
      <c r="O143" s="180">
        <v>1E-3</v>
      </c>
      <c r="P143" s="191">
        <v>42313</v>
      </c>
      <c r="Q143" s="192">
        <v>0.38200000000000001</v>
      </c>
    </row>
    <row r="144" spans="14:18" ht="15">
      <c r="N144" s="187">
        <v>42314</v>
      </c>
      <c r="O144" s="180">
        <v>-2E-3</v>
      </c>
      <c r="P144" s="191">
        <v>42314</v>
      </c>
      <c r="Q144" s="192">
        <v>0.38200000000000001</v>
      </c>
    </row>
    <row r="145" spans="14:17" ht="15">
      <c r="N145" s="187">
        <v>42317</v>
      </c>
      <c r="O145" s="180">
        <v>1E-3</v>
      </c>
      <c r="P145" s="191">
        <v>42317</v>
      </c>
      <c r="Q145" s="192">
        <v>0.38200000000000001</v>
      </c>
    </row>
    <row r="146" spans="14:17" ht="15">
      <c r="N146" s="187">
        <v>42318</v>
      </c>
      <c r="O146" s="180">
        <v>-4.0000000000000001E-3</v>
      </c>
      <c r="P146" s="191">
        <v>42318</v>
      </c>
      <c r="Q146" s="192">
        <v>0.38100000000000001</v>
      </c>
    </row>
    <row r="147" spans="14:17" ht="15">
      <c r="N147" s="187">
        <v>42319</v>
      </c>
      <c r="O147" s="180">
        <v>-6.0000000000000001E-3</v>
      </c>
      <c r="P147" s="191">
        <v>42319</v>
      </c>
      <c r="Q147" s="192">
        <v>0.38</v>
      </c>
    </row>
    <row r="148" spans="14:17" ht="15">
      <c r="N148" s="187">
        <v>42320</v>
      </c>
      <c r="O148" s="180">
        <v>-1.0999999999999999E-2</v>
      </c>
      <c r="P148" s="191">
        <v>42320</v>
      </c>
      <c r="Q148" s="192">
        <v>0.379</v>
      </c>
    </row>
    <row r="149" spans="14:17" ht="15">
      <c r="N149" s="187">
        <v>42321</v>
      </c>
      <c r="O149" s="180">
        <v>-1.0999999999999999E-2</v>
      </c>
      <c r="P149" s="191">
        <v>42321</v>
      </c>
      <c r="Q149" s="192">
        <v>0.378</v>
      </c>
    </row>
    <row r="150" spans="14:17" ht="15">
      <c r="N150" s="187">
        <v>42324</v>
      </c>
      <c r="O150" s="180">
        <v>-1.2999999999999999E-2</v>
      </c>
      <c r="P150" s="191">
        <v>42324</v>
      </c>
      <c r="Q150" s="192">
        <v>0.375</v>
      </c>
    </row>
    <row r="151" spans="14:17" ht="15">
      <c r="N151" s="187">
        <v>42325</v>
      </c>
      <c r="O151" s="180">
        <v>-1.4999999999999999E-2</v>
      </c>
      <c r="P151" s="191">
        <v>42325</v>
      </c>
      <c r="Q151" s="192">
        <v>0.372</v>
      </c>
    </row>
    <row r="152" spans="14:17" ht="15">
      <c r="N152" s="187">
        <v>42326</v>
      </c>
      <c r="O152" s="180">
        <v>-1.4999999999999999E-2</v>
      </c>
      <c r="P152" s="191">
        <v>42326</v>
      </c>
      <c r="Q152" s="192">
        <v>0.36599999999999999</v>
      </c>
    </row>
    <row r="153" spans="14:17" ht="15">
      <c r="N153" s="187">
        <v>42327</v>
      </c>
      <c r="O153" s="180">
        <v>-1.9E-2</v>
      </c>
      <c r="P153" s="191">
        <v>42327</v>
      </c>
      <c r="Q153" s="192">
        <v>0.36</v>
      </c>
    </row>
    <row r="154" spans="14:17" ht="15">
      <c r="N154" s="187">
        <v>42328</v>
      </c>
      <c r="O154" s="180">
        <v>-2.4E-2</v>
      </c>
      <c r="P154" s="191">
        <v>42328</v>
      </c>
      <c r="Q154" s="192">
        <v>0.35699999999999998</v>
      </c>
    </row>
    <row r="155" spans="14:17" ht="15">
      <c r="N155" s="187">
        <v>42331</v>
      </c>
      <c r="O155" s="180">
        <v>-0.03</v>
      </c>
      <c r="P155" s="191">
        <v>42331</v>
      </c>
      <c r="Q155" s="192">
        <v>0.35499999999999998</v>
      </c>
    </row>
    <row r="156" spans="14:17" ht="15">
      <c r="N156" s="187">
        <v>42332</v>
      </c>
      <c r="O156" s="180">
        <v>-3.3000000000000002E-2</v>
      </c>
      <c r="P156" s="191">
        <v>42332</v>
      </c>
      <c r="Q156" s="192">
        <v>0.35499999999999998</v>
      </c>
    </row>
    <row r="157" spans="14:17" ht="15">
      <c r="N157" s="187">
        <v>42333</v>
      </c>
      <c r="O157" s="180">
        <v>-3.1E-2</v>
      </c>
      <c r="P157" s="191">
        <v>42333</v>
      </c>
      <c r="Q157" s="192">
        <v>0.35499999999999998</v>
      </c>
    </row>
    <row r="158" spans="14:17" ht="15">
      <c r="N158" s="187">
        <v>42334</v>
      </c>
      <c r="O158" s="180">
        <v>-3.9E-2</v>
      </c>
      <c r="P158" s="191">
        <v>42334</v>
      </c>
      <c r="Q158" s="192">
        <v>0.35299999999999998</v>
      </c>
    </row>
    <row r="159" spans="14:17" ht="15">
      <c r="N159" s="187">
        <v>42335</v>
      </c>
      <c r="O159" s="180">
        <v>-0.04</v>
      </c>
      <c r="P159" s="191">
        <v>42335</v>
      </c>
      <c r="Q159" s="192">
        <v>0.34899999999999998</v>
      </c>
    </row>
    <row r="160" spans="14:17" ht="15">
      <c r="N160" s="187">
        <v>42338</v>
      </c>
      <c r="O160" s="180">
        <v>-4.2999999999999997E-2</v>
      </c>
      <c r="P160" s="191">
        <v>42338</v>
      </c>
      <c r="Q160" s="192">
        <v>0.34499999999999997</v>
      </c>
    </row>
    <row r="161" spans="14:17" ht="15">
      <c r="N161" s="187">
        <v>42339</v>
      </c>
      <c r="O161" s="180">
        <v>-4.4999999999999998E-2</v>
      </c>
      <c r="P161" s="191">
        <v>42339</v>
      </c>
      <c r="Q161" s="192">
        <v>0.34100000000000003</v>
      </c>
    </row>
    <row r="162" spans="14:17" ht="15">
      <c r="N162" s="187">
        <v>42340</v>
      </c>
      <c r="O162" s="180">
        <v>-4.8000000000000001E-2</v>
      </c>
      <c r="P162" s="191">
        <v>42340</v>
      </c>
      <c r="Q162" s="192">
        <v>0.33600000000000002</v>
      </c>
    </row>
    <row r="163" spans="14:17" ht="15">
      <c r="N163" s="187">
        <v>42341</v>
      </c>
      <c r="O163" s="180">
        <v>-5.0999999999999997E-2</v>
      </c>
      <c r="P163" s="191">
        <v>42341</v>
      </c>
      <c r="Q163" s="192">
        <v>0.33200000000000002</v>
      </c>
    </row>
    <row r="164" spans="14:17" ht="15">
      <c r="N164" s="187">
        <v>42342</v>
      </c>
      <c r="O164" s="180">
        <v>-0.03</v>
      </c>
      <c r="P164" s="191">
        <v>42342</v>
      </c>
      <c r="Q164" s="192">
        <v>0.33400000000000002</v>
      </c>
    </row>
    <row r="165" spans="14:17" ht="15">
      <c r="N165" s="187">
        <v>42345</v>
      </c>
      <c r="O165" s="180">
        <v>-3.1E-2</v>
      </c>
      <c r="P165" s="191">
        <v>42345</v>
      </c>
      <c r="Q165" s="192">
        <v>0.33100000000000002</v>
      </c>
    </row>
    <row r="166" spans="14:17" ht="15">
      <c r="N166" s="187">
        <v>42346</v>
      </c>
      <c r="O166" s="180">
        <v>-3.3000000000000002E-2</v>
      </c>
      <c r="P166" s="191"/>
      <c r="Q166" s="193">
        <v>0.33100000000000002</v>
      </c>
    </row>
    <row r="167" spans="14:17" ht="15">
      <c r="N167" s="187">
        <v>42347</v>
      </c>
      <c r="O167" s="180">
        <v>-3.4000000000000002E-2</v>
      </c>
      <c r="P167" s="191">
        <v>42347</v>
      </c>
      <c r="Q167" s="192">
        <v>0.32900000000000001</v>
      </c>
    </row>
    <row r="168" spans="14:17" ht="15">
      <c r="N168" s="187">
        <v>42348</v>
      </c>
      <c r="O168" s="180">
        <v>-3.5999999999999997E-2</v>
      </c>
      <c r="P168" s="191">
        <v>42348</v>
      </c>
      <c r="Q168" s="192">
        <v>0.32700000000000001</v>
      </c>
    </row>
    <row r="169" spans="14:17" ht="15">
      <c r="N169" s="187">
        <v>42349</v>
      </c>
      <c r="O169" s="180">
        <v>-3.7999999999999999E-2</v>
      </c>
      <c r="P169" s="191">
        <v>42349</v>
      </c>
      <c r="Q169" s="192">
        <v>0.32500000000000001</v>
      </c>
    </row>
    <row r="170" spans="14:17" ht="15">
      <c r="N170" s="187">
        <v>42352</v>
      </c>
      <c r="O170" s="180">
        <v>-3.9E-2</v>
      </c>
      <c r="P170" s="191">
        <v>42352</v>
      </c>
      <c r="Q170" s="192">
        <v>0.32400000000000001</v>
      </c>
    </row>
    <row r="171" spans="14:17" ht="15">
      <c r="N171" s="187">
        <v>42353</v>
      </c>
      <c r="O171" s="180">
        <v>-4.1000000000000002E-2</v>
      </c>
      <c r="P171" s="191">
        <v>42353</v>
      </c>
      <c r="Q171" s="192">
        <v>0.32600000000000001</v>
      </c>
    </row>
    <row r="172" spans="14:17" ht="15">
      <c r="N172" s="187">
        <v>42354</v>
      </c>
      <c r="O172" s="180">
        <v>-4.1000000000000002E-2</v>
      </c>
      <c r="P172" s="191">
        <v>42354</v>
      </c>
      <c r="Q172" s="192">
        <v>0.33</v>
      </c>
    </row>
    <row r="173" spans="14:17" ht="15">
      <c r="N173" s="187">
        <v>42355</v>
      </c>
      <c r="O173" s="180">
        <v>-4.1000000000000002E-2</v>
      </c>
      <c r="P173" s="191">
        <v>42355</v>
      </c>
      <c r="Q173" s="192">
        <v>0.33400000000000002</v>
      </c>
    </row>
    <row r="174" spans="14:17" ht="15">
      <c r="N174" s="187">
        <v>42356</v>
      </c>
      <c r="O174" s="180">
        <v>-4.1000000000000002E-2</v>
      </c>
      <c r="P174" s="191">
        <v>42356</v>
      </c>
      <c r="Q174" s="192">
        <v>0.33500000000000002</v>
      </c>
    </row>
    <row r="175" spans="14:17" ht="15">
      <c r="N175" s="187">
        <v>42359</v>
      </c>
      <c r="O175" s="180">
        <v>-4.1000000000000002E-2</v>
      </c>
      <c r="P175" s="191">
        <v>42359</v>
      </c>
      <c r="Q175" s="192">
        <v>0.33700000000000002</v>
      </c>
    </row>
    <row r="176" spans="14:17" ht="15">
      <c r="N176" s="187">
        <v>42360</v>
      </c>
      <c r="O176" s="180">
        <v>-4.1000000000000002E-2</v>
      </c>
      <c r="P176" s="191">
        <v>42360</v>
      </c>
      <c r="Q176" s="192">
        <v>0.33900000000000002</v>
      </c>
    </row>
    <row r="177" spans="14:17" ht="15">
      <c r="N177" s="187">
        <v>42361</v>
      </c>
      <c r="O177" s="180">
        <v>-4.1000000000000002E-2</v>
      </c>
      <c r="P177" s="191">
        <v>42361</v>
      </c>
      <c r="Q177" s="192">
        <v>0.34399999999999997</v>
      </c>
    </row>
    <row r="178" spans="14:17" ht="15">
      <c r="N178" s="187">
        <v>42362</v>
      </c>
      <c r="O178" s="180">
        <v>-0.04</v>
      </c>
      <c r="P178" s="191"/>
      <c r="Q178" s="193">
        <v>0.34399999999999997</v>
      </c>
    </row>
    <row r="179" spans="14:17" ht="15">
      <c r="N179" s="187">
        <v>42363</v>
      </c>
      <c r="O179" s="180">
        <v>-0.04</v>
      </c>
      <c r="P179" s="191"/>
      <c r="Q179" s="193">
        <v>0.34399999999999997</v>
      </c>
    </row>
    <row r="180" spans="14:17" ht="15">
      <c r="N180" s="187">
        <v>42366</v>
      </c>
      <c r="O180" s="180">
        <v>-0.04</v>
      </c>
      <c r="P180" s="191">
        <v>42366</v>
      </c>
      <c r="Q180" s="192">
        <v>0.34799999999999998</v>
      </c>
    </row>
    <row r="181" spans="14:17" ht="15">
      <c r="N181" s="187">
        <v>42367</v>
      </c>
      <c r="O181" s="180">
        <v>-4.2000000000000003E-2</v>
      </c>
      <c r="P181" s="191">
        <v>42367</v>
      </c>
      <c r="Q181" s="192">
        <v>0.35399999999999998</v>
      </c>
    </row>
    <row r="182" spans="14:17" ht="15">
      <c r="N182" s="187">
        <v>42368</v>
      </c>
      <c r="O182" s="180">
        <v>-4.1000000000000002E-2</v>
      </c>
      <c r="P182" s="191">
        <v>42368</v>
      </c>
      <c r="Q182" s="192">
        <v>0.36099999999999999</v>
      </c>
    </row>
    <row r="183" spans="14:17" ht="15">
      <c r="N183" s="187">
        <v>42369</v>
      </c>
      <c r="O183" s="180">
        <v>-0.04</v>
      </c>
      <c r="P183" s="191">
        <v>42369</v>
      </c>
      <c r="Q183" s="192">
        <v>0.36499999999999999</v>
      </c>
    </row>
    <row r="184" spans="14:17" ht="15">
      <c r="N184" s="187">
        <v>42370</v>
      </c>
      <c r="O184" s="180">
        <v>-0.04</v>
      </c>
      <c r="P184" s="191"/>
      <c r="Q184" s="193">
        <v>0.36499999999999999</v>
      </c>
    </row>
    <row r="185" spans="14:17" ht="15">
      <c r="N185" s="187">
        <v>42373</v>
      </c>
      <c r="O185" s="180">
        <v>-4.1000000000000002E-2</v>
      </c>
      <c r="P185" s="191">
        <v>42373</v>
      </c>
      <c r="Q185" s="192">
        <v>0.36799999999999999</v>
      </c>
    </row>
    <row r="186" spans="14:17" ht="15">
      <c r="N186" s="187">
        <v>42374</v>
      </c>
      <c r="O186" s="180">
        <v>-4.1000000000000002E-2</v>
      </c>
      <c r="P186" s="191">
        <v>42374</v>
      </c>
      <c r="Q186" s="192">
        <v>0.373</v>
      </c>
    </row>
    <row r="187" spans="14:17" ht="15">
      <c r="N187" s="187">
        <v>42375</v>
      </c>
      <c r="O187" s="180">
        <v>-4.3999999999999997E-2</v>
      </c>
      <c r="P187" s="191"/>
      <c r="Q187" s="193">
        <v>0.373</v>
      </c>
    </row>
    <row r="188" spans="14:17" ht="15">
      <c r="N188" s="187">
        <v>42376</v>
      </c>
      <c r="O188" s="180">
        <v>-0.05</v>
      </c>
      <c r="P188" s="191">
        <v>42376</v>
      </c>
      <c r="Q188" s="192">
        <v>0.373</v>
      </c>
    </row>
    <row r="189" spans="14:17" ht="15">
      <c r="N189" s="187">
        <v>42377</v>
      </c>
      <c r="O189" s="180">
        <v>-5.0999999999999997E-2</v>
      </c>
      <c r="P189" s="191">
        <v>42377</v>
      </c>
      <c r="Q189" s="192">
        <v>0.36899999999999999</v>
      </c>
    </row>
    <row r="190" spans="14:17" ht="15">
      <c r="N190" s="187">
        <v>42380</v>
      </c>
      <c r="O190" s="180">
        <v>-5.1999999999999998E-2</v>
      </c>
      <c r="P190" s="191">
        <v>42380</v>
      </c>
      <c r="Q190" s="192">
        <v>0.36599999999999999</v>
      </c>
    </row>
    <row r="191" spans="14:17" ht="15">
      <c r="N191" s="187">
        <v>42381</v>
      </c>
      <c r="O191" s="180">
        <v>-5.2999999999999999E-2</v>
      </c>
      <c r="P191" s="191">
        <v>42381</v>
      </c>
      <c r="Q191" s="192">
        <v>0.36699999999999999</v>
      </c>
    </row>
    <row r="192" spans="14:17" ht="15">
      <c r="N192" s="187">
        <v>42382</v>
      </c>
      <c r="O192" s="180">
        <v>-5.3999999999999999E-2</v>
      </c>
      <c r="P192" s="191">
        <v>42382</v>
      </c>
      <c r="Q192" s="192">
        <v>0.36599999999999999</v>
      </c>
    </row>
    <row r="193" spans="14:17" ht="15">
      <c r="N193" s="187">
        <v>42383</v>
      </c>
      <c r="O193" s="180">
        <v>-5.2999999999999999E-2</v>
      </c>
      <c r="P193" s="191">
        <v>42383</v>
      </c>
      <c r="Q193" s="192">
        <v>0.372</v>
      </c>
    </row>
    <row r="194" spans="14:17" ht="15">
      <c r="N194" s="187">
        <v>42384</v>
      </c>
      <c r="O194" s="180">
        <v>-5.3999999999999999E-2</v>
      </c>
      <c r="P194" s="191">
        <v>42384</v>
      </c>
      <c r="Q194" s="192">
        <v>0.371</v>
      </c>
    </row>
    <row r="195" spans="14:17" ht="15">
      <c r="N195" s="187">
        <v>42387</v>
      </c>
      <c r="O195" s="180">
        <v>-5.3999999999999999E-2</v>
      </c>
      <c r="P195" s="191">
        <v>42387</v>
      </c>
      <c r="Q195" s="192">
        <v>0.36699999999999999</v>
      </c>
    </row>
    <row r="196" spans="14:17" ht="15">
      <c r="N196" s="187">
        <v>42388</v>
      </c>
      <c r="O196" s="180">
        <v>-5.6000000000000001E-2</v>
      </c>
      <c r="P196" s="191">
        <v>42388</v>
      </c>
      <c r="Q196" s="192">
        <v>0.36299999999999999</v>
      </c>
    </row>
    <row r="197" spans="14:17" ht="15">
      <c r="N197" s="187">
        <v>42389</v>
      </c>
      <c r="O197" s="180">
        <v>-6.0999999999999999E-2</v>
      </c>
      <c r="P197" s="191">
        <v>42389</v>
      </c>
      <c r="Q197" s="192">
        <v>0.35899999999999999</v>
      </c>
    </row>
    <row r="198" spans="14:17" ht="15">
      <c r="N198" s="187">
        <v>42390</v>
      </c>
      <c r="O198" s="180">
        <v>-6.5000000000000002E-2</v>
      </c>
      <c r="P198" s="191">
        <v>42390</v>
      </c>
      <c r="Q198" s="192">
        <v>0.35599999999999998</v>
      </c>
    </row>
    <row r="199" spans="14:17" ht="15">
      <c r="N199" s="187">
        <v>42391</v>
      </c>
      <c r="O199" s="180">
        <v>-7.3999999999999996E-2</v>
      </c>
      <c r="P199" s="191">
        <v>42391</v>
      </c>
      <c r="Q199" s="192">
        <v>0.35299999999999998</v>
      </c>
    </row>
    <row r="200" spans="14:17" ht="15">
      <c r="N200" s="187">
        <v>42394</v>
      </c>
      <c r="O200" s="180">
        <v>-7.6999999999999999E-2</v>
      </c>
      <c r="P200" s="191">
        <v>42394</v>
      </c>
      <c r="Q200" s="192">
        <v>0.34799999999999998</v>
      </c>
    </row>
    <row r="201" spans="14:17" ht="15">
      <c r="N201" s="187">
        <v>42395</v>
      </c>
      <c r="O201" s="180">
        <v>-8.2000000000000003E-2</v>
      </c>
      <c r="P201" s="191">
        <v>42395</v>
      </c>
      <c r="Q201" s="192">
        <v>0.34</v>
      </c>
    </row>
    <row r="202" spans="14:17" ht="15">
      <c r="N202" s="187">
        <v>42396</v>
      </c>
      <c r="O202" s="180">
        <v>-8.2000000000000003E-2</v>
      </c>
      <c r="P202" s="191">
        <v>42396</v>
      </c>
      <c r="Q202" s="192">
        <v>0.33200000000000002</v>
      </c>
    </row>
    <row r="203" spans="14:17" ht="15">
      <c r="N203" s="187">
        <v>42397</v>
      </c>
      <c r="O203" s="180">
        <v>-8.3000000000000004E-2</v>
      </c>
      <c r="P203" s="191">
        <v>42397</v>
      </c>
      <c r="Q203" s="192">
        <v>0.32300000000000001</v>
      </c>
    </row>
    <row r="204" spans="14:17" ht="15">
      <c r="N204" s="187">
        <v>42398</v>
      </c>
      <c r="O204" s="180">
        <v>-8.8999999999999996E-2</v>
      </c>
      <c r="P204" s="191">
        <v>42398</v>
      </c>
      <c r="Q204" s="192">
        <v>0.311</v>
      </c>
    </row>
    <row r="205" spans="14:17" ht="15">
      <c r="N205" s="187">
        <v>42401</v>
      </c>
      <c r="O205" s="180">
        <v>-9.4E-2</v>
      </c>
      <c r="P205" s="191">
        <v>42401</v>
      </c>
      <c r="Q205" s="192">
        <v>0.30399999999999999</v>
      </c>
    </row>
    <row r="206" spans="14:17" ht="15">
      <c r="N206" s="187">
        <v>42402</v>
      </c>
      <c r="O206" s="180">
        <v>-9.4E-2</v>
      </c>
      <c r="P206" s="191">
        <v>42402</v>
      </c>
      <c r="Q206" s="192">
        <v>0.29499999999999998</v>
      </c>
    </row>
    <row r="207" spans="14:17" ht="15">
      <c r="N207" s="187">
        <v>42403</v>
      </c>
      <c r="O207" s="180">
        <v>-9.6000000000000002E-2</v>
      </c>
      <c r="P207" s="191">
        <v>42403</v>
      </c>
      <c r="Q207" s="192">
        <v>0.28499999999999998</v>
      </c>
    </row>
    <row r="208" spans="14:17" ht="15">
      <c r="N208" s="187">
        <v>42404</v>
      </c>
      <c r="O208" s="180">
        <v>-0.10199999999999999</v>
      </c>
      <c r="P208" s="191">
        <v>42404</v>
      </c>
      <c r="Q208" s="192">
        <v>0.27600000000000002</v>
      </c>
    </row>
    <row r="209" spans="14:17" ht="15">
      <c r="N209" s="187">
        <v>42405</v>
      </c>
      <c r="O209" s="180">
        <v>-0.104</v>
      </c>
      <c r="P209" s="191">
        <v>42405</v>
      </c>
      <c r="Q209" s="192">
        <v>0.26600000000000001</v>
      </c>
    </row>
    <row r="210" spans="14:17" ht="15">
      <c r="N210" s="187">
        <v>42408</v>
      </c>
      <c r="O210" s="180">
        <v>-0.107</v>
      </c>
      <c r="P210" s="191">
        <v>42408</v>
      </c>
      <c r="Q210" s="192">
        <v>0.255</v>
      </c>
    </row>
    <row r="211" spans="14:17" ht="15">
      <c r="N211" s="187">
        <v>42409</v>
      </c>
      <c r="O211" s="180">
        <v>-0.109</v>
      </c>
      <c r="P211" s="191">
        <v>42409</v>
      </c>
      <c r="Q211" s="192">
        <v>0.24199999999999999</v>
      </c>
    </row>
    <row r="212" spans="14:17" ht="15">
      <c r="N212" s="187">
        <v>42410</v>
      </c>
      <c r="O212" s="180">
        <v>-0.111</v>
      </c>
      <c r="P212" s="191">
        <v>42410</v>
      </c>
      <c r="Q212" s="192">
        <v>0.23100000000000001</v>
      </c>
    </row>
    <row r="213" spans="14:17" ht="15">
      <c r="N213" s="187">
        <v>42411</v>
      </c>
      <c r="O213" s="180">
        <v>-0.112</v>
      </c>
      <c r="P213" s="191">
        <v>42411</v>
      </c>
      <c r="Q213" s="192">
        <v>0.223</v>
      </c>
    </row>
    <row r="214" spans="14:17" ht="15">
      <c r="N214" s="187">
        <v>42412</v>
      </c>
      <c r="O214" s="180">
        <v>-0.11600000000000001</v>
      </c>
      <c r="P214" s="191">
        <v>42412</v>
      </c>
      <c r="Q214" s="192">
        <v>0.214</v>
      </c>
    </row>
    <row r="215" spans="14:17" ht="15">
      <c r="N215" s="187">
        <v>42415</v>
      </c>
      <c r="O215" s="180">
        <v>-0.11600000000000001</v>
      </c>
      <c r="P215" s="191">
        <v>42415</v>
      </c>
      <c r="Q215" s="192">
        <v>0.20499999999999999</v>
      </c>
    </row>
    <row r="216" spans="14:17" ht="15">
      <c r="N216" s="187">
        <v>42416</v>
      </c>
      <c r="O216" s="180">
        <v>-0.12</v>
      </c>
      <c r="P216" s="191">
        <v>42416</v>
      </c>
      <c r="Q216" s="192">
        <v>0.19700000000000001</v>
      </c>
    </row>
    <row r="217" spans="14:17" ht="15">
      <c r="N217" s="187">
        <v>42417</v>
      </c>
      <c r="O217" s="180">
        <v>-0.121</v>
      </c>
      <c r="P217" s="191">
        <v>42417</v>
      </c>
      <c r="Q217" s="192">
        <v>0.191</v>
      </c>
    </row>
    <row r="218" spans="14:17" ht="15">
      <c r="N218" s="187">
        <v>42418</v>
      </c>
      <c r="O218" s="180">
        <v>-0.124</v>
      </c>
      <c r="P218" s="191">
        <v>42418</v>
      </c>
      <c r="Q218" s="192">
        <v>0.184</v>
      </c>
    </row>
    <row r="219" spans="14:17" ht="15">
      <c r="N219" s="187">
        <v>42419</v>
      </c>
      <c r="O219" s="180">
        <v>-0.125</v>
      </c>
      <c r="P219" s="191">
        <v>42419</v>
      </c>
      <c r="Q219" s="192">
        <v>0.17599999999999999</v>
      </c>
    </row>
    <row r="220" spans="14:17" ht="15">
      <c r="N220" s="187">
        <v>42422</v>
      </c>
      <c r="O220" s="180">
        <v>-0.126</v>
      </c>
      <c r="P220" s="191">
        <v>42422</v>
      </c>
      <c r="Q220" s="192">
        <v>0.2</v>
      </c>
    </row>
    <row r="221" spans="14:17" ht="15">
      <c r="N221" s="187">
        <v>42423</v>
      </c>
      <c r="O221" s="180">
        <v>-0.125</v>
      </c>
      <c r="P221" s="191">
        <v>42423</v>
      </c>
      <c r="Q221" s="192">
        <v>0.21099999999999999</v>
      </c>
    </row>
    <row r="222" spans="14:17" ht="15">
      <c r="N222" s="187">
        <v>42424</v>
      </c>
      <c r="O222" s="180">
        <v>-0.128</v>
      </c>
      <c r="P222" s="191">
        <v>42424</v>
      </c>
      <c r="Q222" s="192">
        <v>0.20300000000000001</v>
      </c>
    </row>
    <row r="223" spans="14:17" ht="15">
      <c r="N223" s="187">
        <v>42425</v>
      </c>
      <c r="O223" s="180">
        <v>-0.128</v>
      </c>
      <c r="P223" s="191">
        <v>42425</v>
      </c>
      <c r="Q223" s="192">
        <v>0.19500000000000001</v>
      </c>
    </row>
    <row r="224" spans="14:17" ht="15">
      <c r="N224" s="187">
        <v>42426</v>
      </c>
      <c r="O224" s="180">
        <v>-0.129</v>
      </c>
      <c r="P224" s="191">
        <v>42426</v>
      </c>
      <c r="Q224" s="192">
        <v>0.19</v>
      </c>
    </row>
    <row r="225" spans="14:17" ht="15">
      <c r="N225" s="187">
        <v>42429</v>
      </c>
      <c r="O225" s="180">
        <v>-0.13400000000000001</v>
      </c>
      <c r="P225" s="191">
        <v>42429</v>
      </c>
      <c r="Q225" s="192">
        <v>0.183</v>
      </c>
    </row>
    <row r="226" spans="14:17" ht="15">
      <c r="N226" s="187">
        <v>42430</v>
      </c>
      <c r="O226" s="180">
        <v>-0.13500000000000001</v>
      </c>
      <c r="P226" s="191">
        <v>42430</v>
      </c>
      <c r="Q226" s="192">
        <v>0.17799999999999999</v>
      </c>
    </row>
    <row r="227" spans="14:17" ht="15">
      <c r="N227" s="187">
        <v>42431</v>
      </c>
      <c r="O227" s="180">
        <v>-0.13400000000000001</v>
      </c>
      <c r="P227" s="191">
        <v>42431</v>
      </c>
      <c r="Q227" s="192">
        <v>0.17499999999999999</v>
      </c>
    </row>
    <row r="228" spans="14:17" ht="15">
      <c r="N228" s="187">
        <v>42432</v>
      </c>
      <c r="O228" s="180">
        <v>-0.13500000000000001</v>
      </c>
      <c r="P228" s="191">
        <v>42432</v>
      </c>
      <c r="Q228" s="192">
        <v>0.17199999999999999</v>
      </c>
    </row>
    <row r="229" spans="14:17" ht="15">
      <c r="N229" s="187">
        <v>42433</v>
      </c>
      <c r="O229" s="180">
        <v>-0.13600000000000001</v>
      </c>
      <c r="P229" s="191">
        <v>42433</v>
      </c>
      <c r="Q229" s="192">
        <v>0.17</v>
      </c>
    </row>
    <row r="230" spans="14:17" ht="15">
      <c r="N230" s="187">
        <v>42436</v>
      </c>
      <c r="O230" s="180">
        <v>-0.13600000000000001</v>
      </c>
      <c r="P230" s="191">
        <v>42436</v>
      </c>
      <c r="Q230" s="192">
        <v>0.16900000000000001</v>
      </c>
    </row>
    <row r="231" spans="14:17" ht="15">
      <c r="N231" s="187">
        <v>42437</v>
      </c>
      <c r="O231" s="180">
        <v>-0.13800000000000001</v>
      </c>
      <c r="P231" s="191">
        <v>42437</v>
      </c>
      <c r="Q231" s="192">
        <v>0.16700000000000001</v>
      </c>
    </row>
    <row r="232" spans="14:17" ht="15">
      <c r="N232" s="187">
        <v>42438</v>
      </c>
      <c r="O232" s="180">
        <v>-0.13900000000000001</v>
      </c>
      <c r="P232" s="191">
        <v>42438</v>
      </c>
      <c r="Q232" s="192">
        <v>0.16600000000000001</v>
      </c>
    </row>
    <row r="233" spans="14:17" ht="15">
      <c r="N233" s="187">
        <v>42439</v>
      </c>
      <c r="O233" s="180">
        <v>-0.14099999999999999</v>
      </c>
      <c r="P233" s="191">
        <v>42439</v>
      </c>
      <c r="Q233" s="192">
        <v>0.16700000000000001</v>
      </c>
    </row>
    <row r="234" spans="14:17" ht="15">
      <c r="N234" s="187">
        <v>42440</v>
      </c>
      <c r="O234" s="180">
        <v>-0.13100000000000001</v>
      </c>
      <c r="P234" s="191">
        <v>42440</v>
      </c>
      <c r="Q234" s="192">
        <v>0.16700000000000001</v>
      </c>
    </row>
    <row r="235" spans="14:17" ht="15">
      <c r="N235" s="187">
        <v>42443</v>
      </c>
      <c r="O235" s="180">
        <v>-0.13100000000000001</v>
      </c>
      <c r="P235" s="191">
        <v>42443</v>
      </c>
      <c r="Q235" s="192">
        <v>0.16500000000000001</v>
      </c>
    </row>
    <row r="236" spans="14:17" ht="15">
      <c r="N236" s="187">
        <v>42444</v>
      </c>
      <c r="O236" s="180">
        <v>-0.13</v>
      </c>
      <c r="P236" s="191">
        <v>42444</v>
      </c>
      <c r="Q236" s="192">
        <v>0.16400000000000001</v>
      </c>
    </row>
    <row r="237" spans="14:17" ht="15">
      <c r="N237" s="187">
        <v>42445</v>
      </c>
      <c r="O237" s="180">
        <v>-0.129</v>
      </c>
      <c r="P237" s="191">
        <v>42445</v>
      </c>
      <c r="Q237" s="192">
        <v>0.16300000000000001</v>
      </c>
    </row>
    <row r="238" spans="14:17" ht="15">
      <c r="N238" s="187">
        <v>42446</v>
      </c>
      <c r="O238" s="180">
        <v>-0.13100000000000001</v>
      </c>
      <c r="P238" s="191">
        <v>42446</v>
      </c>
      <c r="Q238" s="192">
        <v>0.161</v>
      </c>
    </row>
    <row r="239" spans="14:17" ht="15">
      <c r="N239" s="187">
        <v>42447</v>
      </c>
      <c r="O239" s="180">
        <v>-0.13100000000000001</v>
      </c>
      <c r="P239" s="191">
        <v>42447</v>
      </c>
      <c r="Q239" s="192">
        <v>0.159</v>
      </c>
    </row>
    <row r="240" spans="14:17" ht="15">
      <c r="N240" s="187">
        <v>42450</v>
      </c>
      <c r="O240" s="180">
        <v>-0.13100000000000001</v>
      </c>
      <c r="P240" s="191">
        <v>42450</v>
      </c>
      <c r="Q240" s="192">
        <v>0.158</v>
      </c>
    </row>
    <row r="241" spans="14:17" ht="15">
      <c r="N241" s="187">
        <v>42451</v>
      </c>
      <c r="O241" s="180">
        <v>-0.13200000000000001</v>
      </c>
      <c r="P241" s="191">
        <v>42451</v>
      </c>
      <c r="Q241" s="192">
        <v>0.156</v>
      </c>
    </row>
    <row r="242" spans="14:17" ht="15">
      <c r="N242" s="187">
        <v>42452</v>
      </c>
      <c r="O242" s="180">
        <v>-0.13300000000000001</v>
      </c>
      <c r="P242" s="191">
        <v>42452</v>
      </c>
      <c r="Q242" s="192">
        <v>0.157</v>
      </c>
    </row>
    <row r="243" spans="14:17" ht="15">
      <c r="N243" s="187">
        <v>42453</v>
      </c>
      <c r="O243" s="180">
        <v>-0.13400000000000001</v>
      </c>
      <c r="P243" s="191">
        <v>42453</v>
      </c>
      <c r="Q243" s="192">
        <v>0.157</v>
      </c>
    </row>
    <row r="244" spans="14:17" ht="15">
      <c r="N244" s="187">
        <v>42454</v>
      </c>
      <c r="O244" s="180">
        <v>-0.13400000000000001</v>
      </c>
      <c r="P244" s="191">
        <v>42454</v>
      </c>
      <c r="Q244" s="192">
        <v>0.158</v>
      </c>
    </row>
    <row r="245" spans="14:17" ht="15">
      <c r="N245" s="187">
        <v>42457</v>
      </c>
      <c r="O245" s="180">
        <v>-0.13400000000000001</v>
      </c>
      <c r="P245" s="191"/>
      <c r="Q245" s="193">
        <v>0.158</v>
      </c>
    </row>
    <row r="246" spans="14:17" ht="15">
      <c r="N246" s="187">
        <v>42458</v>
      </c>
      <c r="O246" s="180">
        <v>-0.13400000000000001</v>
      </c>
      <c r="P246" s="191">
        <v>42458</v>
      </c>
      <c r="Q246" s="192">
        <v>0.158</v>
      </c>
    </row>
    <row r="247" spans="14:17" ht="15">
      <c r="N247" s="187">
        <v>42459</v>
      </c>
      <c r="O247" s="180">
        <v>-0.13200000000000001</v>
      </c>
      <c r="P247" s="191">
        <v>42459</v>
      </c>
      <c r="Q247" s="192">
        <v>0.157</v>
      </c>
    </row>
    <row r="248" spans="14:17" ht="15">
      <c r="N248" s="187">
        <v>42460</v>
      </c>
      <c r="O248" s="180">
        <v>-0.13200000000000001</v>
      </c>
      <c r="P248" s="191">
        <v>42460</v>
      </c>
      <c r="Q248" s="192">
        <v>0.154</v>
      </c>
    </row>
    <row r="249" spans="14:17" ht="15">
      <c r="N249" s="187">
        <v>42461</v>
      </c>
      <c r="O249" s="180">
        <v>-0.13100000000000001</v>
      </c>
      <c r="P249" s="191">
        <v>42461</v>
      </c>
      <c r="Q249" s="192">
        <v>0.151</v>
      </c>
    </row>
    <row r="250" spans="14:17" ht="15">
      <c r="N250" s="187">
        <v>42464</v>
      </c>
      <c r="O250" s="180">
        <v>-0.13200000000000001</v>
      </c>
      <c r="P250" s="191">
        <v>42464</v>
      </c>
      <c r="Q250" s="192">
        <v>0.14599999999999999</v>
      </c>
    </row>
    <row r="251" spans="14:17" ht="15">
      <c r="N251" s="187">
        <v>42465</v>
      </c>
      <c r="O251" s="180">
        <v>-0.13200000000000001</v>
      </c>
      <c r="P251" s="191">
        <v>42465</v>
      </c>
      <c r="Q251" s="192">
        <v>0.14000000000000001</v>
      </c>
    </row>
    <row r="252" spans="14:17" ht="15">
      <c r="N252" s="187">
        <v>42466</v>
      </c>
      <c r="O252" s="180">
        <v>-0.13200000000000001</v>
      </c>
      <c r="P252" s="191">
        <v>42466</v>
      </c>
      <c r="Q252" s="192">
        <v>0.13700000000000001</v>
      </c>
    </row>
    <row r="253" spans="14:17" ht="15">
      <c r="N253" s="187">
        <v>42467</v>
      </c>
      <c r="O253" s="180">
        <v>-0.13400000000000001</v>
      </c>
      <c r="P253" s="191">
        <v>42467</v>
      </c>
      <c r="Q253" s="192">
        <v>0.13500000000000001</v>
      </c>
    </row>
    <row r="254" spans="14:17" ht="15">
      <c r="N254" s="187">
        <v>42468</v>
      </c>
      <c r="O254" s="180">
        <v>-0.13400000000000001</v>
      </c>
      <c r="P254" s="191">
        <v>42468</v>
      </c>
      <c r="Q254" s="192">
        <v>0.129</v>
      </c>
    </row>
    <row r="255" spans="14:17" ht="15">
      <c r="N255" s="187">
        <v>42471</v>
      </c>
      <c r="O255" s="180">
        <v>-0.13300000000000001</v>
      </c>
      <c r="P255" s="191">
        <v>42471</v>
      </c>
      <c r="Q255" s="192">
        <v>0.122</v>
      </c>
    </row>
    <row r="256" spans="14:17" ht="15">
      <c r="N256" s="187">
        <v>42472</v>
      </c>
      <c r="O256" s="180">
        <v>-0.13600000000000001</v>
      </c>
      <c r="P256" s="191">
        <v>42472</v>
      </c>
      <c r="Q256" s="192">
        <v>0.11700000000000001</v>
      </c>
    </row>
    <row r="257" spans="14:18" ht="15">
      <c r="N257" s="187">
        <v>42473</v>
      </c>
      <c r="O257" s="180">
        <v>-0.13800000000000001</v>
      </c>
      <c r="P257" s="191">
        <v>42473</v>
      </c>
      <c r="Q257" s="192">
        <v>0.111</v>
      </c>
    </row>
    <row r="258" spans="14:18" ht="15">
      <c r="N258" s="187">
        <v>42474</v>
      </c>
      <c r="O258" s="180">
        <v>-0.13800000000000001</v>
      </c>
      <c r="P258" s="191">
        <v>42474</v>
      </c>
      <c r="Q258" s="192">
        <v>0.105</v>
      </c>
    </row>
    <row r="259" spans="14:18" ht="15">
      <c r="N259" s="187">
        <v>42475</v>
      </c>
      <c r="O259" s="180">
        <v>-0.14000000000000001</v>
      </c>
      <c r="P259" s="191">
        <v>42475</v>
      </c>
      <c r="Q259" s="192">
        <v>0.10100000000000001</v>
      </c>
    </row>
    <row r="260" spans="14:18" ht="15">
      <c r="N260" s="187">
        <v>42478</v>
      </c>
      <c r="O260" s="180">
        <v>-0.13900000000000001</v>
      </c>
      <c r="P260" s="191">
        <v>42478</v>
      </c>
      <c r="Q260" s="192">
        <v>9.7000000000000003E-2</v>
      </c>
    </row>
    <row r="261" spans="14:18" ht="15">
      <c r="N261" s="187">
        <v>42479</v>
      </c>
      <c r="O261" s="180">
        <v>-0.13900000000000001</v>
      </c>
      <c r="P261" s="191">
        <v>42479</v>
      </c>
      <c r="Q261" s="192">
        <v>9.6000000000000002E-2</v>
      </c>
    </row>
    <row r="262" spans="14:18" ht="15">
      <c r="N262" s="187">
        <v>42480</v>
      </c>
      <c r="O262" s="180">
        <v>-0.14099999999999999</v>
      </c>
      <c r="P262" s="191">
        <v>42480</v>
      </c>
      <c r="Q262" s="192">
        <v>9.2999999999999999E-2</v>
      </c>
    </row>
    <row r="263" spans="14:18" ht="15">
      <c r="N263" s="187">
        <v>42481</v>
      </c>
      <c r="O263" s="180">
        <v>-0.14299999999999999</v>
      </c>
      <c r="P263" s="191">
        <v>42481</v>
      </c>
      <c r="Q263" s="192">
        <v>9.0999999999999998E-2</v>
      </c>
    </row>
    <row r="264" spans="14:18" ht="15">
      <c r="N264" s="187">
        <v>42482</v>
      </c>
      <c r="O264" s="180">
        <v>-0.14299999999999999</v>
      </c>
      <c r="P264" s="191">
        <v>42482</v>
      </c>
      <c r="Q264" s="192">
        <v>9.1999999999999998E-2</v>
      </c>
    </row>
    <row r="265" spans="14:18" ht="15">
      <c r="N265" s="187">
        <v>42485</v>
      </c>
      <c r="O265" s="180">
        <v>-0.14399999999999999</v>
      </c>
      <c r="P265" s="191">
        <v>42485</v>
      </c>
      <c r="Q265" s="192">
        <v>9.4E-2</v>
      </c>
    </row>
    <row r="266" spans="14:18" ht="15">
      <c r="N266" s="187">
        <v>42486</v>
      </c>
      <c r="O266" s="180">
        <v>-0.14299999999999999</v>
      </c>
      <c r="P266" s="191">
        <v>42486</v>
      </c>
      <c r="Q266" s="192">
        <v>9.7000000000000003E-2</v>
      </c>
    </row>
    <row r="267" spans="14:18" ht="15">
      <c r="N267" s="187">
        <v>42487</v>
      </c>
      <c r="O267" s="180">
        <v>-0.14199999999999999</v>
      </c>
      <c r="P267" s="191">
        <v>42487</v>
      </c>
      <c r="Q267" s="192">
        <v>0.10100000000000001</v>
      </c>
    </row>
    <row r="268" spans="14:18" ht="15">
      <c r="N268" s="187">
        <v>42488</v>
      </c>
      <c r="O268" s="180">
        <v>-0.14199999999999999</v>
      </c>
      <c r="P268" s="191">
        <v>42488</v>
      </c>
      <c r="Q268" s="192">
        <v>0.10299999999999999</v>
      </c>
    </row>
    <row r="269" spans="14:18" ht="15">
      <c r="N269" s="187">
        <v>42489</v>
      </c>
      <c r="O269" s="180">
        <v>-0.14099999999999999</v>
      </c>
      <c r="P269" s="191">
        <v>42489</v>
      </c>
      <c r="Q269" s="192">
        <v>0.107</v>
      </c>
    </row>
    <row r="270" spans="14:18" ht="15">
      <c r="N270" s="187">
        <v>42492</v>
      </c>
      <c r="O270" s="180">
        <v>-0.14099999999999999</v>
      </c>
      <c r="P270" s="191">
        <v>42492</v>
      </c>
      <c r="Q270" s="192">
        <v>0.111</v>
      </c>
      <c r="R270" s="111">
        <f>+(O270+Q270)/2+0.37</f>
        <v>0.35499999999999998</v>
      </c>
    </row>
    <row r="271" spans="14:18" ht="15">
      <c r="N271" s="187">
        <v>42493</v>
      </c>
      <c r="O271" s="180">
        <v>-0.14199999999999999</v>
      </c>
      <c r="P271" s="191">
        <v>42493</v>
      </c>
      <c r="Q271" s="192">
        <v>0.11600000000000001</v>
      </c>
    </row>
    <row r="272" spans="14:18" ht="15">
      <c r="N272" s="187">
        <v>42494</v>
      </c>
      <c r="O272" s="180">
        <v>-0.14199999999999999</v>
      </c>
      <c r="P272" s="191">
        <v>42494</v>
      </c>
      <c r="Q272" s="192">
        <v>0.11899999999999999</v>
      </c>
    </row>
    <row r="273" spans="14:17" ht="15">
      <c r="N273" s="187">
        <v>42495</v>
      </c>
      <c r="O273" s="180">
        <v>-0.14399999999999999</v>
      </c>
      <c r="P273" s="191"/>
      <c r="Q273" s="193">
        <v>0.11899999999999999</v>
      </c>
    </row>
    <row r="274" spans="14:17" ht="15">
      <c r="N274" s="187">
        <v>42496</v>
      </c>
      <c r="O274" s="180">
        <v>-0.14399999999999999</v>
      </c>
      <c r="P274" s="191">
        <v>42496</v>
      </c>
      <c r="Q274" s="192">
        <v>0.121</v>
      </c>
    </row>
    <row r="275" spans="14:17" ht="15">
      <c r="N275" s="187">
        <v>42499</v>
      </c>
      <c r="O275" s="180">
        <v>-0.14299999999999999</v>
      </c>
      <c r="P275" s="191">
        <v>42499</v>
      </c>
      <c r="Q275" s="192">
        <v>0.123</v>
      </c>
    </row>
    <row r="276" spans="14:17" ht="15">
      <c r="N276" s="187">
        <v>42500</v>
      </c>
      <c r="O276" s="180">
        <v>-0.14399999999999999</v>
      </c>
      <c r="P276" s="191">
        <v>42500</v>
      </c>
      <c r="Q276" s="192">
        <v>0.124</v>
      </c>
    </row>
    <row r="277" spans="14:17" ht="15">
      <c r="N277" s="187">
        <v>42501</v>
      </c>
      <c r="O277" s="180">
        <v>-0.14399999999999999</v>
      </c>
      <c r="P277" s="191">
        <v>42501</v>
      </c>
      <c r="Q277" s="192">
        <v>0.123</v>
      </c>
    </row>
    <row r="278" spans="14:17" ht="15">
      <c r="N278" s="187">
        <v>42502</v>
      </c>
      <c r="O278" s="180">
        <v>-0.14399999999999999</v>
      </c>
      <c r="P278" s="191">
        <v>42502</v>
      </c>
      <c r="Q278" s="192">
        <v>0.127</v>
      </c>
    </row>
    <row r="279" spans="14:17" ht="15">
      <c r="N279" s="187">
        <v>42503</v>
      </c>
      <c r="O279" s="180">
        <v>-0.14399999999999999</v>
      </c>
      <c r="P279" s="191">
        <v>42503</v>
      </c>
      <c r="Q279" s="192">
        <v>0.126</v>
      </c>
    </row>
    <row r="280" spans="14:17" ht="15">
      <c r="N280" s="187">
        <v>42506</v>
      </c>
      <c r="O280" s="180">
        <v>-0.14299999999999999</v>
      </c>
      <c r="P280" s="191"/>
      <c r="Q280" s="193">
        <v>0.126</v>
      </c>
    </row>
    <row r="281" spans="14:17" ht="15">
      <c r="N281" s="187">
        <v>42507</v>
      </c>
      <c r="O281" s="180">
        <v>-0.14299999999999999</v>
      </c>
      <c r="P281" s="191">
        <v>42507</v>
      </c>
      <c r="Q281" s="192">
        <v>0.126</v>
      </c>
    </row>
    <row r="282" spans="14:17" ht="15">
      <c r="N282" s="187">
        <v>42508</v>
      </c>
      <c r="O282" s="180">
        <v>-0.14399999999999999</v>
      </c>
      <c r="P282" s="191">
        <v>42508</v>
      </c>
      <c r="Q282" s="192">
        <v>0.127</v>
      </c>
    </row>
    <row r="283" spans="14:17" ht="15">
      <c r="N283" s="187">
        <v>42509</v>
      </c>
      <c r="O283" s="180">
        <v>-0.14299999999999999</v>
      </c>
      <c r="P283" s="191">
        <v>42509</v>
      </c>
      <c r="Q283" s="192">
        <v>0.127</v>
      </c>
    </row>
    <row r="284" spans="14:17" ht="15">
      <c r="N284" s="187">
        <v>42510</v>
      </c>
      <c r="O284" s="180">
        <v>-0.14299999999999999</v>
      </c>
      <c r="P284" s="191">
        <v>42510</v>
      </c>
      <c r="Q284" s="192">
        <v>0.128</v>
      </c>
    </row>
    <row r="285" spans="14:17" ht="15">
      <c r="N285" s="187">
        <v>42513</v>
      </c>
      <c r="O285" s="180">
        <v>-0.14399999999999999</v>
      </c>
      <c r="P285" s="191">
        <v>42513</v>
      </c>
      <c r="Q285" s="192">
        <v>0.127</v>
      </c>
    </row>
    <row r="286" spans="14:17" ht="15">
      <c r="N286" s="187">
        <v>42514</v>
      </c>
      <c r="O286" s="180">
        <v>-0.14399999999999999</v>
      </c>
      <c r="P286" s="191">
        <v>42514</v>
      </c>
      <c r="Q286" s="192">
        <v>0.125</v>
      </c>
    </row>
    <row r="287" spans="14:17" ht="15">
      <c r="N287" s="187">
        <v>42515</v>
      </c>
      <c r="O287" s="180">
        <v>-0.14399999999999999</v>
      </c>
      <c r="P287" s="191">
        <v>42515</v>
      </c>
      <c r="Q287" s="192">
        <v>0.123</v>
      </c>
    </row>
    <row r="288" spans="14:17" ht="15">
      <c r="N288" s="187">
        <v>42516</v>
      </c>
      <c r="O288" s="180">
        <v>-0.14599999999999999</v>
      </c>
      <c r="P288" s="191">
        <v>42517</v>
      </c>
      <c r="Q288" s="192">
        <v>0.11799999999999999</v>
      </c>
    </row>
    <row r="289" spans="14:17" ht="15">
      <c r="N289" s="187">
        <v>42517</v>
      </c>
      <c r="O289" s="180">
        <v>-0.14899999999999999</v>
      </c>
      <c r="P289" s="191">
        <v>42520</v>
      </c>
      <c r="Q289" s="192">
        <v>0.113</v>
      </c>
    </row>
    <row r="290" spans="14:17" ht="15">
      <c r="N290" s="187">
        <v>42520</v>
      </c>
      <c r="O290" s="180">
        <v>-0.151</v>
      </c>
      <c r="P290" s="191">
        <v>42521</v>
      </c>
      <c r="Q290" s="192">
        <v>0.11</v>
      </c>
    </row>
    <row r="291" spans="14:17" ht="15">
      <c r="N291" s="187">
        <v>42521</v>
      </c>
      <c r="O291" s="180">
        <v>-0.153</v>
      </c>
      <c r="P291" s="191">
        <v>42522</v>
      </c>
      <c r="Q291" s="192">
        <v>0.10299999999999999</v>
      </c>
    </row>
    <row r="292" spans="14:17" ht="15">
      <c r="N292" s="187">
        <v>42522</v>
      </c>
      <c r="O292" s="180">
        <v>-0.153</v>
      </c>
      <c r="P292" s="191"/>
      <c r="Q292" s="193">
        <v>0.10299999999999999</v>
      </c>
    </row>
    <row r="293" spans="14:17" ht="15">
      <c r="N293" s="187">
        <v>42523</v>
      </c>
      <c r="O293" s="180">
        <v>-0.153</v>
      </c>
      <c r="P293" s="191">
        <v>42523</v>
      </c>
      <c r="Q293" s="192">
        <v>9.7000000000000003E-2</v>
      </c>
    </row>
    <row r="294" spans="14:17" ht="15">
      <c r="N294" s="187">
        <v>42524</v>
      </c>
      <c r="O294" s="180">
        <v>-0.154</v>
      </c>
      <c r="P294" s="191">
        <v>42524</v>
      </c>
      <c r="Q294" s="192">
        <v>9.1999999999999998E-2</v>
      </c>
    </row>
    <row r="295" spans="14:17" ht="15">
      <c r="N295" s="187">
        <v>42527</v>
      </c>
      <c r="O295" s="180">
        <v>-0.157</v>
      </c>
      <c r="P295" s="191">
        <v>42527</v>
      </c>
      <c r="Q295" s="192">
        <v>8.5999999999999993E-2</v>
      </c>
    </row>
    <row r="296" spans="14:17" ht="15">
      <c r="N296" s="187">
        <v>42528</v>
      </c>
      <c r="O296" s="180">
        <v>-0.159</v>
      </c>
      <c r="P296" s="191">
        <v>42528</v>
      </c>
      <c r="Q296" s="192">
        <v>8.2000000000000003E-2</v>
      </c>
    </row>
    <row r="297" spans="14:17" ht="15">
      <c r="N297" s="187">
        <v>42529</v>
      </c>
      <c r="O297" s="180">
        <v>-0.16</v>
      </c>
      <c r="P297" s="191">
        <v>42529</v>
      </c>
      <c r="Q297" s="192">
        <v>7.8E-2</v>
      </c>
    </row>
    <row r="298" spans="14:17" ht="15">
      <c r="N298" s="187">
        <v>42530</v>
      </c>
      <c r="O298" s="180">
        <v>-0.159</v>
      </c>
      <c r="P298" s="191">
        <v>42530</v>
      </c>
      <c r="Q298" s="192">
        <v>7.4999999999999997E-2</v>
      </c>
    </row>
    <row r="299" spans="14:17" ht="15">
      <c r="N299" s="187">
        <v>42531</v>
      </c>
      <c r="O299" s="180">
        <v>-0.159</v>
      </c>
      <c r="P299" s="191">
        <v>42531</v>
      </c>
      <c r="Q299" s="192">
        <v>7.0000000000000007E-2</v>
      </c>
    </row>
    <row r="300" spans="14:17" ht="15">
      <c r="N300" s="187">
        <v>42534</v>
      </c>
      <c r="O300" s="180">
        <v>-0.158</v>
      </c>
      <c r="P300" s="191">
        <v>42534</v>
      </c>
      <c r="Q300" s="192">
        <v>6.5000000000000002E-2</v>
      </c>
    </row>
    <row r="301" spans="14:17" ht="15">
      <c r="N301" s="187">
        <v>42535</v>
      </c>
      <c r="O301" s="180">
        <v>-0.159</v>
      </c>
      <c r="P301" s="191">
        <v>42535</v>
      </c>
      <c r="Q301" s="192">
        <v>0.06</v>
      </c>
    </row>
    <row r="302" spans="14:17" ht="15">
      <c r="N302" s="187">
        <v>42536</v>
      </c>
      <c r="O302" s="180">
        <v>-0.159</v>
      </c>
      <c r="P302" s="191">
        <v>42536</v>
      </c>
      <c r="Q302" s="192">
        <v>5.5E-2</v>
      </c>
    </row>
    <row r="303" spans="14:17" ht="15">
      <c r="N303" s="187">
        <v>42537</v>
      </c>
      <c r="O303" s="180">
        <v>-0.16</v>
      </c>
      <c r="P303" s="191">
        <v>42537</v>
      </c>
      <c r="Q303" s="192">
        <v>0.05</v>
      </c>
    </row>
    <row r="304" spans="14:17" ht="15">
      <c r="N304" s="187">
        <v>42538</v>
      </c>
      <c r="O304" s="180">
        <v>-0.159</v>
      </c>
      <c r="P304" s="191">
        <v>42538</v>
      </c>
      <c r="Q304" s="192">
        <v>4.3999999999999997E-2</v>
      </c>
    </row>
    <row r="305" spans="14:17" ht="15">
      <c r="N305" s="187">
        <v>42541</v>
      </c>
      <c r="O305" s="180">
        <v>-0.159</v>
      </c>
      <c r="P305" s="191">
        <v>42541</v>
      </c>
      <c r="Q305" s="192">
        <v>3.9E-2</v>
      </c>
    </row>
    <row r="306" spans="14:17" ht="15">
      <c r="N306" s="187">
        <v>42542</v>
      </c>
      <c r="O306" s="180">
        <v>-0.159</v>
      </c>
      <c r="P306" s="191">
        <v>42542</v>
      </c>
      <c r="Q306" s="192">
        <v>3.5000000000000003E-2</v>
      </c>
    </row>
    <row r="307" spans="14:17" ht="15">
      <c r="N307" s="187">
        <v>42543</v>
      </c>
      <c r="O307" s="180">
        <v>-0.161</v>
      </c>
      <c r="P307" s="191">
        <v>42543</v>
      </c>
      <c r="Q307" s="192">
        <v>0.03</v>
      </c>
    </row>
    <row r="308" spans="14:17" ht="15">
      <c r="N308" s="187">
        <v>42544</v>
      </c>
      <c r="O308" s="180">
        <v>-0.161</v>
      </c>
      <c r="P308" s="191">
        <v>42544</v>
      </c>
      <c r="Q308" s="192">
        <v>2.7E-2</v>
      </c>
    </row>
    <row r="309" spans="14:17" ht="15">
      <c r="N309" s="187">
        <v>42545</v>
      </c>
      <c r="O309" s="180">
        <v>-0.17499999999999999</v>
      </c>
      <c r="P309" s="191">
        <v>42545</v>
      </c>
      <c r="Q309" s="192">
        <v>2.1000000000000001E-2</v>
      </c>
    </row>
    <row r="310" spans="14:17" ht="15">
      <c r="N310" s="187">
        <v>42548</v>
      </c>
      <c r="O310" s="180">
        <v>-0.17599999999999999</v>
      </c>
      <c r="P310" s="191">
        <v>42548</v>
      </c>
      <c r="Q310" s="192">
        <v>1.2E-2</v>
      </c>
    </row>
    <row r="311" spans="14:17" ht="15">
      <c r="N311" s="187">
        <v>42549</v>
      </c>
      <c r="O311" s="180">
        <v>-0.17599999999999999</v>
      </c>
      <c r="P311" s="191">
        <v>42549</v>
      </c>
      <c r="Q311" s="192">
        <v>3.0000000000000001E-3</v>
      </c>
    </row>
    <row r="312" spans="14:17" ht="15">
      <c r="N312" s="187">
        <v>42550</v>
      </c>
      <c r="O312" s="180">
        <v>-0.17799999999999999</v>
      </c>
      <c r="P312" s="191">
        <v>42550</v>
      </c>
      <c r="Q312" s="192" t="s">
        <v>57</v>
      </c>
    </row>
    <row r="313" spans="14:17" ht="15">
      <c r="N313" s="187">
        <v>42551</v>
      </c>
      <c r="O313" s="180">
        <v>-0.17899999999999999</v>
      </c>
      <c r="P313" s="191">
        <v>42551</v>
      </c>
      <c r="Q313" s="192" t="s">
        <v>58</v>
      </c>
    </row>
    <row r="314" spans="14:17" ht="15">
      <c r="N314" s="187">
        <v>42552</v>
      </c>
      <c r="O314" s="180">
        <v>-0.182</v>
      </c>
      <c r="P314" s="191">
        <v>42552</v>
      </c>
      <c r="Q314" s="192" t="s">
        <v>59</v>
      </c>
    </row>
    <row r="315" spans="14:17" ht="15">
      <c r="N315" s="187">
        <v>42555</v>
      </c>
      <c r="O315" s="180">
        <v>-0.185</v>
      </c>
      <c r="P315" s="191">
        <v>42555</v>
      </c>
      <c r="Q315" s="192" t="s">
        <v>60</v>
      </c>
    </row>
    <row r="316" spans="14:17" ht="15">
      <c r="N316" s="187">
        <v>42556</v>
      </c>
      <c r="O316" s="180">
        <v>-0.188</v>
      </c>
      <c r="P316" s="191">
        <v>42556</v>
      </c>
      <c r="Q316" s="192" t="s">
        <v>61</v>
      </c>
    </row>
    <row r="317" spans="14:17" ht="15">
      <c r="N317" s="187">
        <v>42557</v>
      </c>
      <c r="O317" s="180">
        <v>-0.189</v>
      </c>
      <c r="P317" s="191">
        <v>42557</v>
      </c>
      <c r="Q317" s="192" t="s">
        <v>62</v>
      </c>
    </row>
    <row r="318" spans="14:17" ht="15">
      <c r="N318" s="187">
        <v>42558</v>
      </c>
      <c r="O318" s="180">
        <v>-0.189</v>
      </c>
      <c r="P318" s="191">
        <v>42558</v>
      </c>
      <c r="Q318" s="192" t="s">
        <v>63</v>
      </c>
    </row>
    <row r="319" spans="14:17" ht="15">
      <c r="N319" s="187">
        <v>42559</v>
      </c>
      <c r="O319" s="180">
        <v>-0.19</v>
      </c>
      <c r="P319" s="191">
        <v>42559</v>
      </c>
      <c r="Q319" s="192" t="s">
        <v>64</v>
      </c>
    </row>
    <row r="320" spans="14:17" ht="15">
      <c r="N320" s="187">
        <v>42562</v>
      </c>
      <c r="O320" s="180">
        <v>-0.19</v>
      </c>
      <c r="P320" s="191">
        <v>42562</v>
      </c>
      <c r="Q320" s="192" t="s">
        <v>65</v>
      </c>
    </row>
    <row r="321" spans="14:17" ht="15">
      <c r="N321" s="187">
        <v>42563</v>
      </c>
      <c r="O321" s="180">
        <v>-0.191</v>
      </c>
      <c r="P321" s="191">
        <v>42563</v>
      </c>
      <c r="Q321" s="192" t="s">
        <v>66</v>
      </c>
    </row>
    <row r="322" spans="14:17" ht="15">
      <c r="N322" s="187">
        <v>42564</v>
      </c>
      <c r="O322" s="180">
        <v>-0.191</v>
      </c>
      <c r="P322" s="191">
        <v>42564</v>
      </c>
      <c r="Q322" s="192" t="s">
        <v>67</v>
      </c>
    </row>
    <row r="323" spans="14:17" ht="15">
      <c r="N323" s="187">
        <v>42565</v>
      </c>
      <c r="O323" s="180">
        <v>-0.19</v>
      </c>
      <c r="P323" s="191">
        <v>42565</v>
      </c>
      <c r="Q323" s="192" t="s">
        <v>68</v>
      </c>
    </row>
    <row r="324" spans="14:17" ht="15">
      <c r="N324" s="187">
        <v>42566</v>
      </c>
      <c r="O324" s="180">
        <v>-0.187</v>
      </c>
      <c r="P324" s="191">
        <v>42566</v>
      </c>
      <c r="Q324" s="192" t="s">
        <v>69</v>
      </c>
    </row>
    <row r="325" spans="14:17" ht="15">
      <c r="N325" s="187">
        <v>42569</v>
      </c>
      <c r="O325" s="180">
        <v>-0.191</v>
      </c>
      <c r="P325" s="191">
        <v>42569</v>
      </c>
      <c r="Q325" s="192" t="s">
        <v>70</v>
      </c>
    </row>
    <row r="326" spans="14:17" ht="15">
      <c r="N326" s="187">
        <v>42570</v>
      </c>
      <c r="O326" s="180">
        <v>-0.189</v>
      </c>
      <c r="P326" s="191">
        <v>42570</v>
      </c>
      <c r="Q326" s="192" t="s">
        <v>71</v>
      </c>
    </row>
    <row r="327" spans="14:17" ht="15">
      <c r="N327" s="187">
        <v>42571</v>
      </c>
      <c r="O327" s="180">
        <v>-0.189</v>
      </c>
      <c r="P327" s="191">
        <v>42571</v>
      </c>
      <c r="Q327" s="192" t="s">
        <v>72</v>
      </c>
    </row>
    <row r="328" spans="14:17" ht="15">
      <c r="N328" s="187">
        <v>42572</v>
      </c>
      <c r="O328" s="180">
        <v>-0.188</v>
      </c>
      <c r="P328" s="191">
        <v>42572</v>
      </c>
      <c r="Q328" s="192" t="s">
        <v>73</v>
      </c>
    </row>
    <row r="329" spans="14:17" ht="15">
      <c r="N329" s="187">
        <v>42573</v>
      </c>
      <c r="O329" s="180">
        <v>-0.189</v>
      </c>
      <c r="P329" s="191">
        <v>42573</v>
      </c>
      <c r="Q329" s="192" t="s">
        <v>74</v>
      </c>
    </row>
    <row r="330" spans="14:17" ht="15">
      <c r="N330" s="187">
        <v>42576</v>
      </c>
      <c r="O330" s="180">
        <v>-0.188</v>
      </c>
      <c r="P330" s="191">
        <v>42576</v>
      </c>
      <c r="Q330" s="192" t="s">
        <v>75</v>
      </c>
    </row>
    <row r="331" spans="14:17" ht="15">
      <c r="N331" s="187">
        <v>42577</v>
      </c>
      <c r="O331" s="180">
        <v>-0.187</v>
      </c>
      <c r="P331" s="191">
        <v>42577</v>
      </c>
      <c r="Q331" s="192" t="s">
        <v>76</v>
      </c>
    </row>
    <row r="332" spans="14:17" ht="15">
      <c r="N332" s="187">
        <v>42578</v>
      </c>
      <c r="O332" s="180">
        <v>-0.187</v>
      </c>
      <c r="P332" s="191">
        <v>42578</v>
      </c>
      <c r="Q332" s="192" t="s">
        <v>77</v>
      </c>
    </row>
    <row r="333" spans="14:17" ht="15">
      <c r="N333" s="187">
        <v>42579</v>
      </c>
      <c r="O333" s="180">
        <v>-0.186</v>
      </c>
      <c r="P333" s="191">
        <v>42579</v>
      </c>
      <c r="Q333" s="192" t="s">
        <v>78</v>
      </c>
    </row>
    <row r="334" spans="14:17" ht="15">
      <c r="N334" s="187">
        <v>42580</v>
      </c>
      <c r="O334" s="180">
        <v>-0.186</v>
      </c>
      <c r="P334" s="191">
        <v>42580</v>
      </c>
      <c r="Q334" s="192" t="s">
        <v>79</v>
      </c>
    </row>
    <row r="335" spans="14:17" ht="15">
      <c r="N335" s="187">
        <v>42583</v>
      </c>
      <c r="O335" s="180">
        <v>-0.186</v>
      </c>
      <c r="P335" s="191">
        <v>42583</v>
      </c>
      <c r="Q335" s="192" t="s">
        <v>80</v>
      </c>
    </row>
    <row r="336" spans="14:17" ht="15">
      <c r="N336" s="187">
        <v>42584</v>
      </c>
      <c r="O336" s="180">
        <v>-0.184</v>
      </c>
      <c r="P336" s="191">
        <v>42584</v>
      </c>
      <c r="Q336" s="192" t="s">
        <v>80</v>
      </c>
    </row>
    <row r="337" spans="14:17" ht="15">
      <c r="N337" s="187">
        <v>42585</v>
      </c>
      <c r="O337" s="180">
        <v>-0.183</v>
      </c>
      <c r="P337" s="191">
        <v>42585</v>
      </c>
      <c r="Q337" s="192" t="s">
        <v>81</v>
      </c>
    </row>
    <row r="338" spans="14:17" ht="15">
      <c r="N338" s="187">
        <v>42586</v>
      </c>
      <c r="O338" s="180">
        <v>-0.183</v>
      </c>
      <c r="P338" s="191">
        <v>42586</v>
      </c>
      <c r="Q338" s="192" t="s">
        <v>80</v>
      </c>
    </row>
    <row r="339" spans="14:17" ht="15">
      <c r="N339" s="187">
        <v>42587</v>
      </c>
      <c r="O339" s="180">
        <v>-0.185</v>
      </c>
      <c r="P339" s="191">
        <v>42587</v>
      </c>
      <c r="Q339" s="192" t="s">
        <v>80</v>
      </c>
    </row>
    <row r="340" spans="14:17" ht="15">
      <c r="N340" s="187">
        <v>42590</v>
      </c>
      <c r="O340" s="180">
        <v>-0.185</v>
      </c>
      <c r="P340" s="191">
        <v>42590</v>
      </c>
      <c r="Q340" s="192" t="s">
        <v>81</v>
      </c>
    </row>
    <row r="341" spans="14:17" ht="15">
      <c r="N341" s="187">
        <v>42591</v>
      </c>
      <c r="O341" s="180">
        <v>-0.187</v>
      </c>
      <c r="P341" s="191">
        <v>42591</v>
      </c>
      <c r="Q341" s="192" t="s">
        <v>80</v>
      </c>
    </row>
    <row r="342" spans="14:17" ht="15">
      <c r="N342" s="187">
        <v>42592</v>
      </c>
      <c r="O342" s="180">
        <v>-0.188</v>
      </c>
      <c r="P342" s="191">
        <v>42592</v>
      </c>
      <c r="Q342" s="192" t="s">
        <v>82</v>
      </c>
    </row>
    <row r="343" spans="14:17" ht="15">
      <c r="N343" s="187">
        <v>42593</v>
      </c>
      <c r="O343" s="180">
        <v>-0.189</v>
      </c>
      <c r="P343" s="191">
        <v>42593</v>
      </c>
      <c r="Q343" s="192" t="s">
        <v>83</v>
      </c>
    </row>
    <row r="344" spans="14:17" ht="15">
      <c r="N344" s="187">
        <v>42594</v>
      </c>
      <c r="O344" s="180">
        <v>-0.188</v>
      </c>
      <c r="P344" s="191">
        <v>42594</v>
      </c>
      <c r="Q344" s="192" t="s">
        <v>84</v>
      </c>
    </row>
    <row r="345" spans="14:17" ht="15">
      <c r="N345" s="187">
        <v>42597</v>
      </c>
      <c r="O345" s="180">
        <v>-0.189</v>
      </c>
      <c r="P345" s="191"/>
      <c r="Q345" s="193" t="s">
        <v>84</v>
      </c>
    </row>
    <row r="346" spans="14:17" ht="15">
      <c r="N346" s="187">
        <v>42598</v>
      </c>
      <c r="O346" s="180">
        <v>-0.189</v>
      </c>
      <c r="P346" s="191">
        <v>42598</v>
      </c>
      <c r="Q346" s="192" t="s">
        <v>85</v>
      </c>
    </row>
    <row r="347" spans="14:17" ht="15">
      <c r="N347" s="187">
        <v>42599</v>
      </c>
      <c r="O347" s="180">
        <v>-0.19</v>
      </c>
      <c r="P347" s="191">
        <v>42599</v>
      </c>
      <c r="Q347" s="192" t="s">
        <v>86</v>
      </c>
    </row>
    <row r="348" spans="14:17" ht="15">
      <c r="N348" s="187">
        <v>42600</v>
      </c>
      <c r="O348" s="180">
        <v>-0.191</v>
      </c>
      <c r="P348" s="191">
        <v>42600</v>
      </c>
      <c r="Q348" s="192" t="s">
        <v>87</v>
      </c>
    </row>
    <row r="349" spans="14:17" ht="15">
      <c r="N349" s="187">
        <v>42601</v>
      </c>
      <c r="O349" s="180">
        <v>-0.189</v>
      </c>
      <c r="P349" s="191">
        <v>42601</v>
      </c>
      <c r="Q349" s="192" t="s">
        <v>88</v>
      </c>
    </row>
    <row r="350" spans="14:17" ht="15">
      <c r="N350" s="187">
        <v>42604</v>
      </c>
      <c r="O350" s="180">
        <v>-0.19</v>
      </c>
      <c r="P350" s="191">
        <v>42604</v>
      </c>
      <c r="Q350" s="192" t="s">
        <v>89</v>
      </c>
    </row>
    <row r="351" spans="14:17" ht="15">
      <c r="N351" s="187">
        <v>42605</v>
      </c>
      <c r="O351" s="180">
        <v>-0.192</v>
      </c>
      <c r="P351" s="191">
        <v>42605</v>
      </c>
      <c r="Q351" s="192" t="s">
        <v>90</v>
      </c>
    </row>
    <row r="352" spans="14:17" ht="15">
      <c r="N352" s="187">
        <v>42606</v>
      </c>
      <c r="O352" s="180">
        <v>-0.191</v>
      </c>
      <c r="P352" s="191">
        <v>42606</v>
      </c>
      <c r="Q352" s="192" t="s">
        <v>91</v>
      </c>
    </row>
    <row r="353" spans="14:17" ht="15">
      <c r="N353" s="187">
        <v>42607</v>
      </c>
      <c r="O353" s="180">
        <v>-0.192</v>
      </c>
      <c r="P353" s="191">
        <v>42607</v>
      </c>
      <c r="Q353" s="192" t="s">
        <v>92</v>
      </c>
    </row>
    <row r="354" spans="14:17" ht="15">
      <c r="N354" s="187">
        <v>42608</v>
      </c>
      <c r="O354" s="180">
        <v>-0.191</v>
      </c>
      <c r="P354" s="191">
        <v>42608</v>
      </c>
      <c r="Q354" s="192" t="s">
        <v>91</v>
      </c>
    </row>
    <row r="355" spans="14:17" ht="15">
      <c r="N355" s="187">
        <v>42611</v>
      </c>
      <c r="O355" s="180">
        <v>-0.193</v>
      </c>
      <c r="P355" s="191">
        <v>42611</v>
      </c>
      <c r="Q355" s="192" t="s">
        <v>93</v>
      </c>
    </row>
    <row r="356" spans="14:17" ht="15">
      <c r="N356" s="187">
        <v>42612</v>
      </c>
      <c r="O356" s="180">
        <v>-0.192</v>
      </c>
      <c r="P356" s="191">
        <v>42612</v>
      </c>
      <c r="Q356" s="192" t="s">
        <v>90</v>
      </c>
    </row>
    <row r="357" spans="14:17" ht="15">
      <c r="N357" s="187">
        <v>42613</v>
      </c>
      <c r="O357" s="180">
        <v>-0.192</v>
      </c>
      <c r="P357" s="191">
        <v>42613</v>
      </c>
      <c r="Q357" s="192" t="s">
        <v>93</v>
      </c>
    </row>
    <row r="358" spans="14:17" ht="15">
      <c r="N358" s="187">
        <v>42614</v>
      </c>
      <c r="O358" s="180">
        <v>-0.193</v>
      </c>
      <c r="P358" s="191">
        <v>42614</v>
      </c>
      <c r="Q358" s="192" t="s">
        <v>90</v>
      </c>
    </row>
    <row r="359" spans="14:17" ht="15">
      <c r="N359" s="187">
        <v>42615</v>
      </c>
      <c r="O359" s="180">
        <v>-0.193</v>
      </c>
      <c r="P359" s="191">
        <v>42615</v>
      </c>
      <c r="Q359" s="192" t="s">
        <v>94</v>
      </c>
    </row>
    <row r="360" spans="14:17" ht="15">
      <c r="N360" s="187">
        <v>42618</v>
      </c>
      <c r="O360" s="180">
        <v>-0.19500000000000001</v>
      </c>
      <c r="P360" s="191">
        <v>42618</v>
      </c>
      <c r="Q360" s="192" t="s">
        <v>95</v>
      </c>
    </row>
    <row r="361" spans="14:17" ht="15">
      <c r="N361" s="187">
        <v>42619</v>
      </c>
      <c r="O361" s="180">
        <v>-0.19700000000000001</v>
      </c>
      <c r="P361" s="191">
        <v>42619</v>
      </c>
      <c r="Q361" s="192" t="s">
        <v>95</v>
      </c>
    </row>
    <row r="362" spans="14:17" ht="15">
      <c r="N362" s="187">
        <v>42620</v>
      </c>
      <c r="O362" s="180">
        <v>-0.19800000000000001</v>
      </c>
      <c r="P362" s="191">
        <v>42620</v>
      </c>
      <c r="Q362" s="192" t="s">
        <v>94</v>
      </c>
    </row>
    <row r="363" spans="14:17" ht="15">
      <c r="N363" s="187">
        <v>42621</v>
      </c>
      <c r="O363" s="180">
        <v>-0.20100000000000001</v>
      </c>
      <c r="P363" s="191">
        <v>42621</v>
      </c>
      <c r="Q363" s="192" t="s">
        <v>89</v>
      </c>
    </row>
    <row r="364" spans="14:17" ht="15">
      <c r="N364" s="187">
        <v>42622</v>
      </c>
      <c r="O364" s="180">
        <v>-0.19800000000000001</v>
      </c>
      <c r="P364" s="191">
        <v>42622</v>
      </c>
      <c r="Q364" s="192" t="s">
        <v>88</v>
      </c>
    </row>
    <row r="365" spans="14:17" ht="15">
      <c r="N365" s="187">
        <v>42625</v>
      </c>
      <c r="O365" s="180">
        <v>-0.19800000000000001</v>
      </c>
      <c r="P365" s="191">
        <v>42625</v>
      </c>
      <c r="Q365" s="192" t="s">
        <v>96</v>
      </c>
    </row>
    <row r="366" spans="14:17" ht="15">
      <c r="N366" s="187">
        <v>42626</v>
      </c>
      <c r="O366" s="180">
        <v>-0.19900000000000001</v>
      </c>
      <c r="P366" s="191">
        <v>42626</v>
      </c>
      <c r="Q366" s="192" t="s">
        <v>85</v>
      </c>
    </row>
    <row r="367" spans="14:17" ht="15">
      <c r="N367" s="187">
        <v>42627</v>
      </c>
      <c r="O367" s="180">
        <v>-0.19900000000000001</v>
      </c>
      <c r="P367" s="191">
        <v>42627</v>
      </c>
      <c r="Q367" s="192" t="s">
        <v>84</v>
      </c>
    </row>
    <row r="368" spans="14:17" ht="15">
      <c r="N368" s="187">
        <v>42628</v>
      </c>
      <c r="O368" s="180">
        <v>-0.19900000000000001</v>
      </c>
      <c r="P368" s="191">
        <v>42628</v>
      </c>
      <c r="Q368" s="192" t="s">
        <v>97</v>
      </c>
    </row>
    <row r="369" spans="14:17" ht="15">
      <c r="N369" s="187">
        <v>42629</v>
      </c>
      <c r="O369" s="180">
        <v>-0.20100000000000001</v>
      </c>
      <c r="P369" s="191">
        <v>42629</v>
      </c>
      <c r="Q369" s="192" t="s">
        <v>98</v>
      </c>
    </row>
    <row r="370" spans="14:17" ht="15">
      <c r="N370" s="187">
        <v>42632</v>
      </c>
      <c r="O370" s="180">
        <v>-0.20200000000000001</v>
      </c>
      <c r="P370" s="191">
        <v>42632</v>
      </c>
      <c r="Q370" s="192" t="s">
        <v>99</v>
      </c>
    </row>
    <row r="371" spans="14:17" ht="15">
      <c r="N371" s="187">
        <v>42633</v>
      </c>
      <c r="O371" s="180">
        <v>-0.2</v>
      </c>
      <c r="P371" s="191">
        <v>42633</v>
      </c>
      <c r="Q371" s="192" t="s">
        <v>100</v>
      </c>
    </row>
    <row r="372" spans="14:17" ht="15">
      <c r="N372" s="187">
        <v>42634</v>
      </c>
      <c r="O372" s="180">
        <v>-0.20100000000000001</v>
      </c>
      <c r="P372" s="191">
        <v>42634</v>
      </c>
      <c r="Q372" s="192" t="s">
        <v>101</v>
      </c>
    </row>
    <row r="373" spans="14:17" ht="15">
      <c r="N373" s="187">
        <v>42635</v>
      </c>
      <c r="O373" s="180">
        <v>-0.20100000000000001</v>
      </c>
      <c r="P373" s="191">
        <v>42635</v>
      </c>
      <c r="Q373" s="192" t="s">
        <v>73</v>
      </c>
    </row>
    <row r="374" spans="14:17" ht="15">
      <c r="N374" s="187">
        <v>42636</v>
      </c>
      <c r="O374" s="180">
        <v>-0.2</v>
      </c>
      <c r="P374" s="191">
        <v>42636</v>
      </c>
      <c r="Q374" s="192" t="s">
        <v>73</v>
      </c>
    </row>
    <row r="375" spans="14:17" ht="15">
      <c r="N375" s="187">
        <v>42639</v>
      </c>
      <c r="O375" s="180">
        <v>-0.19900000000000001</v>
      </c>
      <c r="P375" s="191">
        <v>42639</v>
      </c>
      <c r="Q375" s="192" t="s">
        <v>99</v>
      </c>
    </row>
    <row r="376" spans="14:17" ht="15">
      <c r="N376" s="187">
        <v>42640</v>
      </c>
      <c r="O376" s="180">
        <v>-0.20100000000000001</v>
      </c>
      <c r="P376" s="191">
        <v>42640</v>
      </c>
      <c r="Q376" s="192" t="s">
        <v>75</v>
      </c>
    </row>
    <row r="377" spans="14:17" ht="15">
      <c r="N377" s="187">
        <v>42641</v>
      </c>
      <c r="O377" s="180">
        <v>-0.20200000000000001</v>
      </c>
      <c r="P377" s="191">
        <v>42641</v>
      </c>
      <c r="Q377" s="192" t="s">
        <v>98</v>
      </c>
    </row>
    <row r="378" spans="14:17" ht="15">
      <c r="N378" s="187">
        <v>42642</v>
      </c>
      <c r="O378" s="180">
        <v>-0.20100000000000001</v>
      </c>
      <c r="P378" s="191">
        <v>42642</v>
      </c>
      <c r="Q378" s="192" t="s">
        <v>77</v>
      </c>
    </row>
    <row r="379" spans="14:17" ht="15">
      <c r="N379" s="187">
        <v>42643</v>
      </c>
      <c r="O379" s="180">
        <v>-0.20300000000000001</v>
      </c>
      <c r="P379" s="191">
        <v>42643</v>
      </c>
      <c r="Q379" s="192" t="s">
        <v>102</v>
      </c>
    </row>
    <row r="380" spans="14:17" ht="15">
      <c r="N380" s="187">
        <v>42646</v>
      </c>
      <c r="O380" s="180">
        <v>-0.20300000000000001</v>
      </c>
      <c r="P380" s="191">
        <v>42646</v>
      </c>
      <c r="Q380" s="192" t="s">
        <v>103</v>
      </c>
    </row>
    <row r="381" spans="14:17" ht="15">
      <c r="N381" s="187">
        <v>42647</v>
      </c>
      <c r="O381" s="180">
        <v>-0.20200000000000001</v>
      </c>
      <c r="P381" s="191">
        <v>42647</v>
      </c>
      <c r="Q381" s="192" t="s">
        <v>104</v>
      </c>
    </row>
    <row r="382" spans="14:17" ht="15">
      <c r="N382" s="187">
        <v>42648</v>
      </c>
      <c r="O382" s="180">
        <v>-0.20300000000000001</v>
      </c>
      <c r="P382" s="191">
        <v>42648</v>
      </c>
      <c r="Q382" s="192" t="s">
        <v>105</v>
      </c>
    </row>
    <row r="383" spans="14:17" ht="15">
      <c r="N383" s="187">
        <v>42649</v>
      </c>
      <c r="O383" s="180">
        <v>-0.20200000000000001</v>
      </c>
      <c r="P383" s="191">
        <v>42649</v>
      </c>
      <c r="Q383" s="192" t="s">
        <v>106</v>
      </c>
    </row>
    <row r="384" spans="14:17" ht="15">
      <c r="N384" s="187">
        <v>42650</v>
      </c>
      <c r="O384" s="180">
        <v>-0.20300000000000001</v>
      </c>
      <c r="P384" s="191">
        <v>42650</v>
      </c>
      <c r="Q384" s="192" t="s">
        <v>76</v>
      </c>
    </row>
    <row r="385" spans="14:17" ht="15">
      <c r="N385" s="187">
        <v>42653</v>
      </c>
      <c r="O385" s="180">
        <v>-0.20300000000000001</v>
      </c>
      <c r="P385" s="191">
        <v>42653</v>
      </c>
      <c r="Q385" s="192" t="s">
        <v>97</v>
      </c>
    </row>
    <row r="386" spans="14:17" ht="15">
      <c r="N386" s="187">
        <v>42654</v>
      </c>
      <c r="O386" s="180">
        <v>-0.20300000000000001</v>
      </c>
      <c r="P386" s="191">
        <v>42654</v>
      </c>
      <c r="Q386" s="192" t="s">
        <v>97</v>
      </c>
    </row>
    <row r="387" spans="14:17" ht="15">
      <c r="N387" s="187">
        <v>42655</v>
      </c>
      <c r="O387" s="180">
        <v>-0.20399999999999999</v>
      </c>
      <c r="P387" s="191">
        <v>42655</v>
      </c>
      <c r="Q387" s="192" t="s">
        <v>98</v>
      </c>
    </row>
    <row r="388" spans="14:17" ht="15">
      <c r="N388" s="187">
        <v>42656</v>
      </c>
      <c r="O388" s="180">
        <v>-0.20399999999999999</v>
      </c>
      <c r="P388" s="191">
        <v>42656</v>
      </c>
      <c r="Q388" s="192" t="s">
        <v>99</v>
      </c>
    </row>
    <row r="389" spans="14:17" ht="15">
      <c r="N389" s="187">
        <v>42657</v>
      </c>
      <c r="O389" s="180">
        <v>-0.20399999999999999</v>
      </c>
      <c r="P389" s="191">
        <v>42657</v>
      </c>
      <c r="Q389" s="192" t="s">
        <v>100</v>
      </c>
    </row>
    <row r="390" spans="14:17" ht="15">
      <c r="N390" s="187">
        <v>42660</v>
      </c>
      <c r="O390" s="180">
        <v>-0.20399999999999999</v>
      </c>
      <c r="P390" s="191">
        <v>42660</v>
      </c>
      <c r="Q390" s="192" t="s">
        <v>101</v>
      </c>
    </row>
    <row r="391" spans="14:17" ht="15">
      <c r="N391" s="187">
        <v>42661</v>
      </c>
      <c r="O391" s="180">
        <v>-0.20899999999999999</v>
      </c>
      <c r="P391" s="191">
        <v>42661</v>
      </c>
      <c r="Q391" s="192" t="s">
        <v>107</v>
      </c>
    </row>
    <row r="392" spans="14:17" ht="15">
      <c r="N392" s="187">
        <v>42662</v>
      </c>
      <c r="O392" s="180">
        <v>-0.21</v>
      </c>
      <c r="P392" s="191">
        <v>42662</v>
      </c>
      <c r="Q392" s="192" t="s">
        <v>108</v>
      </c>
    </row>
    <row r="393" spans="14:17" ht="15">
      <c r="N393" s="187">
        <v>42663</v>
      </c>
      <c r="O393" s="180">
        <v>-0.21099999999999999</v>
      </c>
      <c r="P393" s="191">
        <v>42663</v>
      </c>
      <c r="Q393" s="192" t="s">
        <v>109</v>
      </c>
    </row>
    <row r="394" spans="14:17" ht="15">
      <c r="N394" s="187">
        <v>42664</v>
      </c>
      <c r="O394" s="180">
        <v>-0.21099999999999999</v>
      </c>
      <c r="P394" s="191">
        <v>42664</v>
      </c>
      <c r="Q394" s="192" t="s">
        <v>110</v>
      </c>
    </row>
    <row r="395" spans="14:17" ht="15">
      <c r="N395" s="187">
        <v>42667</v>
      </c>
      <c r="O395" s="180">
        <v>-0.21199999999999999</v>
      </c>
      <c r="P395" s="191">
        <v>42667</v>
      </c>
      <c r="Q395" s="192" t="s">
        <v>111</v>
      </c>
    </row>
    <row r="396" spans="14:17" ht="15">
      <c r="N396" s="187">
        <v>42668</v>
      </c>
      <c r="O396" s="180">
        <v>-0.21199999999999999</v>
      </c>
      <c r="P396" s="191">
        <v>42668</v>
      </c>
      <c r="Q396" s="192" t="s">
        <v>112</v>
      </c>
    </row>
    <row r="397" spans="14:17" ht="15">
      <c r="N397" s="187">
        <v>42669</v>
      </c>
      <c r="O397" s="180">
        <v>-0.21199999999999999</v>
      </c>
      <c r="P397" s="191"/>
      <c r="Q397" s="193" t="s">
        <v>112</v>
      </c>
    </row>
    <row r="398" spans="14:17" ht="15">
      <c r="N398" s="187">
        <v>42670</v>
      </c>
      <c r="O398" s="180">
        <v>-0.21299999999999999</v>
      </c>
      <c r="P398" s="191">
        <v>42670</v>
      </c>
      <c r="Q398" s="192" t="s">
        <v>113</v>
      </c>
    </row>
    <row r="399" spans="14:17" ht="15">
      <c r="N399" s="187">
        <v>42671</v>
      </c>
      <c r="O399" s="180">
        <v>-0.21199999999999999</v>
      </c>
      <c r="P399" s="191">
        <v>42671</v>
      </c>
      <c r="Q399" s="192" t="s">
        <v>114</v>
      </c>
    </row>
    <row r="400" spans="14:17" ht="15">
      <c r="N400" s="187">
        <v>42674</v>
      </c>
      <c r="O400" s="180">
        <v>-0.21199999999999999</v>
      </c>
      <c r="P400" s="191">
        <v>42674</v>
      </c>
      <c r="Q400" s="192" t="s">
        <v>115</v>
      </c>
    </row>
    <row r="401" spans="14:18" ht="15">
      <c r="N401" s="187">
        <v>42675</v>
      </c>
      <c r="O401" s="180">
        <v>-0.21099999999999999</v>
      </c>
      <c r="P401" s="191"/>
      <c r="Q401" s="193">
        <v>-0.1</v>
      </c>
      <c r="R401" s="111">
        <f>+(O401+Q401)/2+0.37</f>
        <v>0.2145</v>
      </c>
    </row>
    <row r="402" spans="14:18" ht="15">
      <c r="N402" s="187">
        <v>42676</v>
      </c>
      <c r="O402" s="180">
        <v>-0.21299999999999999</v>
      </c>
      <c r="P402" s="191">
        <v>42676</v>
      </c>
      <c r="Q402" s="192" t="s">
        <v>116</v>
      </c>
    </row>
    <row r="403" spans="14:18" ht="15">
      <c r="N403" s="187">
        <v>42677</v>
      </c>
      <c r="O403" s="180">
        <v>-0.21299999999999999</v>
      </c>
      <c r="P403" s="191">
        <v>42677</v>
      </c>
      <c r="Q403" s="192" t="s">
        <v>117</v>
      </c>
    </row>
    <row r="404" spans="14:18" ht="15">
      <c r="N404" s="187">
        <v>42678</v>
      </c>
      <c r="O404" s="180">
        <v>-0.21299999999999999</v>
      </c>
      <c r="P404" s="191">
        <v>42678</v>
      </c>
      <c r="Q404" s="192" t="s">
        <v>118</v>
      </c>
    </row>
    <row r="405" spans="14:18" ht="15">
      <c r="N405" s="187">
        <v>42681</v>
      </c>
      <c r="O405" s="180">
        <v>-0.21099999999999999</v>
      </c>
      <c r="P405" s="191">
        <v>42681</v>
      </c>
      <c r="Q405" s="192" t="s">
        <v>119</v>
      </c>
    </row>
    <row r="406" spans="14:18" ht="15">
      <c r="N406" s="187">
        <v>42682</v>
      </c>
      <c r="O406" s="180">
        <v>-0.21099999999999999</v>
      </c>
      <c r="P406" s="191">
        <v>42682</v>
      </c>
      <c r="Q406" s="192" t="s">
        <v>120</v>
      </c>
    </row>
    <row r="407" spans="14:18" ht="15">
      <c r="N407" s="187">
        <v>42683</v>
      </c>
      <c r="O407" s="180">
        <v>-0.21099999999999999</v>
      </c>
      <c r="P407" s="191">
        <v>42683</v>
      </c>
      <c r="Q407" s="192" t="s">
        <v>121</v>
      </c>
    </row>
    <row r="408" spans="14:18" ht="15">
      <c r="N408" s="187">
        <v>42684</v>
      </c>
      <c r="O408" s="180">
        <v>-0.21099999999999999</v>
      </c>
      <c r="P408" s="191">
        <v>42684</v>
      </c>
      <c r="Q408" s="192" t="s">
        <v>122</v>
      </c>
    </row>
    <row r="409" spans="14:18" ht="15">
      <c r="N409" s="187">
        <v>42685</v>
      </c>
      <c r="O409" s="180">
        <v>-0.21</v>
      </c>
      <c r="P409" s="191">
        <v>42685</v>
      </c>
      <c r="Q409" s="192" t="s">
        <v>123</v>
      </c>
    </row>
    <row r="410" spans="14:18" ht="15">
      <c r="N410" s="187">
        <v>42688</v>
      </c>
      <c r="O410" s="180">
        <v>-0.21099999999999999</v>
      </c>
      <c r="P410" s="191">
        <v>42688</v>
      </c>
      <c r="Q410" s="192" t="s">
        <v>124</v>
      </c>
    </row>
    <row r="411" spans="14:18" ht="15">
      <c r="N411" s="187">
        <v>42689</v>
      </c>
      <c r="O411" s="180">
        <v>-0.21099999999999999</v>
      </c>
      <c r="P411" s="191">
        <v>42689</v>
      </c>
      <c r="Q411" s="192" t="s">
        <v>125</v>
      </c>
    </row>
    <row r="412" spans="14:18" ht="15">
      <c r="N412" s="187">
        <v>42690</v>
      </c>
      <c r="O412" s="180">
        <v>-0.214</v>
      </c>
      <c r="P412" s="191">
        <v>42690</v>
      </c>
      <c r="Q412" s="192">
        <v>0</v>
      </c>
    </row>
    <row r="413" spans="14:18" ht="15">
      <c r="N413" s="187">
        <v>42691</v>
      </c>
      <c r="O413" s="180">
        <v>-0.215</v>
      </c>
      <c r="P413" s="191">
        <v>42691</v>
      </c>
      <c r="Q413" s="192">
        <v>8.9999999999999993E-3</v>
      </c>
    </row>
    <row r="414" spans="14:18" ht="15">
      <c r="N414" s="187">
        <v>42692</v>
      </c>
      <c r="O414" s="180">
        <v>-0.217</v>
      </c>
      <c r="P414" s="191">
        <v>42692</v>
      </c>
      <c r="Q414" s="192">
        <v>0.02</v>
      </c>
    </row>
    <row r="415" spans="14:18" ht="15">
      <c r="N415" s="187">
        <v>42695</v>
      </c>
      <c r="O415" s="180">
        <v>-0.219</v>
      </c>
      <c r="P415" s="191">
        <v>42695</v>
      </c>
      <c r="Q415" s="192">
        <v>0.03</v>
      </c>
    </row>
    <row r="416" spans="14:18" ht="15">
      <c r="N416" s="187">
        <v>42696</v>
      </c>
      <c r="O416" s="180">
        <v>-0.22</v>
      </c>
      <c r="P416" s="191">
        <v>42696</v>
      </c>
      <c r="Q416" s="192">
        <v>3.7999999999999999E-2</v>
      </c>
    </row>
    <row r="417" spans="14:17" ht="15">
      <c r="N417" s="187">
        <v>42697</v>
      </c>
      <c r="O417" s="180">
        <v>-0.22</v>
      </c>
      <c r="P417" s="191">
        <v>42697</v>
      </c>
      <c r="Q417" s="192">
        <v>4.8000000000000001E-2</v>
      </c>
    </row>
    <row r="418" spans="14:17" ht="15">
      <c r="N418" s="187">
        <v>42698</v>
      </c>
      <c r="O418" s="180">
        <v>-0.219</v>
      </c>
      <c r="P418" s="191">
        <v>42698</v>
      </c>
      <c r="Q418" s="192">
        <v>5.6000000000000001E-2</v>
      </c>
    </row>
    <row r="419" spans="14:17" ht="15">
      <c r="N419" s="187">
        <v>42699</v>
      </c>
      <c r="O419" s="180">
        <v>-0.219</v>
      </c>
      <c r="P419" s="191">
        <v>42699</v>
      </c>
      <c r="Q419" s="192">
        <v>6.0999999999999999E-2</v>
      </c>
    </row>
    <row r="420" spans="14:17" ht="15">
      <c r="N420" s="187">
        <v>42702</v>
      </c>
      <c r="O420" s="180">
        <v>-0.219</v>
      </c>
      <c r="P420" s="191">
        <v>42702</v>
      </c>
      <c r="Q420" s="192">
        <v>6.3E-2</v>
      </c>
    </row>
    <row r="421" spans="14:17" ht="15">
      <c r="N421" s="187">
        <v>42703</v>
      </c>
      <c r="O421" s="180">
        <v>-0.219</v>
      </c>
      <c r="P421" s="191">
        <v>42703</v>
      </c>
      <c r="Q421" s="192">
        <v>6.6000000000000003E-2</v>
      </c>
    </row>
    <row r="422" spans="14:17" ht="15">
      <c r="N422" s="187">
        <v>42704</v>
      </c>
      <c r="O422" s="180">
        <v>-0.219</v>
      </c>
      <c r="P422" s="191">
        <v>42704</v>
      </c>
      <c r="Q422" s="192">
        <v>7.0000000000000007E-2</v>
      </c>
    </row>
    <row r="423" spans="14:17" ht="15">
      <c r="N423" s="187">
        <v>42705</v>
      </c>
      <c r="O423" s="180">
        <v>-0.219</v>
      </c>
      <c r="P423" s="191">
        <v>42705</v>
      </c>
      <c r="Q423" s="192">
        <v>7.4999999999999997E-2</v>
      </c>
    </row>
    <row r="424" spans="14:17" ht="15">
      <c r="N424" s="187">
        <v>42706</v>
      </c>
      <c r="O424" s="180">
        <v>-0.218</v>
      </c>
      <c r="P424" s="191">
        <v>42706</v>
      </c>
      <c r="Q424" s="192">
        <v>0.08</v>
      </c>
    </row>
    <row r="425" spans="14:17" ht="15">
      <c r="N425" s="187">
        <v>42709</v>
      </c>
      <c r="O425" s="180">
        <v>-0.218</v>
      </c>
      <c r="P425" s="191">
        <v>42709</v>
      </c>
      <c r="Q425" s="192">
        <v>8.5999999999999993E-2</v>
      </c>
    </row>
    <row r="426" spans="14:17" ht="15">
      <c r="N426" s="187">
        <v>42710</v>
      </c>
      <c r="O426" s="180">
        <v>-0.219</v>
      </c>
      <c r="P426" s="191">
        <v>42710</v>
      </c>
      <c r="Q426" s="192">
        <v>9.1999999999999998E-2</v>
      </c>
    </row>
    <row r="427" spans="14:17" ht="15">
      <c r="N427" s="187">
        <v>42711</v>
      </c>
      <c r="O427" s="180">
        <v>-0.217</v>
      </c>
      <c r="P427" s="191">
        <v>42711</v>
      </c>
      <c r="Q427" s="192">
        <v>9.8000000000000004E-2</v>
      </c>
    </row>
    <row r="428" spans="14:17" ht="15">
      <c r="N428" s="187">
        <v>42712</v>
      </c>
      <c r="O428" s="180">
        <v>-0.217</v>
      </c>
      <c r="P428" s="191"/>
      <c r="Q428" s="193">
        <v>9.8000000000000004E-2</v>
      </c>
    </row>
    <row r="429" spans="14:17" ht="15">
      <c r="N429" s="187">
        <v>42713</v>
      </c>
      <c r="O429" s="180">
        <v>-0.217</v>
      </c>
      <c r="P429" s="191">
        <v>42713</v>
      </c>
      <c r="Q429" s="192">
        <v>0.1</v>
      </c>
    </row>
    <row r="430" spans="14:17" ht="15">
      <c r="N430" s="187">
        <v>42716</v>
      </c>
      <c r="O430" s="180">
        <v>-0.217</v>
      </c>
      <c r="P430" s="191">
        <v>42716</v>
      </c>
      <c r="Q430" s="192">
        <v>0.10199999999999999</v>
      </c>
    </row>
    <row r="431" spans="14:17" ht="15">
      <c r="N431" s="187">
        <v>42717</v>
      </c>
      <c r="O431" s="180">
        <v>-0.218</v>
      </c>
      <c r="P431" s="191">
        <v>42717</v>
      </c>
      <c r="Q431" s="192">
        <v>9.9000000000000005E-2</v>
      </c>
    </row>
    <row r="432" spans="14:17" ht="15">
      <c r="N432" s="187">
        <v>42718</v>
      </c>
      <c r="O432" s="180">
        <v>-0.217</v>
      </c>
      <c r="P432" s="191">
        <v>42718</v>
      </c>
      <c r="Q432" s="192">
        <v>9.8000000000000004E-2</v>
      </c>
    </row>
    <row r="433" spans="14:17" ht="15">
      <c r="N433" s="187">
        <v>42719</v>
      </c>
      <c r="O433" s="180">
        <v>-0.217</v>
      </c>
      <c r="P433" s="191">
        <v>42719</v>
      </c>
      <c r="Q433" s="192">
        <v>9.9000000000000005E-2</v>
      </c>
    </row>
    <row r="434" spans="14:17" ht="15">
      <c r="N434" s="187">
        <v>42720</v>
      </c>
      <c r="O434" s="180">
        <v>-0.216</v>
      </c>
      <c r="P434" s="191">
        <v>42720</v>
      </c>
      <c r="Q434" s="192">
        <v>9.8000000000000004E-2</v>
      </c>
    </row>
    <row r="435" spans="14:17" ht="15">
      <c r="N435" s="187">
        <v>42723</v>
      </c>
      <c r="O435" s="180">
        <v>-0.216</v>
      </c>
      <c r="P435" s="191">
        <v>42723</v>
      </c>
      <c r="Q435" s="192">
        <v>9.5000000000000001E-2</v>
      </c>
    </row>
    <row r="436" spans="14:17" ht="15">
      <c r="N436" s="187">
        <v>42724</v>
      </c>
      <c r="O436" s="180">
        <v>-0.218</v>
      </c>
      <c r="P436" s="191">
        <v>42724</v>
      </c>
      <c r="Q436" s="192">
        <v>9.2999999999999999E-2</v>
      </c>
    </row>
    <row r="437" spans="14:17" ht="15">
      <c r="N437" s="187">
        <v>42725</v>
      </c>
      <c r="O437" s="180">
        <v>-0.216</v>
      </c>
      <c r="P437" s="191">
        <v>42725</v>
      </c>
      <c r="Q437" s="192">
        <v>9.1999999999999998E-2</v>
      </c>
    </row>
    <row r="438" spans="14:17" ht="15">
      <c r="N438" s="187">
        <v>42726</v>
      </c>
      <c r="O438" s="180">
        <v>-0.216</v>
      </c>
      <c r="P438" s="191">
        <v>42726</v>
      </c>
      <c r="Q438" s="192">
        <v>9.0999999999999998E-2</v>
      </c>
    </row>
    <row r="439" spans="14:17" ht="15">
      <c r="N439" s="187">
        <v>42727</v>
      </c>
      <c r="O439" s="180">
        <v>-0.217</v>
      </c>
      <c r="P439" s="191">
        <v>42727</v>
      </c>
      <c r="Q439" s="192">
        <v>8.7999999999999995E-2</v>
      </c>
    </row>
    <row r="440" spans="14:17" ht="15">
      <c r="N440" s="187">
        <v>42730</v>
      </c>
      <c r="O440" s="180">
        <v>-0.217</v>
      </c>
      <c r="P440" s="191"/>
      <c r="Q440" s="193">
        <v>8.7999999999999995E-2</v>
      </c>
    </row>
    <row r="441" spans="14:17" ht="15">
      <c r="N441" s="187">
        <v>42731</v>
      </c>
      <c r="O441" s="180">
        <v>-0.22</v>
      </c>
      <c r="P441" s="191">
        <v>42731</v>
      </c>
      <c r="Q441" s="192">
        <v>8.5000000000000006E-2</v>
      </c>
    </row>
    <row r="442" spans="14:17" ht="15">
      <c r="N442" s="187">
        <v>42732</v>
      </c>
      <c r="O442" s="180">
        <v>-0.221</v>
      </c>
      <c r="P442" s="191">
        <v>42732</v>
      </c>
      <c r="Q442" s="192">
        <v>8.1000000000000003E-2</v>
      </c>
    </row>
    <row r="443" spans="14:17" ht="15">
      <c r="N443" s="187">
        <v>42733</v>
      </c>
      <c r="O443" s="180">
        <v>-0.221</v>
      </c>
      <c r="P443" s="191">
        <v>42733</v>
      </c>
      <c r="Q443" s="192">
        <v>7.8E-2</v>
      </c>
    </row>
    <row r="444" spans="14:17" ht="15">
      <c r="N444" s="187">
        <v>42734</v>
      </c>
      <c r="O444" s="180">
        <v>-0.221</v>
      </c>
      <c r="P444" s="191">
        <v>42734</v>
      </c>
      <c r="Q444" s="192">
        <v>7.5999999999999998E-2</v>
      </c>
    </row>
    <row r="445" spans="14:17" ht="15">
      <c r="N445" s="187">
        <v>42737</v>
      </c>
      <c r="O445" s="180">
        <v>-0.22</v>
      </c>
      <c r="P445" s="191">
        <v>42737</v>
      </c>
      <c r="Q445" s="192">
        <v>7.0000000000000007E-2</v>
      </c>
    </row>
    <row r="446" spans="14:17" ht="15">
      <c r="N446" s="187">
        <v>42738</v>
      </c>
      <c r="O446" s="180">
        <v>-0.221</v>
      </c>
      <c r="P446" s="191">
        <v>42738</v>
      </c>
      <c r="Q446" s="192">
        <v>6.7000000000000004E-2</v>
      </c>
    </row>
    <row r="447" spans="14:17" ht="15">
      <c r="N447" s="187">
        <v>42739</v>
      </c>
      <c r="O447" s="180">
        <v>-0.224</v>
      </c>
      <c r="P447" s="191">
        <v>42739</v>
      </c>
      <c r="Q447" s="192">
        <v>6.4000000000000001E-2</v>
      </c>
    </row>
    <row r="448" spans="14:17" ht="15">
      <c r="N448" s="187">
        <v>42740</v>
      </c>
      <c r="O448" s="180">
        <v>-0.22600000000000001</v>
      </c>
      <c r="P448" s="191">
        <v>42740</v>
      </c>
      <c r="Q448" s="192">
        <v>6.2E-2</v>
      </c>
    </row>
    <row r="449" spans="14:17" ht="15">
      <c r="N449" s="187">
        <v>42741</v>
      </c>
      <c r="O449" s="180">
        <v>-0.22900000000000001</v>
      </c>
      <c r="P449" s="191"/>
      <c r="Q449" s="193">
        <v>6.2E-2</v>
      </c>
    </row>
    <row r="450" spans="14:17" ht="15">
      <c r="N450" s="187">
        <v>42744</v>
      </c>
      <c r="O450" s="180">
        <v>-0.23</v>
      </c>
      <c r="P450" s="191">
        <v>42744</v>
      </c>
      <c r="Q450" s="192">
        <v>0.06</v>
      </c>
    </row>
    <row r="451" spans="14:17" ht="15">
      <c r="N451" s="187">
        <v>42745</v>
      </c>
      <c r="O451" s="180">
        <v>-0.23200000000000001</v>
      </c>
      <c r="P451" s="191">
        <v>42745</v>
      </c>
      <c r="Q451" s="192">
        <v>5.8999999999999997E-2</v>
      </c>
    </row>
    <row r="452" spans="14:17" ht="15">
      <c r="N452" s="187">
        <v>42746</v>
      </c>
      <c r="O452" s="180">
        <v>-0.23300000000000001</v>
      </c>
      <c r="P452" s="191">
        <v>42746</v>
      </c>
      <c r="Q452" s="192">
        <v>5.5E-2</v>
      </c>
    </row>
    <row r="453" spans="14:17" ht="15">
      <c r="N453" s="187">
        <v>42747</v>
      </c>
      <c r="O453" s="180">
        <v>-0.23400000000000001</v>
      </c>
      <c r="P453" s="191">
        <v>42747</v>
      </c>
      <c r="Q453" s="192">
        <v>5.7000000000000002E-2</v>
      </c>
    </row>
    <row r="454" spans="14:17" ht="15">
      <c r="N454" s="187">
        <v>42748</v>
      </c>
      <c r="O454" s="180">
        <v>-0.23599999999999999</v>
      </c>
      <c r="P454" s="191">
        <v>42748</v>
      </c>
      <c r="Q454" s="192">
        <v>5.6000000000000001E-2</v>
      </c>
    </row>
    <row r="455" spans="14:17" ht="15">
      <c r="N455" s="187">
        <v>42751</v>
      </c>
      <c r="O455" s="180">
        <v>-0.23799999999999999</v>
      </c>
      <c r="P455" s="191">
        <v>42751</v>
      </c>
      <c r="Q455" s="192">
        <v>0.10100000000000001</v>
      </c>
    </row>
    <row r="456" spans="14:17" ht="15">
      <c r="N456" s="187">
        <v>42752</v>
      </c>
      <c r="O456" s="180">
        <v>-0.23899999999999999</v>
      </c>
      <c r="P456" s="191">
        <v>42752</v>
      </c>
      <c r="Q456" s="192">
        <v>0.1</v>
      </c>
    </row>
    <row r="457" spans="14:17" ht="15">
      <c r="N457" s="187">
        <v>42753</v>
      </c>
      <c r="O457" s="180">
        <v>-0.24</v>
      </c>
      <c r="P457" s="191">
        <v>42753</v>
      </c>
      <c r="Q457" s="192">
        <v>0.1</v>
      </c>
    </row>
    <row r="458" spans="14:17" ht="15">
      <c r="N458" s="187">
        <v>42754</v>
      </c>
      <c r="O458" s="180">
        <v>-0.24</v>
      </c>
      <c r="P458" s="191">
        <v>42754</v>
      </c>
      <c r="Q458" s="192">
        <v>0.10299999999999999</v>
      </c>
    </row>
    <row r="459" spans="14:17" ht="15">
      <c r="N459" s="187">
        <v>42755</v>
      </c>
      <c r="O459" s="180">
        <v>-0.24099999999999999</v>
      </c>
      <c r="P459" s="191">
        <v>42755</v>
      </c>
      <c r="Q459" s="192">
        <v>0.108</v>
      </c>
    </row>
    <row r="460" spans="14:17" ht="15">
      <c r="N460" s="187">
        <v>42758</v>
      </c>
      <c r="O460" s="180">
        <v>-0.24099999999999999</v>
      </c>
      <c r="P460" s="191">
        <v>42758</v>
      </c>
      <c r="Q460" s="192">
        <v>0.113</v>
      </c>
    </row>
    <row r="461" spans="14:17" ht="15">
      <c r="N461" s="187">
        <v>42759</v>
      </c>
      <c r="O461" s="180">
        <v>-0.24199999999999999</v>
      </c>
      <c r="P461" s="191">
        <v>42759</v>
      </c>
      <c r="Q461" s="192">
        <v>0.11799999999999999</v>
      </c>
    </row>
    <row r="462" spans="14:17" ht="15">
      <c r="N462" s="187">
        <v>42760</v>
      </c>
      <c r="O462" s="180">
        <v>-0.24199999999999999</v>
      </c>
      <c r="P462" s="191">
        <v>42760</v>
      </c>
      <c r="Q462" s="192">
        <v>0.127</v>
      </c>
    </row>
    <row r="463" spans="14:17" ht="15">
      <c r="N463" s="187">
        <v>42761</v>
      </c>
      <c r="O463" s="180">
        <v>-0.24399999999999999</v>
      </c>
      <c r="P463" s="191">
        <v>42761</v>
      </c>
      <c r="Q463" s="192">
        <v>0.13800000000000001</v>
      </c>
    </row>
    <row r="464" spans="14:17" ht="15">
      <c r="N464" s="187">
        <v>42762</v>
      </c>
      <c r="O464" s="180">
        <v>-0.24299999999999999</v>
      </c>
      <c r="P464" s="191">
        <v>42762</v>
      </c>
      <c r="Q464" s="192">
        <v>0.14899999999999999</v>
      </c>
    </row>
    <row r="465" spans="14:17" ht="15">
      <c r="N465" s="187">
        <v>42765</v>
      </c>
      <c r="O465" s="180">
        <v>-0.24399999999999999</v>
      </c>
      <c r="P465" s="191">
        <v>42765</v>
      </c>
      <c r="Q465" s="192">
        <v>0.161</v>
      </c>
    </row>
    <row r="466" spans="14:17" ht="15">
      <c r="N466" s="187">
        <v>42766</v>
      </c>
      <c r="O466" s="180">
        <v>-0.24299999999999999</v>
      </c>
      <c r="P466" s="191">
        <v>42766</v>
      </c>
      <c r="Q466" s="192">
        <v>0.17199999999999999</v>
      </c>
    </row>
    <row r="467" spans="14:17" ht="15">
      <c r="N467" s="187">
        <v>42767</v>
      </c>
      <c r="O467" s="180">
        <v>-0.24399999999999999</v>
      </c>
      <c r="P467" s="191">
        <v>42767</v>
      </c>
      <c r="Q467" s="192">
        <v>0.18099999999999999</v>
      </c>
    </row>
    <row r="468" spans="14:17" ht="15">
      <c r="N468" s="187">
        <v>42768</v>
      </c>
      <c r="O468" s="180">
        <v>-0.24399999999999999</v>
      </c>
      <c r="P468" s="191">
        <v>42768</v>
      </c>
      <c r="Q468" s="192">
        <v>0.188</v>
      </c>
    </row>
    <row r="469" spans="14:17" ht="15">
      <c r="N469" s="187">
        <v>42769</v>
      </c>
      <c r="O469" s="180">
        <v>-0.24399999999999999</v>
      </c>
      <c r="P469" s="191">
        <v>42769</v>
      </c>
      <c r="Q469" s="192">
        <v>0.192</v>
      </c>
    </row>
    <row r="470" spans="14:17" ht="15">
      <c r="N470" s="187">
        <v>42772</v>
      </c>
      <c r="O470" s="180">
        <v>-0.24399999999999999</v>
      </c>
      <c r="P470" s="191">
        <v>42772</v>
      </c>
      <c r="Q470" s="192">
        <v>0.19500000000000001</v>
      </c>
    </row>
    <row r="471" spans="14:17" ht="15">
      <c r="N471" s="187">
        <v>42773</v>
      </c>
      <c r="O471" s="180">
        <v>-0.24399999999999999</v>
      </c>
      <c r="P471" s="191">
        <v>42773</v>
      </c>
      <c r="Q471" s="192">
        <v>0.19700000000000001</v>
      </c>
    </row>
    <row r="472" spans="14:17" ht="15">
      <c r="N472" s="187">
        <v>42774</v>
      </c>
      <c r="O472" s="180">
        <v>-0.24199999999999999</v>
      </c>
      <c r="P472" s="191">
        <v>42774</v>
      </c>
      <c r="Q472" s="192">
        <v>0.19800000000000001</v>
      </c>
    </row>
    <row r="473" spans="14:17" ht="15">
      <c r="N473" s="187">
        <v>42775</v>
      </c>
      <c r="O473" s="180">
        <v>-0.24099999999999999</v>
      </c>
      <c r="P473" s="191">
        <v>42775</v>
      </c>
      <c r="Q473" s="192">
        <v>0.2</v>
      </c>
    </row>
    <row r="474" spans="14:17" ht="15">
      <c r="N474" s="187">
        <v>42776</v>
      </c>
      <c r="O474" s="180">
        <v>-0.24</v>
      </c>
      <c r="P474" s="191">
        <v>42776</v>
      </c>
      <c r="Q474" s="192">
        <v>0.20200000000000001</v>
      </c>
    </row>
    <row r="475" spans="14:17" ht="15">
      <c r="N475" s="187">
        <v>42779</v>
      </c>
      <c r="O475" s="180">
        <v>-0.24</v>
      </c>
      <c r="P475" s="191">
        <v>42779</v>
      </c>
      <c r="Q475" s="192">
        <v>0.20399999999999999</v>
      </c>
    </row>
    <row r="476" spans="14:17" ht="15">
      <c r="N476" s="187">
        <v>42780</v>
      </c>
      <c r="O476" s="180">
        <v>-0.24099999999999999</v>
      </c>
      <c r="P476" s="191">
        <v>42780</v>
      </c>
      <c r="Q476" s="192">
        <v>0.20799999999999999</v>
      </c>
    </row>
    <row r="477" spans="14:17" ht="15">
      <c r="N477" s="187">
        <v>42781</v>
      </c>
      <c r="O477" s="180">
        <v>-0.24099999999999999</v>
      </c>
      <c r="P477" s="191">
        <v>42781</v>
      </c>
      <c r="Q477" s="192">
        <v>0.21099999999999999</v>
      </c>
    </row>
    <row r="478" spans="14:17" ht="15">
      <c r="N478" s="187">
        <v>42782</v>
      </c>
      <c r="O478" s="180">
        <v>-0.23899999999999999</v>
      </c>
      <c r="P478" s="191">
        <v>42782</v>
      </c>
      <c r="Q478" s="192">
        <v>0.21199999999999999</v>
      </c>
    </row>
    <row r="479" spans="14:17" ht="15">
      <c r="N479" s="187">
        <v>42783</v>
      </c>
      <c r="O479" s="180">
        <v>-0.23899999999999999</v>
      </c>
      <c r="P479" s="191">
        <v>42783</v>
      </c>
      <c r="Q479" s="192">
        <v>0.21</v>
      </c>
    </row>
    <row r="480" spans="14:17" ht="15">
      <c r="N480" s="187">
        <v>42786</v>
      </c>
      <c r="O480" s="180">
        <v>-0.23799999999999999</v>
      </c>
      <c r="P480" s="191">
        <v>42786</v>
      </c>
      <c r="Q480" s="192">
        <v>0.20899999999999999</v>
      </c>
    </row>
    <row r="481" spans="14:17" ht="15">
      <c r="N481" s="187">
        <v>42787</v>
      </c>
      <c r="O481" s="180">
        <v>-0.23799999999999999</v>
      </c>
      <c r="P481" s="191">
        <v>42787</v>
      </c>
      <c r="Q481" s="192">
        <v>0.20899999999999999</v>
      </c>
    </row>
    <row r="482" spans="14:17" ht="15">
      <c r="N482" s="187">
        <v>42788</v>
      </c>
      <c r="O482" s="180">
        <v>-0.23899999999999999</v>
      </c>
      <c r="P482" s="191">
        <v>42788</v>
      </c>
      <c r="Q482" s="192">
        <v>0.20399999999999999</v>
      </c>
    </row>
    <row r="483" spans="14:17" ht="15">
      <c r="N483" s="187">
        <v>42789</v>
      </c>
      <c r="O483" s="180">
        <v>-0.23799999999999999</v>
      </c>
      <c r="P483" s="191">
        <v>42789</v>
      </c>
      <c r="Q483" s="192">
        <v>0.19600000000000001</v>
      </c>
    </row>
    <row r="484" spans="14:17" ht="15">
      <c r="N484" s="187">
        <v>42790</v>
      </c>
      <c r="O484" s="180">
        <v>-0.23799999999999999</v>
      </c>
      <c r="P484" s="191">
        <v>42790</v>
      </c>
      <c r="Q484" s="192">
        <v>0.186</v>
      </c>
    </row>
    <row r="485" spans="14:17" ht="15">
      <c r="N485" s="187">
        <v>42793</v>
      </c>
      <c r="O485" s="180">
        <v>-0.23799999999999999</v>
      </c>
      <c r="P485" s="191">
        <v>42793</v>
      </c>
      <c r="Q485" s="192">
        <v>0.17399999999999999</v>
      </c>
    </row>
    <row r="486" spans="14:17" ht="15">
      <c r="N486" s="187">
        <v>42794</v>
      </c>
      <c r="O486" s="180">
        <v>-0.23899999999999999</v>
      </c>
      <c r="P486" s="191">
        <v>42794</v>
      </c>
      <c r="Q486" s="192">
        <v>0.16400000000000001</v>
      </c>
    </row>
    <row r="487" spans="14:17" ht="15">
      <c r="N487" s="187">
        <v>42795</v>
      </c>
      <c r="O487" s="180">
        <v>-0.23699999999999999</v>
      </c>
      <c r="P487" s="191">
        <v>42795</v>
      </c>
      <c r="Q487" s="192">
        <v>0.155</v>
      </c>
    </row>
    <row r="488" spans="14:17" ht="15">
      <c r="N488" s="187">
        <v>42796</v>
      </c>
      <c r="O488" s="180">
        <v>-0.23799999999999999</v>
      </c>
      <c r="P488" s="191">
        <v>42796</v>
      </c>
      <c r="Q488" s="192">
        <v>0.15</v>
      </c>
    </row>
    <row r="489" spans="14:17" ht="15">
      <c r="N489" s="187">
        <v>42797</v>
      </c>
      <c r="O489" s="180">
        <v>-0.23699999999999999</v>
      </c>
      <c r="P489" s="191">
        <v>42797</v>
      </c>
      <c r="Q489" s="192">
        <v>0.14499999999999999</v>
      </c>
    </row>
    <row r="490" spans="14:17" ht="15">
      <c r="N490" s="187">
        <v>42800</v>
      </c>
      <c r="O490" s="180">
        <v>-0.24099999999999999</v>
      </c>
      <c r="P490" s="191">
        <v>42800</v>
      </c>
      <c r="Q490" s="192">
        <v>0.14199999999999999</v>
      </c>
    </row>
    <row r="491" spans="14:17" ht="15">
      <c r="N491" s="187">
        <v>42801</v>
      </c>
      <c r="O491" s="180">
        <v>-0.24</v>
      </c>
      <c r="P491" s="191">
        <v>42801</v>
      </c>
      <c r="Q491" s="192">
        <v>0.13900000000000001</v>
      </c>
    </row>
    <row r="492" spans="14:17" ht="15">
      <c r="N492" s="187">
        <v>42802</v>
      </c>
      <c r="O492" s="180">
        <v>-0.24099999999999999</v>
      </c>
      <c r="P492" s="191">
        <v>42802</v>
      </c>
      <c r="Q492" s="192">
        <v>0.13800000000000001</v>
      </c>
    </row>
    <row r="493" spans="14:17" ht="15">
      <c r="N493" s="187">
        <v>42803</v>
      </c>
      <c r="O493" s="180">
        <v>-0.24099999999999999</v>
      </c>
      <c r="P493" s="191">
        <v>42803</v>
      </c>
      <c r="Q493" s="192">
        <v>0.14499999999999999</v>
      </c>
    </row>
    <row r="494" spans="14:17" ht="15">
      <c r="N494" s="187">
        <v>42804</v>
      </c>
      <c r="O494" s="180">
        <v>-0.24099999999999999</v>
      </c>
      <c r="P494" s="191">
        <v>42804</v>
      </c>
      <c r="Q494" s="192">
        <v>0.14699999999999999</v>
      </c>
    </row>
    <row r="495" spans="14:17" ht="15">
      <c r="N495" s="187">
        <v>42807</v>
      </c>
      <c r="O495" s="180">
        <v>-0.24099999999999999</v>
      </c>
      <c r="P495" s="191">
        <v>42807</v>
      </c>
      <c r="Q495" s="192">
        <v>0.14799999999999999</v>
      </c>
    </row>
    <row r="496" spans="14:17" ht="15">
      <c r="N496" s="187">
        <v>42808</v>
      </c>
      <c r="O496" s="180">
        <v>-0.24099999999999999</v>
      </c>
      <c r="P496" s="191">
        <v>42808</v>
      </c>
      <c r="Q496" s="192">
        <v>0.15</v>
      </c>
    </row>
    <row r="497" spans="14:17" ht="15">
      <c r="N497" s="187">
        <v>42809</v>
      </c>
      <c r="O497" s="180">
        <v>-0.24099999999999999</v>
      </c>
      <c r="P497" s="191">
        <v>42809</v>
      </c>
      <c r="Q497" s="192">
        <v>0.14899999999999999</v>
      </c>
    </row>
    <row r="498" spans="14:17" ht="15">
      <c r="N498" s="187">
        <v>42810</v>
      </c>
      <c r="O498" s="180">
        <v>-0.24099999999999999</v>
      </c>
      <c r="P498" s="191">
        <v>42810</v>
      </c>
      <c r="Q498" s="192">
        <v>0.15</v>
      </c>
    </row>
    <row r="499" spans="14:17" ht="15">
      <c r="N499" s="187">
        <v>42811</v>
      </c>
      <c r="O499" s="180">
        <v>-0.24099999999999999</v>
      </c>
      <c r="P499" s="191">
        <v>42811</v>
      </c>
      <c r="Q499" s="192">
        <v>0.152</v>
      </c>
    </row>
    <row r="500" spans="14:17" ht="15">
      <c r="N500" s="187">
        <v>42814</v>
      </c>
      <c r="O500" s="180">
        <v>-0.24099999999999999</v>
      </c>
      <c r="P500" s="191">
        <v>42814</v>
      </c>
      <c r="Q500" s="192">
        <v>0.155</v>
      </c>
    </row>
    <row r="501" spans="14:17" ht="15">
      <c r="N501" s="187">
        <v>42815</v>
      </c>
      <c r="O501" s="180">
        <v>-0.24099999999999999</v>
      </c>
      <c r="P501" s="191">
        <v>42815</v>
      </c>
      <c r="Q501" s="192">
        <v>0.158</v>
      </c>
    </row>
    <row r="502" spans="14:17" ht="15">
      <c r="N502" s="187">
        <v>42816</v>
      </c>
      <c r="O502" s="180">
        <v>-0.24199999999999999</v>
      </c>
      <c r="P502" s="191">
        <v>42816</v>
      </c>
      <c r="Q502" s="192">
        <v>0.161</v>
      </c>
    </row>
    <row r="503" spans="14:17" ht="15">
      <c r="N503" s="187">
        <v>42817</v>
      </c>
      <c r="O503" s="180">
        <v>-0.24199999999999999</v>
      </c>
      <c r="P503" s="191">
        <v>42817</v>
      </c>
      <c r="Q503" s="192">
        <v>0.16500000000000001</v>
      </c>
    </row>
    <row r="504" spans="14:17" ht="15">
      <c r="N504" s="187">
        <v>42818</v>
      </c>
      <c r="O504" s="180">
        <v>-0.24199999999999999</v>
      </c>
      <c r="P504" s="191">
        <v>42818</v>
      </c>
      <c r="Q504" s="192">
        <v>0.17299999999999999</v>
      </c>
    </row>
    <row r="505" spans="14:17" ht="15">
      <c r="N505" s="187">
        <v>42821</v>
      </c>
      <c r="O505" s="180">
        <v>-0.24199999999999999</v>
      </c>
      <c r="P505" s="191">
        <v>42821</v>
      </c>
      <c r="Q505" s="192">
        <v>0.18</v>
      </c>
    </row>
    <row r="506" spans="14:17" ht="15">
      <c r="N506" s="187">
        <v>42822</v>
      </c>
      <c r="O506" s="180">
        <v>-0.24199999999999999</v>
      </c>
      <c r="P506" s="191">
        <v>42822</v>
      </c>
      <c r="Q506" s="192">
        <v>0.186</v>
      </c>
    </row>
    <row r="507" spans="14:17" ht="15">
      <c r="N507" s="187">
        <v>42823</v>
      </c>
      <c r="O507" s="180">
        <v>-0.24199999999999999</v>
      </c>
      <c r="P507" s="191">
        <v>42823</v>
      </c>
      <c r="Q507" s="192">
        <v>0.19</v>
      </c>
    </row>
    <row r="508" spans="14:17" ht="15">
      <c r="N508" s="187">
        <v>42824</v>
      </c>
      <c r="O508" s="180">
        <v>-0.24099999999999999</v>
      </c>
      <c r="P508" s="191">
        <v>42824</v>
      </c>
      <c r="Q508" s="192">
        <v>0.19</v>
      </c>
    </row>
    <row r="509" spans="14:17" ht="15">
      <c r="N509" s="187">
        <v>42825</v>
      </c>
      <c r="O509" s="180">
        <v>-0.24099999999999999</v>
      </c>
      <c r="P509" s="191">
        <v>42825</v>
      </c>
      <c r="Q509" s="192">
        <v>0.19</v>
      </c>
    </row>
    <row r="510" spans="14:17" ht="15">
      <c r="N510" s="187">
        <v>42828</v>
      </c>
      <c r="O510" s="180">
        <v>-0.24299999999999999</v>
      </c>
      <c r="P510" s="191">
        <v>42828</v>
      </c>
      <c r="Q510" s="192">
        <v>0.189</v>
      </c>
    </row>
    <row r="511" spans="14:17" ht="15">
      <c r="N511" s="187">
        <v>42829</v>
      </c>
      <c r="O511" s="180">
        <v>-0.24199999999999999</v>
      </c>
      <c r="P511" s="191">
        <v>42829</v>
      </c>
      <c r="Q511" s="192">
        <v>0.186</v>
      </c>
    </row>
    <row r="512" spans="14:17" ht="15">
      <c r="N512" s="187">
        <v>42830</v>
      </c>
      <c r="O512" s="180">
        <v>-0.24099999999999999</v>
      </c>
      <c r="P512" s="191">
        <v>42830</v>
      </c>
      <c r="Q512" s="192">
        <v>0.182</v>
      </c>
    </row>
    <row r="513" spans="14:17" ht="15">
      <c r="N513" s="187">
        <v>42831</v>
      </c>
      <c r="O513" s="180">
        <v>-0.24199999999999999</v>
      </c>
      <c r="P513" s="191">
        <v>42831</v>
      </c>
      <c r="Q513" s="192">
        <v>0.17799999999999999</v>
      </c>
    </row>
    <row r="514" spans="14:17" ht="15">
      <c r="N514" s="187">
        <v>42832</v>
      </c>
      <c r="O514" s="180">
        <v>-0.24099999999999999</v>
      </c>
      <c r="P514" s="191">
        <v>42832</v>
      </c>
      <c r="Q514" s="192">
        <v>0.17</v>
      </c>
    </row>
    <row r="515" spans="14:17" ht="15">
      <c r="N515" s="187">
        <v>42835</v>
      </c>
      <c r="O515" s="180">
        <v>-0.24099999999999999</v>
      </c>
      <c r="P515" s="191">
        <v>42835</v>
      </c>
      <c r="Q515" s="192">
        <v>0.16200000000000001</v>
      </c>
    </row>
    <row r="516" spans="14:17" ht="15">
      <c r="N516" s="187">
        <v>42836</v>
      </c>
      <c r="O516" s="180">
        <v>-0.24199999999999999</v>
      </c>
      <c r="P516" s="191">
        <v>42836</v>
      </c>
      <c r="Q516" s="192">
        <v>0.154</v>
      </c>
    </row>
    <row r="517" spans="14:17" ht="15">
      <c r="N517" s="187">
        <v>42837</v>
      </c>
      <c r="O517" s="180">
        <v>-0.24199999999999999</v>
      </c>
      <c r="P517" s="191">
        <v>42837</v>
      </c>
      <c r="Q517" s="192">
        <v>0.14699999999999999</v>
      </c>
    </row>
    <row r="518" spans="14:17" ht="15">
      <c r="N518" s="187">
        <v>42838</v>
      </c>
      <c r="O518" s="180">
        <v>-0.246</v>
      </c>
      <c r="P518" s="191">
        <v>42838</v>
      </c>
      <c r="Q518" s="192">
        <v>0.13800000000000001</v>
      </c>
    </row>
    <row r="519" spans="14:17" ht="15">
      <c r="N519" s="187">
        <v>42839</v>
      </c>
      <c r="O519" s="180">
        <v>-0.246</v>
      </c>
      <c r="P519" s="191"/>
      <c r="Q519" s="193">
        <v>0.13800000000000001</v>
      </c>
    </row>
    <row r="520" spans="14:17" ht="15">
      <c r="N520" s="187">
        <v>42842</v>
      </c>
      <c r="O520" s="180">
        <v>-0.246</v>
      </c>
      <c r="P520" s="191"/>
      <c r="Q520" s="193">
        <v>0.13800000000000001</v>
      </c>
    </row>
    <row r="521" spans="14:17" ht="15">
      <c r="N521" s="187">
        <v>42843</v>
      </c>
      <c r="O521" s="180">
        <v>-0.25</v>
      </c>
      <c r="P521" s="191">
        <v>42843</v>
      </c>
      <c r="Q521" s="192">
        <v>0.123</v>
      </c>
    </row>
    <row r="522" spans="14:17" ht="15">
      <c r="N522" s="187">
        <v>42844</v>
      </c>
      <c r="O522" s="180">
        <v>-0.251</v>
      </c>
      <c r="P522" s="191">
        <v>42844</v>
      </c>
      <c r="Q522" s="192">
        <v>0.113</v>
      </c>
    </row>
    <row r="523" spans="14:17" ht="15">
      <c r="N523" s="187">
        <v>42845</v>
      </c>
      <c r="O523" s="180">
        <v>-0.249</v>
      </c>
      <c r="P523" s="191">
        <v>42845</v>
      </c>
      <c r="Q523" s="192">
        <v>0.11799999999999999</v>
      </c>
    </row>
    <row r="524" spans="14:17" ht="15">
      <c r="N524" s="187">
        <v>42846</v>
      </c>
      <c r="O524" s="180">
        <v>-0.249</v>
      </c>
      <c r="P524" s="191">
        <v>42846</v>
      </c>
      <c r="Q524" s="192">
        <v>0.113</v>
      </c>
    </row>
    <row r="525" spans="14:17" ht="15">
      <c r="N525" s="187">
        <v>42849</v>
      </c>
      <c r="O525" s="180">
        <v>-0.247</v>
      </c>
      <c r="P525" s="191">
        <v>42849</v>
      </c>
      <c r="Q525" s="192">
        <v>0.111</v>
      </c>
    </row>
    <row r="526" spans="14:17" ht="15">
      <c r="N526" s="187">
        <v>42850</v>
      </c>
      <c r="O526" s="180">
        <v>-0.248</v>
      </c>
      <c r="P526" s="191">
        <v>42850</v>
      </c>
      <c r="Q526" s="192">
        <v>0.112</v>
      </c>
    </row>
    <row r="527" spans="14:17" ht="15">
      <c r="N527" s="187">
        <v>42851</v>
      </c>
      <c r="O527" s="180">
        <v>-0.248</v>
      </c>
      <c r="P527" s="191">
        <v>42851</v>
      </c>
      <c r="Q527" s="192">
        <v>0.112</v>
      </c>
    </row>
    <row r="528" spans="14:17" ht="15">
      <c r="N528" s="187">
        <v>42852</v>
      </c>
      <c r="O528" s="180">
        <v>-0.248</v>
      </c>
      <c r="P528" s="191">
        <v>42852</v>
      </c>
      <c r="Q528" s="192">
        <v>0.112</v>
      </c>
    </row>
    <row r="529" spans="14:18" ht="15">
      <c r="N529" s="187">
        <v>42853</v>
      </c>
      <c r="O529" s="180">
        <v>-0.249</v>
      </c>
      <c r="P529" s="191">
        <v>42853</v>
      </c>
      <c r="Q529" s="192">
        <v>0.112</v>
      </c>
    </row>
    <row r="530" spans="14:18" ht="15">
      <c r="N530" s="187">
        <v>42856</v>
      </c>
      <c r="O530" s="180">
        <v>-0.249</v>
      </c>
      <c r="P530" s="191"/>
      <c r="Q530" s="193">
        <v>0.112</v>
      </c>
      <c r="R530" s="111">
        <f>+(O530+Q530)/2+0.37</f>
        <v>0.30149999999999999</v>
      </c>
    </row>
    <row r="531" spans="14:18" ht="15">
      <c r="N531" s="187">
        <v>42857</v>
      </c>
      <c r="O531" s="180">
        <v>-0.249</v>
      </c>
      <c r="P531" s="191">
        <v>42857</v>
      </c>
      <c r="Q531" s="192">
        <v>0.112</v>
      </c>
    </row>
    <row r="532" spans="14:18" ht="15">
      <c r="N532" s="187">
        <v>42858</v>
      </c>
      <c r="O532" s="180">
        <v>-0.251</v>
      </c>
      <c r="P532" s="191">
        <v>42858</v>
      </c>
      <c r="Q532" s="192">
        <v>0.114</v>
      </c>
    </row>
    <row r="533" spans="14:18" ht="15">
      <c r="N533" s="187">
        <v>42859</v>
      </c>
      <c r="O533" s="180">
        <v>-0.25</v>
      </c>
      <c r="P533" s="191">
        <v>42859</v>
      </c>
      <c r="Q533" s="192">
        <v>0.12</v>
      </c>
    </row>
    <row r="534" spans="14:18" ht="15">
      <c r="N534" s="187">
        <v>42860</v>
      </c>
      <c r="O534" s="180">
        <v>-0.248</v>
      </c>
      <c r="P534" s="191">
        <v>42860</v>
      </c>
      <c r="Q534" s="192">
        <v>0.126</v>
      </c>
    </row>
    <row r="535" spans="14:18" ht="15">
      <c r="N535" s="187">
        <v>42863</v>
      </c>
      <c r="O535" s="180">
        <v>-0.249</v>
      </c>
      <c r="P535" s="191">
        <v>42863</v>
      </c>
      <c r="Q535" s="192">
        <v>0.13300000000000001</v>
      </c>
    </row>
    <row r="536" spans="14:18" ht="15">
      <c r="N536" s="187">
        <v>42864</v>
      </c>
      <c r="O536" s="180">
        <v>-0.249</v>
      </c>
      <c r="P536" s="191">
        <v>42864</v>
      </c>
      <c r="Q536" s="192">
        <v>0.14099999999999999</v>
      </c>
    </row>
    <row r="537" spans="14:18" ht="15">
      <c r="N537" s="187">
        <v>42865</v>
      </c>
      <c r="O537" s="180">
        <v>-0.249</v>
      </c>
      <c r="P537" s="191">
        <v>42865</v>
      </c>
      <c r="Q537" s="192">
        <v>0.14899999999999999</v>
      </c>
    </row>
    <row r="538" spans="14:18" ht="15">
      <c r="N538" s="187">
        <v>42866</v>
      </c>
      <c r="O538" s="180">
        <v>-0.25</v>
      </c>
      <c r="P538" s="191">
        <v>42866</v>
      </c>
      <c r="Q538" s="192">
        <v>0.16300000000000001</v>
      </c>
    </row>
    <row r="539" spans="14:18" ht="15">
      <c r="N539" s="187">
        <v>42867</v>
      </c>
      <c r="O539" s="180">
        <v>-0.251</v>
      </c>
      <c r="P539" s="191">
        <v>42867</v>
      </c>
      <c r="Q539" s="192">
        <v>0.17100000000000001</v>
      </c>
    </row>
    <row r="540" spans="14:18" ht="15">
      <c r="N540" s="187">
        <v>42870</v>
      </c>
      <c r="O540" s="180">
        <v>-0.251</v>
      </c>
      <c r="P540" s="191">
        <v>42870</v>
      </c>
      <c r="Q540" s="192">
        <v>0.17899999999999999</v>
      </c>
    </row>
    <row r="541" spans="14:18" ht="15">
      <c r="N541" s="187">
        <v>42871</v>
      </c>
      <c r="O541" s="180">
        <v>-0.25</v>
      </c>
      <c r="P541" s="191">
        <v>42871</v>
      </c>
      <c r="Q541" s="192">
        <v>0.182</v>
      </c>
    </row>
    <row r="542" spans="14:18" ht="15">
      <c r="N542" s="187">
        <v>42872</v>
      </c>
      <c r="O542" s="180">
        <v>-0.251</v>
      </c>
      <c r="P542" s="191">
        <v>42872</v>
      </c>
      <c r="Q542" s="192">
        <v>0.19</v>
      </c>
    </row>
    <row r="543" spans="14:18" ht="15">
      <c r="N543" s="187">
        <v>42873</v>
      </c>
      <c r="O543" s="180">
        <v>-0.251</v>
      </c>
      <c r="P543" s="191">
        <v>42873</v>
      </c>
      <c r="Q543" s="192">
        <v>0.19600000000000001</v>
      </c>
    </row>
    <row r="544" spans="14:18" ht="15">
      <c r="N544" s="187">
        <v>42874</v>
      </c>
      <c r="O544" s="180">
        <v>-0.251</v>
      </c>
      <c r="P544" s="191">
        <v>42874</v>
      </c>
      <c r="Q544" s="192">
        <v>0.2</v>
      </c>
    </row>
    <row r="545" spans="14:17" ht="15">
      <c r="N545" s="187">
        <v>42877</v>
      </c>
      <c r="O545" s="180">
        <v>-0.251</v>
      </c>
      <c r="P545" s="191">
        <v>42877</v>
      </c>
      <c r="Q545" s="192">
        <v>0.20499999999999999</v>
      </c>
    </row>
    <row r="546" spans="14:17" ht="15">
      <c r="N546" s="187">
        <v>42878</v>
      </c>
      <c r="O546" s="180">
        <v>-0.251</v>
      </c>
      <c r="P546" s="191">
        <v>42878</v>
      </c>
      <c r="Q546" s="192">
        <v>0.20699999999999999</v>
      </c>
    </row>
    <row r="547" spans="14:17" ht="15">
      <c r="N547" s="187">
        <v>42879</v>
      </c>
      <c r="O547" s="180">
        <v>-0.25</v>
      </c>
      <c r="P547" s="191">
        <v>42879</v>
      </c>
      <c r="Q547" s="192">
        <v>0.20699999999999999</v>
      </c>
    </row>
    <row r="548" spans="14:17" ht="15">
      <c r="N548" s="187">
        <v>42880</v>
      </c>
      <c r="O548" s="180">
        <v>-0.251</v>
      </c>
      <c r="P548" s="191"/>
      <c r="Q548" s="193">
        <v>0.20699999999999999</v>
      </c>
    </row>
    <row r="549" spans="14:17" ht="15">
      <c r="N549" s="187">
        <v>42881</v>
      </c>
      <c r="O549" s="180">
        <v>-0.254</v>
      </c>
      <c r="P549" s="191">
        <v>42881</v>
      </c>
      <c r="Q549" s="192">
        <v>0.20599999999999999</v>
      </c>
    </row>
    <row r="550" spans="14:17" ht="15">
      <c r="N550" s="187">
        <v>42884</v>
      </c>
      <c r="O550" s="180">
        <v>-0.254</v>
      </c>
      <c r="P550" s="191">
        <v>42884</v>
      </c>
      <c r="Q550" s="192">
        <v>0.20499999999999999</v>
      </c>
    </row>
    <row r="551" spans="14:17" ht="15">
      <c r="N551" s="187">
        <v>42885</v>
      </c>
      <c r="O551" s="180">
        <v>-0.254</v>
      </c>
      <c r="P551" s="191">
        <v>42885</v>
      </c>
      <c r="Q551" s="192">
        <v>0.20300000000000001</v>
      </c>
    </row>
    <row r="552" spans="14:17" ht="15">
      <c r="N552" s="187">
        <v>42886</v>
      </c>
      <c r="O552" s="180">
        <v>-0.254</v>
      </c>
      <c r="P552" s="191">
        <v>42886</v>
      </c>
      <c r="Q552" s="192">
        <v>0.20200000000000001</v>
      </c>
    </row>
    <row r="553" spans="14:17" ht="15">
      <c r="N553" s="187">
        <v>42887</v>
      </c>
      <c r="O553" s="180">
        <v>-0.254</v>
      </c>
      <c r="P553" s="191">
        <v>42887</v>
      </c>
      <c r="Q553" s="192">
        <v>0.20200000000000001</v>
      </c>
    </row>
    <row r="554" spans="14:17" ht="15">
      <c r="N554" s="187">
        <v>42888</v>
      </c>
      <c r="O554" s="180">
        <v>-0.255</v>
      </c>
      <c r="P554" s="191">
        <v>42888</v>
      </c>
      <c r="Q554" s="192">
        <v>0.19800000000000001</v>
      </c>
    </row>
    <row r="555" spans="14:17" ht="15">
      <c r="N555" s="187">
        <v>42891</v>
      </c>
      <c r="O555" s="180">
        <v>-0.25600000000000001</v>
      </c>
      <c r="P555" s="191"/>
      <c r="Q555" s="193">
        <v>0.19800000000000001</v>
      </c>
    </row>
    <row r="556" spans="14:17" ht="15">
      <c r="N556" s="187">
        <v>42892</v>
      </c>
      <c r="O556" s="180">
        <v>-0.25700000000000001</v>
      </c>
      <c r="P556" s="191">
        <v>42892</v>
      </c>
      <c r="Q556" s="192">
        <v>0.193</v>
      </c>
    </row>
    <row r="557" spans="14:17" ht="15">
      <c r="N557" s="187">
        <v>42893</v>
      </c>
      <c r="O557" s="180">
        <v>-0.25900000000000001</v>
      </c>
      <c r="P557" s="191">
        <v>42893</v>
      </c>
      <c r="Q557" s="192">
        <v>0.188</v>
      </c>
    </row>
    <row r="558" spans="14:17" ht="15">
      <c r="N558" s="187">
        <v>42894</v>
      </c>
      <c r="O558" s="180">
        <v>-0.26</v>
      </c>
      <c r="P558" s="191">
        <v>42894</v>
      </c>
      <c r="Q558" s="192">
        <v>0.184</v>
      </c>
    </row>
    <row r="559" spans="14:17" ht="15">
      <c r="N559" s="187">
        <v>42895</v>
      </c>
      <c r="O559" s="180">
        <v>-0.26400000000000001</v>
      </c>
      <c r="P559" s="191">
        <v>42895</v>
      </c>
      <c r="Q559" s="192">
        <v>0.17799999999999999</v>
      </c>
    </row>
    <row r="560" spans="14:17" ht="15">
      <c r="N560" s="187">
        <v>42898</v>
      </c>
      <c r="O560" s="180">
        <v>-0.26600000000000001</v>
      </c>
      <c r="P560" s="191">
        <v>42898</v>
      </c>
      <c r="Q560" s="192">
        <v>0.17199999999999999</v>
      </c>
    </row>
    <row r="561" spans="14:17" ht="15">
      <c r="N561" s="187">
        <v>42899</v>
      </c>
      <c r="O561" s="180">
        <v>-0.27</v>
      </c>
      <c r="P561" s="191">
        <v>42899</v>
      </c>
      <c r="Q561" s="192">
        <v>0.16700000000000001</v>
      </c>
    </row>
    <row r="562" spans="14:17" ht="15">
      <c r="N562" s="187">
        <v>42900</v>
      </c>
      <c r="O562" s="180">
        <v>-0.27100000000000002</v>
      </c>
      <c r="P562" s="191">
        <v>42900</v>
      </c>
      <c r="Q562" s="192">
        <v>0.161</v>
      </c>
    </row>
    <row r="563" spans="14:17" ht="15">
      <c r="N563" s="187">
        <v>42901</v>
      </c>
      <c r="O563" s="180">
        <v>-0.27100000000000002</v>
      </c>
      <c r="P563" s="191"/>
      <c r="Q563" s="193">
        <v>0.161</v>
      </c>
    </row>
    <row r="564" spans="14:17" ht="15">
      <c r="N564" s="187">
        <v>42902</v>
      </c>
      <c r="O564" s="180">
        <v>-0.27100000000000002</v>
      </c>
      <c r="P564" s="191">
        <v>42902</v>
      </c>
      <c r="Q564" s="192">
        <v>0.157</v>
      </c>
    </row>
    <row r="565" spans="14:17" ht="15">
      <c r="N565" s="187">
        <v>42905</v>
      </c>
      <c r="O565" s="180">
        <v>-0.27100000000000002</v>
      </c>
      <c r="P565" s="191">
        <v>42905</v>
      </c>
      <c r="Q565" s="192">
        <v>0.152</v>
      </c>
    </row>
    <row r="566" spans="14:17" ht="15">
      <c r="N566" s="187">
        <v>42906</v>
      </c>
      <c r="O566" s="180">
        <v>-0.27100000000000002</v>
      </c>
      <c r="P566" s="191">
        <v>42906</v>
      </c>
      <c r="Q566" s="192">
        <v>0.15</v>
      </c>
    </row>
    <row r="567" spans="14:17" ht="15">
      <c r="N567" s="187">
        <v>42907</v>
      </c>
      <c r="O567" s="180">
        <v>-0.27100000000000002</v>
      </c>
      <c r="P567" s="191">
        <v>42907</v>
      </c>
      <c r="Q567" s="192">
        <v>0.14499999999999999</v>
      </c>
    </row>
    <row r="568" spans="14:17" ht="15">
      <c r="N568" s="187">
        <v>42908</v>
      </c>
      <c r="O568" s="180">
        <v>-0.27200000000000002</v>
      </c>
      <c r="P568" s="191">
        <v>42908</v>
      </c>
      <c r="Q568" s="192">
        <v>0.14099999999999999</v>
      </c>
    </row>
    <row r="569" spans="14:17" ht="15">
      <c r="N569" s="187">
        <v>42909</v>
      </c>
      <c r="O569" s="180">
        <v>-0.27300000000000002</v>
      </c>
      <c r="P569" s="191">
        <v>42909</v>
      </c>
      <c r="Q569" s="192">
        <v>0.13600000000000001</v>
      </c>
    </row>
    <row r="570" spans="14:17" ht="15">
      <c r="N570" s="187">
        <v>42912</v>
      </c>
      <c r="O570" s="180">
        <v>-0.27300000000000002</v>
      </c>
      <c r="P570" s="191">
        <v>42912</v>
      </c>
      <c r="Q570" s="192">
        <v>0.13100000000000001</v>
      </c>
    </row>
    <row r="571" spans="14:17" ht="15">
      <c r="N571" s="187">
        <v>42913</v>
      </c>
      <c r="O571" s="180">
        <v>-0.27300000000000002</v>
      </c>
      <c r="P571" s="191">
        <v>42913</v>
      </c>
      <c r="Q571" s="192">
        <v>0.13200000000000001</v>
      </c>
    </row>
    <row r="572" spans="14:17" ht="15">
      <c r="N572" s="187">
        <v>42914</v>
      </c>
      <c r="O572" s="180">
        <v>-0.27100000000000002</v>
      </c>
      <c r="P572" s="191">
        <v>42914</v>
      </c>
      <c r="Q572" s="192">
        <v>0.13500000000000001</v>
      </c>
    </row>
    <row r="573" spans="14:17" ht="15">
      <c r="N573" s="187">
        <v>42915</v>
      </c>
      <c r="O573" s="180">
        <v>-0.27</v>
      </c>
      <c r="P573" s="191">
        <v>42915</v>
      </c>
      <c r="Q573" s="192">
        <v>0.14099999999999999</v>
      </c>
    </row>
    <row r="574" spans="14:17" ht="15">
      <c r="N574" s="187">
        <v>42916</v>
      </c>
      <c r="O574" s="180">
        <v>-0.27100000000000002</v>
      </c>
      <c r="P574" s="191">
        <v>42916</v>
      </c>
      <c r="Q574" s="192">
        <v>0.14899999999999999</v>
      </c>
    </row>
    <row r="575" spans="14:17" ht="15">
      <c r="N575" s="187">
        <v>42919</v>
      </c>
      <c r="O575" s="180">
        <v>-0.27100000000000002</v>
      </c>
      <c r="P575" s="191">
        <v>42919</v>
      </c>
      <c r="Q575" s="192">
        <v>0.155</v>
      </c>
    </row>
    <row r="576" spans="14:17" ht="15">
      <c r="N576" s="187">
        <v>42920</v>
      </c>
      <c r="O576" s="180">
        <v>-0.27200000000000002</v>
      </c>
      <c r="P576" s="191">
        <v>42920</v>
      </c>
      <c r="Q576" s="192">
        <v>0.16200000000000001</v>
      </c>
    </row>
    <row r="577" spans="14:17" ht="15">
      <c r="N577" s="187">
        <v>42921</v>
      </c>
      <c r="O577" s="180">
        <v>-0.27400000000000002</v>
      </c>
      <c r="P577" s="191">
        <v>42921</v>
      </c>
      <c r="Q577" s="192">
        <v>0.17</v>
      </c>
    </row>
    <row r="578" spans="14:17" ht="15">
      <c r="N578" s="187">
        <v>42922</v>
      </c>
      <c r="O578" s="180">
        <v>-0.27300000000000002</v>
      </c>
      <c r="P578" s="191">
        <v>42922</v>
      </c>
      <c r="Q578" s="192">
        <v>0.185</v>
      </c>
    </row>
    <row r="579" spans="14:17" ht="15">
      <c r="N579" s="187">
        <v>42923</v>
      </c>
      <c r="O579" s="180">
        <v>-0.27200000000000002</v>
      </c>
      <c r="P579" s="191">
        <v>42923</v>
      </c>
      <c r="Q579" s="192">
        <v>0.19600000000000001</v>
      </c>
    </row>
    <row r="580" spans="14:17" ht="15">
      <c r="N580" s="187">
        <v>42926</v>
      </c>
      <c r="O580" s="180">
        <v>-0.27300000000000002</v>
      </c>
      <c r="P580" s="191">
        <v>42926</v>
      </c>
      <c r="Q580" s="192">
        <v>0.20699999999999999</v>
      </c>
    </row>
    <row r="581" spans="14:17" ht="15">
      <c r="N581" s="187">
        <v>42927</v>
      </c>
      <c r="O581" s="180">
        <v>-0.27300000000000002</v>
      </c>
      <c r="P581" s="191">
        <v>42927</v>
      </c>
      <c r="Q581" s="192">
        <v>0.218</v>
      </c>
    </row>
    <row r="582" spans="14:17" ht="15">
      <c r="N582" s="187">
        <v>42928</v>
      </c>
      <c r="O582" s="180">
        <v>-0.27300000000000002</v>
      </c>
      <c r="P582" s="191">
        <v>42928</v>
      </c>
      <c r="Q582" s="192">
        <v>0.22700000000000001</v>
      </c>
    </row>
    <row r="583" spans="14:17" ht="15">
      <c r="N583" s="187">
        <v>42929</v>
      </c>
      <c r="O583" s="180">
        <v>-0.27300000000000002</v>
      </c>
      <c r="P583" s="191">
        <v>42929</v>
      </c>
      <c r="Q583" s="192">
        <v>0.23599999999999999</v>
      </c>
    </row>
    <row r="584" spans="14:17" ht="15">
      <c r="N584" s="187">
        <v>42930</v>
      </c>
      <c r="O584" s="180">
        <v>-0.27300000000000002</v>
      </c>
      <c r="P584" s="191">
        <v>42930</v>
      </c>
      <c r="Q584" s="192">
        <v>0.24299999999999999</v>
      </c>
    </row>
    <row r="585" spans="14:17" ht="15">
      <c r="N585" s="187">
        <v>42933</v>
      </c>
      <c r="O585" s="180">
        <v>-0.27400000000000002</v>
      </c>
      <c r="P585" s="191">
        <v>42933</v>
      </c>
      <c r="Q585" s="192">
        <v>0.25</v>
      </c>
    </row>
    <row r="586" spans="14:17" ht="15">
      <c r="N586" s="187">
        <v>42934</v>
      </c>
      <c r="O586" s="180">
        <v>-0.27400000000000002</v>
      </c>
      <c r="P586" s="191">
        <v>42934</v>
      </c>
      <c r="Q586" s="192">
        <v>0.25700000000000001</v>
      </c>
    </row>
    <row r="587" spans="14:17" ht="15">
      <c r="N587" s="187">
        <v>42935</v>
      </c>
      <c r="O587" s="180">
        <v>-0.27400000000000002</v>
      </c>
      <c r="P587" s="191">
        <v>42935</v>
      </c>
      <c r="Q587" s="192">
        <v>0.26500000000000001</v>
      </c>
    </row>
    <row r="588" spans="14:17" ht="15">
      <c r="N588" s="187">
        <v>42936</v>
      </c>
      <c r="O588" s="180">
        <v>-0.27400000000000002</v>
      </c>
      <c r="P588" s="191">
        <v>42936</v>
      </c>
      <c r="Q588" s="192">
        <v>0.27100000000000002</v>
      </c>
    </row>
    <row r="589" spans="14:17" ht="15">
      <c r="N589" s="187">
        <v>42937</v>
      </c>
      <c r="O589" s="180">
        <v>-0.27200000000000002</v>
      </c>
      <c r="P589" s="191">
        <v>42937</v>
      </c>
      <c r="Q589" s="192">
        <v>0.27500000000000002</v>
      </c>
    </row>
    <row r="590" spans="14:17" ht="15">
      <c r="N590" s="187">
        <v>42940</v>
      </c>
      <c r="O590" s="180">
        <v>-0.27100000000000002</v>
      </c>
      <c r="P590" s="191">
        <v>42940</v>
      </c>
      <c r="Q590" s="192">
        <v>0.28000000000000003</v>
      </c>
    </row>
    <row r="591" spans="14:17" ht="15">
      <c r="N591" s="187">
        <v>42941</v>
      </c>
      <c r="O591" s="180">
        <v>-0.27200000000000002</v>
      </c>
      <c r="P591" s="191">
        <v>42941</v>
      </c>
      <c r="Q591" s="192">
        <v>0.28299999999999997</v>
      </c>
    </row>
    <row r="592" spans="14:17" ht="15">
      <c r="N592" s="187">
        <v>42942</v>
      </c>
      <c r="O592" s="180">
        <v>-0.27200000000000002</v>
      </c>
      <c r="P592" s="191">
        <v>42942</v>
      </c>
      <c r="Q592" s="192">
        <v>0.28399999999999997</v>
      </c>
    </row>
    <row r="593" spans="14:17" ht="15">
      <c r="N593" s="187">
        <v>42943</v>
      </c>
      <c r="O593" s="180">
        <v>-0.27200000000000002</v>
      </c>
      <c r="P593" s="191">
        <v>42943</v>
      </c>
      <c r="Q593" s="192">
        <v>0.28199999999999997</v>
      </c>
    </row>
    <row r="594" spans="14:17" ht="15">
      <c r="N594" s="187">
        <v>42944</v>
      </c>
      <c r="O594" s="180">
        <v>-0.27200000000000002</v>
      </c>
      <c r="P594" s="191">
        <v>42944</v>
      </c>
      <c r="Q594" s="192">
        <v>0.28100000000000003</v>
      </c>
    </row>
    <row r="595" spans="14:17" ht="15">
      <c r="N595" s="187">
        <v>42947</v>
      </c>
      <c r="O595" s="180">
        <v>-0.27100000000000002</v>
      </c>
      <c r="P595" s="191">
        <v>42947</v>
      </c>
      <c r="Q595" s="192">
        <v>0.27900000000000003</v>
      </c>
    </row>
    <row r="596" spans="14:17" ht="15">
      <c r="N596" s="187">
        <v>42948</v>
      </c>
      <c r="O596" s="180">
        <v>-0.27200000000000002</v>
      </c>
      <c r="P596" s="191">
        <v>42948</v>
      </c>
      <c r="Q596" s="192">
        <v>0.27700000000000002</v>
      </c>
    </row>
    <row r="597" spans="14:17" ht="15">
      <c r="N597" s="187">
        <v>42949</v>
      </c>
      <c r="O597" s="180">
        <v>-0.27300000000000002</v>
      </c>
      <c r="P597" s="191">
        <v>42949</v>
      </c>
      <c r="Q597" s="192">
        <v>0.27300000000000002</v>
      </c>
    </row>
    <row r="598" spans="14:17" ht="15">
      <c r="N598" s="187">
        <v>42950</v>
      </c>
      <c r="O598" s="180">
        <v>-0.27200000000000002</v>
      </c>
      <c r="P598" s="191">
        <v>42950</v>
      </c>
      <c r="Q598" s="192">
        <v>0.26700000000000002</v>
      </c>
    </row>
    <row r="599" spans="14:17" ht="15">
      <c r="N599" s="187">
        <v>42951</v>
      </c>
      <c r="O599" s="180">
        <v>-0.27100000000000002</v>
      </c>
      <c r="P599" s="191">
        <v>42951</v>
      </c>
      <c r="Q599" s="192">
        <v>0.26</v>
      </c>
    </row>
    <row r="600" spans="14:17" ht="15">
      <c r="N600" s="187">
        <v>42954</v>
      </c>
      <c r="O600" s="180">
        <v>-0.27</v>
      </c>
      <c r="P600" s="191">
        <v>42954</v>
      </c>
      <c r="Q600" s="192">
        <v>0.253</v>
      </c>
    </row>
    <row r="601" spans="14:17" ht="15">
      <c r="N601" s="187">
        <v>42955</v>
      </c>
      <c r="O601" s="180">
        <v>-0.26900000000000002</v>
      </c>
      <c r="P601" s="191">
        <v>42955</v>
      </c>
      <c r="Q601" s="192">
        <v>0.246</v>
      </c>
    </row>
    <row r="602" spans="14:17" ht="15">
      <c r="N602" s="187">
        <v>42956</v>
      </c>
      <c r="O602" s="180">
        <v>-0.27100000000000002</v>
      </c>
      <c r="P602" s="191">
        <v>42956</v>
      </c>
      <c r="Q602" s="192">
        <v>0.24</v>
      </c>
    </row>
    <row r="603" spans="14:17" ht="15">
      <c r="N603" s="187">
        <v>42957</v>
      </c>
      <c r="O603" s="180">
        <v>-0.27100000000000002</v>
      </c>
      <c r="P603" s="191">
        <v>42957</v>
      </c>
      <c r="Q603" s="192">
        <v>0.23499999999999999</v>
      </c>
    </row>
    <row r="604" spans="14:17" ht="15">
      <c r="N604" s="187">
        <v>42958</v>
      </c>
      <c r="O604" s="180">
        <v>-0.27100000000000002</v>
      </c>
      <c r="P604" s="191">
        <v>42958</v>
      </c>
      <c r="Q604" s="192">
        <v>0.22700000000000001</v>
      </c>
    </row>
    <row r="605" spans="14:17" ht="15">
      <c r="N605" s="187">
        <v>42961</v>
      </c>
      <c r="O605" s="180">
        <v>-0.27100000000000002</v>
      </c>
      <c r="P605" s="191">
        <v>42961</v>
      </c>
      <c r="Q605" s="192">
        <v>0.221</v>
      </c>
    </row>
    <row r="606" spans="14:17" ht="15">
      <c r="N606" s="187">
        <v>42962</v>
      </c>
      <c r="O606" s="180">
        <v>-0.27100000000000002</v>
      </c>
      <c r="P606" s="191"/>
      <c r="Q606" s="193">
        <v>0.221</v>
      </c>
    </row>
    <row r="607" spans="14:17" ht="15">
      <c r="N607" s="187">
        <v>42963</v>
      </c>
      <c r="O607" s="180">
        <v>-0.27100000000000002</v>
      </c>
      <c r="P607" s="191">
        <v>42963</v>
      </c>
      <c r="Q607" s="192">
        <v>0.22</v>
      </c>
    </row>
    <row r="608" spans="14:17" ht="15">
      <c r="N608" s="187">
        <v>42964</v>
      </c>
      <c r="O608" s="180">
        <v>-0.27100000000000002</v>
      </c>
      <c r="P608" s="191">
        <v>42964</v>
      </c>
      <c r="Q608" s="192">
        <v>0.216</v>
      </c>
    </row>
    <row r="609" spans="14:17" ht="15">
      <c r="N609" s="187">
        <v>42965</v>
      </c>
      <c r="O609" s="180">
        <v>-0.27100000000000002</v>
      </c>
      <c r="P609" s="191">
        <v>42965</v>
      </c>
      <c r="Q609" s="192">
        <v>0.21099999999999999</v>
      </c>
    </row>
    <row r="610" spans="14:17" ht="15">
      <c r="N610" s="187">
        <v>42968</v>
      </c>
      <c r="O610" s="180">
        <v>-0.27100000000000002</v>
      </c>
      <c r="P610" s="191">
        <v>42968</v>
      </c>
      <c r="Q610" s="192">
        <v>0.20799999999999999</v>
      </c>
    </row>
    <row r="611" spans="14:17" ht="15">
      <c r="N611" s="187">
        <v>42969</v>
      </c>
      <c r="O611" s="180">
        <v>-0.27300000000000002</v>
      </c>
      <c r="P611" s="191">
        <v>42969</v>
      </c>
      <c r="Q611" s="192">
        <v>0.20499999999999999</v>
      </c>
    </row>
    <row r="612" spans="14:17" ht="15">
      <c r="N612" s="187">
        <v>42970</v>
      </c>
      <c r="O612" s="180">
        <v>-0.27300000000000002</v>
      </c>
      <c r="P612" s="191">
        <v>42970</v>
      </c>
      <c r="Q612" s="192">
        <v>0.20100000000000001</v>
      </c>
    </row>
    <row r="613" spans="14:17" ht="15">
      <c r="N613" s="187">
        <v>42971</v>
      </c>
      <c r="O613" s="180">
        <v>-0.27200000000000002</v>
      </c>
      <c r="P613" s="191">
        <v>42971</v>
      </c>
      <c r="Q613" s="192">
        <v>0.19600000000000001</v>
      </c>
    </row>
    <row r="614" spans="14:17" ht="15">
      <c r="N614" s="187">
        <v>42972</v>
      </c>
      <c r="O614" s="180">
        <v>-0.27200000000000002</v>
      </c>
      <c r="P614" s="191">
        <v>42972</v>
      </c>
      <c r="Q614" s="192">
        <v>0.192</v>
      </c>
    </row>
    <row r="615" spans="14:17" ht="15">
      <c r="N615" s="187">
        <v>42975</v>
      </c>
      <c r="O615" s="180">
        <v>-0.27300000000000002</v>
      </c>
      <c r="P615" s="191">
        <v>42975</v>
      </c>
      <c r="Q615" s="192">
        <v>0.187</v>
      </c>
    </row>
    <row r="616" spans="14:17" ht="15">
      <c r="N616" s="187">
        <v>42976</v>
      </c>
      <c r="O616" s="180">
        <v>-0.27300000000000002</v>
      </c>
      <c r="P616" s="191">
        <v>42976</v>
      </c>
      <c r="Q616" s="192">
        <v>0.18099999999999999</v>
      </c>
    </row>
    <row r="617" spans="14:17" ht="15">
      <c r="N617" s="187">
        <v>42977</v>
      </c>
      <c r="O617" s="180">
        <v>-0.27300000000000002</v>
      </c>
      <c r="P617" s="191">
        <v>42977</v>
      </c>
      <c r="Q617" s="192">
        <v>0.17599999999999999</v>
      </c>
    </row>
    <row r="618" spans="14:17" ht="15">
      <c r="N618" s="187">
        <v>42978</v>
      </c>
      <c r="O618" s="180">
        <v>-0.27300000000000002</v>
      </c>
      <c r="P618" s="191">
        <v>42978</v>
      </c>
      <c r="Q618" s="192">
        <v>0.17299999999999999</v>
      </c>
    </row>
    <row r="619" spans="14:17" ht="15">
      <c r="N619" s="187">
        <v>42979</v>
      </c>
      <c r="O619" s="180">
        <v>-0.27300000000000002</v>
      </c>
      <c r="P619" s="191">
        <v>42979</v>
      </c>
      <c r="Q619" s="192">
        <v>0.17</v>
      </c>
    </row>
    <row r="620" spans="14:17" ht="15">
      <c r="N620" s="187">
        <v>42982</v>
      </c>
      <c r="O620" s="180">
        <v>-0.27400000000000002</v>
      </c>
      <c r="P620" s="191">
        <v>42982</v>
      </c>
      <c r="Q620" s="192">
        <v>0.16700000000000001</v>
      </c>
    </row>
    <row r="621" spans="14:17" ht="15">
      <c r="N621" s="187">
        <v>42983</v>
      </c>
      <c r="O621" s="180">
        <v>-0.27400000000000002</v>
      </c>
      <c r="P621" s="191">
        <v>42983</v>
      </c>
      <c r="Q621" s="192">
        <v>0.16400000000000001</v>
      </c>
    </row>
    <row r="622" spans="14:17" ht="15">
      <c r="N622" s="187">
        <v>42984</v>
      </c>
      <c r="O622" s="180">
        <v>-0.27400000000000002</v>
      </c>
      <c r="P622" s="191">
        <v>42984</v>
      </c>
      <c r="Q622" s="192">
        <v>0.159</v>
      </c>
    </row>
    <row r="623" spans="14:17" ht="15">
      <c r="N623" s="187">
        <v>42985</v>
      </c>
      <c r="O623" s="180">
        <v>-0.27300000000000002</v>
      </c>
      <c r="P623" s="191">
        <v>42985</v>
      </c>
      <c r="Q623" s="192">
        <v>0.16200000000000001</v>
      </c>
    </row>
    <row r="624" spans="14:17" ht="15">
      <c r="N624" s="187">
        <v>42986</v>
      </c>
      <c r="O624" s="180">
        <v>-0.27500000000000002</v>
      </c>
      <c r="P624" s="191">
        <v>42986</v>
      </c>
      <c r="Q624" s="192">
        <v>0.159</v>
      </c>
    </row>
    <row r="625" spans="14:17" ht="15">
      <c r="N625" s="187">
        <v>42989</v>
      </c>
      <c r="O625" s="180">
        <v>-0.27400000000000002</v>
      </c>
      <c r="P625" s="191">
        <v>42989</v>
      </c>
      <c r="Q625" s="192">
        <v>0.157</v>
      </c>
    </row>
    <row r="626" spans="14:17" ht="15">
      <c r="N626" s="187">
        <v>42990</v>
      </c>
      <c r="O626" s="180">
        <v>-0.27200000000000002</v>
      </c>
      <c r="P626" s="191">
        <v>42990</v>
      </c>
      <c r="Q626" s="192">
        <v>0.157</v>
      </c>
    </row>
    <row r="627" spans="14:17" ht="15">
      <c r="N627" s="187">
        <v>42991</v>
      </c>
      <c r="O627" s="180">
        <v>-0.27200000000000002</v>
      </c>
      <c r="P627" s="191">
        <v>42991</v>
      </c>
      <c r="Q627" s="192">
        <v>0.156</v>
      </c>
    </row>
    <row r="628" spans="14:17" ht="15">
      <c r="N628" s="187">
        <v>42992</v>
      </c>
      <c r="O628" s="180">
        <v>-0.27200000000000002</v>
      </c>
      <c r="P628" s="191">
        <v>42992</v>
      </c>
      <c r="Q628" s="192">
        <v>0.155</v>
      </c>
    </row>
    <row r="629" spans="14:17" ht="15">
      <c r="N629" s="187">
        <v>42993</v>
      </c>
      <c r="O629" s="180">
        <v>-0.27100000000000002</v>
      </c>
      <c r="P629" s="191">
        <v>42993</v>
      </c>
      <c r="Q629" s="192">
        <v>0.156</v>
      </c>
    </row>
    <row r="630" spans="14:17" ht="15">
      <c r="N630" s="187">
        <v>42996</v>
      </c>
      <c r="O630" s="180">
        <v>-0.27100000000000002</v>
      </c>
      <c r="P630" s="191">
        <v>42996</v>
      </c>
      <c r="Q630" s="192">
        <v>0.157</v>
      </c>
    </row>
    <row r="631" spans="14:17" ht="15">
      <c r="N631" s="187">
        <v>42997</v>
      </c>
      <c r="O631" s="180">
        <v>-0.27200000000000002</v>
      </c>
      <c r="P631" s="191">
        <v>42997</v>
      </c>
      <c r="Q631" s="192">
        <v>0.159</v>
      </c>
    </row>
    <row r="632" spans="14:17" ht="15">
      <c r="N632" s="187">
        <v>42998</v>
      </c>
      <c r="O632" s="180">
        <v>-0.27100000000000002</v>
      </c>
      <c r="P632" s="191">
        <v>42998</v>
      </c>
      <c r="Q632" s="192">
        <v>0.187</v>
      </c>
    </row>
    <row r="633" spans="14:17" ht="15">
      <c r="N633" s="187">
        <v>42999</v>
      </c>
      <c r="O633" s="180">
        <v>-0.27200000000000002</v>
      </c>
      <c r="P633" s="191">
        <v>42999</v>
      </c>
      <c r="Q633" s="192">
        <v>0.19</v>
      </c>
    </row>
    <row r="634" spans="14:17" ht="15">
      <c r="N634" s="187">
        <v>43000</v>
      </c>
      <c r="O634" s="180">
        <v>-0.27100000000000002</v>
      </c>
      <c r="P634" s="191">
        <v>43000</v>
      </c>
      <c r="Q634" s="192">
        <v>0.192</v>
      </c>
    </row>
    <row r="635" spans="14:17" ht="15">
      <c r="N635" s="187">
        <v>43003</v>
      </c>
      <c r="O635" s="180">
        <v>-0.27200000000000002</v>
      </c>
      <c r="P635" s="191">
        <v>43003</v>
      </c>
      <c r="Q635" s="192">
        <v>0.192</v>
      </c>
    </row>
    <row r="636" spans="14:17" ht="15">
      <c r="N636" s="187">
        <v>43004</v>
      </c>
      <c r="O636" s="180">
        <v>-0.27300000000000002</v>
      </c>
      <c r="P636" s="191">
        <v>43004</v>
      </c>
      <c r="Q636" s="192">
        <v>0.193</v>
      </c>
    </row>
    <row r="637" spans="14:17" ht="15">
      <c r="N637" s="187">
        <v>43005</v>
      </c>
      <c r="O637" s="180">
        <v>-0.27300000000000002</v>
      </c>
      <c r="P637" s="191">
        <v>43005</v>
      </c>
      <c r="Q637" s="192">
        <v>0.19600000000000001</v>
      </c>
    </row>
    <row r="638" spans="14:17" ht="15">
      <c r="N638" s="187">
        <v>43006</v>
      </c>
      <c r="O638" s="180">
        <v>-0.27300000000000002</v>
      </c>
      <c r="P638" s="191">
        <v>43006</v>
      </c>
      <c r="Q638" s="192">
        <v>0.2</v>
      </c>
    </row>
    <row r="639" spans="14:17" ht="15">
      <c r="N639" s="187">
        <v>43007</v>
      </c>
      <c r="O639" s="180">
        <v>-0.27300000000000002</v>
      </c>
      <c r="P639" s="191">
        <v>43007</v>
      </c>
      <c r="Q639" s="192">
        <v>0.20200000000000001</v>
      </c>
    </row>
    <row r="640" spans="14:17" ht="15">
      <c r="N640" s="187">
        <v>43010</v>
      </c>
      <c r="O640" s="180">
        <v>-0.27200000000000002</v>
      </c>
      <c r="P640" s="191">
        <v>43010</v>
      </c>
      <c r="Q640" s="192">
        <v>0.20300000000000001</v>
      </c>
    </row>
    <row r="641" spans="14:17" ht="15">
      <c r="N641" s="187">
        <v>43011</v>
      </c>
      <c r="O641" s="180">
        <v>-0.27300000000000002</v>
      </c>
      <c r="P641" s="191">
        <v>43011</v>
      </c>
      <c r="Q641" s="192">
        <v>0.20599999999999999</v>
      </c>
    </row>
    <row r="642" spans="14:17" ht="15">
      <c r="N642" s="187">
        <v>43012</v>
      </c>
      <c r="O642" s="180">
        <v>-0.27300000000000002</v>
      </c>
      <c r="P642" s="191">
        <v>43012</v>
      </c>
      <c r="Q642" s="192">
        <v>0.20899999999999999</v>
      </c>
    </row>
    <row r="643" spans="14:17" ht="15">
      <c r="N643" s="187">
        <v>43013</v>
      </c>
      <c r="O643" s="180">
        <v>-0.27200000000000002</v>
      </c>
      <c r="P643" s="191">
        <v>43013</v>
      </c>
      <c r="Q643" s="192">
        <v>0.21199999999999999</v>
      </c>
    </row>
    <row r="644" spans="14:17" ht="15">
      <c r="N644" s="187">
        <v>43014</v>
      </c>
      <c r="O644" s="180">
        <v>-0.27300000000000002</v>
      </c>
      <c r="P644" s="191">
        <v>43014</v>
      </c>
      <c r="Q644" s="192">
        <v>0.217</v>
      </c>
    </row>
    <row r="645" spans="14:17" ht="15">
      <c r="N645" s="187">
        <v>43017</v>
      </c>
      <c r="O645" s="180">
        <v>-0.27400000000000002</v>
      </c>
      <c r="P645" s="191">
        <v>43017</v>
      </c>
      <c r="Q645" s="192">
        <v>0.221</v>
      </c>
    </row>
    <row r="646" spans="14:17" ht="15">
      <c r="N646" s="187">
        <v>43018</v>
      </c>
      <c r="O646" s="180">
        <v>-0.27400000000000002</v>
      </c>
      <c r="P646" s="191">
        <v>43018</v>
      </c>
      <c r="Q646" s="192">
        <v>0.222</v>
      </c>
    </row>
    <row r="647" spans="14:17" ht="15">
      <c r="N647" s="187">
        <v>43019</v>
      </c>
      <c r="O647" s="180">
        <v>-0.27400000000000002</v>
      </c>
      <c r="P647" s="191">
        <v>43019</v>
      </c>
      <c r="Q647" s="192">
        <v>0.223</v>
      </c>
    </row>
    <row r="648" spans="14:17" ht="15">
      <c r="N648" s="187">
        <v>43020</v>
      </c>
      <c r="O648" s="180">
        <v>-0.27400000000000002</v>
      </c>
      <c r="P648" s="191">
        <v>43020</v>
      </c>
      <c r="Q648" s="192">
        <v>0.22500000000000001</v>
      </c>
    </row>
    <row r="649" spans="14:17" ht="15">
      <c r="N649" s="187">
        <v>43021</v>
      </c>
      <c r="O649" s="180">
        <v>-0.27400000000000002</v>
      </c>
      <c r="P649" s="191">
        <v>43021</v>
      </c>
      <c r="Q649" s="192">
        <v>0.223</v>
      </c>
    </row>
    <row r="650" spans="14:17" ht="15">
      <c r="N650" s="187">
        <v>43024</v>
      </c>
      <c r="O650" s="180">
        <v>-0.27400000000000002</v>
      </c>
      <c r="P650" s="191">
        <v>43024</v>
      </c>
      <c r="Q650" s="192">
        <v>0.22</v>
      </c>
    </row>
    <row r="651" spans="14:17" ht="15">
      <c r="N651" s="187">
        <v>43025</v>
      </c>
      <c r="O651" s="180">
        <v>-0.27400000000000002</v>
      </c>
      <c r="P651" s="191">
        <v>43025</v>
      </c>
      <c r="Q651" s="192">
        <v>0.216</v>
      </c>
    </row>
    <row r="652" spans="14:17" ht="15">
      <c r="N652" s="187">
        <v>43026</v>
      </c>
      <c r="O652" s="180">
        <v>-0.27400000000000002</v>
      </c>
      <c r="P652" s="191">
        <v>43026</v>
      </c>
      <c r="Q652" s="192">
        <v>0.214</v>
      </c>
    </row>
    <row r="653" spans="14:17" ht="15">
      <c r="N653" s="187">
        <v>43027</v>
      </c>
      <c r="O653" s="180">
        <v>-0.27400000000000002</v>
      </c>
      <c r="P653" s="191">
        <v>43027</v>
      </c>
      <c r="Q653" s="192">
        <v>0.24099999999999999</v>
      </c>
    </row>
    <row r="654" spans="14:17" ht="15">
      <c r="N654" s="187">
        <v>43028</v>
      </c>
      <c r="O654" s="180">
        <v>-0.27400000000000002</v>
      </c>
      <c r="P654" s="191">
        <v>43028</v>
      </c>
      <c r="Q654" s="192">
        <v>0.24</v>
      </c>
    </row>
    <row r="655" spans="14:17" ht="15">
      <c r="N655" s="187">
        <v>43031</v>
      </c>
      <c r="O655" s="180">
        <v>-0.27400000000000002</v>
      </c>
      <c r="P655" s="191">
        <v>43031</v>
      </c>
      <c r="Q655" s="192">
        <v>0.24</v>
      </c>
    </row>
    <row r="656" spans="14:17" ht="15">
      <c r="N656" s="187">
        <v>43032</v>
      </c>
      <c r="O656" s="180">
        <v>-0.27400000000000002</v>
      </c>
      <c r="P656" s="191">
        <v>43032</v>
      </c>
      <c r="Q656" s="192">
        <v>0.24099999999999999</v>
      </c>
    </row>
    <row r="657" spans="14:18" ht="15">
      <c r="N657" s="187">
        <v>43033</v>
      </c>
      <c r="O657" s="180">
        <v>-0.27400000000000002</v>
      </c>
      <c r="P657" s="191">
        <v>43033</v>
      </c>
      <c r="Q657" s="192">
        <v>0.24199999999999999</v>
      </c>
    </row>
    <row r="658" spans="14:18" ht="15">
      <c r="N658" s="187">
        <v>43034</v>
      </c>
      <c r="O658" s="180">
        <v>-0.27400000000000002</v>
      </c>
      <c r="P658" s="191"/>
      <c r="Q658" s="193">
        <v>0.24199999999999999</v>
      </c>
    </row>
    <row r="659" spans="14:18" ht="15">
      <c r="N659" s="187">
        <v>43035</v>
      </c>
      <c r="O659" s="180">
        <v>-0.27500000000000002</v>
      </c>
      <c r="P659" s="191">
        <v>43035</v>
      </c>
      <c r="Q659" s="192">
        <v>0.23799999999999999</v>
      </c>
    </row>
    <row r="660" spans="14:18" ht="15">
      <c r="N660" s="187">
        <v>43038</v>
      </c>
      <c r="O660" s="180">
        <v>-0.27600000000000002</v>
      </c>
      <c r="P660" s="191">
        <v>43038</v>
      </c>
      <c r="Q660" s="192">
        <v>0.23499999999999999</v>
      </c>
    </row>
    <row r="661" spans="14:18" ht="15">
      <c r="N661" s="187">
        <v>43039</v>
      </c>
      <c r="O661" s="180">
        <v>-0.27600000000000002</v>
      </c>
      <c r="P661" s="191">
        <v>43039</v>
      </c>
      <c r="Q661" s="192">
        <v>0.23200000000000001</v>
      </c>
    </row>
    <row r="662" spans="14:18" ht="15">
      <c r="N662" s="187">
        <v>43040</v>
      </c>
      <c r="O662" s="180">
        <v>-0.27600000000000002</v>
      </c>
      <c r="P662" s="191"/>
      <c r="Q662" s="193">
        <v>0.23200000000000001</v>
      </c>
      <c r="R662" s="111">
        <f>+(O662+Q662)/2+0.37</f>
        <v>0.34799999999999998</v>
      </c>
    </row>
    <row r="663" spans="14:18" ht="15">
      <c r="N663" s="187">
        <v>43041</v>
      </c>
      <c r="O663" s="180">
        <v>-0.27600000000000002</v>
      </c>
      <c r="P663" s="191">
        <v>43041</v>
      </c>
      <c r="Q663" s="192">
        <v>0.22800000000000001</v>
      </c>
    </row>
    <row r="664" spans="14:18" ht="15">
      <c r="N664" s="187">
        <v>43042</v>
      </c>
      <c r="O664" s="180">
        <v>-0.27600000000000002</v>
      </c>
      <c r="P664" s="191">
        <v>43042</v>
      </c>
      <c r="Q664" s="192">
        <v>0.22600000000000001</v>
      </c>
    </row>
    <row r="665" spans="14:18" ht="15">
      <c r="N665" s="187">
        <v>43045</v>
      </c>
      <c r="O665" s="180">
        <v>-0.27600000000000002</v>
      </c>
      <c r="P665" s="191">
        <v>43045</v>
      </c>
      <c r="Q665" s="192">
        <v>0.22</v>
      </c>
    </row>
    <row r="666" spans="14:18" ht="15">
      <c r="N666" s="187">
        <v>43046</v>
      </c>
      <c r="O666" s="180">
        <v>-0.27500000000000002</v>
      </c>
      <c r="P666" s="191">
        <v>43046</v>
      </c>
      <c r="Q666" s="192">
        <v>0.214</v>
      </c>
    </row>
    <row r="667" spans="14:18" ht="15">
      <c r="N667" s="187">
        <v>43047</v>
      </c>
      <c r="O667" s="180">
        <v>-0.27600000000000002</v>
      </c>
      <c r="P667" s="191">
        <v>43047</v>
      </c>
      <c r="Q667" s="192">
        <v>0.20699999999999999</v>
      </c>
    </row>
    <row r="668" spans="14:18" ht="15">
      <c r="N668" s="187">
        <v>43048</v>
      </c>
      <c r="O668" s="180">
        <v>-0.27600000000000002</v>
      </c>
      <c r="P668" s="191">
        <v>43048</v>
      </c>
      <c r="Q668" s="192">
        <v>0.20300000000000001</v>
      </c>
    </row>
    <row r="669" spans="14:18" ht="15">
      <c r="N669" s="187">
        <v>43049</v>
      </c>
      <c r="O669" s="180">
        <v>-0.27500000000000002</v>
      </c>
      <c r="P669" s="191">
        <v>43049</v>
      </c>
      <c r="Q669" s="192">
        <v>0.19900000000000001</v>
      </c>
    </row>
    <row r="670" spans="14:18" ht="15">
      <c r="N670" s="187">
        <v>43052</v>
      </c>
      <c r="O670" s="180">
        <v>-0.27500000000000002</v>
      </c>
      <c r="P670" s="191">
        <v>43052</v>
      </c>
      <c r="Q670" s="192">
        <v>0.19600000000000001</v>
      </c>
    </row>
    <row r="671" spans="14:18" ht="15">
      <c r="N671" s="187">
        <v>43053</v>
      </c>
      <c r="O671" s="180">
        <v>-0.27500000000000002</v>
      </c>
      <c r="P671" s="191">
        <v>43053</v>
      </c>
      <c r="Q671" s="192">
        <v>0.19400000000000001</v>
      </c>
    </row>
    <row r="672" spans="14:18" ht="15">
      <c r="N672" s="187">
        <v>43054</v>
      </c>
      <c r="O672" s="180">
        <v>-0.27500000000000002</v>
      </c>
      <c r="P672" s="191">
        <v>43054</v>
      </c>
      <c r="Q672" s="192">
        <v>0.192</v>
      </c>
    </row>
    <row r="673" spans="14:17" ht="15">
      <c r="N673" s="187">
        <v>43055</v>
      </c>
      <c r="O673" s="180">
        <v>-0.27500000000000002</v>
      </c>
      <c r="P673" s="191">
        <v>43055</v>
      </c>
      <c r="Q673" s="192">
        <v>0.192</v>
      </c>
    </row>
    <row r="674" spans="14:17" ht="15">
      <c r="N674" s="187">
        <v>43056</v>
      </c>
      <c r="O674" s="180">
        <v>-0.27400000000000002</v>
      </c>
      <c r="P674" s="191">
        <v>43056</v>
      </c>
      <c r="Q674" s="192">
        <v>0.19</v>
      </c>
    </row>
    <row r="675" spans="14:17" ht="15">
      <c r="N675" s="187">
        <v>43059</v>
      </c>
      <c r="O675" s="180">
        <v>-0.27400000000000002</v>
      </c>
      <c r="P675" s="191">
        <v>43059</v>
      </c>
      <c r="Q675" s="192">
        <v>0.187</v>
      </c>
    </row>
    <row r="676" spans="14:17" ht="15">
      <c r="N676" s="187">
        <v>43060</v>
      </c>
      <c r="O676" s="180">
        <v>-0.27300000000000002</v>
      </c>
      <c r="P676" s="191">
        <v>43060</v>
      </c>
      <c r="Q676" s="192">
        <v>0.182</v>
      </c>
    </row>
    <row r="677" spans="14:17" ht="15">
      <c r="N677" s="187">
        <v>43061</v>
      </c>
      <c r="O677" s="180">
        <v>-0.27200000000000002</v>
      </c>
      <c r="P677" s="191">
        <v>43061</v>
      </c>
      <c r="Q677" s="192">
        <v>0.17899999999999999</v>
      </c>
    </row>
    <row r="678" spans="14:17" ht="15">
      <c r="N678" s="187">
        <v>43062</v>
      </c>
      <c r="O678" s="180">
        <v>-0.27100000000000002</v>
      </c>
      <c r="P678" s="191">
        <v>43062</v>
      </c>
      <c r="Q678" s="192">
        <v>0.17399999999999999</v>
      </c>
    </row>
    <row r="679" spans="14:17" ht="15">
      <c r="N679" s="187">
        <v>43063</v>
      </c>
      <c r="O679" s="180">
        <v>-0.27200000000000002</v>
      </c>
      <c r="P679" s="191">
        <v>43063</v>
      </c>
      <c r="Q679" s="192">
        <v>0.16700000000000001</v>
      </c>
    </row>
    <row r="680" spans="14:17" ht="15">
      <c r="N680" s="187">
        <v>43066</v>
      </c>
      <c r="O680" s="180">
        <v>-0.27200000000000002</v>
      </c>
      <c r="P680" s="191">
        <v>43066</v>
      </c>
      <c r="Q680" s="192">
        <v>0.16400000000000001</v>
      </c>
    </row>
    <row r="681" spans="14:17" ht="15">
      <c r="N681" s="187">
        <v>43067</v>
      </c>
      <c r="O681" s="180">
        <v>-0.27400000000000002</v>
      </c>
      <c r="P681" s="191">
        <v>43067</v>
      </c>
      <c r="Q681" s="192">
        <v>0.16200000000000001</v>
      </c>
    </row>
    <row r="682" spans="14:17" ht="15">
      <c r="N682" s="187">
        <v>43068</v>
      </c>
      <c r="O682" s="180">
        <v>-0.27400000000000002</v>
      </c>
      <c r="P682" s="191">
        <v>43068</v>
      </c>
      <c r="Q682" s="192">
        <v>0.16200000000000001</v>
      </c>
    </row>
    <row r="683" spans="14:17" ht="15">
      <c r="N683" s="187">
        <v>43069</v>
      </c>
      <c r="O683" s="180">
        <v>-0.27200000000000002</v>
      </c>
      <c r="P683" s="191">
        <v>43069</v>
      </c>
      <c r="Q683" s="192">
        <v>0.161</v>
      </c>
    </row>
    <row r="684" spans="14:17" ht="15">
      <c r="N684" s="187">
        <v>43070</v>
      </c>
      <c r="O684" s="180">
        <v>-0.27100000000000002</v>
      </c>
      <c r="P684" s="191">
        <v>43070</v>
      </c>
      <c r="Q684" s="192">
        <v>0.159</v>
      </c>
    </row>
    <row r="685" spans="14:17" ht="15">
      <c r="N685" s="187">
        <v>43073</v>
      </c>
      <c r="O685" s="180">
        <v>-0.27200000000000002</v>
      </c>
      <c r="P685" s="191">
        <v>43073</v>
      </c>
      <c r="Q685" s="192">
        <v>0.158</v>
      </c>
    </row>
    <row r="686" spans="14:17" ht="15">
      <c r="N686" s="187">
        <v>43074</v>
      </c>
      <c r="O686" s="180">
        <v>-0.27100000000000002</v>
      </c>
      <c r="P686" s="191">
        <v>43074</v>
      </c>
      <c r="Q686" s="192">
        <v>0.157</v>
      </c>
    </row>
    <row r="687" spans="14:17" ht="15">
      <c r="N687" s="187">
        <v>43075</v>
      </c>
      <c r="O687" s="180">
        <v>-0.27100000000000002</v>
      </c>
      <c r="P687" s="191">
        <v>43075</v>
      </c>
      <c r="Q687" s="192">
        <v>0.155</v>
      </c>
    </row>
    <row r="688" spans="14:17" ht="15">
      <c r="N688" s="187">
        <v>43076</v>
      </c>
      <c r="O688" s="180">
        <v>-0.27100000000000002</v>
      </c>
      <c r="P688" s="191">
        <v>43076</v>
      </c>
      <c r="Q688" s="192">
        <v>0.152</v>
      </c>
    </row>
    <row r="689" spans="14:17" ht="15">
      <c r="N689" s="187">
        <v>43077</v>
      </c>
      <c r="O689" s="180">
        <v>-0.27100000000000002</v>
      </c>
      <c r="P689" s="191"/>
      <c r="Q689" s="193">
        <v>0.152</v>
      </c>
    </row>
    <row r="690" spans="14:17" ht="15">
      <c r="N690" s="187">
        <v>43080</v>
      </c>
      <c r="O690" s="180">
        <v>-0.27100000000000002</v>
      </c>
      <c r="P690" s="191">
        <v>43080</v>
      </c>
      <c r="Q690" s="192">
        <v>0.14799999999999999</v>
      </c>
    </row>
    <row r="691" spans="14:17" ht="15">
      <c r="N691" s="187">
        <v>43081</v>
      </c>
      <c r="O691" s="180">
        <v>-0.27100000000000002</v>
      </c>
      <c r="P691" s="191">
        <v>43081</v>
      </c>
      <c r="Q691" s="192">
        <v>0.14499999999999999</v>
      </c>
    </row>
    <row r="692" spans="14:17" ht="15">
      <c r="N692" s="187">
        <v>43082</v>
      </c>
      <c r="O692" s="180">
        <v>-0.27300000000000002</v>
      </c>
      <c r="P692" s="191">
        <v>43082</v>
      </c>
      <c r="Q692" s="192">
        <v>0.14199999999999999</v>
      </c>
    </row>
    <row r="693" spans="14:17" ht="15">
      <c r="N693" s="187">
        <v>43083</v>
      </c>
      <c r="O693" s="180">
        <v>-0.27100000000000002</v>
      </c>
      <c r="P693" s="191">
        <v>43083</v>
      </c>
      <c r="Q693" s="192">
        <v>0.14199999999999999</v>
      </c>
    </row>
    <row r="694" spans="14:17" ht="15">
      <c r="N694" s="187">
        <v>43084</v>
      </c>
      <c r="O694" s="180">
        <v>-0.27200000000000002</v>
      </c>
      <c r="P694" s="191">
        <v>43084</v>
      </c>
      <c r="Q694" s="192">
        <v>0.14000000000000001</v>
      </c>
    </row>
    <row r="695" spans="14:17" ht="15">
      <c r="N695" s="187">
        <v>43087</v>
      </c>
      <c r="O695" s="180">
        <v>-0.27100000000000002</v>
      </c>
      <c r="P695" s="191">
        <v>43087</v>
      </c>
      <c r="Q695" s="192">
        <v>0.13900000000000001</v>
      </c>
    </row>
    <row r="696" spans="14:17" ht="15">
      <c r="N696" s="187">
        <v>43088</v>
      </c>
      <c r="O696" s="180">
        <v>-0.27400000000000002</v>
      </c>
      <c r="P696" s="191">
        <v>43088</v>
      </c>
      <c r="Q696" s="192">
        <v>0.14000000000000001</v>
      </c>
    </row>
    <row r="697" spans="14:17" ht="15">
      <c r="N697" s="187">
        <v>43089</v>
      </c>
      <c r="O697" s="180">
        <v>-0.27100000000000002</v>
      </c>
      <c r="P697" s="191">
        <v>43089</v>
      </c>
      <c r="Q697" s="192">
        <v>0.14299999999999999</v>
      </c>
    </row>
    <row r="698" spans="14:17" ht="15">
      <c r="N698" s="187">
        <v>43090</v>
      </c>
      <c r="O698" s="180">
        <v>-0.27100000000000002</v>
      </c>
      <c r="P698" s="191">
        <v>43090</v>
      </c>
      <c r="Q698" s="192">
        <v>0.14699999999999999</v>
      </c>
    </row>
    <row r="699" spans="14:17" ht="15">
      <c r="N699" s="187">
        <v>43091</v>
      </c>
      <c r="O699" s="180">
        <v>-0.27100000000000002</v>
      </c>
      <c r="P699" s="191">
        <v>43091</v>
      </c>
      <c r="Q699" s="192">
        <v>0.14599999999999999</v>
      </c>
    </row>
    <row r="700" spans="14:17" ht="15">
      <c r="N700" s="187">
        <v>43094</v>
      </c>
      <c r="O700" s="180">
        <v>-0.27100000000000002</v>
      </c>
      <c r="P700" s="191"/>
      <c r="Q700" s="193">
        <v>0.14599999999999999</v>
      </c>
    </row>
    <row r="701" spans="14:17" ht="15">
      <c r="N701" s="187">
        <v>43095</v>
      </c>
      <c r="O701" s="180">
        <v>-0.27100000000000002</v>
      </c>
      <c r="P701" s="191"/>
      <c r="Q701" s="193">
        <v>0.14599999999999999</v>
      </c>
    </row>
    <row r="702" spans="14:17" ht="15">
      <c r="N702" s="187">
        <v>43096</v>
      </c>
      <c r="O702" s="180">
        <v>-0.27100000000000002</v>
      </c>
      <c r="P702" s="191">
        <v>43096</v>
      </c>
      <c r="Q702" s="192">
        <v>0.14899999999999999</v>
      </c>
    </row>
    <row r="703" spans="14:17" ht="15">
      <c r="N703" s="187">
        <v>43097</v>
      </c>
      <c r="O703" s="180">
        <v>-0.27100000000000002</v>
      </c>
      <c r="P703" s="191">
        <v>43097</v>
      </c>
      <c r="Q703" s="192">
        <v>0.153</v>
      </c>
    </row>
    <row r="704" spans="14:17" ht="15">
      <c r="N704" s="187">
        <v>43098</v>
      </c>
      <c r="O704" s="180">
        <v>-0.27100000000000002</v>
      </c>
      <c r="P704" s="191">
        <v>43098</v>
      </c>
      <c r="Q704" s="192">
        <v>0.158</v>
      </c>
    </row>
    <row r="705" spans="14:17" ht="15">
      <c r="N705" s="187">
        <v>43101</v>
      </c>
      <c r="O705" s="180">
        <v>-0.27100000000000002</v>
      </c>
      <c r="P705" s="191"/>
      <c r="Q705" s="193">
        <v>0.158</v>
      </c>
    </row>
    <row r="706" spans="14:17" ht="15">
      <c r="N706" s="187">
        <v>43102</v>
      </c>
      <c r="O706" s="180">
        <v>-0.27100000000000002</v>
      </c>
      <c r="P706" s="191">
        <v>43102</v>
      </c>
      <c r="Q706" s="192">
        <v>0.16200000000000001</v>
      </c>
    </row>
    <row r="707" spans="14:17" ht="15">
      <c r="N707" s="187">
        <v>43103</v>
      </c>
      <c r="O707" s="180">
        <v>-0.27100000000000002</v>
      </c>
      <c r="P707" s="191">
        <v>43103</v>
      </c>
      <c r="Q707" s="192">
        <v>0.16600000000000001</v>
      </c>
    </row>
    <row r="708" spans="14:17" ht="15">
      <c r="N708" s="187">
        <v>43104</v>
      </c>
      <c r="O708" s="180">
        <v>-0.27100000000000002</v>
      </c>
      <c r="P708" s="191">
        <v>43104</v>
      </c>
      <c r="Q708" s="192">
        <v>0.17100000000000001</v>
      </c>
    </row>
    <row r="709" spans="14:17" ht="15">
      <c r="N709" s="187">
        <v>43105</v>
      </c>
      <c r="O709" s="180">
        <v>-0.27100000000000002</v>
      </c>
      <c r="P709" s="191">
        <v>43105</v>
      </c>
      <c r="Q709" s="192">
        <v>0.17699999999999999</v>
      </c>
    </row>
    <row r="710" spans="14:17" ht="15">
      <c r="N710" s="187">
        <v>43108</v>
      </c>
      <c r="O710" s="180">
        <v>-0.27100000000000002</v>
      </c>
      <c r="P710" s="191">
        <v>43108</v>
      </c>
      <c r="Q710" s="192">
        <v>0.183</v>
      </c>
    </row>
    <row r="711" spans="14:17" ht="15">
      <c r="N711" s="187">
        <v>43109</v>
      </c>
      <c r="O711" s="180">
        <v>-0.27100000000000002</v>
      </c>
      <c r="P711" s="191">
        <v>43109</v>
      </c>
      <c r="Q711" s="192">
        <v>0.191</v>
      </c>
    </row>
    <row r="712" spans="14:17" ht="15">
      <c r="N712" s="187">
        <v>43110</v>
      </c>
      <c r="O712" s="180">
        <v>-0.27100000000000002</v>
      </c>
      <c r="P712" s="191">
        <v>43110</v>
      </c>
      <c r="Q712" s="192">
        <v>0.2</v>
      </c>
    </row>
    <row r="713" spans="14:17" ht="15">
      <c r="N713" s="187">
        <v>43111</v>
      </c>
      <c r="O713" s="180">
        <v>-0.27100000000000002</v>
      </c>
      <c r="P713" s="191">
        <v>43111</v>
      </c>
      <c r="Q713" s="192">
        <v>0.215</v>
      </c>
    </row>
    <row r="714" spans="14:17" ht="15">
      <c r="N714" s="187">
        <v>43112</v>
      </c>
      <c r="O714" s="180">
        <v>-0.27100000000000002</v>
      </c>
      <c r="P714" s="191">
        <v>43112</v>
      </c>
      <c r="Q714" s="192">
        <v>0.22600000000000001</v>
      </c>
    </row>
    <row r="715" spans="14:17" ht="15">
      <c r="N715" s="187">
        <v>43115</v>
      </c>
      <c r="O715" s="180">
        <v>-0.27400000000000002</v>
      </c>
      <c r="P715" s="191">
        <v>43115</v>
      </c>
      <c r="Q715" s="192">
        <v>0.23499999999999999</v>
      </c>
    </row>
    <row r="716" spans="14:17" ht="15">
      <c r="N716" s="187">
        <v>43116</v>
      </c>
      <c r="O716" s="180">
        <v>-0.27200000000000002</v>
      </c>
      <c r="P716" s="191">
        <v>43116</v>
      </c>
      <c r="Q716" s="192">
        <v>0.24299999999999999</v>
      </c>
    </row>
    <row r="717" spans="14:17" ht="15">
      <c r="N717" s="187">
        <v>43117</v>
      </c>
      <c r="O717" s="180">
        <v>-0.27400000000000002</v>
      </c>
      <c r="P717" s="191">
        <v>43117</v>
      </c>
      <c r="Q717" s="192">
        <v>0.251</v>
      </c>
    </row>
    <row r="718" spans="14:17" ht="15">
      <c r="N718" s="187">
        <v>43118</v>
      </c>
      <c r="O718" s="180">
        <v>-0.27500000000000002</v>
      </c>
      <c r="P718" s="191">
        <v>43118</v>
      </c>
      <c r="Q718" s="192">
        <v>0.26100000000000001</v>
      </c>
    </row>
    <row r="719" spans="14:17" ht="15">
      <c r="N719" s="187">
        <v>43119</v>
      </c>
      <c r="O719" s="180">
        <v>-0.27600000000000002</v>
      </c>
      <c r="P719" s="191">
        <v>43119</v>
      </c>
      <c r="Q719" s="192">
        <v>0.26900000000000002</v>
      </c>
    </row>
    <row r="720" spans="14:17" ht="15">
      <c r="N720" s="187">
        <v>43122</v>
      </c>
      <c r="O720" s="180">
        <v>-0.27700000000000002</v>
      </c>
      <c r="P720" s="191">
        <v>43122</v>
      </c>
      <c r="Q720" s="192">
        <v>0.27400000000000002</v>
      </c>
    </row>
    <row r="721" spans="14:17" ht="15">
      <c r="N721" s="187">
        <v>43123</v>
      </c>
      <c r="O721" s="180">
        <v>-0.27600000000000002</v>
      </c>
      <c r="P721" s="191">
        <v>43123</v>
      </c>
      <c r="Q721" s="192">
        <v>0.27800000000000002</v>
      </c>
    </row>
    <row r="722" spans="14:17" ht="15">
      <c r="N722" s="187">
        <v>43124</v>
      </c>
      <c r="O722" s="180">
        <v>-0.27800000000000002</v>
      </c>
      <c r="P722" s="191">
        <v>43124</v>
      </c>
      <c r="Q722" s="192">
        <v>0.28100000000000003</v>
      </c>
    </row>
    <row r="723" spans="14:17" ht="15">
      <c r="N723" s="187">
        <v>43125</v>
      </c>
      <c r="O723" s="180">
        <v>-0.27800000000000002</v>
      </c>
      <c r="P723" s="191">
        <v>43125</v>
      </c>
      <c r="Q723" s="192">
        <v>0.29899999999999999</v>
      </c>
    </row>
    <row r="724" spans="14:17" ht="15">
      <c r="N724" s="187">
        <v>43126</v>
      </c>
      <c r="O724" s="180">
        <v>-0.27800000000000002</v>
      </c>
      <c r="P724" s="191">
        <v>43126</v>
      </c>
      <c r="Q724" s="192">
        <v>0.307</v>
      </c>
    </row>
    <row r="725" spans="14:17" ht="15">
      <c r="N725" s="187">
        <v>43129</v>
      </c>
      <c r="O725" s="180">
        <v>-0.27800000000000002</v>
      </c>
      <c r="P725" s="191">
        <v>43129</v>
      </c>
      <c r="Q725" s="192">
        <v>0.315</v>
      </c>
    </row>
    <row r="726" spans="14:17" ht="15">
      <c r="N726" s="187">
        <v>43130</v>
      </c>
      <c r="O726" s="180">
        <v>-0.27800000000000002</v>
      </c>
      <c r="P726" s="191">
        <v>43130</v>
      </c>
      <c r="Q726" s="192">
        <v>0.32300000000000001</v>
      </c>
    </row>
    <row r="727" spans="14:17" ht="15">
      <c r="N727" s="187">
        <v>43131</v>
      </c>
      <c r="O727" s="180">
        <v>-0.27900000000000003</v>
      </c>
      <c r="P727" s="191">
        <v>43131</v>
      </c>
      <c r="Q727" s="192">
        <v>0.33200000000000002</v>
      </c>
    </row>
    <row r="728" spans="14:17" ht="15">
      <c r="N728" s="187">
        <v>43132</v>
      </c>
      <c r="O728" s="180">
        <v>-0.27800000000000002</v>
      </c>
      <c r="P728" s="191">
        <v>43132</v>
      </c>
      <c r="Q728" s="192">
        <v>0.34100000000000003</v>
      </c>
    </row>
    <row r="729" spans="14:17" ht="15">
      <c r="N729" s="187">
        <v>43133</v>
      </c>
      <c r="O729" s="180">
        <v>-0.27800000000000002</v>
      </c>
      <c r="P729" s="191">
        <v>43133</v>
      </c>
      <c r="Q729" s="192">
        <v>0.35099999999999998</v>
      </c>
    </row>
    <row r="730" spans="14:17" ht="15">
      <c r="N730" s="187">
        <v>43136</v>
      </c>
      <c r="O730" s="180">
        <v>-0.27800000000000002</v>
      </c>
      <c r="P730" s="191">
        <v>43136</v>
      </c>
      <c r="Q730" s="192">
        <v>0.36</v>
      </c>
    </row>
    <row r="731" spans="14:17" ht="15">
      <c r="N731" s="187">
        <v>43137</v>
      </c>
      <c r="O731" s="180">
        <v>-0.27900000000000003</v>
      </c>
      <c r="P731" s="191">
        <v>43137</v>
      </c>
      <c r="Q731" s="192">
        <v>0.36699999999999999</v>
      </c>
    </row>
    <row r="732" spans="14:17" ht="15">
      <c r="N732" s="187">
        <v>43138</v>
      </c>
      <c r="O732" s="180">
        <v>-0.27800000000000002</v>
      </c>
      <c r="P732" s="191">
        <v>43138</v>
      </c>
      <c r="Q732" s="192">
        <v>0.374</v>
      </c>
    </row>
    <row r="733" spans="14:17" ht="15">
      <c r="N733" s="187">
        <v>43139</v>
      </c>
      <c r="O733" s="180">
        <v>-0.27800000000000002</v>
      </c>
      <c r="P733" s="191">
        <v>43139</v>
      </c>
      <c r="Q733" s="192">
        <v>0.38100000000000001</v>
      </c>
    </row>
    <row r="734" spans="14:17" ht="15">
      <c r="N734" s="187">
        <v>43140</v>
      </c>
      <c r="O734" s="180">
        <v>-0.27800000000000002</v>
      </c>
      <c r="P734" s="191">
        <v>43140</v>
      </c>
      <c r="Q734" s="192">
        <v>0.38600000000000001</v>
      </c>
    </row>
    <row r="735" spans="14:17" ht="15">
      <c r="N735" s="187">
        <v>43143</v>
      </c>
      <c r="O735" s="180">
        <v>-0.27800000000000002</v>
      </c>
      <c r="P735" s="191">
        <v>43143</v>
      </c>
      <c r="Q735" s="192">
        <v>0.39100000000000001</v>
      </c>
    </row>
    <row r="736" spans="14:17" ht="15">
      <c r="N736" s="187">
        <v>43144</v>
      </c>
      <c r="O736" s="180">
        <v>-0.27600000000000002</v>
      </c>
      <c r="P736" s="191">
        <v>43144</v>
      </c>
      <c r="Q736" s="192">
        <v>0.39600000000000002</v>
      </c>
    </row>
    <row r="737" spans="14:17" ht="15">
      <c r="N737" s="187">
        <v>43145</v>
      </c>
      <c r="O737" s="180">
        <v>-0.27600000000000002</v>
      </c>
      <c r="P737" s="191">
        <v>43145</v>
      </c>
      <c r="Q737" s="192">
        <v>0.40200000000000002</v>
      </c>
    </row>
    <row r="738" spans="14:17" ht="15">
      <c r="N738" s="187">
        <v>43146</v>
      </c>
      <c r="O738" s="180">
        <v>-0.27600000000000002</v>
      </c>
      <c r="P738" s="191">
        <v>43146</v>
      </c>
      <c r="Q738" s="192">
        <v>0.40899999999999997</v>
      </c>
    </row>
    <row r="739" spans="14:17" ht="15">
      <c r="N739" s="187">
        <v>43147</v>
      </c>
      <c r="O739" s="180">
        <v>-0.27400000000000002</v>
      </c>
      <c r="P739" s="191">
        <v>43147</v>
      </c>
      <c r="Q739" s="192">
        <v>0.41299999999999998</v>
      </c>
    </row>
    <row r="740" spans="14:17" ht="15">
      <c r="N740" s="187">
        <v>43150</v>
      </c>
      <c r="O740" s="180">
        <v>-0.27400000000000002</v>
      </c>
      <c r="P740" s="191">
        <v>43150</v>
      </c>
      <c r="Q740" s="192">
        <v>0.41899999999999998</v>
      </c>
    </row>
    <row r="741" spans="14:17" ht="15">
      <c r="N741" s="187">
        <v>43151</v>
      </c>
      <c r="O741" s="180">
        <v>-0.27300000000000002</v>
      </c>
      <c r="P741" s="191">
        <v>43151</v>
      </c>
      <c r="Q741" s="192">
        <v>0.42499999999999999</v>
      </c>
    </row>
    <row r="742" spans="14:17" ht="15">
      <c r="N742" s="187">
        <v>43152</v>
      </c>
      <c r="O742" s="180">
        <v>-0.27100000000000002</v>
      </c>
      <c r="P742" s="191">
        <v>43152</v>
      </c>
      <c r="Q742" s="192">
        <v>0.42899999999999999</v>
      </c>
    </row>
    <row r="743" spans="14:17" ht="15">
      <c r="N743" s="187">
        <v>43153</v>
      </c>
      <c r="O743" s="180">
        <v>-0.27</v>
      </c>
      <c r="P743" s="191">
        <v>43153</v>
      </c>
      <c r="Q743" s="192">
        <v>0.432</v>
      </c>
    </row>
    <row r="744" spans="14:17" ht="15">
      <c r="N744" s="187">
        <v>43154</v>
      </c>
      <c r="O744" s="180">
        <v>-0.27100000000000002</v>
      </c>
      <c r="P744" s="191">
        <v>43154</v>
      </c>
      <c r="Q744" s="192">
        <v>0.433</v>
      </c>
    </row>
    <row r="745" spans="14:17" ht="15">
      <c r="N745" s="187">
        <v>43157</v>
      </c>
      <c r="O745" s="180">
        <v>-0.27100000000000002</v>
      </c>
      <c r="P745" s="191">
        <v>43157</v>
      </c>
      <c r="Q745" s="192">
        <v>0.43099999999999999</v>
      </c>
    </row>
    <row r="746" spans="14:17" ht="15">
      <c r="N746" s="187">
        <v>43158</v>
      </c>
      <c r="O746" s="180">
        <v>-0.27100000000000002</v>
      </c>
      <c r="P746" s="191">
        <v>43158</v>
      </c>
      <c r="Q746" s="192">
        <v>0.43</v>
      </c>
    </row>
    <row r="747" spans="14:17" ht="15">
      <c r="N747" s="187">
        <v>43159</v>
      </c>
      <c r="O747" s="180">
        <v>-0.27</v>
      </c>
      <c r="P747" s="191">
        <v>43159</v>
      </c>
      <c r="Q747" s="192">
        <v>0.42799999999999999</v>
      </c>
    </row>
    <row r="748" spans="14:17" ht="15">
      <c r="N748" s="187">
        <v>43160</v>
      </c>
      <c r="O748" s="180">
        <v>-0.27100000000000002</v>
      </c>
      <c r="P748" s="191">
        <v>43160</v>
      </c>
      <c r="Q748" s="192">
        <v>0.42499999999999999</v>
      </c>
    </row>
    <row r="749" spans="14:17" ht="15">
      <c r="N749" s="187">
        <v>43161</v>
      </c>
      <c r="O749" s="180">
        <v>-0.27100000000000002</v>
      </c>
      <c r="P749" s="191">
        <v>43161</v>
      </c>
      <c r="Q749" s="192">
        <v>0.42</v>
      </c>
    </row>
    <row r="750" spans="14:17" ht="15">
      <c r="N750" s="187">
        <v>43164</v>
      </c>
      <c r="O750" s="180">
        <v>-0.27200000000000002</v>
      </c>
      <c r="P750" s="191">
        <v>43164</v>
      </c>
      <c r="Q750" s="192">
        <v>0.41599999999999998</v>
      </c>
    </row>
    <row r="751" spans="14:17" ht="15">
      <c r="N751" s="187">
        <v>43165</v>
      </c>
      <c r="O751" s="180">
        <v>-0.27100000000000002</v>
      </c>
      <c r="P751" s="191">
        <v>43165</v>
      </c>
      <c r="Q751" s="192">
        <v>0.41599999999999998</v>
      </c>
    </row>
    <row r="752" spans="14:17" ht="15">
      <c r="N752" s="187">
        <v>43166</v>
      </c>
      <c r="O752" s="180">
        <v>-0.27200000000000002</v>
      </c>
      <c r="P752" s="191">
        <v>43166</v>
      </c>
      <c r="Q752" s="192">
        <v>0.41499999999999998</v>
      </c>
    </row>
    <row r="753" spans="14:17" ht="15">
      <c r="N753" s="187">
        <v>43167</v>
      </c>
      <c r="O753" s="180">
        <v>-0.27200000000000002</v>
      </c>
      <c r="P753" s="191">
        <v>43167</v>
      </c>
      <c r="Q753" s="192">
        <v>0.41199999999999998</v>
      </c>
    </row>
    <row r="754" spans="14:17" ht="15">
      <c r="N754" s="187">
        <v>43168</v>
      </c>
      <c r="O754" s="180">
        <v>-0.27100000000000002</v>
      </c>
      <c r="P754" s="191">
        <v>43168</v>
      </c>
      <c r="Q754" s="192">
        <v>0.40899999999999997</v>
      </c>
    </row>
    <row r="755" spans="14:17" ht="15">
      <c r="N755" s="187">
        <v>43171</v>
      </c>
      <c r="O755" s="180">
        <v>-0.27100000000000002</v>
      </c>
      <c r="P755" s="191">
        <v>43171</v>
      </c>
      <c r="Q755" s="192">
        <v>0.40500000000000003</v>
      </c>
    </row>
    <row r="756" spans="14:17" ht="15">
      <c r="N756" s="187">
        <v>43172</v>
      </c>
      <c r="O756" s="180">
        <v>-0.27100000000000002</v>
      </c>
      <c r="P756" s="191">
        <v>43172</v>
      </c>
      <c r="Q756" s="192">
        <v>0.40100000000000002</v>
      </c>
    </row>
    <row r="757" spans="14:17" ht="15">
      <c r="N757" s="187">
        <v>43173</v>
      </c>
      <c r="O757" s="180">
        <v>-0.27100000000000002</v>
      </c>
      <c r="P757" s="191">
        <v>43173</v>
      </c>
      <c r="Q757" s="192">
        <v>0.39700000000000002</v>
      </c>
    </row>
    <row r="758" spans="14:17" ht="15">
      <c r="N758" s="187">
        <v>43174</v>
      </c>
      <c r="O758" s="180">
        <v>-0.27100000000000002</v>
      </c>
      <c r="P758" s="191">
        <v>43174</v>
      </c>
      <c r="Q758" s="192">
        <v>0.44500000000000001</v>
      </c>
    </row>
    <row r="759" spans="14:17" ht="15">
      <c r="N759" s="187">
        <v>43175</v>
      </c>
      <c r="O759" s="180">
        <v>-0.27200000000000002</v>
      </c>
      <c r="P759" s="191">
        <v>43175</v>
      </c>
      <c r="Q759" s="192">
        <v>0.439</v>
      </c>
    </row>
    <row r="760" spans="14:17" ht="15">
      <c r="N760" s="187">
        <v>43178</v>
      </c>
      <c r="O760" s="180">
        <v>-0.27200000000000002</v>
      </c>
      <c r="P760" s="191">
        <v>43178</v>
      </c>
      <c r="Q760" s="192">
        <v>0.434</v>
      </c>
    </row>
    <row r="761" spans="14:17" ht="15">
      <c r="N761" s="187">
        <v>43179</v>
      </c>
      <c r="O761" s="180">
        <v>-0.27300000000000002</v>
      </c>
      <c r="P761" s="191">
        <v>43179</v>
      </c>
      <c r="Q761" s="192">
        <v>0.42799999999999999</v>
      </c>
    </row>
    <row r="762" spans="14:17" ht="15">
      <c r="N762" s="187">
        <v>43180</v>
      </c>
      <c r="O762" s="180">
        <v>-0.27200000000000002</v>
      </c>
      <c r="P762" s="191">
        <v>43180</v>
      </c>
      <c r="Q762" s="192">
        <v>0.42299999999999999</v>
      </c>
    </row>
    <row r="763" spans="14:17" ht="15">
      <c r="N763" s="187">
        <v>43181</v>
      </c>
      <c r="O763" s="180">
        <v>-0.27100000000000002</v>
      </c>
      <c r="P763" s="191">
        <v>43181</v>
      </c>
      <c r="Q763" s="192">
        <v>0.41599999999999998</v>
      </c>
    </row>
    <row r="764" spans="14:17" ht="15">
      <c r="N764" s="187">
        <v>43182</v>
      </c>
      <c r="O764" s="180">
        <v>-0.27</v>
      </c>
      <c r="P764" s="191">
        <v>43182</v>
      </c>
      <c r="Q764" s="192">
        <v>0.41</v>
      </c>
    </row>
    <row r="765" spans="14:17" ht="15">
      <c r="N765" s="187">
        <v>43185</v>
      </c>
      <c r="O765" s="180">
        <v>-0.27100000000000002</v>
      </c>
      <c r="P765" s="191">
        <v>43185</v>
      </c>
      <c r="Q765" s="192">
        <v>0.40500000000000003</v>
      </c>
    </row>
    <row r="766" spans="14:17" ht="15">
      <c r="N766" s="187">
        <v>43186</v>
      </c>
      <c r="O766" s="180">
        <v>-0.27100000000000002</v>
      </c>
      <c r="P766" s="191">
        <v>43186</v>
      </c>
      <c r="Q766" s="192">
        <v>0.39900000000000002</v>
      </c>
    </row>
    <row r="767" spans="14:17" ht="15">
      <c r="N767" s="187">
        <v>43187</v>
      </c>
      <c r="O767" s="180">
        <v>-0.27100000000000002</v>
      </c>
      <c r="P767" s="191">
        <v>43187</v>
      </c>
      <c r="Q767" s="192">
        <v>0.39300000000000002</v>
      </c>
    </row>
    <row r="768" spans="14:17" ht="15">
      <c r="N768" s="187">
        <v>43188</v>
      </c>
      <c r="O768" s="180">
        <v>-0.27100000000000002</v>
      </c>
      <c r="P768" s="191">
        <v>43188</v>
      </c>
      <c r="Q768" s="192">
        <v>0.38800000000000001</v>
      </c>
    </row>
    <row r="769" spans="14:17" ht="15">
      <c r="N769" s="187">
        <v>43189</v>
      </c>
      <c r="O769" s="180">
        <v>-0.27100000000000002</v>
      </c>
      <c r="P769" s="191">
        <v>43189</v>
      </c>
      <c r="Q769" s="192">
        <v>0.38600000000000001</v>
      </c>
    </row>
    <row r="770" spans="14:17" ht="15">
      <c r="N770" s="187">
        <v>43192</v>
      </c>
      <c r="O770" s="180">
        <v>-0.27100000000000002</v>
      </c>
      <c r="P770" s="191"/>
      <c r="Q770" s="193">
        <v>0.38600000000000001</v>
      </c>
    </row>
    <row r="771" spans="14:17" ht="15">
      <c r="N771" s="187">
        <v>43193</v>
      </c>
      <c r="O771" s="180">
        <v>-0.27</v>
      </c>
      <c r="P771" s="191">
        <v>43193</v>
      </c>
      <c r="Q771" s="192">
        <v>0.38100000000000001</v>
      </c>
    </row>
    <row r="772" spans="14:17" ht="15">
      <c r="N772" s="187">
        <v>43194</v>
      </c>
      <c r="O772" s="180">
        <v>-0.27100000000000002</v>
      </c>
      <c r="P772" s="191">
        <v>43194</v>
      </c>
      <c r="Q772" s="192">
        <v>0.374</v>
      </c>
    </row>
    <row r="773" spans="14:17" ht="15">
      <c r="N773" s="187">
        <v>43195</v>
      </c>
      <c r="O773" s="180">
        <v>-0.27100000000000002</v>
      </c>
      <c r="P773" s="191">
        <v>43195</v>
      </c>
      <c r="Q773" s="192">
        <v>0.36899999999999999</v>
      </c>
    </row>
    <row r="774" spans="14:17" ht="15">
      <c r="N774" s="187">
        <v>43196</v>
      </c>
      <c r="O774" s="180">
        <v>-0.27</v>
      </c>
      <c r="P774" s="191">
        <v>43196</v>
      </c>
      <c r="Q774" s="192">
        <v>0.36299999999999999</v>
      </c>
    </row>
    <row r="775" spans="14:17" ht="15">
      <c r="N775" s="187">
        <v>43199</v>
      </c>
      <c r="O775" s="180">
        <v>-0.27</v>
      </c>
      <c r="P775" s="191">
        <v>43199</v>
      </c>
      <c r="Q775" s="192">
        <v>0.35799999999999998</v>
      </c>
    </row>
    <row r="776" spans="14:17" ht="15">
      <c r="N776" s="187">
        <v>43200</v>
      </c>
      <c r="O776" s="180">
        <v>-0.27100000000000002</v>
      </c>
      <c r="P776" s="191">
        <v>43200</v>
      </c>
      <c r="Q776" s="192">
        <v>0.35399999999999998</v>
      </c>
    </row>
    <row r="777" spans="14:17" ht="15">
      <c r="N777" s="187">
        <v>43201</v>
      </c>
      <c r="O777" s="180">
        <v>-0.27</v>
      </c>
      <c r="P777" s="191">
        <v>43201</v>
      </c>
      <c r="Q777" s="192">
        <v>0.35</v>
      </c>
    </row>
    <row r="778" spans="14:17" ht="15">
      <c r="N778" s="187">
        <v>43202</v>
      </c>
      <c r="O778" s="180">
        <v>-0.27100000000000002</v>
      </c>
      <c r="P778" s="191">
        <v>43202</v>
      </c>
      <c r="Q778" s="192">
        <v>0.35</v>
      </c>
    </row>
    <row r="779" spans="14:17" ht="15">
      <c r="N779" s="187">
        <v>43203</v>
      </c>
      <c r="O779" s="180">
        <v>-0.27100000000000002</v>
      </c>
      <c r="P779" s="191">
        <v>43203</v>
      </c>
      <c r="Q779" s="192">
        <v>0.34699999999999998</v>
      </c>
    </row>
    <row r="780" spans="14:17" ht="15">
      <c r="N780" s="187">
        <v>43206</v>
      </c>
      <c r="O780" s="180">
        <v>-0.27</v>
      </c>
      <c r="P780" s="191">
        <v>43206</v>
      </c>
      <c r="Q780" s="192">
        <v>0.34599999999999997</v>
      </c>
    </row>
    <row r="781" spans="14:17" ht="15">
      <c r="N781" s="187">
        <v>43207</v>
      </c>
      <c r="O781" s="180">
        <v>-0.27</v>
      </c>
      <c r="P781" s="191">
        <v>43207</v>
      </c>
      <c r="Q781" s="192">
        <v>0.34499999999999997</v>
      </c>
    </row>
    <row r="782" spans="14:17" ht="15">
      <c r="N782" s="187">
        <v>43208</v>
      </c>
      <c r="O782" s="180">
        <v>-0.27100000000000002</v>
      </c>
      <c r="P782" s="191">
        <v>43208</v>
      </c>
      <c r="Q782" s="192">
        <v>0.34200000000000003</v>
      </c>
    </row>
    <row r="783" spans="14:17" ht="15">
      <c r="N783" s="187">
        <v>43209</v>
      </c>
      <c r="O783" s="180">
        <v>-0.27</v>
      </c>
      <c r="P783" s="191">
        <v>43209</v>
      </c>
      <c r="Q783" s="192">
        <v>0.34200000000000003</v>
      </c>
    </row>
    <row r="784" spans="14:17" ht="15">
      <c r="N784" s="187">
        <v>43210</v>
      </c>
      <c r="O784" s="180">
        <v>-0.27100000000000002</v>
      </c>
      <c r="P784" s="191">
        <v>43210</v>
      </c>
      <c r="Q784" s="192">
        <v>0.34499999999999997</v>
      </c>
    </row>
    <row r="785" spans="14:18" ht="15">
      <c r="N785" s="187">
        <v>43213</v>
      </c>
      <c r="O785" s="180">
        <v>-0.27</v>
      </c>
      <c r="P785" s="191">
        <v>43213</v>
      </c>
      <c r="Q785" s="192">
        <v>0.34799999999999998</v>
      </c>
    </row>
    <row r="786" spans="14:18" ht="15">
      <c r="N786" s="187">
        <v>43214</v>
      </c>
      <c r="O786" s="180">
        <v>-0.27</v>
      </c>
      <c r="P786" s="191">
        <v>43214</v>
      </c>
      <c r="Q786" s="192">
        <v>0.35199999999999998</v>
      </c>
    </row>
    <row r="787" spans="14:18" ht="15">
      <c r="N787" s="187">
        <v>43215</v>
      </c>
      <c r="O787" s="180">
        <v>-0.27</v>
      </c>
      <c r="P787" s="191">
        <v>43215</v>
      </c>
      <c r="Q787" s="192">
        <v>0.35599999999999998</v>
      </c>
    </row>
    <row r="788" spans="14:18" ht="15">
      <c r="N788" s="187">
        <v>43216</v>
      </c>
      <c r="O788" s="180">
        <v>-0.26900000000000002</v>
      </c>
      <c r="P788" s="191">
        <v>43216</v>
      </c>
      <c r="Q788" s="192">
        <v>0.36</v>
      </c>
    </row>
    <row r="789" spans="14:18" ht="15">
      <c r="N789" s="187">
        <v>43217</v>
      </c>
      <c r="O789" s="180">
        <v>-0.26900000000000002</v>
      </c>
      <c r="P789" s="191">
        <v>43217</v>
      </c>
      <c r="Q789" s="192">
        <v>0.36299999999999999</v>
      </c>
    </row>
    <row r="790" spans="14:18" ht="15">
      <c r="N790" s="187">
        <v>43220</v>
      </c>
      <c r="O790" s="180">
        <v>-0.26900000000000002</v>
      </c>
      <c r="P790" s="191">
        <v>43220</v>
      </c>
      <c r="Q790" s="192">
        <v>0.36299999999999999</v>
      </c>
    </row>
    <row r="791" spans="14:18" ht="15">
      <c r="N791" s="187">
        <v>43221</v>
      </c>
      <c r="O791" s="180">
        <v>-0.26900000000000002</v>
      </c>
      <c r="P791" s="191"/>
      <c r="Q791" s="193">
        <v>0.36299999999999999</v>
      </c>
      <c r="R791" s="111">
        <f>+(O791+Q791)/2+0.37</f>
        <v>0.41699999999999998</v>
      </c>
    </row>
    <row r="792" spans="14:18" ht="15">
      <c r="N792" s="187">
        <v>43222</v>
      </c>
      <c r="O792" s="180">
        <v>-0.26900000000000002</v>
      </c>
      <c r="P792" s="191">
        <v>43222</v>
      </c>
      <c r="Q792" s="192">
        <v>0.36499999999999999</v>
      </c>
    </row>
    <row r="793" spans="14:18" ht="15">
      <c r="N793" s="187">
        <v>43223</v>
      </c>
      <c r="O793" s="180">
        <v>-0.26900000000000002</v>
      </c>
      <c r="P793" s="191">
        <v>43223</v>
      </c>
      <c r="Q793" s="192">
        <v>0.36699999999999999</v>
      </c>
    </row>
    <row r="794" spans="14:18" ht="15">
      <c r="N794" s="187">
        <v>43224</v>
      </c>
      <c r="O794" s="180">
        <v>-0.26900000000000002</v>
      </c>
      <c r="P794" s="191">
        <v>43224</v>
      </c>
      <c r="Q794" s="192">
        <v>0.36799999999999999</v>
      </c>
    </row>
    <row r="795" spans="14:18" ht="15">
      <c r="N795" s="187">
        <v>43227</v>
      </c>
      <c r="O795" s="180">
        <v>-0.26900000000000002</v>
      </c>
      <c r="P795" s="191">
        <v>43227</v>
      </c>
      <c r="Q795" s="192">
        <v>0.36799999999999999</v>
      </c>
    </row>
    <row r="796" spans="14:18" ht="15">
      <c r="N796" s="187">
        <v>43228</v>
      </c>
      <c r="O796" s="180">
        <v>-0.26900000000000002</v>
      </c>
      <c r="P796" s="191">
        <v>43228</v>
      </c>
      <c r="Q796" s="192">
        <v>0.36899999999999999</v>
      </c>
    </row>
    <row r="797" spans="14:18" ht="15">
      <c r="N797" s="187">
        <v>43229</v>
      </c>
      <c r="O797" s="180">
        <v>-0.26900000000000002</v>
      </c>
      <c r="P797" s="191">
        <v>43229</v>
      </c>
      <c r="Q797" s="192">
        <v>0.372</v>
      </c>
    </row>
    <row r="798" spans="14:18" ht="15">
      <c r="N798" s="187">
        <v>43230</v>
      </c>
      <c r="O798" s="180">
        <v>-0.27100000000000002</v>
      </c>
      <c r="P798" s="191"/>
      <c r="Q798" s="193">
        <v>0.372</v>
      </c>
    </row>
    <row r="799" spans="14:18" ht="15">
      <c r="N799" s="187">
        <v>43231</v>
      </c>
      <c r="O799" s="180">
        <v>-0.27100000000000002</v>
      </c>
      <c r="P799" s="191">
        <v>43231</v>
      </c>
      <c r="Q799" s="192">
        <v>0.377</v>
      </c>
    </row>
    <row r="800" spans="14:18" ht="15">
      <c r="N800" s="187">
        <v>43234</v>
      </c>
      <c r="O800" s="180">
        <v>-0.27100000000000002</v>
      </c>
      <c r="P800" s="191">
        <v>43234</v>
      </c>
      <c r="Q800" s="192">
        <v>0.38</v>
      </c>
    </row>
    <row r="801" spans="14:17" ht="15">
      <c r="N801" s="187">
        <v>43235</v>
      </c>
      <c r="O801" s="180">
        <v>-0.27100000000000002</v>
      </c>
      <c r="P801" s="191">
        <v>43235</v>
      </c>
      <c r="Q801" s="192">
        <v>0.38500000000000001</v>
      </c>
    </row>
    <row r="802" spans="14:17" ht="15">
      <c r="N802" s="187">
        <v>43236</v>
      </c>
      <c r="O802" s="180">
        <v>-0.27200000000000002</v>
      </c>
      <c r="P802" s="191">
        <v>43236</v>
      </c>
      <c r="Q802" s="192">
        <v>0.38700000000000001</v>
      </c>
    </row>
    <row r="803" spans="14:17" ht="15">
      <c r="N803" s="187">
        <v>43237</v>
      </c>
      <c r="O803" s="180">
        <v>-0.27</v>
      </c>
      <c r="P803" s="191">
        <v>43237</v>
      </c>
      <c r="Q803" s="192">
        <v>0.39100000000000001</v>
      </c>
    </row>
    <row r="804" spans="14:17" ht="15">
      <c r="N804" s="187">
        <v>43238</v>
      </c>
      <c r="O804" s="180">
        <v>-0.27100000000000002</v>
      </c>
      <c r="P804" s="191">
        <v>43238</v>
      </c>
      <c r="Q804" s="192">
        <v>0.39500000000000002</v>
      </c>
    </row>
    <row r="805" spans="14:17" ht="15">
      <c r="N805" s="187">
        <v>43241</v>
      </c>
      <c r="O805" s="180">
        <v>-0.27</v>
      </c>
      <c r="P805" s="191"/>
      <c r="Q805" s="193">
        <v>0.39500000000000002</v>
      </c>
    </row>
    <row r="806" spans="14:17" ht="15">
      <c r="N806" s="187">
        <v>43242</v>
      </c>
      <c r="O806" s="180">
        <v>-0.27100000000000002</v>
      </c>
      <c r="P806" s="191">
        <v>43242</v>
      </c>
      <c r="Q806" s="192">
        <v>0.39500000000000002</v>
      </c>
    </row>
    <row r="807" spans="14:17" ht="15">
      <c r="N807" s="187">
        <v>43243</v>
      </c>
      <c r="O807" s="180">
        <v>-0.27</v>
      </c>
      <c r="P807" s="191">
        <v>43243</v>
      </c>
      <c r="Q807" s="192">
        <v>0.39200000000000002</v>
      </c>
    </row>
    <row r="808" spans="14:17" ht="15">
      <c r="N808" s="187">
        <v>43244</v>
      </c>
      <c r="O808" s="180">
        <v>-0.27100000000000002</v>
      </c>
      <c r="P808" s="191">
        <v>43244</v>
      </c>
      <c r="Q808" s="192">
        <v>0.39</v>
      </c>
    </row>
    <row r="809" spans="14:17" ht="15">
      <c r="N809" s="187">
        <v>43245</v>
      </c>
      <c r="O809" s="180">
        <v>-0.27100000000000002</v>
      </c>
      <c r="P809" s="191">
        <v>43245</v>
      </c>
      <c r="Q809" s="192">
        <v>0.38500000000000001</v>
      </c>
    </row>
    <row r="810" spans="14:17" ht="15">
      <c r="N810" s="187">
        <v>43248</v>
      </c>
      <c r="O810" s="180">
        <v>-0.26900000000000002</v>
      </c>
      <c r="P810" s="191">
        <v>43248</v>
      </c>
      <c r="Q810" s="192">
        <v>0.378</v>
      </c>
    </row>
    <row r="811" spans="14:17" ht="15">
      <c r="N811" s="187">
        <v>43249</v>
      </c>
      <c r="O811" s="180">
        <v>-0.26900000000000002</v>
      </c>
      <c r="P811" s="191">
        <v>43249</v>
      </c>
      <c r="Q811" s="192">
        <v>0.37</v>
      </c>
    </row>
    <row r="812" spans="14:17" ht="15">
      <c r="N812" s="187">
        <v>43250</v>
      </c>
      <c r="O812" s="180">
        <v>-0.26900000000000002</v>
      </c>
      <c r="P812" s="191">
        <v>43250</v>
      </c>
      <c r="Q812" s="192">
        <v>0.36599999999999999</v>
      </c>
    </row>
    <row r="813" spans="14:17" ht="15">
      <c r="N813" s="187">
        <v>43251</v>
      </c>
      <c r="O813" s="180">
        <v>-0.26900000000000002</v>
      </c>
      <c r="P813" s="191"/>
      <c r="Q813" s="193">
        <v>0.36599999999999999</v>
      </c>
    </row>
    <row r="814" spans="14:17" ht="15">
      <c r="N814" s="187">
        <v>43252</v>
      </c>
      <c r="O814" s="180">
        <v>-0.26900000000000002</v>
      </c>
      <c r="P814" s="191">
        <v>43252</v>
      </c>
      <c r="Q814" s="192">
        <v>0.36199999999999999</v>
      </c>
    </row>
    <row r="815" spans="14:17" ht="15">
      <c r="N815" s="187">
        <v>43255</v>
      </c>
      <c r="O815" s="180">
        <v>-0.26900000000000002</v>
      </c>
      <c r="P815" s="191">
        <v>43255</v>
      </c>
      <c r="Q815" s="192">
        <v>0.35799999999999998</v>
      </c>
    </row>
    <row r="816" spans="14:17" ht="15">
      <c r="N816" s="187">
        <v>43256</v>
      </c>
      <c r="O816" s="180">
        <v>-0.26900000000000002</v>
      </c>
      <c r="P816" s="191">
        <v>43256</v>
      </c>
      <c r="Q816" s="192">
        <v>0.35399999999999998</v>
      </c>
    </row>
    <row r="817" spans="14:17" ht="15">
      <c r="N817" s="187">
        <v>43257</v>
      </c>
      <c r="O817" s="180">
        <v>-0.26900000000000002</v>
      </c>
      <c r="P817" s="191">
        <v>43257</v>
      </c>
      <c r="Q817" s="192">
        <v>0.35299999999999998</v>
      </c>
    </row>
    <row r="818" spans="14:17" ht="15">
      <c r="N818" s="187">
        <v>43258</v>
      </c>
      <c r="O818" s="180">
        <v>-0.26900000000000002</v>
      </c>
      <c r="P818" s="191">
        <v>43258</v>
      </c>
      <c r="Q818" s="192">
        <v>0.35399999999999998</v>
      </c>
    </row>
    <row r="819" spans="14:17" ht="15">
      <c r="N819" s="187">
        <v>43259</v>
      </c>
      <c r="O819" s="180">
        <v>-0.26700000000000002</v>
      </c>
      <c r="P819" s="191">
        <v>43259</v>
      </c>
      <c r="Q819" s="192">
        <v>0.35199999999999998</v>
      </c>
    </row>
    <row r="820" spans="14:17" ht="15">
      <c r="N820" s="187">
        <v>43262</v>
      </c>
      <c r="O820" s="180">
        <v>-0.26700000000000002</v>
      </c>
      <c r="P820" s="191">
        <v>43262</v>
      </c>
      <c r="Q820" s="192">
        <v>0.35099999999999998</v>
      </c>
    </row>
    <row r="821" spans="14:17" ht="15">
      <c r="N821" s="187">
        <v>43263</v>
      </c>
      <c r="O821" s="180">
        <v>-0.26700000000000002</v>
      </c>
      <c r="P821" s="191">
        <v>43263</v>
      </c>
      <c r="Q821" s="192">
        <v>0.35199999999999998</v>
      </c>
    </row>
    <row r="822" spans="14:17" ht="15">
      <c r="N822" s="187">
        <v>43264</v>
      </c>
      <c r="O822" s="180">
        <v>-0.26800000000000002</v>
      </c>
      <c r="P822" s="191">
        <v>43264</v>
      </c>
      <c r="Q822" s="192">
        <v>0.34899999999999998</v>
      </c>
    </row>
    <row r="823" spans="14:17" ht="15">
      <c r="N823" s="187">
        <v>43265</v>
      </c>
      <c r="O823" s="180">
        <v>-0.26800000000000002</v>
      </c>
      <c r="P823" s="191">
        <v>43265</v>
      </c>
      <c r="Q823" s="192">
        <v>0.34399999999999997</v>
      </c>
    </row>
    <row r="824" spans="14:17" ht="15">
      <c r="N824" s="187">
        <v>43266</v>
      </c>
      <c r="O824" s="180">
        <v>-0.26800000000000002</v>
      </c>
      <c r="P824" s="191">
        <v>43266</v>
      </c>
      <c r="Q824" s="192">
        <v>0.33700000000000002</v>
      </c>
    </row>
    <row r="825" spans="14:17" ht="15">
      <c r="N825" s="187">
        <v>43269</v>
      </c>
      <c r="O825" s="180">
        <v>-0.26800000000000002</v>
      </c>
      <c r="P825" s="191">
        <v>43269</v>
      </c>
      <c r="Q825" s="192">
        <v>0.36199999999999999</v>
      </c>
    </row>
    <row r="826" spans="14:17" ht="15">
      <c r="N826" s="187">
        <v>43270</v>
      </c>
      <c r="O826" s="180">
        <v>-0.26800000000000002</v>
      </c>
      <c r="P826" s="191">
        <v>43270</v>
      </c>
      <c r="Q826" s="192">
        <v>0.35299999999999998</v>
      </c>
    </row>
    <row r="827" spans="14:17" ht="15">
      <c r="N827" s="187">
        <v>43271</v>
      </c>
      <c r="O827" s="180">
        <v>-0.26800000000000002</v>
      </c>
      <c r="P827" s="191">
        <v>43271</v>
      </c>
      <c r="Q827" s="192">
        <v>0.34699999999999998</v>
      </c>
    </row>
    <row r="828" spans="14:17" ht="15">
      <c r="N828" s="187">
        <v>43272</v>
      </c>
      <c r="O828" s="180">
        <v>-0.26800000000000002</v>
      </c>
      <c r="P828" s="191">
        <v>43272</v>
      </c>
      <c r="Q828" s="192">
        <v>0.34</v>
      </c>
    </row>
    <row r="829" spans="14:17" ht="15">
      <c r="N829" s="187">
        <v>43273</v>
      </c>
      <c r="O829" s="180">
        <v>-0.26800000000000002</v>
      </c>
      <c r="P829" s="191">
        <v>43273</v>
      </c>
      <c r="Q829" s="192">
        <v>0.33400000000000002</v>
      </c>
    </row>
    <row r="830" spans="14:17" ht="15">
      <c r="N830" s="187">
        <v>43276</v>
      </c>
      <c r="O830" s="180">
        <v>-0.26900000000000002</v>
      </c>
      <c r="P830" s="191">
        <v>43276</v>
      </c>
      <c r="Q830" s="192">
        <v>0.33</v>
      </c>
    </row>
    <row r="831" spans="14:17" ht="15">
      <c r="N831" s="187">
        <v>43277</v>
      </c>
      <c r="O831" s="180">
        <v>-0.27</v>
      </c>
      <c r="P831" s="191">
        <v>43277</v>
      </c>
      <c r="Q831" s="192">
        <v>0.32700000000000001</v>
      </c>
    </row>
    <row r="832" spans="14:17" ht="15">
      <c r="N832" s="187">
        <v>43278</v>
      </c>
      <c r="O832" s="180">
        <v>-0.27</v>
      </c>
      <c r="P832" s="191">
        <v>43278</v>
      </c>
      <c r="Q832" s="192">
        <v>0.32600000000000001</v>
      </c>
    </row>
    <row r="833" spans="14:17" ht="15">
      <c r="N833" s="187">
        <v>43279</v>
      </c>
      <c r="O833" s="180">
        <v>-0.27</v>
      </c>
      <c r="P833" s="191">
        <v>43279</v>
      </c>
      <c r="Q833" s="192">
        <v>0.32700000000000001</v>
      </c>
    </row>
    <row r="834" spans="14:17" ht="15">
      <c r="N834" s="187">
        <v>43280</v>
      </c>
      <c r="O834" s="180">
        <v>-0.27</v>
      </c>
      <c r="P834" s="191">
        <v>43280</v>
      </c>
      <c r="Q834" s="192">
        <v>0.32200000000000001</v>
      </c>
    </row>
    <row r="835" spans="14:17" ht="15">
      <c r="N835" s="187">
        <v>43283</v>
      </c>
      <c r="O835" s="180">
        <v>-0.26900000000000002</v>
      </c>
      <c r="P835" s="191">
        <v>43283</v>
      </c>
      <c r="Q835" s="192">
        <v>0.317</v>
      </c>
    </row>
    <row r="836" spans="14:17" ht="15">
      <c r="N836" s="187">
        <v>43284</v>
      </c>
      <c r="O836" s="180">
        <v>-0.27</v>
      </c>
      <c r="P836" s="191">
        <v>43284</v>
      </c>
      <c r="Q836" s="192">
        <v>0.312</v>
      </c>
    </row>
    <row r="837" spans="14:17" ht="15">
      <c r="N837" s="187">
        <v>43285</v>
      </c>
      <c r="O837" s="180">
        <v>-0.26900000000000002</v>
      </c>
      <c r="P837" s="191">
        <v>43285</v>
      </c>
      <c r="Q837" s="192">
        <v>0.30399999999999999</v>
      </c>
    </row>
    <row r="838" spans="14:17" ht="15">
      <c r="N838" s="187">
        <v>43286</v>
      </c>
      <c r="O838" s="180">
        <v>-0.26900000000000002</v>
      </c>
      <c r="P838" s="191">
        <v>43286</v>
      </c>
      <c r="Q838" s="192">
        <v>0.29899999999999999</v>
      </c>
    </row>
    <row r="839" spans="14:17" ht="15">
      <c r="N839" s="187">
        <v>43287</v>
      </c>
      <c r="O839" s="180">
        <v>-0.27</v>
      </c>
      <c r="P839" s="191">
        <v>43287</v>
      </c>
      <c r="Q839" s="192">
        <v>0.29199999999999998</v>
      </c>
    </row>
    <row r="840" spans="14:17" ht="15">
      <c r="N840" s="187">
        <v>43290</v>
      </c>
      <c r="O840" s="180">
        <v>-0.27</v>
      </c>
      <c r="P840" s="191">
        <v>43290</v>
      </c>
      <c r="Q840" s="192">
        <v>0.28299999999999997</v>
      </c>
    </row>
    <row r="841" spans="14:17" ht="15">
      <c r="N841" s="187">
        <v>43291</v>
      </c>
      <c r="O841" s="180">
        <v>-0.26900000000000002</v>
      </c>
      <c r="P841" s="191">
        <v>43291</v>
      </c>
      <c r="Q841" s="192">
        <v>0.27400000000000002</v>
      </c>
    </row>
    <row r="842" spans="14:17" ht="15">
      <c r="N842" s="187">
        <v>43292</v>
      </c>
      <c r="O842" s="180">
        <v>-0.27100000000000002</v>
      </c>
      <c r="P842" s="191">
        <v>43292</v>
      </c>
      <c r="Q842" s="192">
        <v>0.26600000000000001</v>
      </c>
    </row>
    <row r="843" spans="14:17" ht="15">
      <c r="N843" s="187">
        <v>43293</v>
      </c>
      <c r="O843" s="180">
        <v>-0.27100000000000002</v>
      </c>
      <c r="P843" s="191">
        <v>43293</v>
      </c>
      <c r="Q843" s="192">
        <v>0.26200000000000001</v>
      </c>
    </row>
    <row r="844" spans="14:17" ht="15">
      <c r="N844" s="187">
        <v>43294</v>
      </c>
      <c r="O844" s="180">
        <v>-0.26800000000000002</v>
      </c>
      <c r="P844" s="191">
        <v>43294</v>
      </c>
      <c r="Q844" s="192">
        <v>0.25600000000000001</v>
      </c>
    </row>
    <row r="845" spans="14:17" ht="15">
      <c r="N845" s="187">
        <v>43297</v>
      </c>
      <c r="O845" s="180">
        <v>-0.26900000000000002</v>
      </c>
      <c r="P845" s="191">
        <v>43297</v>
      </c>
      <c r="Q845" s="192">
        <v>0.252</v>
      </c>
    </row>
    <row r="846" spans="14:17" ht="15">
      <c r="N846" s="187">
        <v>43298</v>
      </c>
      <c r="O846" s="180">
        <v>-0.26900000000000002</v>
      </c>
      <c r="P846" s="191">
        <v>43298</v>
      </c>
      <c r="Q846" s="192">
        <v>0.25</v>
      </c>
    </row>
    <row r="847" spans="14:17" ht="15">
      <c r="N847" s="187">
        <v>43299</v>
      </c>
      <c r="O847" s="180">
        <v>-0.26900000000000002</v>
      </c>
      <c r="P847" s="191">
        <v>43299</v>
      </c>
      <c r="Q847" s="192">
        <v>0.246</v>
      </c>
    </row>
    <row r="848" spans="14:17" ht="15">
      <c r="N848" s="187">
        <v>43300</v>
      </c>
      <c r="O848" s="180">
        <v>-0.26900000000000002</v>
      </c>
      <c r="P848" s="191">
        <v>43300</v>
      </c>
      <c r="Q848" s="192">
        <v>0.24399999999999999</v>
      </c>
    </row>
    <row r="849" spans="14:17" ht="15">
      <c r="N849" s="187">
        <v>43301</v>
      </c>
      <c r="O849" s="180">
        <v>-0.26900000000000002</v>
      </c>
      <c r="P849" s="191">
        <v>43301</v>
      </c>
      <c r="Q849" s="192">
        <v>0.24199999999999999</v>
      </c>
    </row>
    <row r="850" spans="14:17" ht="15">
      <c r="N850" s="187">
        <v>43304</v>
      </c>
      <c r="O850" s="180">
        <v>-0.26900000000000002</v>
      </c>
      <c r="P850" s="191">
        <v>43304</v>
      </c>
      <c r="Q850" s="192">
        <v>0.24199999999999999</v>
      </c>
    </row>
    <row r="851" spans="14:17" ht="15">
      <c r="N851" s="187">
        <v>43305</v>
      </c>
      <c r="O851" s="180">
        <v>-0.26900000000000002</v>
      </c>
      <c r="P851" s="191">
        <v>43305</v>
      </c>
      <c r="Q851" s="192">
        <v>0.24199999999999999</v>
      </c>
    </row>
    <row r="852" spans="14:17" ht="15">
      <c r="N852" s="187">
        <v>43306</v>
      </c>
      <c r="O852" s="180">
        <v>-0.26900000000000002</v>
      </c>
      <c r="P852" s="191">
        <v>43306</v>
      </c>
      <c r="Q852" s="192">
        <v>0.24199999999999999</v>
      </c>
    </row>
    <row r="853" spans="14:17" ht="15">
      <c r="N853" s="187">
        <v>43307</v>
      </c>
      <c r="O853" s="180">
        <v>-0.26900000000000002</v>
      </c>
      <c r="P853" s="191">
        <v>43307</v>
      </c>
      <c r="Q853" s="192">
        <v>0.24299999999999999</v>
      </c>
    </row>
    <row r="854" spans="14:17" ht="15">
      <c r="N854" s="187">
        <v>43308</v>
      </c>
      <c r="O854" s="180">
        <v>-0.26900000000000002</v>
      </c>
      <c r="P854" s="191">
        <v>43308</v>
      </c>
      <c r="Q854" s="192">
        <v>0.24399999999999999</v>
      </c>
    </row>
    <row r="855" spans="14:17" ht="15">
      <c r="N855" s="187">
        <v>43311</v>
      </c>
      <c r="O855" s="180">
        <v>-0.26800000000000002</v>
      </c>
      <c r="P855" s="191">
        <v>43311</v>
      </c>
      <c r="Q855" s="192">
        <v>0.248</v>
      </c>
    </row>
    <row r="856" spans="14:17" ht="15">
      <c r="N856" s="187">
        <v>43312</v>
      </c>
      <c r="O856" s="180">
        <v>-0.26800000000000002</v>
      </c>
      <c r="P856" s="191">
        <v>43312</v>
      </c>
      <c r="Q856" s="192">
        <v>0.252</v>
      </c>
    </row>
    <row r="857" spans="14:17" ht="15">
      <c r="N857" s="187">
        <v>43313</v>
      </c>
      <c r="O857" s="180">
        <v>-0.26900000000000002</v>
      </c>
      <c r="P857" s="191">
        <v>43313</v>
      </c>
      <c r="Q857" s="192">
        <v>0.25700000000000001</v>
      </c>
    </row>
    <row r="858" spans="14:17" ht="15">
      <c r="N858" s="187">
        <v>43314</v>
      </c>
      <c r="O858" s="180">
        <v>-0.26900000000000002</v>
      </c>
      <c r="P858" s="191">
        <v>43314</v>
      </c>
      <c r="Q858" s="192">
        <v>0.26200000000000001</v>
      </c>
    </row>
    <row r="859" spans="14:17" ht="15">
      <c r="N859" s="187">
        <v>43315</v>
      </c>
      <c r="O859" s="180">
        <v>-0.26800000000000002</v>
      </c>
      <c r="P859" s="191">
        <v>43315</v>
      </c>
      <c r="Q859" s="192">
        <v>0.26500000000000001</v>
      </c>
    </row>
    <row r="860" spans="14:17" ht="15">
      <c r="N860" s="187">
        <v>43318</v>
      </c>
      <c r="O860" s="180">
        <v>-0.26800000000000002</v>
      </c>
      <c r="P860" s="191">
        <v>43318</v>
      </c>
      <c r="Q860" s="192">
        <v>0.26800000000000002</v>
      </c>
    </row>
    <row r="861" spans="14:17" ht="15">
      <c r="N861" s="187">
        <v>43319</v>
      </c>
      <c r="O861" s="180">
        <v>-0.26800000000000002</v>
      </c>
      <c r="P861" s="191">
        <v>43319</v>
      </c>
      <c r="Q861" s="192">
        <v>0.26900000000000002</v>
      </c>
    </row>
    <row r="862" spans="14:17" ht="15">
      <c r="N862" s="187">
        <v>43320</v>
      </c>
      <c r="O862" s="180">
        <v>-0.26800000000000002</v>
      </c>
      <c r="P862" s="191">
        <v>43320</v>
      </c>
      <c r="Q862" s="192">
        <v>0.27200000000000002</v>
      </c>
    </row>
    <row r="863" spans="14:17" ht="15">
      <c r="N863" s="187">
        <v>43321</v>
      </c>
      <c r="O863" s="180">
        <v>-0.26600000000000001</v>
      </c>
      <c r="P863" s="191">
        <v>43321</v>
      </c>
      <c r="Q863" s="192">
        <v>0.27400000000000002</v>
      </c>
    </row>
    <row r="864" spans="14:17" ht="15">
      <c r="N864" s="187">
        <v>43322</v>
      </c>
      <c r="O864" s="180">
        <v>-0.26700000000000002</v>
      </c>
      <c r="P864" s="191">
        <v>43322</v>
      </c>
      <c r="Q864" s="192">
        <v>0.27500000000000002</v>
      </c>
    </row>
    <row r="865" spans="14:17" ht="15">
      <c r="N865" s="187">
        <v>43325</v>
      </c>
      <c r="O865" s="180">
        <v>-0.26600000000000001</v>
      </c>
      <c r="P865" s="191">
        <v>43325</v>
      </c>
      <c r="Q865" s="192">
        <v>0.27400000000000002</v>
      </c>
    </row>
    <row r="866" spans="14:17" ht="15">
      <c r="N866" s="187">
        <v>43326</v>
      </c>
      <c r="O866" s="180">
        <v>-0.26600000000000001</v>
      </c>
      <c r="P866" s="191">
        <v>43326</v>
      </c>
      <c r="Q866" s="192">
        <v>0.27400000000000002</v>
      </c>
    </row>
    <row r="867" spans="14:17" ht="15">
      <c r="N867" s="187">
        <v>43327</v>
      </c>
      <c r="O867" s="180">
        <v>-0.26600000000000001</v>
      </c>
      <c r="P867" s="191"/>
      <c r="Q867" s="193">
        <v>0.27400000000000002</v>
      </c>
    </row>
    <row r="868" spans="14:17" ht="15">
      <c r="N868" s="187">
        <v>43328</v>
      </c>
      <c r="O868" s="180">
        <v>-0.26600000000000001</v>
      </c>
      <c r="P868" s="191">
        <v>43328</v>
      </c>
      <c r="Q868" s="192">
        <v>0.27400000000000002</v>
      </c>
    </row>
    <row r="869" spans="14:17" ht="15">
      <c r="N869" s="187">
        <v>43329</v>
      </c>
      <c r="O869" s="180">
        <v>-0.26600000000000001</v>
      </c>
      <c r="P869" s="191">
        <v>43329</v>
      </c>
      <c r="Q869" s="192">
        <v>0.27400000000000002</v>
      </c>
    </row>
    <row r="870" spans="14:17" ht="15">
      <c r="N870" s="187">
        <v>43332</v>
      </c>
      <c r="O870" s="180">
        <v>-0.26600000000000001</v>
      </c>
      <c r="P870" s="191">
        <v>43332</v>
      </c>
      <c r="Q870" s="192">
        <v>0.27300000000000002</v>
      </c>
    </row>
    <row r="871" spans="14:17" ht="15">
      <c r="N871" s="187">
        <v>43333</v>
      </c>
      <c r="O871" s="180">
        <v>-0.26600000000000001</v>
      </c>
      <c r="P871" s="191">
        <v>43333</v>
      </c>
      <c r="Q871" s="192">
        <v>0.27</v>
      </c>
    </row>
    <row r="872" spans="14:17" ht="15">
      <c r="N872" s="187">
        <v>43334</v>
      </c>
      <c r="O872" s="180">
        <v>-0.26600000000000001</v>
      </c>
      <c r="P872" s="191">
        <v>43334</v>
      </c>
      <c r="Q872" s="192">
        <v>0.26900000000000002</v>
      </c>
    </row>
    <row r="873" spans="14:17" ht="15">
      <c r="N873" s="187">
        <v>43335</v>
      </c>
      <c r="O873" s="180">
        <v>-0.26600000000000001</v>
      </c>
      <c r="P873" s="191">
        <v>43335</v>
      </c>
      <c r="Q873" s="192">
        <v>0.26800000000000002</v>
      </c>
    </row>
    <row r="874" spans="14:17" ht="15">
      <c r="N874" s="187">
        <v>43336</v>
      </c>
      <c r="O874" s="180">
        <v>-0.26600000000000001</v>
      </c>
      <c r="P874" s="191">
        <v>43336</v>
      </c>
      <c r="Q874" s="192">
        <v>0.26700000000000002</v>
      </c>
    </row>
    <row r="875" spans="14:17" ht="15">
      <c r="N875" s="187">
        <v>43339</v>
      </c>
      <c r="O875" s="180">
        <v>-0.26500000000000001</v>
      </c>
      <c r="P875" s="191">
        <v>43339</v>
      </c>
      <c r="Q875" s="192">
        <v>0.26600000000000001</v>
      </c>
    </row>
    <row r="876" spans="14:17" ht="15">
      <c r="N876" s="187">
        <v>43340</v>
      </c>
      <c r="O876" s="180">
        <v>-0.26600000000000001</v>
      </c>
      <c r="P876" s="191">
        <v>43340</v>
      </c>
      <c r="Q876" s="192">
        <v>0.26600000000000001</v>
      </c>
    </row>
    <row r="877" spans="14:17" ht="15">
      <c r="N877" s="187">
        <v>43341</v>
      </c>
      <c r="O877" s="180">
        <v>-0.26600000000000001</v>
      </c>
      <c r="P877" s="191">
        <v>43341</v>
      </c>
      <c r="Q877" s="192">
        <v>0.26500000000000001</v>
      </c>
    </row>
    <row r="878" spans="14:17" ht="15">
      <c r="N878" s="187">
        <v>43342</v>
      </c>
      <c r="O878" s="180">
        <v>-0.26800000000000002</v>
      </c>
      <c r="P878" s="191">
        <v>43342</v>
      </c>
      <c r="Q878" s="192">
        <v>0.26300000000000001</v>
      </c>
    </row>
    <row r="879" spans="14:17" ht="15">
      <c r="N879" s="187">
        <v>43343</v>
      </c>
      <c r="O879" s="180">
        <v>-0.26800000000000002</v>
      </c>
      <c r="P879" s="191">
        <v>43343</v>
      </c>
      <c r="Q879" s="192">
        <v>0.26</v>
      </c>
    </row>
    <row r="880" spans="14:17" ht="15">
      <c r="N880" s="187">
        <v>43346</v>
      </c>
      <c r="O880" s="180">
        <v>-0.26800000000000002</v>
      </c>
      <c r="P880" s="191">
        <v>43346</v>
      </c>
      <c r="Q880" s="192">
        <v>0.25800000000000001</v>
      </c>
    </row>
    <row r="881" spans="14:17" ht="15">
      <c r="N881" s="187">
        <v>43347</v>
      </c>
      <c r="O881" s="180">
        <v>-0.26900000000000002</v>
      </c>
      <c r="P881" s="191">
        <v>43347</v>
      </c>
      <c r="Q881" s="192">
        <v>0.25700000000000001</v>
      </c>
    </row>
    <row r="882" spans="14:17" ht="15">
      <c r="N882" s="187">
        <v>43348</v>
      </c>
      <c r="O882" s="180">
        <v>-0.26900000000000002</v>
      </c>
      <c r="P882" s="191">
        <v>43348</v>
      </c>
      <c r="Q882" s="192">
        <v>0.25700000000000001</v>
      </c>
    </row>
    <row r="883" spans="14:17" ht="15">
      <c r="N883" s="187">
        <v>43349</v>
      </c>
      <c r="O883" s="180">
        <v>-0.26900000000000002</v>
      </c>
      <c r="P883" s="191">
        <v>43349</v>
      </c>
      <c r="Q883" s="192">
        <v>0.255</v>
      </c>
    </row>
    <row r="884" spans="14:17" ht="15">
      <c r="N884" s="187">
        <v>43350</v>
      </c>
      <c r="O884" s="180">
        <v>-0.26900000000000002</v>
      </c>
      <c r="P884" s="191">
        <v>43350</v>
      </c>
      <c r="Q884" s="192">
        <v>0.25600000000000001</v>
      </c>
    </row>
    <row r="885" spans="14:17" ht="15">
      <c r="N885" s="187">
        <v>43353</v>
      </c>
      <c r="O885" s="180">
        <v>-0.26900000000000002</v>
      </c>
      <c r="P885" s="191">
        <v>43353</v>
      </c>
      <c r="Q885" s="192">
        <v>0.25900000000000001</v>
      </c>
    </row>
    <row r="886" spans="14:17" ht="15">
      <c r="N886" s="187">
        <v>43354</v>
      </c>
      <c r="O886" s="180">
        <v>-0.26900000000000002</v>
      </c>
      <c r="P886" s="191">
        <v>43354</v>
      </c>
      <c r="Q886" s="192">
        <v>0.26400000000000001</v>
      </c>
    </row>
    <row r="887" spans="14:17" ht="15">
      <c r="N887" s="187">
        <v>43355</v>
      </c>
      <c r="O887" s="180">
        <v>-0.26900000000000002</v>
      </c>
      <c r="P887" s="191">
        <v>43355</v>
      </c>
      <c r="Q887" s="192">
        <v>0.26800000000000002</v>
      </c>
    </row>
    <row r="888" spans="14:17" ht="15">
      <c r="N888" s="187">
        <v>43356</v>
      </c>
      <c r="O888" s="180">
        <v>-0.26900000000000002</v>
      </c>
      <c r="P888" s="191">
        <v>43356</v>
      </c>
      <c r="Q888" s="192">
        <v>0.27200000000000002</v>
      </c>
    </row>
    <row r="889" spans="14:17" ht="15">
      <c r="N889" s="187">
        <v>43357</v>
      </c>
      <c r="O889" s="180">
        <v>-0.26900000000000002</v>
      </c>
      <c r="P889" s="191">
        <v>43357</v>
      </c>
      <c r="Q889" s="192">
        <v>0.27700000000000002</v>
      </c>
    </row>
    <row r="890" spans="14:17" ht="15">
      <c r="N890" s="187">
        <v>43360</v>
      </c>
      <c r="O890" s="180">
        <v>-0.26800000000000002</v>
      </c>
      <c r="P890" s="191">
        <v>43360</v>
      </c>
      <c r="Q890" s="192">
        <v>0.28299999999999997</v>
      </c>
    </row>
    <row r="891" spans="14:17" ht="15">
      <c r="N891" s="187">
        <v>43361</v>
      </c>
      <c r="O891" s="180">
        <v>-0.26800000000000002</v>
      </c>
      <c r="P891" s="191">
        <v>43361</v>
      </c>
      <c r="Q891" s="192">
        <v>0.28899999999999998</v>
      </c>
    </row>
    <row r="892" spans="14:17" ht="15">
      <c r="N892" s="187">
        <v>43362</v>
      </c>
      <c r="O892" s="180">
        <v>-0.26700000000000002</v>
      </c>
      <c r="P892" s="191">
        <v>43362</v>
      </c>
      <c r="Q892" s="192">
        <v>0.29399999999999998</v>
      </c>
    </row>
    <row r="893" spans="14:17" ht="15">
      <c r="N893" s="187">
        <v>43363</v>
      </c>
      <c r="O893" s="180">
        <v>-0.26800000000000002</v>
      </c>
      <c r="P893" s="191">
        <v>43363</v>
      </c>
      <c r="Q893" s="192">
        <v>0.29899999999999999</v>
      </c>
    </row>
    <row r="894" spans="14:17" ht="15">
      <c r="N894" s="187">
        <v>43364</v>
      </c>
      <c r="O894" s="180">
        <v>-0.26800000000000002</v>
      </c>
      <c r="P894" s="191">
        <v>43364</v>
      </c>
      <c r="Q894" s="192">
        <v>0.30399999999999999</v>
      </c>
    </row>
    <row r="895" spans="14:17" ht="15">
      <c r="N895" s="187">
        <v>43367</v>
      </c>
      <c r="O895" s="180">
        <v>-0.26700000000000002</v>
      </c>
      <c r="P895" s="191">
        <v>43367</v>
      </c>
      <c r="Q895" s="192">
        <v>0.308</v>
      </c>
    </row>
    <row r="896" spans="14:17" ht="15">
      <c r="N896" s="187">
        <v>43368</v>
      </c>
      <c r="O896" s="180">
        <v>-0.26700000000000002</v>
      </c>
      <c r="P896" s="191">
        <v>43368</v>
      </c>
      <c r="Q896" s="192">
        <v>0.314</v>
      </c>
    </row>
    <row r="897" spans="14:17" ht="15">
      <c r="N897" s="187">
        <v>43369</v>
      </c>
      <c r="O897" s="180">
        <v>-0.26700000000000002</v>
      </c>
      <c r="P897" s="191">
        <v>43369</v>
      </c>
      <c r="Q897" s="192">
        <v>0.31900000000000001</v>
      </c>
    </row>
    <row r="898" spans="14:17" ht="15">
      <c r="N898" s="187">
        <v>43370</v>
      </c>
      <c r="O898" s="180">
        <v>-0.26800000000000002</v>
      </c>
      <c r="P898" s="191">
        <v>43370</v>
      </c>
      <c r="Q898" s="192">
        <v>0.32400000000000001</v>
      </c>
    </row>
    <row r="899" spans="14:17" ht="15">
      <c r="N899" s="187">
        <v>43371</v>
      </c>
      <c r="O899" s="180">
        <v>-0.26800000000000002</v>
      </c>
      <c r="P899" s="191">
        <v>43371</v>
      </c>
      <c r="Q899" s="192">
        <v>0.32900000000000001</v>
      </c>
    </row>
    <row r="900" spans="14:17" ht="15">
      <c r="N900" s="187">
        <v>43374</v>
      </c>
      <c r="O900" s="180">
        <v>-0.26800000000000002</v>
      </c>
      <c r="P900" s="191">
        <v>43374</v>
      </c>
      <c r="Q900" s="192">
        <v>0.33500000000000002</v>
      </c>
    </row>
    <row r="901" spans="14:17" ht="15">
      <c r="N901" s="187">
        <v>43375</v>
      </c>
      <c r="O901" s="180">
        <v>-0.26800000000000002</v>
      </c>
      <c r="P901" s="191">
        <v>43375</v>
      </c>
      <c r="Q901" s="192">
        <v>0.33800000000000002</v>
      </c>
    </row>
    <row r="902" spans="14:17" ht="15">
      <c r="N902" s="187">
        <v>43376</v>
      </c>
      <c r="O902" s="180">
        <v>-0.26700000000000002</v>
      </c>
      <c r="P902" s="191">
        <v>43376</v>
      </c>
      <c r="Q902" s="192">
        <v>0.34100000000000003</v>
      </c>
    </row>
    <row r="903" spans="14:17" ht="15">
      <c r="N903" s="187">
        <v>43377</v>
      </c>
      <c r="O903" s="180">
        <v>-0.26800000000000002</v>
      </c>
      <c r="P903" s="191">
        <v>43377</v>
      </c>
      <c r="Q903" s="192">
        <v>0.34599999999999997</v>
      </c>
    </row>
    <row r="904" spans="14:17" ht="15">
      <c r="N904" s="187">
        <v>43378</v>
      </c>
      <c r="O904" s="180">
        <v>-0.26700000000000002</v>
      </c>
      <c r="P904" s="191">
        <v>43378</v>
      </c>
      <c r="Q904" s="192">
        <v>0.35199999999999998</v>
      </c>
    </row>
    <row r="905" spans="14:17" ht="15">
      <c r="N905" s="187">
        <v>43381</v>
      </c>
      <c r="O905" s="180">
        <v>-0.26700000000000002</v>
      </c>
      <c r="P905" s="191">
        <v>43381</v>
      </c>
      <c r="Q905" s="192">
        <v>0.35699999999999998</v>
      </c>
    </row>
    <row r="906" spans="14:17" ht="15">
      <c r="N906" s="187">
        <v>43382</v>
      </c>
      <c r="O906" s="180">
        <v>-0.26800000000000002</v>
      </c>
      <c r="P906" s="191">
        <v>43382</v>
      </c>
      <c r="Q906" s="192">
        <v>0.36099999999999999</v>
      </c>
    </row>
    <row r="907" spans="14:17" ht="15">
      <c r="N907" s="187">
        <v>43383</v>
      </c>
      <c r="O907" s="180">
        <v>-0.26800000000000002</v>
      </c>
      <c r="P907" s="191">
        <v>43383</v>
      </c>
      <c r="Q907" s="192">
        <v>0.36599999999999999</v>
      </c>
    </row>
    <row r="908" spans="14:17" ht="15">
      <c r="N908" s="187">
        <v>43384</v>
      </c>
      <c r="O908" s="180">
        <v>-0.26700000000000002</v>
      </c>
      <c r="P908" s="191">
        <v>43384</v>
      </c>
      <c r="Q908" s="192">
        <v>0.36899999999999999</v>
      </c>
    </row>
    <row r="909" spans="14:17" ht="15">
      <c r="N909" s="187">
        <v>43385</v>
      </c>
      <c r="O909" s="180">
        <v>-0.26700000000000002</v>
      </c>
      <c r="P909" s="191">
        <v>43385</v>
      </c>
      <c r="Q909" s="192">
        <v>0.372</v>
      </c>
    </row>
    <row r="910" spans="14:17" ht="15">
      <c r="N910" s="187">
        <v>43388</v>
      </c>
      <c r="O910" s="180">
        <v>-0.26600000000000001</v>
      </c>
      <c r="P910" s="191">
        <v>43388</v>
      </c>
      <c r="Q910" s="192">
        <v>0.373</v>
      </c>
    </row>
    <row r="911" spans="14:17" ht="15">
      <c r="N911" s="187">
        <v>43389</v>
      </c>
      <c r="O911" s="180">
        <v>-0.26500000000000001</v>
      </c>
      <c r="P911" s="191">
        <v>43389</v>
      </c>
      <c r="Q911" s="192">
        <v>0.374</v>
      </c>
    </row>
    <row r="912" spans="14:17" ht="15">
      <c r="N912" s="187">
        <v>43390</v>
      </c>
      <c r="O912" s="180">
        <v>-0.26600000000000001</v>
      </c>
      <c r="P912" s="191">
        <v>43390</v>
      </c>
      <c r="Q912" s="192">
        <v>0.372</v>
      </c>
    </row>
    <row r="913" spans="14:18" ht="15">
      <c r="N913" s="187">
        <v>43391</v>
      </c>
      <c r="O913" s="180">
        <v>-0.26500000000000001</v>
      </c>
      <c r="P913" s="191">
        <v>43391</v>
      </c>
      <c r="Q913" s="192">
        <v>0.40500000000000003</v>
      </c>
    </row>
    <row r="914" spans="14:18" ht="15">
      <c r="N914" s="187">
        <v>43392</v>
      </c>
      <c r="O914" s="180">
        <v>-0.26200000000000001</v>
      </c>
      <c r="P914" s="191">
        <v>43392</v>
      </c>
      <c r="Q914" s="192">
        <v>0.40300000000000002</v>
      </c>
    </row>
    <row r="915" spans="14:18" ht="15">
      <c r="N915" s="187">
        <v>43395</v>
      </c>
      <c r="O915" s="180">
        <v>-0.26100000000000001</v>
      </c>
      <c r="P915" s="191">
        <v>43395</v>
      </c>
      <c r="Q915" s="192">
        <v>0.40200000000000002</v>
      </c>
    </row>
    <row r="916" spans="14:18" ht="15">
      <c r="N916" s="187">
        <v>43396</v>
      </c>
      <c r="O916" s="180">
        <v>-0.25900000000000001</v>
      </c>
      <c r="P916" s="191">
        <v>43396</v>
      </c>
      <c r="Q916" s="192">
        <v>0.39700000000000002</v>
      </c>
    </row>
    <row r="917" spans="14:18" ht="15">
      <c r="N917" s="187">
        <v>43397</v>
      </c>
      <c r="O917" s="180">
        <v>-0.25900000000000001</v>
      </c>
      <c r="P917" s="191">
        <v>43397</v>
      </c>
      <c r="Q917" s="192">
        <v>0.39200000000000002</v>
      </c>
    </row>
    <row r="918" spans="14:18" ht="15">
      <c r="N918" s="187">
        <v>43398</v>
      </c>
      <c r="O918" s="180">
        <v>-0.25900000000000001</v>
      </c>
      <c r="P918" s="191">
        <v>43398</v>
      </c>
      <c r="Q918" s="192">
        <v>0.38700000000000001</v>
      </c>
    </row>
    <row r="919" spans="14:18" ht="15">
      <c r="N919" s="187">
        <v>43399</v>
      </c>
      <c r="O919" s="180">
        <v>-0.25900000000000001</v>
      </c>
      <c r="P919" s="191"/>
      <c r="Q919" s="193">
        <v>0.38700000000000001</v>
      </c>
    </row>
    <row r="920" spans="14:18" ht="15">
      <c r="N920" s="187">
        <v>43402</v>
      </c>
      <c r="O920" s="180">
        <v>-0.25900000000000001</v>
      </c>
      <c r="P920" s="191">
        <v>43402</v>
      </c>
      <c r="Q920" s="192">
        <v>0.38300000000000001</v>
      </c>
    </row>
    <row r="921" spans="14:18" ht="15">
      <c r="N921" s="187">
        <v>43403</v>
      </c>
      <c r="O921" s="180">
        <v>-0.25900000000000001</v>
      </c>
      <c r="P921" s="191">
        <v>43403</v>
      </c>
      <c r="Q921" s="192">
        <v>0.378</v>
      </c>
    </row>
    <row r="922" spans="14:18" ht="15">
      <c r="N922" s="187">
        <v>43404</v>
      </c>
      <c r="O922" s="180">
        <v>-0.25900000000000001</v>
      </c>
      <c r="P922" s="191">
        <v>43404</v>
      </c>
      <c r="Q922" s="192">
        <v>0.375</v>
      </c>
    </row>
    <row r="923" spans="14:18" ht="15">
      <c r="N923" s="187">
        <v>43405</v>
      </c>
      <c r="O923" s="180">
        <v>-0.25800000000000001</v>
      </c>
      <c r="P923" s="191"/>
      <c r="Q923" s="193">
        <v>0.375</v>
      </c>
      <c r="R923" s="111">
        <f>+(O923+Q923)/2+0.37</f>
        <v>0.42849999999999999</v>
      </c>
    </row>
    <row r="924" spans="14:18" ht="15">
      <c r="N924" s="187">
        <v>43406</v>
      </c>
      <c r="O924" s="180">
        <v>-0.25800000000000001</v>
      </c>
      <c r="P924" s="191">
        <v>43406</v>
      </c>
      <c r="Q924" s="192">
        <v>0.373</v>
      </c>
    </row>
    <row r="925" spans="14:18" ht="15">
      <c r="N925" s="187">
        <v>43409</v>
      </c>
      <c r="O925" s="180">
        <v>-0.25700000000000001</v>
      </c>
      <c r="P925" s="191">
        <v>43409</v>
      </c>
      <c r="Q925" s="192">
        <v>0.36899999999999999</v>
      </c>
    </row>
    <row r="926" spans="14:18" ht="15">
      <c r="N926" s="187">
        <v>43410</v>
      </c>
      <c r="O926" s="180">
        <v>-0.25800000000000001</v>
      </c>
      <c r="P926" s="191">
        <v>43410</v>
      </c>
      <c r="Q926" s="192">
        <v>0.36299999999999999</v>
      </c>
    </row>
    <row r="927" spans="14:18" ht="15">
      <c r="N927" s="187">
        <v>43411</v>
      </c>
      <c r="O927" s="180">
        <v>-0.25800000000000001</v>
      </c>
      <c r="P927" s="191">
        <v>43411</v>
      </c>
      <c r="Q927" s="192">
        <v>0.35899999999999999</v>
      </c>
    </row>
    <row r="928" spans="14:18" ht="15">
      <c r="N928" s="187">
        <v>43412</v>
      </c>
      <c r="O928" s="180">
        <v>-0.25700000000000001</v>
      </c>
      <c r="P928" s="191">
        <v>43412</v>
      </c>
      <c r="Q928" s="192">
        <v>0.35499999999999998</v>
      </c>
    </row>
    <row r="929" spans="14:17" ht="15">
      <c r="N929" s="187">
        <v>43413</v>
      </c>
      <c r="O929" s="180">
        <v>-0.25700000000000001</v>
      </c>
      <c r="P929" s="191">
        <v>43413</v>
      </c>
      <c r="Q929" s="192">
        <v>0.34899999999999998</v>
      </c>
    </row>
    <row r="930" spans="14:17" ht="15">
      <c r="N930" s="187">
        <v>43416</v>
      </c>
      <c r="O930" s="180">
        <v>-0.25700000000000001</v>
      </c>
      <c r="P930" s="191">
        <v>43416</v>
      </c>
      <c r="Q930" s="192">
        <v>0.34399999999999997</v>
      </c>
    </row>
    <row r="931" spans="14:17" ht="15">
      <c r="N931" s="187">
        <v>43417</v>
      </c>
      <c r="O931" s="180">
        <v>-0.25700000000000001</v>
      </c>
      <c r="P931" s="191">
        <v>43417</v>
      </c>
      <c r="Q931" s="192">
        <v>0.34</v>
      </c>
    </row>
    <row r="932" spans="14:17" ht="15">
      <c r="N932" s="187">
        <v>43418</v>
      </c>
      <c r="O932" s="180">
        <v>-0.25700000000000001</v>
      </c>
      <c r="P932" s="191">
        <v>43418</v>
      </c>
      <c r="Q932" s="192">
        <v>0.33700000000000002</v>
      </c>
    </row>
    <row r="933" spans="14:17" ht="15">
      <c r="N933" s="187">
        <v>43419</v>
      </c>
      <c r="O933" s="180">
        <v>-0.25700000000000001</v>
      </c>
      <c r="P933" s="191">
        <v>43419</v>
      </c>
      <c r="Q933" s="192">
        <v>0.33300000000000002</v>
      </c>
    </row>
    <row r="934" spans="14:17" ht="15">
      <c r="N934" s="187">
        <v>43420</v>
      </c>
      <c r="O934" s="180">
        <v>-0.25700000000000001</v>
      </c>
      <c r="P934" s="191">
        <v>43420</v>
      </c>
      <c r="Q934" s="192">
        <v>0.33</v>
      </c>
    </row>
    <row r="935" spans="14:17" ht="15">
      <c r="N935" s="187">
        <v>43423</v>
      </c>
      <c r="O935" s="180">
        <v>-0.25700000000000001</v>
      </c>
      <c r="P935" s="191">
        <v>43423</v>
      </c>
      <c r="Q935" s="192">
        <v>0.32800000000000001</v>
      </c>
    </row>
    <row r="936" spans="14:17" ht="15">
      <c r="N936" s="187">
        <v>43424</v>
      </c>
      <c r="O936" s="180">
        <v>-0.25700000000000001</v>
      </c>
      <c r="P936" s="191">
        <v>43424</v>
      </c>
      <c r="Q936" s="192">
        <v>0.32700000000000001</v>
      </c>
    </row>
    <row r="937" spans="14:17" ht="15">
      <c r="N937" s="187">
        <v>43425</v>
      </c>
      <c r="O937" s="180">
        <v>-0.25700000000000001</v>
      </c>
      <c r="P937" s="191">
        <v>43425</v>
      </c>
      <c r="Q937" s="192">
        <v>0.32400000000000001</v>
      </c>
    </row>
    <row r="938" spans="14:17" ht="15">
      <c r="N938" s="187">
        <v>43426</v>
      </c>
      <c r="O938" s="180">
        <v>-0.25700000000000001</v>
      </c>
      <c r="P938" s="191">
        <v>43426</v>
      </c>
      <c r="Q938" s="192">
        <v>0.32600000000000001</v>
      </c>
    </row>
    <row r="939" spans="14:17" ht="15">
      <c r="N939" s="187">
        <v>43427</v>
      </c>
      <c r="O939" s="180">
        <v>-0.25700000000000001</v>
      </c>
      <c r="P939" s="191">
        <v>43427</v>
      </c>
      <c r="Q939" s="192">
        <v>0.32500000000000001</v>
      </c>
    </row>
    <row r="940" spans="14:17" ht="15">
      <c r="N940" s="187">
        <v>43430</v>
      </c>
      <c r="O940" s="180">
        <v>-0.25600000000000001</v>
      </c>
      <c r="P940" s="191">
        <v>43430</v>
      </c>
      <c r="Q940" s="192">
        <v>0.32500000000000001</v>
      </c>
    </row>
    <row r="941" spans="14:17" ht="15">
      <c r="N941" s="187">
        <v>43431</v>
      </c>
      <c r="O941" s="180">
        <v>-0.25600000000000001</v>
      </c>
      <c r="P941" s="191">
        <v>43431</v>
      </c>
      <c r="Q941" s="192">
        <v>0.32500000000000001</v>
      </c>
    </row>
    <row r="942" spans="14:17" ht="15">
      <c r="N942" s="187">
        <v>43432</v>
      </c>
      <c r="O942" s="180">
        <v>-0.25600000000000001</v>
      </c>
      <c r="P942" s="191">
        <v>43432</v>
      </c>
      <c r="Q942" s="192">
        <v>0.32600000000000001</v>
      </c>
    </row>
    <row r="943" spans="14:17" ht="15">
      <c r="N943" s="187">
        <v>43433</v>
      </c>
      <c r="O943" s="180">
        <v>-0.253</v>
      </c>
      <c r="P943" s="191">
        <v>43433</v>
      </c>
      <c r="Q943" s="192">
        <v>0.32500000000000001</v>
      </c>
    </row>
    <row r="944" spans="14:17" ht="15">
      <c r="N944" s="187">
        <v>43434</v>
      </c>
      <c r="O944" s="180">
        <v>-0.251</v>
      </c>
      <c r="P944" s="191">
        <v>43434</v>
      </c>
      <c r="Q944" s="192">
        <v>0.32200000000000001</v>
      </c>
    </row>
    <row r="945" spans="14:17" ht="15">
      <c r="N945" s="187">
        <v>43437</v>
      </c>
      <c r="O945" s="180">
        <v>-0.248</v>
      </c>
      <c r="P945" s="191">
        <v>43437</v>
      </c>
      <c r="Q945" s="192">
        <v>0.32</v>
      </c>
    </row>
    <row r="946" spans="14:17" ht="15">
      <c r="N946" s="187">
        <v>43438</v>
      </c>
      <c r="O946" s="180">
        <v>-0.247</v>
      </c>
      <c r="P946" s="191">
        <v>43438</v>
      </c>
      <c r="Q946" s="192">
        <v>0.316</v>
      </c>
    </row>
    <row r="947" spans="14:17" ht="15">
      <c r="N947" s="187">
        <v>43439</v>
      </c>
      <c r="O947" s="180">
        <v>-0.246</v>
      </c>
      <c r="P947" s="191">
        <v>43439</v>
      </c>
      <c r="Q947" s="192">
        <v>0.311</v>
      </c>
    </row>
    <row r="948" spans="14:17" ht="15">
      <c r="N948" s="187">
        <v>43440</v>
      </c>
      <c r="O948" s="180">
        <v>-0.246</v>
      </c>
      <c r="P948" s="191">
        <v>43440</v>
      </c>
      <c r="Q948" s="192">
        <v>0.30399999999999999</v>
      </c>
    </row>
    <row r="949" spans="14:17" ht="15">
      <c r="N949" s="187">
        <v>43441</v>
      </c>
      <c r="O949" s="180">
        <v>-0.246</v>
      </c>
      <c r="P949" s="191">
        <v>43441</v>
      </c>
      <c r="Q949" s="192">
        <v>0.3</v>
      </c>
    </row>
    <row r="950" spans="14:17" ht="15">
      <c r="N950" s="187">
        <v>43444</v>
      </c>
      <c r="O950" s="180">
        <v>-0.245</v>
      </c>
      <c r="P950" s="191">
        <v>43444</v>
      </c>
      <c r="Q950" s="192">
        <v>0.29599999999999999</v>
      </c>
    </row>
    <row r="951" spans="14:17" ht="15">
      <c r="N951" s="187">
        <v>43445</v>
      </c>
      <c r="O951" s="180">
        <v>-0.24399999999999999</v>
      </c>
      <c r="P951" s="191">
        <v>43445</v>
      </c>
      <c r="Q951" s="192">
        <v>0.29299999999999998</v>
      </c>
    </row>
    <row r="952" spans="14:17" ht="15">
      <c r="N952" s="187">
        <v>43446</v>
      </c>
      <c r="O952" s="180">
        <v>-0.24099999999999999</v>
      </c>
      <c r="P952" s="191">
        <v>43446</v>
      </c>
      <c r="Q952" s="192">
        <v>0.28899999999999998</v>
      </c>
    </row>
    <row r="953" spans="14:17" ht="15">
      <c r="N953" s="187">
        <v>43447</v>
      </c>
      <c r="O953" s="180">
        <v>-0.23899999999999999</v>
      </c>
      <c r="P953" s="191">
        <v>43447</v>
      </c>
      <c r="Q953" s="192">
        <v>0.28799999999999998</v>
      </c>
    </row>
    <row r="954" spans="14:17" ht="15">
      <c r="N954" s="187">
        <v>43448</v>
      </c>
      <c r="O954" s="180">
        <v>-0.23799999999999999</v>
      </c>
      <c r="P954" s="191">
        <v>43448</v>
      </c>
      <c r="Q954" s="192">
        <v>0.28499999999999998</v>
      </c>
    </row>
    <row r="955" spans="14:17" ht="15">
      <c r="N955" s="187">
        <v>43451</v>
      </c>
      <c r="O955" s="180">
        <v>-0.23699999999999999</v>
      </c>
      <c r="P955" s="191">
        <v>43451</v>
      </c>
      <c r="Q955" s="192">
        <v>0.28100000000000003</v>
      </c>
    </row>
    <row r="956" spans="14:17" ht="15">
      <c r="N956" s="187">
        <v>43452</v>
      </c>
      <c r="O956" s="180">
        <v>-0.23799999999999999</v>
      </c>
      <c r="P956" s="191">
        <v>43452</v>
      </c>
      <c r="Q956" s="192">
        <v>0.27700000000000002</v>
      </c>
    </row>
    <row r="957" spans="14:17" ht="15">
      <c r="N957" s="187">
        <v>43453</v>
      </c>
      <c r="O957" s="180">
        <v>-0.23799999999999999</v>
      </c>
      <c r="P957" s="191">
        <v>43453</v>
      </c>
      <c r="Q957" s="192">
        <v>0.27300000000000002</v>
      </c>
    </row>
    <row r="958" spans="14:17" ht="15">
      <c r="N958" s="187">
        <v>43454</v>
      </c>
      <c r="O958" s="180">
        <v>-0.23799999999999999</v>
      </c>
      <c r="P958" s="191">
        <v>43454</v>
      </c>
      <c r="Q958" s="192">
        <v>0.26800000000000002</v>
      </c>
    </row>
    <row r="959" spans="14:17" ht="15">
      <c r="N959" s="187">
        <v>43455</v>
      </c>
      <c r="O959" s="180">
        <v>-0.23799999999999999</v>
      </c>
      <c r="P959" s="191">
        <v>43455</v>
      </c>
      <c r="Q959" s="192">
        <v>0.26400000000000001</v>
      </c>
    </row>
    <row r="960" spans="14:17" ht="15">
      <c r="N960" s="187">
        <v>43458</v>
      </c>
      <c r="O960" s="180">
        <v>-0.23699999999999999</v>
      </c>
      <c r="P960" s="191"/>
      <c r="Q960" s="193">
        <v>0.26400000000000001</v>
      </c>
    </row>
    <row r="961" spans="14:17" ht="15">
      <c r="N961" s="187">
        <v>43459</v>
      </c>
      <c r="O961" s="180">
        <v>-0.23699999999999999</v>
      </c>
      <c r="P961" s="191"/>
      <c r="Q961" s="193">
        <v>0.26400000000000001</v>
      </c>
    </row>
    <row r="962" spans="14:17" ht="15">
      <c r="N962" s="187">
        <v>43460</v>
      </c>
      <c r="O962" s="180">
        <v>-0.23699999999999999</v>
      </c>
      <c r="P962" s="191"/>
      <c r="Q962" s="193">
        <v>0.26400000000000001</v>
      </c>
    </row>
    <row r="963" spans="14:17" ht="15">
      <c r="N963" s="187">
        <v>43461</v>
      </c>
      <c r="O963" s="180">
        <v>-0.23699999999999999</v>
      </c>
      <c r="P963" s="191">
        <v>43461</v>
      </c>
      <c r="Q963" s="192">
        <v>0.25900000000000001</v>
      </c>
    </row>
    <row r="964" spans="14:17" ht="15">
      <c r="N964" s="187">
        <v>43462</v>
      </c>
      <c r="O964" s="180">
        <v>-0.23599999999999999</v>
      </c>
      <c r="P964" s="191">
        <v>43462</v>
      </c>
      <c r="Q964" s="192">
        <v>0.255</v>
      </c>
    </row>
    <row r="965" spans="14:17" ht="15">
      <c r="N965" s="187">
        <v>43465</v>
      </c>
      <c r="O965" s="180">
        <v>-0.23699999999999999</v>
      </c>
      <c r="P965" s="191">
        <v>43465</v>
      </c>
      <c r="Q965" s="192">
        <v>0.251</v>
      </c>
    </row>
    <row r="966" spans="14:17" ht="15">
      <c r="N966" s="187">
        <v>43466</v>
      </c>
      <c r="O966" s="180">
        <v>-0.23699999999999999</v>
      </c>
      <c r="P966" s="191"/>
      <c r="Q966" s="193">
        <v>0.251</v>
      </c>
    </row>
    <row r="967" spans="14:17" ht="15">
      <c r="N967" s="187">
        <v>43467</v>
      </c>
      <c r="O967" s="180">
        <v>-0.23799999999999999</v>
      </c>
      <c r="P967" s="191">
        <v>43467</v>
      </c>
      <c r="Q967" s="192">
        <v>0.245</v>
      </c>
    </row>
    <row r="968" spans="14:17" ht="15">
      <c r="N968" s="187">
        <v>43468</v>
      </c>
      <c r="O968" s="180">
        <v>-0.23699999999999999</v>
      </c>
      <c r="P968" s="191">
        <v>43468</v>
      </c>
      <c r="Q968" s="192">
        <v>0.24</v>
      </c>
    </row>
    <row r="969" spans="14:17" ht="15">
      <c r="N969" s="187">
        <v>43469</v>
      </c>
      <c r="O969" s="180">
        <v>-0.23699999999999999</v>
      </c>
      <c r="P969" s="191">
        <v>43469</v>
      </c>
      <c r="Q969" s="192">
        <v>0.23599999999999999</v>
      </c>
    </row>
    <row r="970" spans="14:17" ht="15">
      <c r="N970" s="187">
        <v>43472</v>
      </c>
      <c r="O970" s="180">
        <v>-0.23599999999999999</v>
      </c>
      <c r="P970" s="191">
        <v>43472</v>
      </c>
      <c r="Q970" s="192">
        <v>0.23400000000000001</v>
      </c>
    </row>
    <row r="971" spans="14:17" ht="15">
      <c r="N971" s="187">
        <v>43473</v>
      </c>
      <c r="O971" s="180">
        <v>-0.23599999999999999</v>
      </c>
      <c r="P971" s="191">
        <v>43473</v>
      </c>
      <c r="Q971" s="192">
        <v>0.23499999999999999</v>
      </c>
    </row>
    <row r="972" spans="14:17" ht="15">
      <c r="N972" s="187">
        <v>43474</v>
      </c>
      <c r="O972" s="180">
        <v>-0.23599999999999999</v>
      </c>
      <c r="P972" s="191">
        <v>43474</v>
      </c>
      <c r="Q972" s="192">
        <v>0.23499999999999999</v>
      </c>
    </row>
    <row r="973" spans="14:17" ht="15">
      <c r="N973" s="187">
        <v>43475</v>
      </c>
      <c r="O973" s="180">
        <v>-0.23599999999999999</v>
      </c>
      <c r="P973" s="191">
        <v>43475</v>
      </c>
      <c r="Q973" s="192">
        <v>0.23899999999999999</v>
      </c>
    </row>
    <row r="974" spans="14:17" ht="15">
      <c r="N974" s="187">
        <v>43476</v>
      </c>
      <c r="O974" s="180">
        <v>-0.23599999999999999</v>
      </c>
      <c r="P974" s="191">
        <v>43476</v>
      </c>
      <c r="Q974" s="192">
        <v>0.23699999999999999</v>
      </c>
    </row>
    <row r="975" spans="14:17" ht="15">
      <c r="N975" s="187">
        <v>43479</v>
      </c>
      <c r="O975" s="180">
        <v>-0.23599999999999999</v>
      </c>
      <c r="P975" s="191">
        <v>43479</v>
      </c>
      <c r="Q975" s="192">
        <v>0.23400000000000001</v>
      </c>
    </row>
    <row r="976" spans="14:17" ht="15">
      <c r="N976" s="187">
        <v>43480</v>
      </c>
      <c r="O976" s="180">
        <v>-0.23599999999999999</v>
      </c>
      <c r="P976" s="191">
        <v>43480</v>
      </c>
      <c r="Q976" s="192">
        <v>0.23</v>
      </c>
    </row>
    <row r="977" spans="14:17" ht="15">
      <c r="N977" s="187">
        <v>43481</v>
      </c>
      <c r="O977" s="180">
        <v>-0.23599999999999999</v>
      </c>
      <c r="P977" s="191">
        <v>43481</v>
      </c>
      <c r="Q977" s="192">
        <v>0.22600000000000001</v>
      </c>
    </row>
    <row r="978" spans="14:17" ht="15">
      <c r="N978" s="187">
        <v>43482</v>
      </c>
      <c r="O978" s="180">
        <v>-0.23599999999999999</v>
      </c>
      <c r="P978" s="191">
        <v>43482</v>
      </c>
      <c r="Q978" s="192">
        <v>0.224</v>
      </c>
    </row>
    <row r="979" spans="14:17" ht="15">
      <c r="N979" s="187">
        <v>43483</v>
      </c>
      <c r="O979" s="180">
        <v>-0.23499999999999999</v>
      </c>
      <c r="P979" s="191">
        <v>43483</v>
      </c>
      <c r="Q979" s="192">
        <v>0.223</v>
      </c>
    </row>
    <row r="980" spans="14:17" ht="15">
      <c r="N980" s="187">
        <v>43486</v>
      </c>
      <c r="O980" s="180">
        <v>-0.23599999999999999</v>
      </c>
      <c r="P980" s="191">
        <v>43486</v>
      </c>
      <c r="Q980" s="192">
        <v>0.222</v>
      </c>
    </row>
    <row r="981" spans="14:17" ht="15">
      <c r="N981" s="187">
        <v>43487</v>
      </c>
      <c r="O981" s="180">
        <v>-0.23699999999999999</v>
      </c>
      <c r="P981" s="191">
        <v>43487</v>
      </c>
      <c r="Q981" s="192">
        <v>0.221</v>
      </c>
    </row>
    <row r="982" spans="14:17" ht="15">
      <c r="N982" s="187">
        <v>43488</v>
      </c>
      <c r="O982" s="180">
        <v>-0.23699999999999999</v>
      </c>
      <c r="P982" s="191">
        <v>43488</v>
      </c>
      <c r="Q982" s="192">
        <v>0.22</v>
      </c>
    </row>
    <row r="983" spans="14:17" ht="15">
      <c r="N983" s="187">
        <v>43489</v>
      </c>
      <c r="O983" s="180">
        <v>-0.23599999999999999</v>
      </c>
      <c r="P983" s="191">
        <v>43489</v>
      </c>
      <c r="Q983" s="192">
        <v>0.217</v>
      </c>
    </row>
    <row r="984" spans="14:17" ht="15">
      <c r="N984" s="187">
        <v>43490</v>
      </c>
      <c r="O984" s="180">
        <v>-0.23699999999999999</v>
      </c>
      <c r="P984" s="191">
        <v>43490</v>
      </c>
      <c r="Q984" s="192">
        <v>0.216</v>
      </c>
    </row>
    <row r="985" spans="14:17" ht="15">
      <c r="N985" s="187">
        <v>43493</v>
      </c>
      <c r="O985" s="180">
        <v>-0.23699999999999999</v>
      </c>
      <c r="P985" s="191">
        <v>43493</v>
      </c>
      <c r="Q985" s="192">
        <v>0.214</v>
      </c>
    </row>
    <row r="986" spans="14:17" ht="15">
      <c r="N986" s="187">
        <v>43494</v>
      </c>
      <c r="O986" s="180">
        <v>-0.23699999999999999</v>
      </c>
      <c r="P986" s="191">
        <v>43494</v>
      </c>
      <c r="Q986" s="192">
        <v>0.21299999999999999</v>
      </c>
    </row>
    <row r="987" spans="14:17" ht="15">
      <c r="N987" s="187">
        <v>43495</v>
      </c>
      <c r="O987" s="180">
        <v>-0.23599999999999999</v>
      </c>
      <c r="P987" s="191">
        <v>43495</v>
      </c>
      <c r="Q987" s="192">
        <v>0.214</v>
      </c>
    </row>
    <row r="988" spans="14:17" ht="15">
      <c r="N988" s="187">
        <v>43496</v>
      </c>
      <c r="O988" s="180">
        <v>-0.23599999999999999</v>
      </c>
      <c r="P988" s="191">
        <v>43496</v>
      </c>
      <c r="Q988" s="192">
        <v>0.214</v>
      </c>
    </row>
    <row r="989" spans="14:17" ht="15">
      <c r="N989" s="187">
        <v>43497</v>
      </c>
      <c r="O989" s="180">
        <v>-0.23499999999999999</v>
      </c>
      <c r="P989" s="191">
        <v>43497</v>
      </c>
      <c r="Q989" s="192">
        <v>0.21199999999999999</v>
      </c>
    </row>
    <row r="990" spans="14:17" ht="15">
      <c r="N990" s="187">
        <v>43500</v>
      </c>
      <c r="O990" s="180">
        <v>-0.23499999999999999</v>
      </c>
      <c r="P990" s="191">
        <v>43500</v>
      </c>
      <c r="Q990" s="192">
        <v>0.20899999999999999</v>
      </c>
    </row>
    <row r="991" spans="14:17" ht="15">
      <c r="N991" s="187">
        <v>43501</v>
      </c>
      <c r="O991" s="180">
        <v>-0.23400000000000001</v>
      </c>
      <c r="P991" s="191">
        <v>43501</v>
      </c>
      <c r="Q991" s="192">
        <v>0.215</v>
      </c>
    </row>
    <row r="992" spans="14:17" ht="15">
      <c r="N992" s="187">
        <v>43502</v>
      </c>
      <c r="O992" s="180">
        <v>-0.23400000000000001</v>
      </c>
      <c r="P992" s="191">
        <v>43502</v>
      </c>
      <c r="Q992" s="192">
        <v>0.21199999999999999</v>
      </c>
    </row>
    <row r="993" spans="14:17" ht="15">
      <c r="N993" s="187">
        <v>43503</v>
      </c>
      <c r="O993" s="180">
        <v>-0.23300000000000001</v>
      </c>
      <c r="P993" s="191">
        <v>43503</v>
      </c>
      <c r="Q993" s="192">
        <v>0.20799999999999999</v>
      </c>
    </row>
    <row r="994" spans="14:17" ht="15">
      <c r="N994" s="187">
        <v>43504</v>
      </c>
      <c r="O994" s="180">
        <v>-0.23300000000000001</v>
      </c>
      <c r="P994" s="191">
        <v>43504</v>
      </c>
      <c r="Q994" s="192">
        <v>0.20399999999999999</v>
      </c>
    </row>
    <row r="995" spans="14:17" ht="15">
      <c r="N995" s="187">
        <v>43507</v>
      </c>
      <c r="O995" s="180">
        <v>-0.23200000000000001</v>
      </c>
      <c r="P995" s="191">
        <v>43507</v>
      </c>
      <c r="Q995" s="192">
        <v>0.20200000000000001</v>
      </c>
    </row>
    <row r="996" spans="14:17" ht="15">
      <c r="N996" s="187">
        <v>43508</v>
      </c>
      <c r="O996" s="180">
        <v>-0.23100000000000001</v>
      </c>
      <c r="P996" s="191">
        <v>43508</v>
      </c>
      <c r="Q996" s="192">
        <v>0.2</v>
      </c>
    </row>
    <row r="997" spans="14:17" ht="15">
      <c r="N997" s="187">
        <v>43509</v>
      </c>
      <c r="O997" s="180">
        <v>-0.23100000000000001</v>
      </c>
      <c r="P997" s="191">
        <v>43509</v>
      </c>
      <c r="Q997" s="192">
        <v>0.19900000000000001</v>
      </c>
    </row>
    <row r="998" spans="14:17" ht="15">
      <c r="N998" s="187">
        <v>43510</v>
      </c>
      <c r="O998" s="180">
        <v>-0.23100000000000001</v>
      </c>
      <c r="P998" s="191">
        <v>43510</v>
      </c>
      <c r="Q998" s="192">
        <v>0.19600000000000001</v>
      </c>
    </row>
    <row r="999" spans="14:17" ht="15">
      <c r="N999" s="187">
        <v>43511</v>
      </c>
      <c r="O999" s="180">
        <v>-0.23200000000000001</v>
      </c>
      <c r="P999" s="191">
        <v>43511</v>
      </c>
      <c r="Q999" s="192">
        <v>0.192</v>
      </c>
    </row>
    <row r="1000" spans="14:17" ht="15">
      <c r="N1000" s="187">
        <v>43514</v>
      </c>
      <c r="O1000" s="180">
        <v>-0.23200000000000001</v>
      </c>
      <c r="P1000" s="191">
        <v>43514</v>
      </c>
      <c r="Q1000" s="192">
        <v>0.189</v>
      </c>
    </row>
    <row r="1001" spans="14:17" ht="15">
      <c r="N1001" s="187">
        <v>43515</v>
      </c>
      <c r="O1001" s="180">
        <v>-0.23200000000000001</v>
      </c>
      <c r="P1001" s="191">
        <v>43515</v>
      </c>
      <c r="Q1001" s="192">
        <v>0.185</v>
      </c>
    </row>
    <row r="1002" spans="14:17" ht="15">
      <c r="N1002" s="187">
        <v>43516</v>
      </c>
      <c r="O1002" s="180">
        <v>-0.23100000000000001</v>
      </c>
      <c r="P1002" s="191">
        <v>43516</v>
      </c>
      <c r="Q1002" s="192">
        <v>0.182</v>
      </c>
    </row>
    <row r="1003" spans="14:17" ht="15">
      <c r="N1003" s="187">
        <v>43517</v>
      </c>
      <c r="O1003" s="180">
        <v>-0.23100000000000001</v>
      </c>
      <c r="P1003" s="191">
        <v>43517</v>
      </c>
      <c r="Q1003" s="192">
        <v>0.18099999999999999</v>
      </c>
    </row>
    <row r="1004" spans="14:17" ht="15">
      <c r="N1004" s="187">
        <v>43518</v>
      </c>
      <c r="O1004" s="180">
        <v>-0.23100000000000001</v>
      </c>
      <c r="P1004" s="191">
        <v>43518</v>
      </c>
      <c r="Q1004" s="192">
        <v>0.17899999999999999</v>
      </c>
    </row>
    <row r="1005" spans="14:17" ht="15">
      <c r="N1005" s="187">
        <v>43521</v>
      </c>
      <c r="O1005" s="180">
        <v>-0.23</v>
      </c>
      <c r="P1005" s="191">
        <v>43521</v>
      </c>
      <c r="Q1005" s="192">
        <v>0.17699999999999999</v>
      </c>
    </row>
    <row r="1006" spans="14:17" ht="15">
      <c r="N1006" s="187">
        <v>43522</v>
      </c>
      <c r="O1006" s="180">
        <v>-0.23</v>
      </c>
      <c r="P1006" s="191">
        <v>43522</v>
      </c>
      <c r="Q1006" s="192">
        <v>0.17499999999999999</v>
      </c>
    </row>
    <row r="1007" spans="14:17" ht="15">
      <c r="N1007" s="187">
        <v>43523</v>
      </c>
      <c r="O1007" s="180">
        <v>-0.22900000000000001</v>
      </c>
      <c r="P1007" s="191">
        <v>43523</v>
      </c>
      <c r="Q1007" s="192">
        <v>0.17399999999999999</v>
      </c>
    </row>
    <row r="1008" spans="14:17" ht="15">
      <c r="N1008" s="187">
        <v>43524</v>
      </c>
      <c r="O1008" s="180">
        <v>-0.22900000000000001</v>
      </c>
      <c r="P1008" s="191">
        <v>43524</v>
      </c>
      <c r="Q1008" s="192">
        <v>0.17499999999999999</v>
      </c>
    </row>
    <row r="1009" spans="14:17" ht="15">
      <c r="N1009" s="187">
        <v>43525</v>
      </c>
      <c r="O1009" s="180">
        <v>-0.23</v>
      </c>
      <c r="P1009" s="191">
        <v>43525</v>
      </c>
      <c r="Q1009" s="192">
        <v>0.17799999999999999</v>
      </c>
    </row>
    <row r="1010" spans="14:17" ht="15">
      <c r="N1010" s="187">
        <v>43528</v>
      </c>
      <c r="O1010" s="180">
        <v>-0.23</v>
      </c>
      <c r="P1010" s="191">
        <v>43528</v>
      </c>
      <c r="Q1010" s="192">
        <v>0.17899999999999999</v>
      </c>
    </row>
    <row r="1011" spans="14:17" ht="15">
      <c r="N1011" s="187">
        <v>43529</v>
      </c>
      <c r="O1011" s="180">
        <v>-0.23100000000000001</v>
      </c>
      <c r="P1011" s="191">
        <v>43529</v>
      </c>
      <c r="Q1011" s="192">
        <v>0.18</v>
      </c>
    </row>
    <row r="1012" spans="14:17" ht="15">
      <c r="N1012" s="187">
        <v>43530</v>
      </c>
      <c r="O1012" s="180">
        <v>-0.23200000000000001</v>
      </c>
      <c r="P1012" s="191">
        <v>43530</v>
      </c>
      <c r="Q1012" s="192">
        <v>0.17899999999999999</v>
      </c>
    </row>
    <row r="1013" spans="14:17" ht="15">
      <c r="N1013" s="187">
        <v>43531</v>
      </c>
      <c r="O1013" s="180">
        <v>-0.23100000000000001</v>
      </c>
      <c r="P1013" s="191">
        <v>43531</v>
      </c>
      <c r="Q1013" s="192">
        <v>0.18099999999999999</v>
      </c>
    </row>
    <row r="1014" spans="14:17" ht="15">
      <c r="N1014" s="187">
        <v>43532</v>
      </c>
      <c r="O1014" s="180">
        <v>-0.23200000000000001</v>
      </c>
      <c r="P1014" s="191">
        <v>43532</v>
      </c>
      <c r="Q1014" s="192">
        <v>0.18</v>
      </c>
    </row>
    <row r="1015" spans="14:17" ht="15">
      <c r="N1015" s="187">
        <v>43535</v>
      </c>
      <c r="O1015" s="180">
        <v>-0.23200000000000001</v>
      </c>
      <c r="P1015" s="191">
        <v>43535</v>
      </c>
      <c r="Q1015" s="192">
        <v>0.17799999999999999</v>
      </c>
    </row>
    <row r="1016" spans="14:17" ht="15">
      <c r="N1016" s="187">
        <v>43536</v>
      </c>
      <c r="O1016" s="180">
        <v>-0.23100000000000001</v>
      </c>
      <c r="P1016" s="191">
        <v>43536</v>
      </c>
      <c r="Q1016" s="192">
        <v>0.17599999999999999</v>
      </c>
    </row>
    <row r="1017" spans="14:17" ht="15">
      <c r="N1017" s="187">
        <v>43537</v>
      </c>
      <c r="O1017" s="180">
        <v>-0.23200000000000001</v>
      </c>
      <c r="P1017" s="191">
        <v>43537</v>
      </c>
      <c r="Q1017" s="192">
        <v>0.17299999999999999</v>
      </c>
    </row>
    <row r="1018" spans="14:17" ht="15">
      <c r="N1018" s="187">
        <v>43538</v>
      </c>
      <c r="O1018" s="180">
        <v>-0.23200000000000001</v>
      </c>
      <c r="P1018" s="191">
        <v>43538</v>
      </c>
      <c r="Q1018" s="192">
        <v>0.17100000000000001</v>
      </c>
    </row>
    <row r="1019" spans="14:17" ht="15">
      <c r="N1019" s="187">
        <v>43539</v>
      </c>
      <c r="O1019" s="180">
        <v>-0.23200000000000001</v>
      </c>
      <c r="P1019" s="191">
        <v>43539</v>
      </c>
      <c r="Q1019" s="192">
        <v>0.16900000000000001</v>
      </c>
    </row>
    <row r="1020" spans="14:17" ht="15">
      <c r="N1020" s="187">
        <v>43542</v>
      </c>
      <c r="O1020" s="180">
        <v>-0.23100000000000001</v>
      </c>
      <c r="P1020" s="191">
        <v>43542</v>
      </c>
      <c r="Q1020" s="192">
        <v>0.16800000000000001</v>
      </c>
    </row>
    <row r="1021" spans="14:17" ht="15">
      <c r="N1021" s="187">
        <v>43543</v>
      </c>
      <c r="O1021" s="180">
        <v>-0.23200000000000001</v>
      </c>
      <c r="P1021" s="191">
        <v>43543</v>
      </c>
      <c r="Q1021" s="192">
        <v>0.16600000000000001</v>
      </c>
    </row>
    <row r="1022" spans="14:17" ht="15">
      <c r="N1022" s="187">
        <v>43544</v>
      </c>
      <c r="O1022" s="180">
        <v>-0.23100000000000001</v>
      </c>
      <c r="P1022" s="191">
        <v>43544</v>
      </c>
      <c r="Q1022" s="192">
        <v>0.16500000000000001</v>
      </c>
    </row>
    <row r="1023" spans="14:17" ht="15">
      <c r="N1023" s="187">
        <v>43545</v>
      </c>
      <c r="O1023" s="180">
        <v>-0.22900000000000001</v>
      </c>
      <c r="P1023" s="191">
        <v>43545</v>
      </c>
      <c r="Q1023" s="192">
        <v>0.161</v>
      </c>
    </row>
    <row r="1024" spans="14:17" ht="15">
      <c r="N1024" s="187">
        <v>43546</v>
      </c>
      <c r="O1024" s="180">
        <v>-0.22800000000000001</v>
      </c>
      <c r="P1024" s="191">
        <v>43546</v>
      </c>
      <c r="Q1024" s="192">
        <v>0.155</v>
      </c>
    </row>
    <row r="1025" spans="14:17" ht="15">
      <c r="N1025" s="187">
        <v>43549</v>
      </c>
      <c r="O1025" s="180">
        <v>-0.22800000000000001</v>
      </c>
      <c r="P1025" s="191">
        <v>43549</v>
      </c>
      <c r="Q1025" s="192">
        <v>0.14899999999999999</v>
      </c>
    </row>
    <row r="1026" spans="14:17" ht="15">
      <c r="N1026" s="187">
        <v>43550</v>
      </c>
      <c r="O1026" s="180">
        <v>-0.22800000000000001</v>
      </c>
      <c r="P1026" s="191">
        <v>43550</v>
      </c>
      <c r="Q1026" s="192">
        <v>0.14199999999999999</v>
      </c>
    </row>
    <row r="1027" spans="14:17" ht="15">
      <c r="N1027" s="187">
        <v>43551</v>
      </c>
      <c r="O1027" s="180">
        <v>-0.22700000000000001</v>
      </c>
      <c r="P1027" s="191">
        <v>43551</v>
      </c>
      <c r="Q1027" s="192">
        <v>0.13300000000000001</v>
      </c>
    </row>
    <row r="1028" spans="14:17" ht="15">
      <c r="N1028" s="187">
        <v>43552</v>
      </c>
      <c r="O1028" s="180">
        <v>-0.22800000000000001</v>
      </c>
      <c r="P1028" s="191">
        <v>43552</v>
      </c>
      <c r="Q1028" s="192">
        <v>0.123</v>
      </c>
    </row>
    <row r="1029" spans="14:17" ht="15">
      <c r="N1029" s="187">
        <v>43553</v>
      </c>
      <c r="O1029" s="180">
        <v>-0.22800000000000001</v>
      </c>
      <c r="P1029" s="191">
        <v>43553</v>
      </c>
      <c r="Q1029" s="192">
        <v>0.112</v>
      </c>
    </row>
    <row r="1030" spans="14:17" ht="15">
      <c r="N1030" s="187">
        <v>43556</v>
      </c>
      <c r="O1030" s="180">
        <v>-0.22800000000000001</v>
      </c>
      <c r="P1030" s="191">
        <v>43556</v>
      </c>
      <c r="Q1030" s="192">
        <v>0.10299999999999999</v>
      </c>
    </row>
    <row r="1031" spans="14:17" ht="15">
      <c r="N1031" s="187">
        <v>43557</v>
      </c>
      <c r="O1031" s="180">
        <v>-0.23</v>
      </c>
      <c r="P1031" s="191">
        <v>43557</v>
      </c>
      <c r="Q1031" s="192">
        <v>9.2999999999999999E-2</v>
      </c>
    </row>
    <row r="1032" spans="14:17" ht="15">
      <c r="N1032" s="187">
        <v>43558</v>
      </c>
      <c r="O1032" s="180">
        <v>-0.23</v>
      </c>
      <c r="P1032" s="191">
        <v>43558</v>
      </c>
      <c r="Q1032" s="192">
        <v>8.6999999999999994E-2</v>
      </c>
    </row>
    <row r="1033" spans="14:17" ht="15">
      <c r="N1033" s="187">
        <v>43559</v>
      </c>
      <c r="O1033" s="180">
        <v>-0.23</v>
      </c>
      <c r="P1033" s="191">
        <v>43559</v>
      </c>
      <c r="Q1033" s="192">
        <v>8.3000000000000004E-2</v>
      </c>
    </row>
    <row r="1034" spans="14:17" ht="15">
      <c r="N1034" s="187">
        <v>43560</v>
      </c>
      <c r="O1034" s="180">
        <v>-0.23100000000000001</v>
      </c>
      <c r="P1034" s="191">
        <v>43560</v>
      </c>
      <c r="Q1034" s="192">
        <v>0.08</v>
      </c>
    </row>
    <row r="1035" spans="14:17" ht="15">
      <c r="N1035" s="187">
        <v>43563</v>
      </c>
      <c r="O1035" s="180">
        <v>-0.23100000000000001</v>
      </c>
      <c r="P1035" s="191">
        <v>43563</v>
      </c>
      <c r="Q1035" s="192">
        <v>7.5999999999999998E-2</v>
      </c>
    </row>
    <row r="1036" spans="14:17" ht="15">
      <c r="N1036" s="187">
        <v>43564</v>
      </c>
      <c r="O1036" s="180">
        <v>-0.23100000000000001</v>
      </c>
      <c r="P1036" s="191">
        <v>43564</v>
      </c>
      <c r="Q1036" s="192">
        <v>7.1999999999999995E-2</v>
      </c>
    </row>
    <row r="1037" spans="14:17" ht="15">
      <c r="N1037" s="187">
        <v>43565</v>
      </c>
      <c r="O1037" s="180">
        <v>-0.23100000000000001</v>
      </c>
      <c r="P1037" s="191">
        <v>43565</v>
      </c>
      <c r="Q1037" s="192">
        <v>6.8000000000000005E-2</v>
      </c>
    </row>
    <row r="1038" spans="14:17" ht="15">
      <c r="N1038" s="187">
        <v>43566</v>
      </c>
      <c r="O1038" s="180">
        <v>-0.23200000000000001</v>
      </c>
      <c r="P1038" s="191">
        <v>43566</v>
      </c>
      <c r="Q1038" s="192">
        <v>6.3E-2</v>
      </c>
    </row>
    <row r="1039" spans="14:17" ht="15">
      <c r="N1039" s="187">
        <v>43567</v>
      </c>
      <c r="O1039" s="180">
        <v>-0.23200000000000001</v>
      </c>
      <c r="P1039" s="191">
        <v>43567</v>
      </c>
      <c r="Q1039" s="192">
        <v>0.06</v>
      </c>
    </row>
    <row r="1040" spans="14:17" ht="15">
      <c r="N1040" s="187">
        <v>43570</v>
      </c>
      <c r="O1040" s="180">
        <v>-0.23100000000000001</v>
      </c>
      <c r="P1040" s="191">
        <v>43570</v>
      </c>
      <c r="Q1040" s="192">
        <v>5.8000000000000003E-2</v>
      </c>
    </row>
    <row r="1041" spans="14:18" ht="15">
      <c r="N1041" s="187">
        <v>43571</v>
      </c>
      <c r="O1041" s="180">
        <v>-0.23200000000000001</v>
      </c>
      <c r="P1041" s="191">
        <v>43571</v>
      </c>
      <c r="Q1041" s="192">
        <v>5.6000000000000001E-2</v>
      </c>
    </row>
    <row r="1042" spans="14:18" ht="15">
      <c r="N1042" s="187">
        <v>43572</v>
      </c>
      <c r="O1042" s="180">
        <v>-0.23200000000000001</v>
      </c>
      <c r="P1042" s="191">
        <v>43572</v>
      </c>
      <c r="Q1042" s="192">
        <v>5.5E-2</v>
      </c>
    </row>
    <row r="1043" spans="14:18" ht="15">
      <c r="N1043" s="187">
        <v>43573</v>
      </c>
      <c r="O1043" s="180">
        <v>-0.23200000000000001</v>
      </c>
      <c r="P1043" s="191">
        <v>43573</v>
      </c>
      <c r="Q1043" s="192">
        <v>5.3999999999999999E-2</v>
      </c>
    </row>
    <row r="1044" spans="14:18" ht="15">
      <c r="N1044" s="187">
        <v>43574</v>
      </c>
      <c r="O1044" s="180">
        <v>-0.23200000000000001</v>
      </c>
      <c r="P1044" s="191">
        <v>43574</v>
      </c>
      <c r="Q1044" s="192">
        <v>5.5E-2</v>
      </c>
    </row>
    <row r="1045" spans="14:18" ht="15">
      <c r="N1045" s="187">
        <v>43577</v>
      </c>
      <c r="O1045" s="180">
        <v>-0.23200000000000001</v>
      </c>
      <c r="P1045" s="191"/>
      <c r="Q1045" s="193">
        <v>5.5E-2</v>
      </c>
    </row>
    <row r="1046" spans="14:18" ht="15">
      <c r="N1046" s="187">
        <v>43578</v>
      </c>
      <c r="O1046" s="180">
        <v>-0.23</v>
      </c>
      <c r="P1046" s="191">
        <v>43578</v>
      </c>
      <c r="Q1046" s="192">
        <v>5.7000000000000002E-2</v>
      </c>
    </row>
    <row r="1047" spans="14:18" ht="15">
      <c r="N1047" s="187">
        <v>43579</v>
      </c>
      <c r="O1047" s="180">
        <v>-0.23100000000000001</v>
      </c>
      <c r="P1047" s="191">
        <v>43579</v>
      </c>
      <c r="Q1047" s="192">
        <v>5.7000000000000002E-2</v>
      </c>
    </row>
    <row r="1048" spans="14:18" ht="15">
      <c r="N1048" s="187">
        <v>43580</v>
      </c>
      <c r="O1048" s="180">
        <v>-0.23</v>
      </c>
      <c r="P1048" s="191">
        <v>43580</v>
      </c>
      <c r="Q1048" s="192">
        <v>5.8999999999999997E-2</v>
      </c>
    </row>
    <row r="1049" spans="14:18" ht="15">
      <c r="N1049" s="187">
        <v>43581</v>
      </c>
      <c r="O1049" s="180">
        <v>-0.22900000000000001</v>
      </c>
      <c r="P1049" s="191">
        <v>43581</v>
      </c>
      <c r="Q1049" s="192">
        <v>6.0999999999999999E-2</v>
      </c>
    </row>
    <row r="1050" spans="14:18" ht="15">
      <c r="N1050" s="187">
        <v>43584</v>
      </c>
      <c r="O1050" s="180">
        <v>-0.23100000000000001</v>
      </c>
      <c r="P1050" s="191">
        <v>43584</v>
      </c>
      <c r="Q1050" s="192">
        <v>6.3E-2</v>
      </c>
    </row>
    <row r="1051" spans="14:18" ht="15">
      <c r="N1051" s="187">
        <v>43585</v>
      </c>
      <c r="O1051" s="180">
        <v>-0.23100000000000001</v>
      </c>
      <c r="P1051" s="191">
        <v>43585</v>
      </c>
      <c r="Q1051" s="192">
        <v>6.5000000000000002E-2</v>
      </c>
    </row>
    <row r="1052" spans="14:18" ht="15">
      <c r="N1052" s="187">
        <v>43586</v>
      </c>
      <c r="O1052" s="180">
        <v>-0.23100000000000001</v>
      </c>
      <c r="P1052" s="191"/>
      <c r="Q1052" s="193">
        <v>6.5000000000000002E-2</v>
      </c>
      <c r="R1052" s="111">
        <f>+(O1052+Q1052)/2+0.37</f>
        <v>0.28699999999999998</v>
      </c>
    </row>
    <row r="1053" spans="14:18" ht="15">
      <c r="N1053" s="187">
        <v>43587</v>
      </c>
      <c r="O1053" s="180">
        <v>-0.23200000000000001</v>
      </c>
      <c r="P1053" s="191">
        <v>43587</v>
      </c>
      <c r="Q1053" s="192">
        <v>6.6000000000000003E-2</v>
      </c>
    </row>
    <row r="1054" spans="14:18" ht="15">
      <c r="N1054" s="187">
        <v>43588</v>
      </c>
      <c r="O1054" s="180">
        <v>-0.23</v>
      </c>
      <c r="P1054" s="191">
        <v>43588</v>
      </c>
      <c r="Q1054" s="192">
        <v>6.6000000000000003E-2</v>
      </c>
    </row>
    <row r="1055" spans="14:18" ht="15">
      <c r="N1055" s="187">
        <v>43591</v>
      </c>
      <c r="O1055" s="180">
        <v>-0.23</v>
      </c>
      <c r="P1055" s="191">
        <v>43591</v>
      </c>
      <c r="Q1055" s="192">
        <v>6.6000000000000003E-2</v>
      </c>
    </row>
    <row r="1056" spans="14:18" ht="15">
      <c r="N1056" s="187">
        <v>43592</v>
      </c>
      <c r="O1056" s="180">
        <v>-0.22900000000000001</v>
      </c>
      <c r="P1056" s="191">
        <v>43592</v>
      </c>
      <c r="Q1056" s="192">
        <v>6.3E-2</v>
      </c>
    </row>
    <row r="1057" spans="14:17" ht="15">
      <c r="N1057" s="187">
        <v>43593</v>
      </c>
      <c r="O1057" s="180">
        <v>-0.23</v>
      </c>
      <c r="P1057" s="191">
        <v>43593</v>
      </c>
      <c r="Q1057" s="192">
        <v>6.0999999999999999E-2</v>
      </c>
    </row>
    <row r="1058" spans="14:17" ht="15">
      <c r="N1058" s="187">
        <v>43594</v>
      </c>
      <c r="O1058" s="180">
        <v>-0.23100000000000001</v>
      </c>
      <c r="P1058" s="191">
        <v>43594</v>
      </c>
      <c r="Q1058" s="192">
        <v>5.8999999999999997E-2</v>
      </c>
    </row>
    <row r="1059" spans="14:17" ht="15">
      <c r="N1059" s="187">
        <v>43595</v>
      </c>
      <c r="O1059" s="180">
        <v>-0.23100000000000001</v>
      </c>
      <c r="P1059" s="191">
        <v>43595</v>
      </c>
      <c r="Q1059" s="192">
        <v>5.8000000000000003E-2</v>
      </c>
    </row>
    <row r="1060" spans="14:17" ht="15">
      <c r="N1060" s="187">
        <v>43598</v>
      </c>
      <c r="O1060" s="180">
        <v>-0.23100000000000001</v>
      </c>
      <c r="P1060" s="191">
        <v>43598</v>
      </c>
      <c r="Q1060" s="192">
        <v>5.7000000000000002E-2</v>
      </c>
    </row>
    <row r="1061" spans="14:17" ht="15">
      <c r="N1061" s="187">
        <v>43599</v>
      </c>
      <c r="O1061" s="180">
        <v>-0.23200000000000001</v>
      </c>
      <c r="P1061" s="191">
        <v>43599</v>
      </c>
      <c r="Q1061" s="192">
        <v>5.2999999999999999E-2</v>
      </c>
    </row>
    <row r="1062" spans="14:17" ht="15">
      <c r="N1062" s="187">
        <v>43600</v>
      </c>
      <c r="O1062" s="180">
        <v>-0.23499999999999999</v>
      </c>
      <c r="P1062" s="191">
        <v>43600</v>
      </c>
      <c r="Q1062" s="192">
        <v>4.7E-2</v>
      </c>
    </row>
    <row r="1063" spans="14:17" ht="15">
      <c r="N1063" s="187">
        <v>43601</v>
      </c>
      <c r="O1063" s="180">
        <v>-0.23699999999999999</v>
      </c>
      <c r="P1063" s="191">
        <v>43601</v>
      </c>
      <c r="Q1063" s="192">
        <v>4.1000000000000002E-2</v>
      </c>
    </row>
    <row r="1064" spans="14:17" ht="15">
      <c r="N1064" s="187">
        <v>43602</v>
      </c>
      <c r="O1064" s="180">
        <v>-0.24</v>
      </c>
      <c r="P1064" s="191">
        <v>43602</v>
      </c>
      <c r="Q1064" s="192">
        <v>3.4000000000000002E-2</v>
      </c>
    </row>
    <row r="1065" spans="14:17" ht="15">
      <c r="N1065" s="187">
        <v>43605</v>
      </c>
      <c r="O1065" s="180">
        <v>-0.24099999999999999</v>
      </c>
      <c r="P1065" s="191">
        <v>43605</v>
      </c>
      <c r="Q1065" s="192">
        <v>2.9000000000000001E-2</v>
      </c>
    </row>
    <row r="1066" spans="14:17" ht="15">
      <c r="N1066" s="187">
        <v>43606</v>
      </c>
      <c r="O1066" s="180">
        <v>-0.24399999999999999</v>
      </c>
      <c r="P1066" s="191">
        <v>43606</v>
      </c>
      <c r="Q1066" s="192">
        <v>2.8000000000000001E-2</v>
      </c>
    </row>
    <row r="1067" spans="14:17" ht="15">
      <c r="N1067" s="187">
        <v>43607</v>
      </c>
      <c r="O1067" s="180">
        <v>-0.24199999999999999</v>
      </c>
      <c r="P1067" s="191">
        <v>43607</v>
      </c>
      <c r="Q1067" s="192">
        <v>2.5000000000000001E-2</v>
      </c>
    </row>
    <row r="1068" spans="14:17" ht="15">
      <c r="N1068" s="187">
        <v>43608</v>
      </c>
      <c r="O1068" s="180">
        <v>-0.24199999999999999</v>
      </c>
      <c r="P1068" s="191">
        <v>43608</v>
      </c>
      <c r="Q1068" s="192">
        <v>2.1000000000000001E-2</v>
      </c>
    </row>
    <row r="1069" spans="14:17" ht="15">
      <c r="N1069" s="187">
        <v>43609</v>
      </c>
      <c r="O1069" s="180">
        <v>-0.24099999999999999</v>
      </c>
      <c r="P1069" s="191">
        <v>43609</v>
      </c>
      <c r="Q1069" s="192">
        <v>1.7999999999999999E-2</v>
      </c>
    </row>
    <row r="1070" spans="14:17" ht="15">
      <c r="N1070" s="187">
        <v>43612</v>
      </c>
      <c r="O1070" s="180">
        <v>-0.24</v>
      </c>
      <c r="P1070" s="191">
        <v>43612</v>
      </c>
      <c r="Q1070" s="192">
        <v>1.4E-2</v>
      </c>
    </row>
    <row r="1071" spans="14:17" ht="15">
      <c r="N1071" s="187">
        <v>43613</v>
      </c>
      <c r="O1071" s="180">
        <v>-0.24199999999999999</v>
      </c>
      <c r="P1071" s="191">
        <v>43613</v>
      </c>
      <c r="Q1071" s="192">
        <v>8.9999999999999993E-3</v>
      </c>
    </row>
    <row r="1072" spans="14:17" ht="15">
      <c r="N1072" s="187">
        <v>43614</v>
      </c>
      <c r="O1072" s="180">
        <v>-0.245</v>
      </c>
      <c r="P1072" s="191">
        <v>43614</v>
      </c>
      <c r="Q1072" s="192">
        <v>3.0000000000000001E-3</v>
      </c>
    </row>
    <row r="1073" spans="14:17" ht="15">
      <c r="N1073" s="187">
        <v>43615</v>
      </c>
      <c r="O1073" s="180">
        <v>-0.247</v>
      </c>
      <c r="P1073" s="191"/>
      <c r="Q1073" s="193">
        <v>3.0000000000000001E-3</v>
      </c>
    </row>
    <row r="1074" spans="14:17" ht="15">
      <c r="N1074" s="187">
        <v>43616</v>
      </c>
      <c r="O1074" s="180">
        <v>-0.25</v>
      </c>
      <c r="P1074" s="191">
        <v>43616</v>
      </c>
      <c r="Q1074" s="192" t="s">
        <v>126</v>
      </c>
    </row>
    <row r="1075" spans="14:17" ht="15">
      <c r="N1075" s="187">
        <v>43619</v>
      </c>
      <c r="O1075" s="180">
        <v>-0.254</v>
      </c>
      <c r="P1075" s="191">
        <v>43619</v>
      </c>
      <c r="Q1075" s="192" t="s">
        <v>127</v>
      </c>
    </row>
    <row r="1076" spans="14:17" ht="15">
      <c r="N1076" s="187">
        <v>43620</v>
      </c>
      <c r="O1076" s="180">
        <v>-0.254</v>
      </c>
      <c r="P1076" s="191">
        <v>43620</v>
      </c>
      <c r="Q1076" s="192" t="s">
        <v>128</v>
      </c>
    </row>
    <row r="1077" spans="14:17" ht="15">
      <c r="N1077" s="187">
        <v>43621</v>
      </c>
      <c r="O1077" s="180">
        <v>-0.254</v>
      </c>
      <c r="P1077" s="191">
        <v>43621</v>
      </c>
      <c r="Q1077" s="192" t="s">
        <v>129</v>
      </c>
    </row>
    <row r="1078" spans="14:17" ht="15">
      <c r="N1078" s="187">
        <v>43622</v>
      </c>
      <c r="O1078" s="180">
        <v>-0.25900000000000001</v>
      </c>
      <c r="P1078" s="191">
        <v>43622</v>
      </c>
      <c r="Q1078" s="192" t="s">
        <v>130</v>
      </c>
    </row>
    <row r="1079" spans="14:17" ht="15">
      <c r="N1079" s="187">
        <v>43623</v>
      </c>
      <c r="O1079" s="180">
        <v>-0.25600000000000001</v>
      </c>
      <c r="P1079" s="191">
        <v>43623</v>
      </c>
      <c r="Q1079" s="192" t="s">
        <v>131</v>
      </c>
    </row>
    <row r="1080" spans="14:17" ht="15">
      <c r="N1080" s="187">
        <v>43626</v>
      </c>
      <c r="O1080" s="180">
        <v>-0.25800000000000001</v>
      </c>
      <c r="P1080" s="191"/>
      <c r="Q1080" s="193" t="s">
        <v>131</v>
      </c>
    </row>
    <row r="1081" spans="14:17" ht="15">
      <c r="N1081" s="187">
        <v>43627</v>
      </c>
      <c r="O1081" s="180">
        <v>-0.25800000000000001</v>
      </c>
      <c r="P1081" s="191">
        <v>43627</v>
      </c>
      <c r="Q1081" s="192" t="s">
        <v>61</v>
      </c>
    </row>
    <row r="1082" spans="14:17" ht="15">
      <c r="N1082" s="187">
        <v>43628</v>
      </c>
      <c r="O1082" s="180">
        <v>-0.25900000000000001</v>
      </c>
      <c r="P1082" s="191">
        <v>43628</v>
      </c>
      <c r="Q1082" s="192" t="s">
        <v>132</v>
      </c>
    </row>
    <row r="1083" spans="14:17" ht="15">
      <c r="N1083" s="187">
        <v>43629</v>
      </c>
      <c r="O1083" s="180">
        <v>-0.25900000000000001</v>
      </c>
      <c r="P1083" s="191">
        <v>43629</v>
      </c>
      <c r="Q1083" s="192" t="s">
        <v>133</v>
      </c>
    </row>
    <row r="1084" spans="14:17" ht="15">
      <c r="N1084" s="187">
        <v>43630</v>
      </c>
      <c r="O1084" s="180">
        <v>-0.26100000000000001</v>
      </c>
      <c r="P1084" s="191">
        <v>43630</v>
      </c>
      <c r="Q1084" s="192" t="s">
        <v>118</v>
      </c>
    </row>
    <row r="1085" spans="14:17" ht="15">
      <c r="N1085" s="187">
        <v>43633</v>
      </c>
      <c r="O1085" s="180">
        <v>-0.26800000000000002</v>
      </c>
      <c r="P1085" s="191">
        <v>43633</v>
      </c>
      <c r="Q1085" s="192" t="s">
        <v>134</v>
      </c>
    </row>
    <row r="1086" spans="14:17" ht="15">
      <c r="N1086" s="187">
        <v>43634</v>
      </c>
      <c r="O1086" s="180">
        <v>-0.27600000000000002</v>
      </c>
      <c r="P1086" s="191">
        <v>43634</v>
      </c>
      <c r="Q1086" s="192" t="s">
        <v>135</v>
      </c>
    </row>
    <row r="1087" spans="14:17" ht="15">
      <c r="N1087" s="187">
        <v>43635</v>
      </c>
      <c r="O1087" s="180">
        <v>-0.29899999999999999</v>
      </c>
      <c r="P1087" s="191">
        <v>43635</v>
      </c>
      <c r="Q1087" s="192" t="s">
        <v>136</v>
      </c>
    </row>
    <row r="1088" spans="14:17" ht="15">
      <c r="N1088" s="187">
        <v>43636</v>
      </c>
      <c r="O1088" s="180">
        <v>-0.30299999999999999</v>
      </c>
      <c r="P1088" s="191"/>
      <c r="Q1088" s="193" t="s">
        <v>136</v>
      </c>
    </row>
    <row r="1089" spans="14:17" ht="15">
      <c r="N1089" s="187">
        <v>43637</v>
      </c>
      <c r="O1089" s="180">
        <v>-0.308</v>
      </c>
      <c r="P1089" s="191">
        <v>43637</v>
      </c>
      <c r="Q1089" s="192" t="s">
        <v>137</v>
      </c>
    </row>
    <row r="1090" spans="14:17" ht="15">
      <c r="N1090" s="187">
        <v>43640</v>
      </c>
      <c r="O1090" s="180">
        <v>-0.308</v>
      </c>
      <c r="P1090" s="191">
        <v>43640</v>
      </c>
      <c r="Q1090" s="192" t="s">
        <v>138</v>
      </c>
    </row>
    <row r="1091" spans="14:17" ht="15">
      <c r="N1091" s="187">
        <v>43641</v>
      </c>
      <c r="O1091" s="180">
        <v>-0.311</v>
      </c>
      <c r="P1091" s="191">
        <v>43641</v>
      </c>
      <c r="Q1091" s="192" t="s">
        <v>139</v>
      </c>
    </row>
    <row r="1092" spans="14:17" ht="15">
      <c r="N1092" s="187">
        <v>43642</v>
      </c>
      <c r="O1092" s="180">
        <v>-0.311</v>
      </c>
      <c r="P1092" s="191">
        <v>43642</v>
      </c>
      <c r="Q1092" s="192" t="s">
        <v>140</v>
      </c>
    </row>
    <row r="1093" spans="14:17" ht="15">
      <c r="N1093" s="187">
        <v>43643</v>
      </c>
      <c r="O1093" s="180">
        <v>-0.313</v>
      </c>
      <c r="P1093" s="191">
        <v>43643</v>
      </c>
      <c r="Q1093" s="192" t="s">
        <v>141</v>
      </c>
    </row>
    <row r="1094" spans="14:17" ht="15">
      <c r="N1094" s="187">
        <v>43644</v>
      </c>
      <c r="O1094" s="180">
        <v>-0.311</v>
      </c>
      <c r="P1094" s="191">
        <v>43644</v>
      </c>
      <c r="Q1094" s="192" t="s">
        <v>142</v>
      </c>
    </row>
    <row r="1095" spans="14:17" ht="15">
      <c r="N1095" s="187">
        <v>43647</v>
      </c>
      <c r="O1095" s="180">
        <v>-0.313</v>
      </c>
      <c r="P1095" s="191">
        <v>43647</v>
      </c>
      <c r="Q1095" s="192" t="s">
        <v>143</v>
      </c>
    </row>
    <row r="1096" spans="14:17" ht="15">
      <c r="N1096" s="187">
        <v>43648</v>
      </c>
      <c r="O1096" s="180">
        <v>-0.32700000000000001</v>
      </c>
      <c r="P1096" s="191">
        <v>43648</v>
      </c>
      <c r="Q1096" s="192" t="s">
        <v>97</v>
      </c>
    </row>
    <row r="1097" spans="14:17" ht="15">
      <c r="N1097" s="187">
        <v>43649</v>
      </c>
      <c r="O1097" s="180">
        <v>-0.33500000000000002</v>
      </c>
      <c r="P1097" s="191">
        <v>43649</v>
      </c>
      <c r="Q1097" s="192" t="s">
        <v>79</v>
      </c>
    </row>
    <row r="1098" spans="14:17" ht="15">
      <c r="N1098" s="187">
        <v>43650</v>
      </c>
      <c r="O1098" s="180">
        <v>-0.33800000000000002</v>
      </c>
      <c r="P1098" s="191">
        <v>43650</v>
      </c>
      <c r="Q1098" s="192" t="s">
        <v>83</v>
      </c>
    </row>
    <row r="1099" spans="14:17" ht="15">
      <c r="N1099" s="187">
        <v>43651</v>
      </c>
      <c r="O1099" s="180">
        <v>-0.34399999999999997</v>
      </c>
      <c r="P1099" s="191">
        <v>43651</v>
      </c>
      <c r="Q1099" s="192" t="s">
        <v>86</v>
      </c>
    </row>
    <row r="1100" spans="14:17" ht="15">
      <c r="N1100" s="187">
        <v>43654</v>
      </c>
      <c r="O1100" s="180">
        <v>-0.33800000000000002</v>
      </c>
      <c r="P1100" s="191">
        <v>43654</v>
      </c>
      <c r="Q1100" s="192" t="s">
        <v>88</v>
      </c>
    </row>
    <row r="1101" spans="14:17" ht="15">
      <c r="N1101" s="187">
        <v>43655</v>
      </c>
      <c r="O1101" s="180">
        <v>-0.33600000000000002</v>
      </c>
      <c r="P1101" s="191">
        <v>43655</v>
      </c>
      <c r="Q1101" s="192" t="s">
        <v>94</v>
      </c>
    </row>
    <row r="1102" spans="14:17" ht="15">
      <c r="N1102" s="187">
        <v>43656</v>
      </c>
      <c r="O1102" s="180">
        <v>-0.32900000000000001</v>
      </c>
      <c r="P1102" s="191">
        <v>43656</v>
      </c>
      <c r="Q1102" s="192" t="s">
        <v>92</v>
      </c>
    </row>
    <row r="1103" spans="14:17" ht="15">
      <c r="N1103" s="187">
        <v>43657</v>
      </c>
      <c r="O1103" s="180">
        <v>-0.34200000000000003</v>
      </c>
      <c r="P1103" s="191">
        <v>43657</v>
      </c>
      <c r="Q1103" s="192" t="s">
        <v>144</v>
      </c>
    </row>
    <row r="1104" spans="14:17" ht="15">
      <c r="N1104" s="187">
        <v>43658</v>
      </c>
      <c r="O1104" s="180">
        <v>-0.34200000000000003</v>
      </c>
      <c r="P1104" s="191">
        <v>43658</v>
      </c>
      <c r="Q1104" s="192" t="s">
        <v>145</v>
      </c>
    </row>
    <row r="1105" spans="14:17" ht="15">
      <c r="N1105" s="187">
        <v>43661</v>
      </c>
      <c r="O1105" s="180">
        <v>-0.34300000000000003</v>
      </c>
      <c r="P1105" s="191">
        <v>43661</v>
      </c>
      <c r="Q1105" s="192" t="s">
        <v>84</v>
      </c>
    </row>
    <row r="1106" spans="14:17" ht="15">
      <c r="N1106" s="187">
        <v>43662</v>
      </c>
      <c r="O1106" s="180">
        <v>-0.35</v>
      </c>
      <c r="P1106" s="191">
        <v>43662</v>
      </c>
      <c r="Q1106" s="192" t="s">
        <v>146</v>
      </c>
    </row>
    <row r="1107" spans="14:17" ht="15">
      <c r="N1107" s="187">
        <v>43663</v>
      </c>
      <c r="O1107" s="180">
        <v>-0.35699999999999998</v>
      </c>
      <c r="P1107" s="191">
        <v>43663</v>
      </c>
      <c r="Q1107" s="192" t="s">
        <v>86</v>
      </c>
    </row>
    <row r="1108" spans="14:17" ht="15">
      <c r="N1108" s="187">
        <v>43664</v>
      </c>
      <c r="O1108" s="180">
        <v>-0.35299999999999998</v>
      </c>
      <c r="P1108" s="191">
        <v>43664</v>
      </c>
      <c r="Q1108" s="192" t="s">
        <v>87</v>
      </c>
    </row>
    <row r="1109" spans="14:17" ht="15">
      <c r="N1109" s="187">
        <v>43665</v>
      </c>
      <c r="O1109" s="180">
        <v>-0.35399999999999998</v>
      </c>
      <c r="P1109" s="191">
        <v>43665</v>
      </c>
      <c r="Q1109" s="192" t="s">
        <v>88</v>
      </c>
    </row>
    <row r="1110" spans="14:17" ht="15">
      <c r="N1110" s="187">
        <v>43668</v>
      </c>
      <c r="O1110" s="180">
        <v>-0.36099999999999999</v>
      </c>
      <c r="P1110" s="191">
        <v>43668</v>
      </c>
      <c r="Q1110" s="192" t="s">
        <v>89</v>
      </c>
    </row>
    <row r="1111" spans="14:17" ht="15">
      <c r="N1111" s="187">
        <v>43669</v>
      </c>
      <c r="O1111" s="180">
        <v>-0.36199999999999999</v>
      </c>
      <c r="P1111" s="191">
        <v>43669</v>
      </c>
      <c r="Q1111" s="192" t="s">
        <v>93</v>
      </c>
    </row>
    <row r="1112" spans="14:17" ht="15">
      <c r="N1112" s="187">
        <v>43670</v>
      </c>
      <c r="O1112" s="180">
        <v>-0.36799999999999999</v>
      </c>
      <c r="P1112" s="191">
        <v>43670</v>
      </c>
      <c r="Q1112" s="192" t="s">
        <v>144</v>
      </c>
    </row>
    <row r="1113" spans="14:17" ht="15">
      <c r="N1113" s="187">
        <v>43671</v>
      </c>
      <c r="O1113" s="180">
        <v>-0.36799999999999999</v>
      </c>
      <c r="P1113" s="191">
        <v>43671</v>
      </c>
      <c r="Q1113" s="192" t="s">
        <v>147</v>
      </c>
    </row>
    <row r="1114" spans="14:17" ht="15">
      <c r="N1114" s="187">
        <v>43672</v>
      </c>
      <c r="O1114" s="180">
        <v>-0.36199999999999999</v>
      </c>
      <c r="P1114" s="191">
        <v>43672</v>
      </c>
      <c r="Q1114" s="192" t="s">
        <v>148</v>
      </c>
    </row>
    <row r="1115" spans="14:17" ht="15">
      <c r="N1115" s="187">
        <v>43675</v>
      </c>
      <c r="O1115" s="180">
        <v>-0.35099999999999998</v>
      </c>
      <c r="P1115" s="191">
        <v>43675</v>
      </c>
      <c r="Q1115" s="192" t="s">
        <v>149</v>
      </c>
    </row>
    <row r="1116" spans="14:17" ht="15">
      <c r="N1116" s="187">
        <v>43676</v>
      </c>
      <c r="O1116" s="180">
        <v>-0.35499999999999998</v>
      </c>
      <c r="P1116" s="191">
        <v>43676</v>
      </c>
      <c r="Q1116" s="192" t="s">
        <v>150</v>
      </c>
    </row>
    <row r="1117" spans="14:17" ht="15">
      <c r="N1117" s="187">
        <v>43677</v>
      </c>
      <c r="O1117" s="180">
        <v>-0.36199999999999999</v>
      </c>
      <c r="P1117" s="191">
        <v>43677</v>
      </c>
      <c r="Q1117" s="192" t="s">
        <v>151</v>
      </c>
    </row>
    <row r="1118" spans="14:17" ht="15">
      <c r="N1118" s="187">
        <v>43678</v>
      </c>
      <c r="O1118" s="180">
        <v>-0.36299999999999999</v>
      </c>
      <c r="P1118" s="191">
        <v>43678</v>
      </c>
      <c r="Q1118" s="192" t="s">
        <v>152</v>
      </c>
    </row>
    <row r="1119" spans="14:17" ht="15">
      <c r="N1119" s="187">
        <v>43679</v>
      </c>
      <c r="O1119" s="180">
        <v>-0.36699999999999999</v>
      </c>
      <c r="P1119" s="191">
        <v>43679</v>
      </c>
      <c r="Q1119" s="192" t="s">
        <v>153</v>
      </c>
    </row>
    <row r="1120" spans="14:17" ht="15">
      <c r="N1120" s="187">
        <v>43682</v>
      </c>
      <c r="O1120" s="180">
        <v>-0.36899999999999999</v>
      </c>
      <c r="P1120" s="191">
        <v>43682</v>
      </c>
      <c r="Q1120" s="192" t="s">
        <v>154</v>
      </c>
    </row>
    <row r="1121" spans="14:17" ht="15">
      <c r="N1121" s="187">
        <v>43683</v>
      </c>
      <c r="O1121" s="180">
        <v>-0.38300000000000001</v>
      </c>
      <c r="P1121" s="191">
        <v>43683</v>
      </c>
      <c r="Q1121" s="192" t="s">
        <v>155</v>
      </c>
    </row>
    <row r="1122" spans="14:17" ht="15">
      <c r="N1122" s="187">
        <v>43684</v>
      </c>
      <c r="O1122" s="180">
        <v>-0.38900000000000001</v>
      </c>
      <c r="P1122" s="191">
        <v>43684</v>
      </c>
      <c r="Q1122" s="192" t="s">
        <v>156</v>
      </c>
    </row>
    <row r="1123" spans="14:17" ht="15">
      <c r="N1123" s="187">
        <v>43685</v>
      </c>
      <c r="O1123" s="180">
        <v>-0.39300000000000002</v>
      </c>
      <c r="P1123" s="191">
        <v>43685</v>
      </c>
      <c r="Q1123" s="192" t="s">
        <v>157</v>
      </c>
    </row>
    <row r="1124" spans="14:17" ht="15">
      <c r="N1124" s="187">
        <v>43686</v>
      </c>
      <c r="O1124" s="180">
        <v>-0.39600000000000002</v>
      </c>
      <c r="P1124" s="191">
        <v>43686</v>
      </c>
      <c r="Q1124" s="192" t="s">
        <v>158</v>
      </c>
    </row>
    <row r="1125" spans="14:17" ht="15">
      <c r="N1125" s="187">
        <v>43689</v>
      </c>
      <c r="O1125" s="180">
        <v>-0.4</v>
      </c>
      <c r="P1125" s="191">
        <v>43689</v>
      </c>
      <c r="Q1125" s="192" t="s">
        <v>159</v>
      </c>
    </row>
    <row r="1126" spans="14:17" ht="15">
      <c r="N1126" s="187">
        <v>43690</v>
      </c>
      <c r="O1126" s="180">
        <v>-0.40100000000000002</v>
      </c>
      <c r="P1126" s="191">
        <v>43690</v>
      </c>
      <c r="Q1126" s="192" t="s">
        <v>160</v>
      </c>
    </row>
    <row r="1127" spans="14:17" ht="15">
      <c r="N1127" s="187">
        <v>43691</v>
      </c>
      <c r="O1127" s="180">
        <v>-0.40600000000000003</v>
      </c>
      <c r="P1127" s="191">
        <v>43691</v>
      </c>
      <c r="Q1127" s="192" t="s">
        <v>161</v>
      </c>
    </row>
    <row r="1128" spans="14:17" ht="15">
      <c r="N1128" s="187">
        <v>43692</v>
      </c>
      <c r="O1128" s="180">
        <v>-0.40899999999999997</v>
      </c>
      <c r="P1128" s="191"/>
      <c r="Q1128" s="193" t="s">
        <v>161</v>
      </c>
    </row>
    <row r="1129" spans="14:17" ht="15">
      <c r="N1129" s="187">
        <v>43693</v>
      </c>
      <c r="O1129" s="180">
        <v>-0.42699999999999999</v>
      </c>
      <c r="P1129" s="191">
        <v>43693</v>
      </c>
      <c r="Q1129" s="192" t="s">
        <v>162</v>
      </c>
    </row>
    <row r="1130" spans="14:17" ht="15">
      <c r="N1130" s="187">
        <v>43696</v>
      </c>
      <c r="O1130" s="180">
        <v>-0.42299999999999999</v>
      </c>
      <c r="P1130" s="191">
        <v>43696</v>
      </c>
      <c r="Q1130" s="192" t="s">
        <v>163</v>
      </c>
    </row>
    <row r="1131" spans="14:17" ht="15">
      <c r="N1131" s="187">
        <v>43697</v>
      </c>
      <c r="O1131" s="180">
        <v>-0.42499999999999999</v>
      </c>
      <c r="P1131" s="191">
        <v>43697</v>
      </c>
      <c r="Q1131" s="192" t="s">
        <v>164</v>
      </c>
    </row>
    <row r="1132" spans="14:17" ht="15">
      <c r="N1132" s="187">
        <v>43698</v>
      </c>
      <c r="O1132" s="180">
        <v>-0.42399999999999999</v>
      </c>
      <c r="P1132" s="191">
        <v>43698</v>
      </c>
      <c r="Q1132" s="192" t="s">
        <v>165</v>
      </c>
    </row>
    <row r="1133" spans="14:17" ht="15">
      <c r="N1133" s="187">
        <v>43699</v>
      </c>
      <c r="O1133" s="180">
        <v>-0.41799999999999998</v>
      </c>
      <c r="P1133" s="191">
        <v>43699</v>
      </c>
      <c r="Q1133" s="192" t="s">
        <v>166</v>
      </c>
    </row>
    <row r="1134" spans="14:17" ht="15">
      <c r="N1134" s="187">
        <v>43700</v>
      </c>
      <c r="O1134" s="180">
        <v>-0.40799999999999997</v>
      </c>
      <c r="P1134" s="191">
        <v>43700</v>
      </c>
      <c r="Q1134" s="192" t="s">
        <v>167</v>
      </c>
    </row>
    <row r="1135" spans="14:17" ht="15">
      <c r="N1135" s="187">
        <v>43703</v>
      </c>
      <c r="O1135" s="180">
        <v>-0.41499999999999998</v>
      </c>
      <c r="P1135" s="191">
        <v>43703</v>
      </c>
      <c r="Q1135" s="192" t="s">
        <v>168</v>
      </c>
    </row>
    <row r="1136" spans="14:17" ht="15">
      <c r="N1136" s="187">
        <v>43704</v>
      </c>
      <c r="O1136" s="180">
        <v>-0.41499999999999998</v>
      </c>
      <c r="P1136" s="191">
        <v>43704</v>
      </c>
      <c r="Q1136" s="192" t="s">
        <v>169</v>
      </c>
    </row>
    <row r="1137" spans="14:17" ht="15">
      <c r="N1137" s="187">
        <v>43705</v>
      </c>
      <c r="O1137" s="180">
        <v>-0.42699999999999999</v>
      </c>
      <c r="P1137" s="191">
        <v>43705</v>
      </c>
      <c r="Q1137" s="192" t="s">
        <v>170</v>
      </c>
    </row>
    <row r="1138" spans="14:17" ht="15">
      <c r="N1138" s="187">
        <v>43706</v>
      </c>
      <c r="O1138" s="180">
        <v>-0.42299999999999999</v>
      </c>
      <c r="P1138" s="191">
        <v>43706</v>
      </c>
      <c r="Q1138" s="192" t="s">
        <v>171</v>
      </c>
    </row>
    <row r="1139" spans="14:17" ht="15">
      <c r="N1139" s="187">
        <v>43707</v>
      </c>
      <c r="O1139" s="180">
        <v>-0.42799999999999999</v>
      </c>
      <c r="P1139" s="191">
        <v>43707</v>
      </c>
      <c r="Q1139" s="192" t="s">
        <v>172</v>
      </c>
    </row>
    <row r="1140" spans="14:17" ht="15">
      <c r="N1140" s="187">
        <v>43710</v>
      </c>
      <c r="O1140" s="180">
        <v>-0.439</v>
      </c>
      <c r="P1140" s="191">
        <v>43710</v>
      </c>
      <c r="Q1140" s="192" t="s">
        <v>173</v>
      </c>
    </row>
    <row r="1141" spans="14:17" ht="15">
      <c r="N1141" s="187">
        <v>43711</v>
      </c>
      <c r="O1141" s="180">
        <v>-0.44800000000000001</v>
      </c>
      <c r="P1141" s="191">
        <v>43711</v>
      </c>
      <c r="Q1141" s="192" t="s">
        <v>174</v>
      </c>
    </row>
    <row r="1142" spans="14:17" ht="15">
      <c r="N1142" s="187">
        <v>43712</v>
      </c>
      <c r="O1142" s="180">
        <v>-0.439</v>
      </c>
      <c r="P1142" s="191">
        <v>43712</v>
      </c>
      <c r="Q1142" s="192" t="s">
        <v>175</v>
      </c>
    </row>
    <row r="1143" spans="14:17" ht="15">
      <c r="N1143" s="187">
        <v>43713</v>
      </c>
      <c r="O1143" s="180">
        <v>-0.43099999999999999</v>
      </c>
      <c r="P1143" s="191">
        <v>43713</v>
      </c>
      <c r="Q1143" s="192" t="s">
        <v>175</v>
      </c>
    </row>
    <row r="1144" spans="14:17" ht="15">
      <c r="N1144" s="187">
        <v>43714</v>
      </c>
      <c r="O1144" s="180">
        <v>-0.42299999999999999</v>
      </c>
      <c r="P1144" s="191">
        <v>43714</v>
      </c>
      <c r="Q1144" s="192" t="s">
        <v>176</v>
      </c>
    </row>
    <row r="1145" spans="14:17" ht="15">
      <c r="N1145" s="187">
        <v>43717</v>
      </c>
      <c r="O1145" s="180">
        <v>-0.41299999999999998</v>
      </c>
      <c r="P1145" s="191">
        <v>43717</v>
      </c>
      <c r="Q1145" s="192" t="s">
        <v>175</v>
      </c>
    </row>
    <row r="1146" spans="14:17" ht="15">
      <c r="N1146" s="187">
        <v>43718</v>
      </c>
      <c r="O1146" s="180">
        <v>-0.41399999999999998</v>
      </c>
      <c r="P1146" s="191">
        <v>43718</v>
      </c>
      <c r="Q1146" s="192" t="s">
        <v>177</v>
      </c>
    </row>
    <row r="1147" spans="14:17" ht="15">
      <c r="N1147" s="187">
        <v>43719</v>
      </c>
      <c r="O1147" s="180">
        <v>-0.40799999999999997</v>
      </c>
      <c r="P1147" s="191">
        <v>43719</v>
      </c>
      <c r="Q1147" s="192" t="s">
        <v>178</v>
      </c>
    </row>
    <row r="1148" spans="14:17" ht="15">
      <c r="N1148" s="187">
        <v>43720</v>
      </c>
      <c r="O1148" s="180">
        <v>-0.40799999999999997</v>
      </c>
      <c r="P1148" s="191">
        <v>43720</v>
      </c>
      <c r="Q1148" s="192" t="s">
        <v>179</v>
      </c>
    </row>
    <row r="1149" spans="14:17" ht="15">
      <c r="N1149" s="187">
        <v>43721</v>
      </c>
      <c r="O1149" s="180">
        <v>-0.377</v>
      </c>
      <c r="P1149" s="191">
        <v>43721</v>
      </c>
      <c r="Q1149" s="192" t="s">
        <v>180</v>
      </c>
    </row>
    <row r="1150" spans="14:17" ht="15">
      <c r="N1150" s="187">
        <v>43724</v>
      </c>
      <c r="O1150" s="180">
        <v>-0.36099999999999999</v>
      </c>
      <c r="P1150" s="191">
        <v>43724</v>
      </c>
      <c r="Q1150" s="192" t="s">
        <v>171</v>
      </c>
    </row>
    <row r="1151" spans="14:17" ht="15">
      <c r="N1151" s="187">
        <v>43725</v>
      </c>
      <c r="O1151" s="180">
        <v>-0.36499999999999999</v>
      </c>
      <c r="P1151" s="191">
        <v>43725</v>
      </c>
      <c r="Q1151" s="192" t="s">
        <v>170</v>
      </c>
    </row>
    <row r="1152" spans="14:17" ht="15">
      <c r="N1152" s="187">
        <v>43726</v>
      </c>
      <c r="O1152" s="180">
        <v>-0.36899999999999999</v>
      </c>
      <c r="P1152" s="191">
        <v>43726</v>
      </c>
      <c r="Q1152" s="192" t="s">
        <v>181</v>
      </c>
    </row>
    <row r="1153" spans="14:17" ht="15">
      <c r="N1153" s="187">
        <v>43727</v>
      </c>
      <c r="O1153" s="180">
        <v>-0.36799999999999999</v>
      </c>
      <c r="P1153" s="191">
        <v>43727</v>
      </c>
      <c r="Q1153" s="192" t="s">
        <v>182</v>
      </c>
    </row>
    <row r="1154" spans="14:17" ht="15">
      <c r="N1154" s="187">
        <v>43728</v>
      </c>
      <c r="O1154" s="180">
        <v>-0.35799999999999998</v>
      </c>
      <c r="P1154" s="191">
        <v>43728</v>
      </c>
      <c r="Q1154" s="192" t="s">
        <v>168</v>
      </c>
    </row>
    <row r="1155" spans="14:17" ht="15">
      <c r="N1155" s="187">
        <v>43731</v>
      </c>
      <c r="O1155" s="180">
        <v>-0.36299999999999999</v>
      </c>
      <c r="P1155" s="191">
        <v>43731</v>
      </c>
      <c r="Q1155" s="192" t="s">
        <v>183</v>
      </c>
    </row>
    <row r="1156" spans="14:17" ht="15">
      <c r="N1156" s="187">
        <v>43732</v>
      </c>
      <c r="O1156" s="180">
        <v>-0.373</v>
      </c>
      <c r="P1156" s="191">
        <v>43732</v>
      </c>
      <c r="Q1156" s="192" t="s">
        <v>167</v>
      </c>
    </row>
    <row r="1157" spans="14:17" ht="15">
      <c r="N1157" s="187">
        <v>43733</v>
      </c>
      <c r="O1157" s="180">
        <v>-0.375</v>
      </c>
      <c r="P1157" s="191">
        <v>43733</v>
      </c>
      <c r="Q1157" s="192" t="s">
        <v>184</v>
      </c>
    </row>
    <row r="1158" spans="14:17" ht="15">
      <c r="N1158" s="187">
        <v>43734</v>
      </c>
      <c r="O1158" s="180">
        <v>-0.376</v>
      </c>
      <c r="P1158" s="191">
        <v>43734</v>
      </c>
      <c r="Q1158" s="192" t="s">
        <v>185</v>
      </c>
    </row>
    <row r="1159" spans="14:17" ht="15">
      <c r="N1159" s="187">
        <v>43735</v>
      </c>
      <c r="O1159" s="180">
        <v>-0.377</v>
      </c>
      <c r="P1159" s="191">
        <v>43735</v>
      </c>
      <c r="Q1159" s="192" t="s">
        <v>186</v>
      </c>
    </row>
    <row r="1160" spans="14:17" ht="15">
      <c r="N1160" s="187">
        <v>43738</v>
      </c>
      <c r="O1160" s="180">
        <v>-0.38600000000000001</v>
      </c>
      <c r="P1160" s="191">
        <v>43738</v>
      </c>
      <c r="Q1160" s="192" t="s">
        <v>187</v>
      </c>
    </row>
    <row r="1161" spans="14:17" ht="15">
      <c r="N1161" s="187">
        <v>43739</v>
      </c>
      <c r="O1161" s="180">
        <v>-0.38700000000000001</v>
      </c>
      <c r="P1161" s="191">
        <v>43739</v>
      </c>
      <c r="Q1161" s="192" t="s">
        <v>188</v>
      </c>
    </row>
    <row r="1162" spans="14:17" ht="15">
      <c r="N1162" s="187">
        <v>43740</v>
      </c>
      <c r="O1162" s="180">
        <v>-0.38400000000000001</v>
      </c>
      <c r="P1162" s="191">
        <v>43740</v>
      </c>
      <c r="Q1162" s="192" t="s">
        <v>189</v>
      </c>
    </row>
    <row r="1163" spans="14:17" ht="15">
      <c r="N1163" s="187">
        <v>43741</v>
      </c>
      <c r="O1163" s="180">
        <v>-0.38700000000000001</v>
      </c>
      <c r="P1163" s="191">
        <v>43741</v>
      </c>
      <c r="Q1163" s="192" t="s">
        <v>190</v>
      </c>
    </row>
    <row r="1164" spans="14:17" ht="15">
      <c r="N1164" s="187">
        <v>43742</v>
      </c>
      <c r="O1164" s="180">
        <v>-0.38900000000000001</v>
      </c>
      <c r="P1164" s="191">
        <v>43742</v>
      </c>
      <c r="Q1164" s="192" t="s">
        <v>191</v>
      </c>
    </row>
    <row r="1165" spans="14:17" ht="15">
      <c r="N1165" s="187">
        <v>43745</v>
      </c>
      <c r="O1165" s="180">
        <v>-0.38900000000000001</v>
      </c>
      <c r="P1165" s="191">
        <v>43745</v>
      </c>
      <c r="Q1165" s="192" t="s">
        <v>191</v>
      </c>
    </row>
    <row r="1166" spans="14:17" ht="15">
      <c r="N1166" s="187">
        <v>43746</v>
      </c>
      <c r="O1166" s="180">
        <v>-0.38700000000000001</v>
      </c>
      <c r="P1166" s="191">
        <v>43746</v>
      </c>
      <c r="Q1166" s="192" t="s">
        <v>190</v>
      </c>
    </row>
    <row r="1167" spans="14:17" ht="15">
      <c r="N1167" s="187">
        <v>43747</v>
      </c>
      <c r="O1167" s="180">
        <v>-0.38400000000000001</v>
      </c>
      <c r="P1167" s="191">
        <v>43747</v>
      </c>
      <c r="Q1167" s="192" t="s">
        <v>190</v>
      </c>
    </row>
    <row r="1168" spans="14:17" ht="15">
      <c r="N1168" s="187">
        <v>43748</v>
      </c>
      <c r="O1168" s="180">
        <v>-0.375</v>
      </c>
      <c r="P1168" s="191">
        <v>43748</v>
      </c>
      <c r="Q1168" s="192" t="s">
        <v>163</v>
      </c>
    </row>
    <row r="1169" spans="14:18" ht="15">
      <c r="N1169" s="187">
        <v>43749</v>
      </c>
      <c r="O1169" s="180">
        <v>-0.35799999999999998</v>
      </c>
      <c r="P1169" s="191">
        <v>43749</v>
      </c>
      <c r="Q1169" s="192" t="s">
        <v>163</v>
      </c>
    </row>
    <row r="1170" spans="14:18" ht="15">
      <c r="N1170" s="187">
        <v>43752</v>
      </c>
      <c r="O1170" s="180">
        <v>-0.35299999999999998</v>
      </c>
      <c r="P1170" s="191">
        <v>43752</v>
      </c>
      <c r="Q1170" s="192" t="s">
        <v>163</v>
      </c>
    </row>
    <row r="1171" spans="14:18" ht="15">
      <c r="N1171" s="187">
        <v>43753</v>
      </c>
      <c r="O1171" s="180">
        <v>-0.35799999999999998</v>
      </c>
      <c r="P1171" s="191">
        <v>43753</v>
      </c>
      <c r="Q1171" s="192" t="s">
        <v>163</v>
      </c>
    </row>
    <row r="1172" spans="14:18" ht="15">
      <c r="N1172" s="187">
        <v>43754</v>
      </c>
      <c r="O1172" s="180">
        <v>-0.35399999999999998</v>
      </c>
      <c r="P1172" s="191">
        <v>43754</v>
      </c>
      <c r="Q1172" s="192" t="s">
        <v>192</v>
      </c>
    </row>
    <row r="1173" spans="14:18" ht="15">
      <c r="N1173" s="187">
        <v>43755</v>
      </c>
      <c r="O1173" s="180">
        <v>-0.34899999999999998</v>
      </c>
      <c r="P1173" s="191">
        <v>43755</v>
      </c>
      <c r="Q1173" s="192" t="s">
        <v>193</v>
      </c>
    </row>
    <row r="1174" spans="14:18" ht="15">
      <c r="N1174" s="187">
        <v>43756</v>
      </c>
      <c r="O1174" s="180">
        <v>-0.35099999999999998</v>
      </c>
      <c r="P1174" s="191">
        <v>43756</v>
      </c>
      <c r="Q1174" s="192" t="s">
        <v>194</v>
      </c>
    </row>
    <row r="1175" spans="14:18" ht="15">
      <c r="N1175" s="187">
        <v>43759</v>
      </c>
      <c r="O1175" s="180">
        <v>-0.34899999999999998</v>
      </c>
      <c r="P1175" s="191">
        <v>43759</v>
      </c>
      <c r="Q1175" s="192" t="s">
        <v>195</v>
      </c>
    </row>
    <row r="1176" spans="14:18" ht="15">
      <c r="N1176" s="187">
        <v>43760</v>
      </c>
      <c r="O1176" s="180">
        <v>-0.34799999999999998</v>
      </c>
      <c r="P1176" s="191">
        <v>43760</v>
      </c>
      <c r="Q1176" s="192" t="s">
        <v>196</v>
      </c>
    </row>
    <row r="1177" spans="14:18" ht="15">
      <c r="N1177" s="187">
        <v>43761</v>
      </c>
      <c r="O1177" s="180">
        <v>-0.35099999999999998</v>
      </c>
      <c r="P1177" s="191">
        <v>43761</v>
      </c>
      <c r="Q1177" s="192" t="s">
        <v>197</v>
      </c>
    </row>
    <row r="1178" spans="14:18" ht="15">
      <c r="N1178" s="187">
        <v>43762</v>
      </c>
      <c r="O1178" s="180">
        <v>-0.34799999999999998</v>
      </c>
      <c r="P1178" s="191">
        <v>43762</v>
      </c>
      <c r="Q1178" s="192" t="s">
        <v>198</v>
      </c>
    </row>
    <row r="1179" spans="14:18" ht="15">
      <c r="N1179" s="187">
        <v>43763</v>
      </c>
      <c r="O1179" s="180">
        <v>-0.35</v>
      </c>
      <c r="P1179" s="191">
        <v>43763</v>
      </c>
      <c r="Q1179" s="192" t="s">
        <v>199</v>
      </c>
    </row>
    <row r="1180" spans="14:18" ht="15">
      <c r="N1180" s="187">
        <v>43766</v>
      </c>
      <c r="O1180" s="180">
        <v>-0.34599999999999997</v>
      </c>
      <c r="P1180" s="191">
        <v>43766</v>
      </c>
      <c r="Q1180" s="192" t="s">
        <v>200</v>
      </c>
    </row>
    <row r="1181" spans="14:18" ht="15">
      <c r="N1181" s="187">
        <v>43767</v>
      </c>
      <c r="O1181" s="180">
        <v>-0.34300000000000003</v>
      </c>
      <c r="P1181" s="191">
        <v>43767</v>
      </c>
      <c r="Q1181" s="192" t="s">
        <v>201</v>
      </c>
    </row>
    <row r="1182" spans="14:18" ht="15">
      <c r="N1182" s="187">
        <v>43768</v>
      </c>
      <c r="O1182" s="180">
        <v>-0.33900000000000002</v>
      </c>
      <c r="P1182" s="191">
        <v>43768</v>
      </c>
      <c r="Q1182" s="192" t="s">
        <v>202</v>
      </c>
    </row>
    <row r="1183" spans="14:18" ht="15">
      <c r="N1183" s="187">
        <v>43769</v>
      </c>
      <c r="O1183" s="180">
        <v>-0.33700000000000002</v>
      </c>
      <c r="P1183" s="191">
        <v>43769</v>
      </c>
      <c r="Q1183" s="192" t="s">
        <v>157</v>
      </c>
    </row>
    <row r="1184" spans="14:18" ht="15">
      <c r="N1184" s="187">
        <v>43770</v>
      </c>
      <c r="O1184" s="180">
        <v>-0.34799999999999998</v>
      </c>
      <c r="P1184" s="191"/>
      <c r="Q1184" s="193">
        <v>-0.27100000000000002</v>
      </c>
      <c r="R1184" s="111">
        <f>+(O1184+Q1184)/2+0.37</f>
        <v>6.0499999999999998E-2</v>
      </c>
    </row>
    <row r="1185" spans="14:17" ht="15">
      <c r="N1185" s="187">
        <v>43773</v>
      </c>
      <c r="O1185" s="180">
        <v>-0.34300000000000003</v>
      </c>
      <c r="P1185" s="191">
        <v>43773</v>
      </c>
      <c r="Q1185" s="192" t="s">
        <v>203</v>
      </c>
    </row>
    <row r="1186" spans="14:17" ht="15">
      <c r="N1186" s="187">
        <v>43774</v>
      </c>
      <c r="O1186" s="180">
        <v>-0.34399999999999997</v>
      </c>
      <c r="P1186" s="191">
        <v>43774</v>
      </c>
      <c r="Q1186" s="192" t="s">
        <v>204</v>
      </c>
    </row>
    <row r="1187" spans="14:17" ht="15">
      <c r="N1187" s="187">
        <v>43775</v>
      </c>
      <c r="O1187" s="180">
        <v>-0.33900000000000002</v>
      </c>
      <c r="P1187" s="191">
        <v>43775</v>
      </c>
      <c r="Q1187" s="192" t="s">
        <v>205</v>
      </c>
    </row>
    <row r="1188" spans="14:17" ht="15">
      <c r="N1188" s="187">
        <v>43776</v>
      </c>
      <c r="O1188" s="180">
        <v>-0.33400000000000002</v>
      </c>
      <c r="P1188" s="191">
        <v>43776</v>
      </c>
      <c r="Q1188" s="192" t="s">
        <v>206</v>
      </c>
    </row>
    <row r="1189" spans="14:17" ht="15">
      <c r="N1189" s="187">
        <v>43777</v>
      </c>
      <c r="O1189" s="180">
        <v>-0.32400000000000001</v>
      </c>
      <c r="P1189" s="191">
        <v>43777</v>
      </c>
      <c r="Q1189" s="192" t="s">
        <v>207</v>
      </c>
    </row>
    <row r="1190" spans="14:17" ht="15">
      <c r="N1190" s="187">
        <v>43780</v>
      </c>
      <c r="O1190" s="180">
        <v>-0.33100000000000002</v>
      </c>
      <c r="P1190" s="191">
        <v>43780</v>
      </c>
      <c r="Q1190" s="192" t="s">
        <v>208</v>
      </c>
    </row>
    <row r="1191" spans="14:17" ht="15">
      <c r="N1191" s="187">
        <v>43781</v>
      </c>
      <c r="O1191" s="180">
        <v>-0.32800000000000001</v>
      </c>
      <c r="P1191" s="191">
        <v>43781</v>
      </c>
      <c r="Q1191" s="192" t="s">
        <v>209</v>
      </c>
    </row>
    <row r="1192" spans="14:17" ht="15">
      <c r="N1192" s="187">
        <v>43782</v>
      </c>
      <c r="O1192" s="180">
        <v>-0.33600000000000002</v>
      </c>
      <c r="P1192" s="191">
        <v>43782</v>
      </c>
      <c r="Q1192" s="192" t="s">
        <v>210</v>
      </c>
    </row>
    <row r="1193" spans="14:17" ht="15">
      <c r="N1193" s="187">
        <v>43783</v>
      </c>
      <c r="O1193" s="180">
        <v>-0.33</v>
      </c>
      <c r="P1193" s="191">
        <v>43783</v>
      </c>
      <c r="Q1193" s="192" t="s">
        <v>211</v>
      </c>
    </row>
    <row r="1194" spans="14:17" ht="15">
      <c r="N1194" s="187">
        <v>43784</v>
      </c>
      <c r="O1194" s="180">
        <v>-0.33300000000000002</v>
      </c>
      <c r="P1194" s="191">
        <v>43784</v>
      </c>
      <c r="Q1194" s="192" t="s">
        <v>91</v>
      </c>
    </row>
    <row r="1195" spans="14:17" ht="15">
      <c r="N1195" s="187">
        <v>43787</v>
      </c>
      <c r="O1195" s="180">
        <v>-0.33800000000000002</v>
      </c>
      <c r="P1195" s="191">
        <v>43787</v>
      </c>
      <c r="Q1195" s="192" t="s">
        <v>93</v>
      </c>
    </row>
    <row r="1196" spans="14:17" ht="15">
      <c r="N1196" s="187">
        <v>43788</v>
      </c>
      <c r="O1196" s="180">
        <v>-0.33600000000000002</v>
      </c>
      <c r="P1196" s="191">
        <v>43788</v>
      </c>
      <c r="Q1196" s="192" t="s">
        <v>90</v>
      </c>
    </row>
    <row r="1197" spans="14:17" ht="15">
      <c r="N1197" s="187">
        <v>43789</v>
      </c>
      <c r="O1197" s="180">
        <v>-0.33800000000000002</v>
      </c>
      <c r="P1197" s="191">
        <v>43789</v>
      </c>
      <c r="Q1197" s="192" t="s">
        <v>94</v>
      </c>
    </row>
    <row r="1198" spans="14:17" ht="15">
      <c r="N1198" s="187">
        <v>43790</v>
      </c>
      <c r="O1198" s="180">
        <v>-0.34</v>
      </c>
      <c r="P1198" s="191">
        <v>43790</v>
      </c>
      <c r="Q1198" s="192" t="s">
        <v>212</v>
      </c>
    </row>
    <row r="1199" spans="14:17" ht="15">
      <c r="N1199" s="187">
        <v>43791</v>
      </c>
      <c r="O1199" s="180">
        <v>-0.33500000000000002</v>
      </c>
      <c r="P1199" s="191">
        <v>43791</v>
      </c>
      <c r="Q1199" s="192" t="s">
        <v>213</v>
      </c>
    </row>
    <row r="1200" spans="14:17" ht="15">
      <c r="N1200" s="187">
        <v>43794</v>
      </c>
      <c r="O1200" s="180">
        <v>-0.33800000000000002</v>
      </c>
      <c r="P1200" s="191">
        <v>43794</v>
      </c>
      <c r="Q1200" s="192" t="s">
        <v>88</v>
      </c>
    </row>
    <row r="1201" spans="14:17" ht="15">
      <c r="N1201" s="187">
        <v>43795</v>
      </c>
      <c r="O1201" s="180">
        <v>-0.33800000000000002</v>
      </c>
      <c r="P1201" s="191">
        <v>43795</v>
      </c>
      <c r="Q1201" s="192" t="s">
        <v>88</v>
      </c>
    </row>
    <row r="1202" spans="14:17" ht="15">
      <c r="N1202" s="187">
        <v>43796</v>
      </c>
      <c r="O1202" s="180">
        <v>-0.34200000000000003</v>
      </c>
      <c r="P1202" s="191">
        <v>43796</v>
      </c>
      <c r="Q1202" s="192" t="s">
        <v>213</v>
      </c>
    </row>
    <row r="1203" spans="14:17" ht="15">
      <c r="N1203" s="187">
        <v>43797</v>
      </c>
      <c r="O1203" s="180">
        <v>-0.34699999999999998</v>
      </c>
      <c r="P1203" s="191">
        <v>43797</v>
      </c>
      <c r="Q1203" s="192" t="s">
        <v>214</v>
      </c>
    </row>
    <row r="1204" spans="14:17" ht="15">
      <c r="N1204" s="187">
        <v>43798</v>
      </c>
      <c r="O1204" s="180">
        <v>-0.34300000000000003</v>
      </c>
      <c r="P1204" s="191">
        <v>43798</v>
      </c>
      <c r="Q1204" s="192" t="s">
        <v>88</v>
      </c>
    </row>
    <row r="1205" spans="14:17" ht="15">
      <c r="N1205" s="187">
        <v>43801</v>
      </c>
      <c r="O1205" s="180">
        <v>-0.34499999999999997</v>
      </c>
      <c r="P1205" s="191">
        <v>43801</v>
      </c>
      <c r="Q1205" s="192" t="s">
        <v>215</v>
      </c>
    </row>
    <row r="1206" spans="14:17" ht="15">
      <c r="N1206" s="187">
        <v>43802</v>
      </c>
      <c r="O1206" s="180">
        <v>-0.33300000000000002</v>
      </c>
      <c r="P1206" s="191">
        <v>43802</v>
      </c>
      <c r="Q1206" s="192" t="s">
        <v>215</v>
      </c>
    </row>
    <row r="1207" spans="14:17" ht="15">
      <c r="N1207" s="187">
        <v>43803</v>
      </c>
      <c r="O1207" s="180">
        <v>-0.33500000000000002</v>
      </c>
      <c r="P1207" s="191">
        <v>43803</v>
      </c>
      <c r="Q1207" s="192" t="s">
        <v>216</v>
      </c>
    </row>
    <row r="1208" spans="14:17" ht="15">
      <c r="N1208" s="187">
        <v>43804</v>
      </c>
      <c r="O1208" s="180">
        <v>-0.33600000000000002</v>
      </c>
      <c r="P1208" s="191">
        <v>43804</v>
      </c>
      <c r="Q1208" s="192" t="s">
        <v>88</v>
      </c>
    </row>
    <row r="1209" spans="14:17" ht="15">
      <c r="N1209" s="187">
        <v>43805</v>
      </c>
      <c r="O1209" s="180">
        <v>-0.33300000000000002</v>
      </c>
      <c r="P1209" s="191">
        <v>43805</v>
      </c>
      <c r="Q1209" s="192" t="s">
        <v>214</v>
      </c>
    </row>
    <row r="1210" spans="14:17" ht="15">
      <c r="N1210" s="187">
        <v>43808</v>
      </c>
      <c r="O1210" s="180">
        <v>-0.33200000000000002</v>
      </c>
      <c r="P1210" s="191">
        <v>43808</v>
      </c>
      <c r="Q1210" s="192" t="s">
        <v>89</v>
      </c>
    </row>
    <row r="1211" spans="14:17" ht="15">
      <c r="N1211" s="187">
        <v>43809</v>
      </c>
      <c r="O1211" s="180">
        <v>-0.33300000000000002</v>
      </c>
      <c r="P1211" s="191">
        <v>43809</v>
      </c>
      <c r="Q1211" s="192" t="s">
        <v>90</v>
      </c>
    </row>
    <row r="1212" spans="14:17" ht="15">
      <c r="N1212" s="187">
        <v>43810</v>
      </c>
      <c r="O1212" s="180">
        <v>-0.33800000000000002</v>
      </c>
      <c r="P1212" s="191">
        <v>43810</v>
      </c>
      <c r="Q1212" s="192" t="s">
        <v>93</v>
      </c>
    </row>
    <row r="1213" spans="14:17" ht="15">
      <c r="N1213" s="187">
        <v>43811</v>
      </c>
      <c r="O1213" s="180">
        <v>-0.34</v>
      </c>
      <c r="P1213" s="191">
        <v>43811</v>
      </c>
      <c r="Q1213" s="192" t="s">
        <v>93</v>
      </c>
    </row>
    <row r="1214" spans="14:17" ht="15">
      <c r="N1214" s="187">
        <v>43812</v>
      </c>
      <c r="O1214" s="180">
        <v>-0.34</v>
      </c>
      <c r="P1214" s="191">
        <v>43812</v>
      </c>
      <c r="Q1214" s="192" t="s">
        <v>94</v>
      </c>
    </row>
    <row r="1215" spans="14:17" ht="15">
      <c r="N1215" s="187">
        <v>43815</v>
      </c>
      <c r="O1215" s="180">
        <v>-0.34</v>
      </c>
      <c r="P1215" s="191">
        <v>43815</v>
      </c>
      <c r="Q1215" s="192" t="s">
        <v>95</v>
      </c>
    </row>
    <row r="1216" spans="14:17" ht="15">
      <c r="N1216" s="187">
        <v>43816</v>
      </c>
      <c r="O1216" s="180">
        <v>-0.34200000000000003</v>
      </c>
      <c r="P1216" s="191">
        <v>43816</v>
      </c>
      <c r="Q1216" s="192" t="s">
        <v>95</v>
      </c>
    </row>
    <row r="1217" spans="14:17" ht="15">
      <c r="N1217" s="187">
        <v>43817</v>
      </c>
      <c r="O1217" s="180">
        <v>-0.34799999999999998</v>
      </c>
      <c r="P1217" s="191">
        <v>43817</v>
      </c>
      <c r="Q1217" s="192" t="s">
        <v>212</v>
      </c>
    </row>
    <row r="1218" spans="14:17" ht="15">
      <c r="N1218" s="187">
        <v>43818</v>
      </c>
      <c r="O1218" s="180">
        <v>-0.34200000000000003</v>
      </c>
      <c r="P1218" s="191">
        <v>43818</v>
      </c>
      <c r="Q1218" s="192" t="s">
        <v>88</v>
      </c>
    </row>
    <row r="1219" spans="14:17" ht="15">
      <c r="N1219" s="187">
        <v>43819</v>
      </c>
      <c r="O1219" s="180">
        <v>-0.33</v>
      </c>
      <c r="P1219" s="191">
        <v>43819</v>
      </c>
      <c r="Q1219" s="192" t="s">
        <v>215</v>
      </c>
    </row>
    <row r="1220" spans="14:17" ht="15">
      <c r="N1220" s="187">
        <v>43822</v>
      </c>
      <c r="O1220" s="180">
        <v>-0.33900000000000002</v>
      </c>
      <c r="P1220" s="191">
        <v>43822</v>
      </c>
      <c r="Q1220" s="192" t="s">
        <v>87</v>
      </c>
    </row>
    <row r="1221" spans="14:17" ht="15">
      <c r="N1221" s="187">
        <v>43823</v>
      </c>
      <c r="O1221" s="180">
        <v>-0.33100000000000002</v>
      </c>
      <c r="P1221" s="191"/>
      <c r="Q1221" s="193" t="s">
        <v>87</v>
      </c>
    </row>
    <row r="1222" spans="14:17" ht="15">
      <c r="N1222" s="187">
        <v>43824</v>
      </c>
      <c r="O1222" s="180">
        <v>-0.33100000000000002</v>
      </c>
      <c r="P1222" s="191"/>
      <c r="Q1222" s="193" t="s">
        <v>87</v>
      </c>
    </row>
    <row r="1223" spans="14:17" ht="15">
      <c r="N1223" s="187">
        <v>43825</v>
      </c>
      <c r="O1223" s="180">
        <v>-0.33100000000000002</v>
      </c>
      <c r="P1223" s="191"/>
      <c r="Q1223" s="193" t="s">
        <v>87</v>
      </c>
    </row>
    <row r="1224" spans="14:17" ht="15">
      <c r="N1224" s="187">
        <v>43826</v>
      </c>
      <c r="O1224" s="180">
        <v>-0.32500000000000001</v>
      </c>
      <c r="P1224" s="191">
        <v>43826</v>
      </c>
      <c r="Q1224" s="192" t="s">
        <v>86</v>
      </c>
    </row>
    <row r="1225" spans="14:17" ht="15">
      <c r="N1225" s="187">
        <v>43829</v>
      </c>
      <c r="O1225" s="180">
        <v>-0.32500000000000001</v>
      </c>
      <c r="P1225" s="191">
        <v>43829</v>
      </c>
      <c r="Q1225" s="192" t="s">
        <v>84</v>
      </c>
    </row>
    <row r="1226" spans="14:17" ht="15">
      <c r="N1226" s="187">
        <v>43830</v>
      </c>
      <c r="O1226" s="180">
        <v>-0.32400000000000001</v>
      </c>
      <c r="P1226" s="191">
        <v>43830</v>
      </c>
      <c r="Q1226" s="192" t="s">
        <v>217</v>
      </c>
    </row>
    <row r="1227" spans="14:17" ht="15">
      <c r="N1227" s="187">
        <v>43831</v>
      </c>
      <c r="O1227" s="180">
        <v>-0.32400000000000001</v>
      </c>
      <c r="P1227" s="191"/>
      <c r="Q1227" s="193" t="s">
        <v>217</v>
      </c>
    </row>
    <row r="1228" spans="14:17" ht="15">
      <c r="N1228" s="187">
        <v>43832</v>
      </c>
      <c r="O1228" s="180">
        <v>-0.32300000000000001</v>
      </c>
      <c r="P1228" s="191">
        <v>43832</v>
      </c>
      <c r="Q1228" s="192" t="s">
        <v>218</v>
      </c>
    </row>
    <row r="1229" spans="14:17" ht="15">
      <c r="N1229" s="187">
        <v>43833</v>
      </c>
      <c r="O1229" s="180">
        <v>-0.32300000000000001</v>
      </c>
      <c r="P1229" s="191">
        <v>43833</v>
      </c>
      <c r="Q1229" s="192" t="s">
        <v>82</v>
      </c>
    </row>
    <row r="1230" spans="14:17" ht="15">
      <c r="N1230" s="187">
        <v>43836</v>
      </c>
      <c r="O1230" s="180">
        <v>-0.32500000000000001</v>
      </c>
      <c r="P1230" s="191"/>
      <c r="Q1230" s="193" t="s">
        <v>82</v>
      </c>
    </row>
    <row r="1231" spans="14:17" ht="15">
      <c r="N1231" s="187">
        <v>43837</v>
      </c>
      <c r="O1231" s="180">
        <v>-0.32300000000000001</v>
      </c>
      <c r="P1231" s="191">
        <v>43837</v>
      </c>
      <c r="Q1231" s="192" t="s">
        <v>219</v>
      </c>
    </row>
    <row r="1232" spans="14:17" ht="15">
      <c r="N1232" s="187">
        <v>43838</v>
      </c>
      <c r="O1232" s="180">
        <v>-0.33200000000000002</v>
      </c>
      <c r="P1232" s="191">
        <v>43838</v>
      </c>
      <c r="Q1232" s="192" t="s">
        <v>80</v>
      </c>
    </row>
    <row r="1233" spans="14:17" ht="15">
      <c r="N1233" s="187">
        <v>43839</v>
      </c>
      <c r="O1233" s="180">
        <v>-0.33300000000000002</v>
      </c>
      <c r="P1233" s="191">
        <v>43839</v>
      </c>
      <c r="Q1233" s="192" t="s">
        <v>81</v>
      </c>
    </row>
    <row r="1234" spans="14:17" ht="15">
      <c r="N1234" s="187">
        <v>43840</v>
      </c>
      <c r="O1234" s="180">
        <v>-0.33400000000000002</v>
      </c>
      <c r="P1234" s="191">
        <v>43840</v>
      </c>
      <c r="Q1234" s="192" t="s">
        <v>220</v>
      </c>
    </row>
    <row r="1235" spans="14:17" ht="15">
      <c r="N1235" s="187">
        <v>43843</v>
      </c>
      <c r="O1235" s="180">
        <v>-0.32400000000000001</v>
      </c>
      <c r="P1235" s="191">
        <v>43843</v>
      </c>
      <c r="Q1235" s="192" t="s">
        <v>78</v>
      </c>
    </row>
    <row r="1236" spans="14:17" ht="15">
      <c r="N1236" s="187">
        <v>43844</v>
      </c>
      <c r="O1236" s="180">
        <v>-0.32900000000000001</v>
      </c>
      <c r="P1236" s="191">
        <v>43844</v>
      </c>
      <c r="Q1236" s="192" t="s">
        <v>221</v>
      </c>
    </row>
    <row r="1237" spans="14:17" ht="15">
      <c r="N1237" s="187">
        <v>43845</v>
      </c>
      <c r="O1237" s="180">
        <v>-0.33400000000000002</v>
      </c>
      <c r="P1237" s="191">
        <v>43845</v>
      </c>
      <c r="Q1237" s="192" t="s">
        <v>97</v>
      </c>
    </row>
    <row r="1238" spans="14:17" ht="15">
      <c r="N1238" s="187">
        <v>43846</v>
      </c>
      <c r="O1238" s="180">
        <v>-0.33</v>
      </c>
      <c r="P1238" s="191">
        <v>43846</v>
      </c>
      <c r="Q1238" s="192" t="s">
        <v>98</v>
      </c>
    </row>
    <row r="1239" spans="14:17" ht="15">
      <c r="N1239" s="187">
        <v>43847</v>
      </c>
      <c r="O1239" s="180">
        <v>-0.33200000000000002</v>
      </c>
      <c r="P1239" s="191">
        <v>43847</v>
      </c>
      <c r="Q1239" s="192" t="s">
        <v>76</v>
      </c>
    </row>
    <row r="1240" spans="14:17" ht="15">
      <c r="N1240" s="187">
        <v>43850</v>
      </c>
      <c r="O1240" s="180">
        <v>-0.33300000000000002</v>
      </c>
      <c r="P1240" s="191">
        <v>43850</v>
      </c>
      <c r="Q1240" s="192" t="s">
        <v>222</v>
      </c>
    </row>
    <row r="1241" spans="14:17" ht="15">
      <c r="N1241" s="187">
        <v>43851</v>
      </c>
      <c r="O1241" s="180">
        <v>-0.33400000000000002</v>
      </c>
      <c r="P1241" s="191">
        <v>43851</v>
      </c>
      <c r="Q1241" s="192" t="s">
        <v>75</v>
      </c>
    </row>
    <row r="1242" spans="14:17" ht="15">
      <c r="N1242" s="187">
        <v>43852</v>
      </c>
      <c r="O1242" s="180">
        <v>-0.32900000000000001</v>
      </c>
      <c r="P1242" s="191">
        <v>43852</v>
      </c>
      <c r="Q1242" s="192" t="s">
        <v>143</v>
      </c>
    </row>
    <row r="1243" spans="14:17" ht="15">
      <c r="N1243" s="187">
        <v>43853</v>
      </c>
      <c r="O1243" s="180">
        <v>-0.32</v>
      </c>
      <c r="P1243" s="191">
        <v>43853</v>
      </c>
      <c r="Q1243" s="192" t="s">
        <v>98</v>
      </c>
    </row>
    <row r="1244" spans="14:17" ht="15">
      <c r="N1244" s="187">
        <v>43854</v>
      </c>
      <c r="O1244" s="180">
        <v>-0.32300000000000001</v>
      </c>
      <c r="P1244" s="191">
        <v>43854</v>
      </c>
      <c r="Q1244" s="192" t="s">
        <v>106</v>
      </c>
    </row>
    <row r="1245" spans="14:17" ht="15">
      <c r="N1245" s="187">
        <v>43857</v>
      </c>
      <c r="O1245" s="180">
        <v>-0.33300000000000002</v>
      </c>
      <c r="P1245" s="191">
        <v>43857</v>
      </c>
      <c r="Q1245" s="192" t="s">
        <v>103</v>
      </c>
    </row>
    <row r="1246" spans="14:17" ht="15">
      <c r="N1246" s="187">
        <v>43858</v>
      </c>
      <c r="O1246" s="180">
        <v>-0.33700000000000002</v>
      </c>
      <c r="P1246" s="191">
        <v>43858</v>
      </c>
      <c r="Q1246" s="192" t="s">
        <v>81</v>
      </c>
    </row>
    <row r="1247" spans="14:17" ht="15">
      <c r="N1247" s="187">
        <v>43859</v>
      </c>
      <c r="O1247" s="180">
        <v>-0.33600000000000002</v>
      </c>
      <c r="P1247" s="191">
        <v>43859</v>
      </c>
      <c r="Q1247" s="192" t="s">
        <v>223</v>
      </c>
    </row>
    <row r="1248" spans="14:17" ht="15">
      <c r="N1248" s="187">
        <v>43860</v>
      </c>
      <c r="O1248" s="180">
        <v>-0.33700000000000002</v>
      </c>
      <c r="P1248" s="191">
        <v>43860</v>
      </c>
      <c r="Q1248" s="192" t="s">
        <v>146</v>
      </c>
    </row>
    <row r="1249" spans="14:17" ht="15">
      <c r="N1249" s="187">
        <v>43861</v>
      </c>
      <c r="O1249" s="180">
        <v>-0.33800000000000002</v>
      </c>
      <c r="P1249" s="191">
        <v>43861</v>
      </c>
      <c r="Q1249" s="192" t="s">
        <v>213</v>
      </c>
    </row>
    <row r="1250" spans="14:17" ht="15">
      <c r="N1250" s="187">
        <v>43864</v>
      </c>
      <c r="O1250" s="180">
        <v>-0.33800000000000002</v>
      </c>
      <c r="P1250" s="191">
        <v>43864</v>
      </c>
      <c r="Q1250" s="192" t="s">
        <v>90</v>
      </c>
    </row>
    <row r="1251" spans="14:17" ht="15">
      <c r="N1251" s="187">
        <v>43865</v>
      </c>
      <c r="O1251" s="180">
        <v>-0.34</v>
      </c>
      <c r="P1251" s="191">
        <v>43865</v>
      </c>
      <c r="Q1251" s="192" t="s">
        <v>224</v>
      </c>
    </row>
    <row r="1252" spans="14:17" ht="15">
      <c r="N1252" s="187">
        <v>43866</v>
      </c>
      <c r="O1252" s="180">
        <v>-0.34599999999999997</v>
      </c>
      <c r="P1252" s="191">
        <v>43866</v>
      </c>
      <c r="Q1252" s="192" t="s">
        <v>225</v>
      </c>
    </row>
    <row r="1253" spans="14:17" ht="15">
      <c r="N1253" s="187">
        <v>43867</v>
      </c>
      <c r="O1253" s="180">
        <v>-0.34300000000000003</v>
      </c>
      <c r="P1253" s="191">
        <v>43867</v>
      </c>
      <c r="Q1253" s="192" t="s">
        <v>226</v>
      </c>
    </row>
    <row r="1254" spans="14:17" ht="15">
      <c r="N1254" s="187">
        <v>43868</v>
      </c>
      <c r="O1254" s="180">
        <v>-0.33900000000000002</v>
      </c>
      <c r="P1254" s="191">
        <v>43868</v>
      </c>
      <c r="Q1254" s="192" t="s">
        <v>208</v>
      </c>
    </row>
    <row r="1255" spans="14:17" ht="15">
      <c r="N1255" s="187">
        <v>43871</v>
      </c>
      <c r="O1255" s="180">
        <v>-0.34599999999999997</v>
      </c>
      <c r="P1255" s="191">
        <v>43871</v>
      </c>
      <c r="Q1255" s="192" t="s">
        <v>227</v>
      </c>
    </row>
    <row r="1256" spans="14:17" ht="15">
      <c r="N1256" s="187">
        <v>43872</v>
      </c>
      <c r="O1256" s="180">
        <v>-0.35</v>
      </c>
      <c r="P1256" s="191">
        <v>43872</v>
      </c>
      <c r="Q1256" s="192" t="s">
        <v>206</v>
      </c>
    </row>
    <row r="1257" spans="14:17" ht="15">
      <c r="N1257" s="187">
        <v>43873</v>
      </c>
      <c r="O1257" s="180">
        <v>-0.36199999999999999</v>
      </c>
      <c r="P1257" s="191">
        <v>43873</v>
      </c>
      <c r="Q1257" s="192" t="s">
        <v>154</v>
      </c>
    </row>
    <row r="1258" spans="14:17" ht="15">
      <c r="N1258" s="187">
        <v>43874</v>
      </c>
      <c r="O1258" s="180">
        <v>-0.35699999999999998</v>
      </c>
      <c r="P1258" s="191">
        <v>43874</v>
      </c>
      <c r="Q1258" s="192" t="s">
        <v>228</v>
      </c>
    </row>
    <row r="1259" spans="14:17" ht="15">
      <c r="N1259" s="187">
        <v>43875</v>
      </c>
      <c r="O1259" s="180">
        <v>-0.35899999999999999</v>
      </c>
      <c r="P1259" s="191">
        <v>43875</v>
      </c>
      <c r="Q1259" s="192" t="s">
        <v>229</v>
      </c>
    </row>
    <row r="1260" spans="14:17" ht="15">
      <c r="N1260" s="187">
        <v>43878</v>
      </c>
      <c r="O1260" s="180">
        <v>-0.35299999999999998</v>
      </c>
      <c r="P1260" s="191">
        <v>43878</v>
      </c>
      <c r="Q1260" s="192" t="s">
        <v>156</v>
      </c>
    </row>
    <row r="1261" spans="14:17" ht="15">
      <c r="N1261" s="187">
        <v>43879</v>
      </c>
      <c r="O1261" s="180">
        <v>-0.35799999999999998</v>
      </c>
      <c r="P1261" s="191">
        <v>43879</v>
      </c>
      <c r="Q1261" s="192" t="s">
        <v>230</v>
      </c>
    </row>
    <row r="1262" spans="14:17" ht="15">
      <c r="N1262" s="187">
        <v>43880</v>
      </c>
      <c r="O1262" s="180">
        <v>-0.35299999999999998</v>
      </c>
      <c r="P1262" s="191">
        <v>43880</v>
      </c>
      <c r="Q1262" s="192" t="s">
        <v>231</v>
      </c>
    </row>
    <row r="1263" spans="14:17" ht="15">
      <c r="N1263" s="187">
        <v>43881</v>
      </c>
      <c r="O1263" s="180">
        <v>-0.35799999999999998</v>
      </c>
      <c r="P1263" s="191">
        <v>43881</v>
      </c>
      <c r="Q1263" s="192" t="s">
        <v>202</v>
      </c>
    </row>
    <row r="1264" spans="14:17" ht="15">
      <c r="N1264" s="187">
        <v>43882</v>
      </c>
      <c r="O1264" s="180">
        <v>-0.35599999999999998</v>
      </c>
      <c r="P1264" s="191">
        <v>43882</v>
      </c>
      <c r="Q1264" s="192" t="s">
        <v>232</v>
      </c>
    </row>
    <row r="1265" spans="14:17" ht="15">
      <c r="N1265" s="187">
        <v>43885</v>
      </c>
      <c r="O1265" s="180">
        <v>-0.35699999999999998</v>
      </c>
      <c r="P1265" s="191">
        <v>43885</v>
      </c>
      <c r="Q1265" s="192" t="s">
        <v>233</v>
      </c>
    </row>
    <row r="1266" spans="14:17" ht="15">
      <c r="N1266" s="187">
        <v>43886</v>
      </c>
      <c r="O1266" s="180">
        <v>-0.35799999999999998</v>
      </c>
      <c r="P1266" s="191">
        <v>43886</v>
      </c>
      <c r="Q1266" s="192" t="s">
        <v>200</v>
      </c>
    </row>
    <row r="1267" spans="14:17" ht="15">
      <c r="N1267" s="187">
        <v>43887</v>
      </c>
      <c r="O1267" s="180">
        <v>-0.371</v>
      </c>
      <c r="P1267" s="191">
        <v>43887</v>
      </c>
      <c r="Q1267" s="192" t="s">
        <v>159</v>
      </c>
    </row>
    <row r="1268" spans="14:17" ht="15">
      <c r="N1268" s="187">
        <v>43888</v>
      </c>
      <c r="O1268" s="180">
        <v>-0.375</v>
      </c>
      <c r="P1268" s="191">
        <v>43888</v>
      </c>
      <c r="Q1268" s="192" t="s">
        <v>234</v>
      </c>
    </row>
    <row r="1269" spans="14:17" ht="15">
      <c r="N1269" s="187">
        <v>43889</v>
      </c>
      <c r="O1269" s="180">
        <v>-0.38600000000000001</v>
      </c>
      <c r="P1269" s="191">
        <v>43889</v>
      </c>
      <c r="Q1269" s="192" t="s">
        <v>235</v>
      </c>
    </row>
    <row r="1270" spans="14:17" ht="15">
      <c r="N1270" s="187">
        <v>43892</v>
      </c>
      <c r="O1270" s="180">
        <v>-0.4</v>
      </c>
      <c r="P1270" s="191">
        <v>43892</v>
      </c>
      <c r="Q1270" s="192" t="s">
        <v>236</v>
      </c>
    </row>
    <row r="1271" spans="14:17" ht="15">
      <c r="N1271" s="187">
        <v>43893</v>
      </c>
      <c r="O1271" s="180">
        <v>-0.42199999999999999</v>
      </c>
      <c r="P1271" s="191">
        <v>43893</v>
      </c>
      <c r="Q1271" s="192" t="s">
        <v>161</v>
      </c>
    </row>
    <row r="1272" spans="14:17" ht="15">
      <c r="N1272" s="187">
        <v>43894</v>
      </c>
      <c r="O1272" s="180">
        <v>-0.41799999999999998</v>
      </c>
      <c r="P1272" s="191">
        <v>43894</v>
      </c>
      <c r="Q1272" s="192" t="s">
        <v>195</v>
      </c>
    </row>
    <row r="1273" spans="14:17" ht="15">
      <c r="N1273" s="187">
        <v>43895</v>
      </c>
      <c r="O1273" s="180">
        <v>-0.432</v>
      </c>
      <c r="P1273" s="191">
        <v>43895</v>
      </c>
      <c r="Q1273" s="192" t="s">
        <v>237</v>
      </c>
    </row>
    <row r="1274" spans="14:17" ht="15">
      <c r="N1274" s="187">
        <v>43896</v>
      </c>
      <c r="O1274" s="180">
        <v>-0.42699999999999999</v>
      </c>
      <c r="P1274" s="191">
        <v>43896</v>
      </c>
      <c r="Q1274" s="192" t="s">
        <v>238</v>
      </c>
    </row>
    <row r="1275" spans="14:17" ht="15">
      <c r="N1275" s="187">
        <v>43899</v>
      </c>
      <c r="O1275" s="180">
        <v>-0.42099999999999999</v>
      </c>
      <c r="P1275" s="191">
        <v>43899</v>
      </c>
      <c r="Q1275" s="192" t="s">
        <v>239</v>
      </c>
    </row>
    <row r="1276" spans="14:17" ht="15">
      <c r="N1276" s="187">
        <v>43900</v>
      </c>
      <c r="O1276" s="180">
        <v>-0.438</v>
      </c>
      <c r="P1276" s="191">
        <v>43900</v>
      </c>
      <c r="Q1276" s="192" t="s">
        <v>186</v>
      </c>
    </row>
    <row r="1277" spans="14:17" ht="15">
      <c r="N1277" s="187">
        <v>43901</v>
      </c>
      <c r="O1277" s="180">
        <v>-0.42899999999999999</v>
      </c>
      <c r="P1277" s="191">
        <v>43901</v>
      </c>
      <c r="Q1277" s="192" t="s">
        <v>240</v>
      </c>
    </row>
    <row r="1278" spans="14:17" ht="15">
      <c r="N1278" s="187">
        <v>43902</v>
      </c>
      <c r="O1278" s="180">
        <v>-0.44700000000000001</v>
      </c>
      <c r="P1278" s="191">
        <v>43902</v>
      </c>
      <c r="Q1278" s="192" t="s">
        <v>167</v>
      </c>
    </row>
    <row r="1279" spans="14:17" ht="15">
      <c r="N1279" s="187">
        <v>43903</v>
      </c>
      <c r="O1279" s="180">
        <v>-0.39700000000000002</v>
      </c>
      <c r="P1279" s="191">
        <v>43903</v>
      </c>
      <c r="Q1279" s="192" t="s">
        <v>241</v>
      </c>
    </row>
    <row r="1280" spans="14:17" ht="15">
      <c r="N1280" s="187">
        <v>43906</v>
      </c>
      <c r="O1280" s="180">
        <v>-0.372</v>
      </c>
      <c r="P1280" s="191">
        <v>43906</v>
      </c>
      <c r="Q1280" s="192" t="s">
        <v>242</v>
      </c>
    </row>
    <row r="1281" spans="14:17" ht="15">
      <c r="N1281" s="187">
        <v>43907</v>
      </c>
      <c r="O1281" s="180">
        <v>-0.373</v>
      </c>
      <c r="P1281" s="191">
        <v>43907</v>
      </c>
      <c r="Q1281" s="192" t="s">
        <v>243</v>
      </c>
    </row>
    <row r="1282" spans="14:17" ht="15">
      <c r="N1282" s="187">
        <v>43908</v>
      </c>
      <c r="O1282" s="180">
        <v>-0.36</v>
      </c>
      <c r="P1282" s="191">
        <v>43908</v>
      </c>
      <c r="Q1282" s="192" t="s">
        <v>244</v>
      </c>
    </row>
    <row r="1283" spans="14:17" ht="15">
      <c r="N1283" s="187">
        <v>43909</v>
      </c>
      <c r="O1283" s="180">
        <v>-0.34499999999999997</v>
      </c>
      <c r="P1283" s="191">
        <v>43909</v>
      </c>
      <c r="Q1283" s="192" t="s">
        <v>245</v>
      </c>
    </row>
    <row r="1284" spans="14:17" ht="15">
      <c r="N1284" s="187">
        <v>43910</v>
      </c>
      <c r="O1284" s="180">
        <v>-0.313</v>
      </c>
      <c r="P1284" s="191">
        <v>43910</v>
      </c>
      <c r="Q1284" s="192" t="s">
        <v>246</v>
      </c>
    </row>
    <row r="1285" spans="14:17" ht="15">
      <c r="N1285" s="187">
        <v>43913</v>
      </c>
      <c r="O1285" s="180">
        <v>-0.307</v>
      </c>
      <c r="P1285" s="191">
        <v>43913</v>
      </c>
      <c r="Q1285" s="192" t="s">
        <v>247</v>
      </c>
    </row>
    <row r="1286" spans="14:17" ht="15">
      <c r="N1286" s="187">
        <v>43914</v>
      </c>
      <c r="O1286" s="180">
        <v>-0.30599999999999999</v>
      </c>
      <c r="P1286" s="191">
        <v>43914</v>
      </c>
      <c r="Q1286" s="192" t="s">
        <v>248</v>
      </c>
    </row>
    <row r="1287" spans="14:17" ht="15">
      <c r="N1287" s="187">
        <v>43915</v>
      </c>
      <c r="O1287" s="180">
        <v>-0.29799999999999999</v>
      </c>
      <c r="P1287" s="191">
        <v>43915</v>
      </c>
      <c r="Q1287" s="192" t="s">
        <v>249</v>
      </c>
    </row>
    <row r="1288" spans="14:17" ht="15">
      <c r="N1288" s="187">
        <v>43916</v>
      </c>
      <c r="O1288" s="180">
        <v>-0.27400000000000002</v>
      </c>
      <c r="P1288" s="191">
        <v>43916</v>
      </c>
      <c r="Q1288" s="192" t="s">
        <v>250</v>
      </c>
    </row>
    <row r="1289" spans="14:17" ht="15">
      <c r="N1289" s="187">
        <v>43917</v>
      </c>
      <c r="O1289" s="180">
        <v>-0.28100000000000003</v>
      </c>
      <c r="P1289" s="191">
        <v>43917</v>
      </c>
      <c r="Q1289" s="192" t="s">
        <v>251</v>
      </c>
    </row>
    <row r="1290" spans="14:17" ht="15">
      <c r="N1290" s="187">
        <v>43920</v>
      </c>
      <c r="O1290" s="180">
        <v>-0.28000000000000003</v>
      </c>
      <c r="P1290" s="191">
        <v>43920</v>
      </c>
      <c r="Q1290" s="192" t="s">
        <v>228</v>
      </c>
    </row>
    <row r="1291" spans="14:17" ht="15">
      <c r="N1291" s="187">
        <v>43921</v>
      </c>
      <c r="O1291" s="180">
        <v>-0.28699999999999998</v>
      </c>
      <c r="P1291" s="191">
        <v>43921</v>
      </c>
      <c r="Q1291" s="192" t="s">
        <v>252</v>
      </c>
    </row>
    <row r="1292" spans="14:17" ht="15">
      <c r="N1292" s="187">
        <v>43922</v>
      </c>
      <c r="O1292" s="180">
        <v>-0.27600000000000002</v>
      </c>
      <c r="P1292" s="191">
        <v>43922</v>
      </c>
      <c r="Q1292" s="192" t="s">
        <v>253</v>
      </c>
    </row>
    <row r="1293" spans="14:17" ht="15">
      <c r="N1293" s="187">
        <v>43923</v>
      </c>
      <c r="O1293" s="180">
        <v>-0.26800000000000002</v>
      </c>
      <c r="P1293" s="191">
        <v>43923</v>
      </c>
      <c r="Q1293" s="192" t="s">
        <v>94</v>
      </c>
    </row>
    <row r="1294" spans="14:17" ht="15">
      <c r="N1294" s="187">
        <v>43924</v>
      </c>
      <c r="O1294" s="180">
        <v>-0.27700000000000002</v>
      </c>
      <c r="P1294" s="191">
        <v>43924</v>
      </c>
      <c r="Q1294" s="192" t="s">
        <v>223</v>
      </c>
    </row>
    <row r="1295" spans="14:17" ht="15">
      <c r="N1295" s="187">
        <v>43927</v>
      </c>
      <c r="O1295" s="180">
        <v>-0.253</v>
      </c>
      <c r="P1295" s="191">
        <v>43927</v>
      </c>
      <c r="Q1295" s="192" t="s">
        <v>98</v>
      </c>
    </row>
    <row r="1296" spans="14:17" ht="15">
      <c r="N1296" s="187">
        <v>43928</v>
      </c>
      <c r="O1296" s="180">
        <v>-0.23200000000000001</v>
      </c>
      <c r="P1296" s="191">
        <v>43928</v>
      </c>
      <c r="Q1296" s="192" t="s">
        <v>141</v>
      </c>
    </row>
    <row r="1297" spans="14:17" ht="15">
      <c r="N1297" s="187">
        <v>43929</v>
      </c>
      <c r="O1297" s="180">
        <v>-0.19600000000000001</v>
      </c>
      <c r="P1297" s="191">
        <v>43929</v>
      </c>
      <c r="Q1297" s="192" t="s">
        <v>254</v>
      </c>
    </row>
    <row r="1298" spans="14:17" ht="15">
      <c r="N1298" s="187">
        <v>43930</v>
      </c>
      <c r="O1298" s="180">
        <v>-0.17899999999999999</v>
      </c>
      <c r="P1298" s="191">
        <v>43930</v>
      </c>
      <c r="Q1298" s="192" t="s">
        <v>255</v>
      </c>
    </row>
    <row r="1299" spans="14:17" ht="15">
      <c r="N1299" s="187">
        <v>43931</v>
      </c>
      <c r="O1299" s="180">
        <v>-0.17899999999999999</v>
      </c>
      <c r="P1299" s="191">
        <v>43931</v>
      </c>
      <c r="Q1299" s="192" t="s">
        <v>256</v>
      </c>
    </row>
    <row r="1300" spans="14:17" ht="15">
      <c r="N1300" s="187">
        <v>43934</v>
      </c>
      <c r="O1300" s="180">
        <v>-0.17899999999999999</v>
      </c>
      <c r="P1300" s="191"/>
      <c r="Q1300" s="193" t="s">
        <v>256</v>
      </c>
    </row>
    <row r="1301" spans="14:17" ht="15">
      <c r="N1301" s="187">
        <v>43935</v>
      </c>
      <c r="O1301" s="180">
        <v>-0.19500000000000001</v>
      </c>
      <c r="P1301" s="191">
        <v>43935</v>
      </c>
      <c r="Q1301" s="192" t="s">
        <v>257</v>
      </c>
    </row>
    <row r="1302" spans="14:17" ht="15">
      <c r="N1302" s="187">
        <v>43936</v>
      </c>
      <c r="O1302" s="180">
        <v>-0.19600000000000001</v>
      </c>
      <c r="P1302" s="191">
        <v>43936</v>
      </c>
      <c r="Q1302" s="192" t="s">
        <v>258</v>
      </c>
    </row>
    <row r="1303" spans="14:17" ht="15">
      <c r="N1303" s="187">
        <v>43937</v>
      </c>
      <c r="O1303" s="180">
        <v>-0.187</v>
      </c>
      <c r="P1303" s="191">
        <v>43937</v>
      </c>
      <c r="Q1303" s="192" t="s">
        <v>259</v>
      </c>
    </row>
    <row r="1304" spans="14:17" ht="15">
      <c r="N1304" s="187">
        <v>43938</v>
      </c>
      <c r="O1304" s="180">
        <v>-0.19500000000000001</v>
      </c>
      <c r="P1304" s="191">
        <v>43938</v>
      </c>
      <c r="Q1304" s="192" t="s">
        <v>260</v>
      </c>
    </row>
    <row r="1305" spans="14:17" ht="15">
      <c r="N1305" s="187">
        <v>43941</v>
      </c>
      <c r="O1305" s="180">
        <v>-0.185</v>
      </c>
      <c r="P1305" s="191">
        <v>43941</v>
      </c>
      <c r="Q1305" s="192" t="s">
        <v>261</v>
      </c>
    </row>
    <row r="1306" spans="14:17" ht="15">
      <c r="N1306" s="187">
        <v>43942</v>
      </c>
      <c r="O1306" s="180">
        <v>-0.17799999999999999</v>
      </c>
      <c r="P1306" s="191">
        <v>43942</v>
      </c>
      <c r="Q1306" s="192" t="s">
        <v>262</v>
      </c>
    </row>
    <row r="1307" spans="14:17" ht="15">
      <c r="N1307" s="187">
        <v>43943</v>
      </c>
      <c r="O1307" s="180">
        <v>-0.124</v>
      </c>
      <c r="P1307" s="191">
        <v>43943</v>
      </c>
      <c r="Q1307" s="192" t="s">
        <v>68</v>
      </c>
    </row>
    <row r="1308" spans="14:17" ht="15">
      <c r="N1308" s="187">
        <v>43944</v>
      </c>
      <c r="O1308" s="180">
        <v>-0.114</v>
      </c>
      <c r="P1308" s="191">
        <v>43944</v>
      </c>
      <c r="Q1308" s="192" t="s">
        <v>69</v>
      </c>
    </row>
    <row r="1309" spans="14:17" ht="15">
      <c r="N1309" s="187">
        <v>43945</v>
      </c>
      <c r="O1309" s="180">
        <v>-0.13600000000000001</v>
      </c>
      <c r="P1309" s="191">
        <v>43945</v>
      </c>
      <c r="Q1309" s="192" t="s">
        <v>113</v>
      </c>
    </row>
    <row r="1310" spans="14:17" ht="15">
      <c r="N1310" s="187">
        <v>43948</v>
      </c>
      <c r="O1310" s="180">
        <v>-0.14699999999999999</v>
      </c>
      <c r="P1310" s="191">
        <v>43948</v>
      </c>
      <c r="Q1310" s="192" t="s">
        <v>113</v>
      </c>
    </row>
    <row r="1311" spans="14:17" ht="15">
      <c r="N1311" s="187">
        <v>43949</v>
      </c>
      <c r="O1311" s="180">
        <v>-0.16300000000000001</v>
      </c>
      <c r="P1311" s="191">
        <v>43949</v>
      </c>
      <c r="Q1311" s="192" t="s">
        <v>263</v>
      </c>
    </row>
    <row r="1312" spans="14:17" ht="15">
      <c r="N1312" s="187">
        <v>43950</v>
      </c>
      <c r="O1312" s="180">
        <v>-0.16900000000000001</v>
      </c>
      <c r="P1312" s="191">
        <v>43950</v>
      </c>
      <c r="Q1312" s="192" t="s">
        <v>264</v>
      </c>
    </row>
    <row r="1313" spans="14:18" ht="15">
      <c r="N1313" s="187">
        <v>43951</v>
      </c>
      <c r="O1313" s="180">
        <v>-0.17</v>
      </c>
      <c r="P1313" s="191">
        <v>43951</v>
      </c>
      <c r="Q1313" s="192" t="s">
        <v>265</v>
      </c>
    </row>
    <row r="1314" spans="14:18" ht="15">
      <c r="N1314" s="187">
        <v>43952</v>
      </c>
      <c r="O1314" s="180">
        <v>-0.17</v>
      </c>
      <c r="P1314" s="191"/>
      <c r="Q1314" s="193">
        <v>-0.127</v>
      </c>
      <c r="R1314" s="111">
        <f>+(O1314+Q1314)/2+0.37</f>
        <v>0.22149999999999997</v>
      </c>
    </row>
    <row r="1315" spans="14:18" ht="15">
      <c r="N1315" s="187">
        <v>43955</v>
      </c>
      <c r="O1315" s="180">
        <v>-0.157</v>
      </c>
      <c r="P1315" s="191">
        <v>43955</v>
      </c>
      <c r="Q1315" s="192" t="s">
        <v>110</v>
      </c>
    </row>
    <row r="1316" spans="14:18" ht="15">
      <c r="N1316" s="187">
        <v>43956</v>
      </c>
      <c r="O1316" s="180">
        <v>-0.16500000000000001</v>
      </c>
      <c r="P1316" s="191">
        <v>43956</v>
      </c>
      <c r="Q1316" s="192" t="s">
        <v>73</v>
      </c>
    </row>
    <row r="1317" spans="14:18" ht="15">
      <c r="N1317" s="187">
        <v>43957</v>
      </c>
      <c r="O1317" s="180">
        <v>-0.13600000000000001</v>
      </c>
      <c r="P1317" s="191">
        <v>43957</v>
      </c>
      <c r="Q1317" s="192" t="s">
        <v>97</v>
      </c>
    </row>
    <row r="1318" spans="14:18" ht="15">
      <c r="N1318" s="187">
        <v>43958</v>
      </c>
      <c r="O1318" s="180">
        <v>-0.114</v>
      </c>
      <c r="P1318" s="191">
        <v>43958</v>
      </c>
      <c r="Q1318" s="192" t="s">
        <v>103</v>
      </c>
    </row>
    <row r="1319" spans="14:18" ht="15">
      <c r="N1319" s="187">
        <v>43959</v>
      </c>
      <c r="O1319" s="180">
        <v>-0.14499999999999999</v>
      </c>
      <c r="P1319" s="191">
        <v>43959</v>
      </c>
      <c r="Q1319" s="192" t="s">
        <v>223</v>
      </c>
    </row>
    <row r="1320" spans="14:18" ht="15">
      <c r="N1320" s="187">
        <v>43962</v>
      </c>
      <c r="O1320" s="180">
        <v>-0.14699999999999999</v>
      </c>
      <c r="P1320" s="191">
        <v>43962</v>
      </c>
      <c r="Q1320" s="192" t="s">
        <v>266</v>
      </c>
    </row>
    <row r="1321" spans="14:18" ht="15">
      <c r="N1321" s="187">
        <v>43963</v>
      </c>
      <c r="O1321" s="180">
        <v>-0.14699999999999999</v>
      </c>
      <c r="P1321" s="191">
        <v>43963</v>
      </c>
      <c r="Q1321" s="192" t="s">
        <v>88</v>
      </c>
    </row>
    <row r="1322" spans="14:18" ht="15">
      <c r="N1322" s="187">
        <v>43964</v>
      </c>
      <c r="O1322" s="180">
        <v>-0.14199999999999999</v>
      </c>
      <c r="P1322" s="191">
        <v>43964</v>
      </c>
      <c r="Q1322" s="192" t="s">
        <v>91</v>
      </c>
    </row>
    <row r="1323" spans="14:18" ht="15">
      <c r="N1323" s="187">
        <v>43965</v>
      </c>
      <c r="O1323" s="180">
        <v>-0.13700000000000001</v>
      </c>
      <c r="P1323" s="191">
        <v>43965</v>
      </c>
      <c r="Q1323" s="192" t="s">
        <v>225</v>
      </c>
    </row>
    <row r="1324" spans="14:18" ht="15">
      <c r="N1324" s="187">
        <v>43966</v>
      </c>
      <c r="O1324" s="180">
        <v>-0.13100000000000001</v>
      </c>
      <c r="P1324" s="191">
        <v>43966</v>
      </c>
      <c r="Q1324" s="192" t="s">
        <v>267</v>
      </c>
    </row>
    <row r="1325" spans="14:18" ht="15">
      <c r="N1325" s="187">
        <v>43969</v>
      </c>
      <c r="O1325" s="180">
        <v>-0.13700000000000001</v>
      </c>
      <c r="P1325" s="191">
        <v>43969</v>
      </c>
      <c r="Q1325" s="192" t="s">
        <v>149</v>
      </c>
    </row>
    <row r="1326" spans="14:18" ht="15">
      <c r="N1326" s="187">
        <v>43970</v>
      </c>
      <c r="O1326" s="180">
        <v>-0.13800000000000001</v>
      </c>
      <c r="P1326" s="191">
        <v>43970</v>
      </c>
      <c r="Q1326" s="192" t="s">
        <v>268</v>
      </c>
    </row>
    <row r="1327" spans="14:18" ht="15">
      <c r="N1327" s="187">
        <v>43971</v>
      </c>
      <c r="O1327" s="180">
        <v>-0.13900000000000001</v>
      </c>
      <c r="P1327" s="191">
        <v>43971</v>
      </c>
      <c r="Q1327" s="192" t="s">
        <v>227</v>
      </c>
    </row>
    <row r="1328" spans="14:18" ht="15">
      <c r="N1328" s="187">
        <v>43972</v>
      </c>
      <c r="O1328" s="180">
        <v>-0.14499999999999999</v>
      </c>
      <c r="P1328" s="191"/>
      <c r="Q1328" s="193" t="s">
        <v>227</v>
      </c>
    </row>
    <row r="1329" spans="14:17" ht="15">
      <c r="N1329" s="187">
        <v>43973</v>
      </c>
      <c r="O1329" s="180">
        <v>-0.154</v>
      </c>
      <c r="P1329" s="191">
        <v>43973</v>
      </c>
      <c r="Q1329" s="192" t="s">
        <v>153</v>
      </c>
    </row>
    <row r="1330" spans="14:17" ht="15">
      <c r="N1330" s="187">
        <v>43976</v>
      </c>
      <c r="O1330" s="180">
        <v>-0.14499999999999999</v>
      </c>
      <c r="P1330" s="191">
        <v>43976</v>
      </c>
      <c r="Q1330" s="192" t="s">
        <v>154</v>
      </c>
    </row>
    <row r="1331" spans="14:17" ht="15">
      <c r="N1331" s="187">
        <v>43977</v>
      </c>
      <c r="O1331" s="180">
        <v>-0.13300000000000001</v>
      </c>
      <c r="P1331" s="191">
        <v>43977</v>
      </c>
      <c r="Q1331" s="192" t="s">
        <v>269</v>
      </c>
    </row>
    <row r="1332" spans="14:17" ht="15">
      <c r="N1332" s="187">
        <v>43978</v>
      </c>
      <c r="O1332" s="180">
        <v>-0.14899999999999999</v>
      </c>
      <c r="P1332" s="191">
        <v>43978</v>
      </c>
      <c r="Q1332" s="192" t="s">
        <v>205</v>
      </c>
    </row>
    <row r="1333" spans="14:17" ht="15">
      <c r="N1333" s="187">
        <v>43979</v>
      </c>
      <c r="O1333" s="180">
        <v>-0.14199999999999999</v>
      </c>
      <c r="P1333" s="191">
        <v>43979</v>
      </c>
      <c r="Q1333" s="192" t="s">
        <v>228</v>
      </c>
    </row>
    <row r="1334" spans="14:17" ht="15">
      <c r="N1334" s="187">
        <v>43980</v>
      </c>
      <c r="O1334" s="180">
        <v>-0.158</v>
      </c>
      <c r="P1334" s="191">
        <v>43980</v>
      </c>
      <c r="Q1334" s="192" t="s">
        <v>270</v>
      </c>
    </row>
    <row r="1335" spans="14:17" ht="15">
      <c r="N1335" s="187">
        <v>43983</v>
      </c>
      <c r="O1335" s="180">
        <v>-0.16300000000000001</v>
      </c>
      <c r="P1335" s="191"/>
      <c r="Q1335" s="193" t="s">
        <v>270</v>
      </c>
    </row>
    <row r="1336" spans="14:17" ht="15">
      <c r="N1336" s="187">
        <v>43984</v>
      </c>
      <c r="O1336" s="180">
        <v>-0.182</v>
      </c>
      <c r="P1336" s="191">
        <v>43984</v>
      </c>
      <c r="Q1336" s="192" t="s">
        <v>155</v>
      </c>
    </row>
    <row r="1337" spans="14:17" ht="15">
      <c r="N1337" s="187">
        <v>43985</v>
      </c>
      <c r="O1337" s="180">
        <v>-0.17399999999999999</v>
      </c>
      <c r="P1337" s="191">
        <v>43985</v>
      </c>
      <c r="Q1337" s="192" t="s">
        <v>205</v>
      </c>
    </row>
    <row r="1338" spans="14:17" ht="15">
      <c r="N1338" s="187">
        <v>43986</v>
      </c>
      <c r="O1338" s="180">
        <v>-0.17899999999999999</v>
      </c>
      <c r="P1338" s="191">
        <v>43986</v>
      </c>
      <c r="Q1338" s="192" t="s">
        <v>271</v>
      </c>
    </row>
    <row r="1339" spans="14:17" ht="15">
      <c r="N1339" s="187">
        <v>43987</v>
      </c>
      <c r="O1339" s="180">
        <v>-0.19600000000000001</v>
      </c>
      <c r="P1339" s="191">
        <v>43987</v>
      </c>
      <c r="Q1339" s="192" t="s">
        <v>272</v>
      </c>
    </row>
    <row r="1340" spans="14:17" ht="15">
      <c r="N1340" s="187">
        <v>43990</v>
      </c>
      <c r="O1340" s="180">
        <v>-0.19500000000000001</v>
      </c>
      <c r="P1340" s="191">
        <v>43990</v>
      </c>
      <c r="Q1340" s="192" t="s">
        <v>252</v>
      </c>
    </row>
    <row r="1341" spans="14:17" ht="15">
      <c r="N1341" s="187">
        <v>43991</v>
      </c>
      <c r="O1341" s="180">
        <v>-0.19400000000000001</v>
      </c>
      <c r="P1341" s="191">
        <v>43991</v>
      </c>
      <c r="Q1341" s="192" t="s">
        <v>273</v>
      </c>
    </row>
    <row r="1342" spans="14:17" ht="15">
      <c r="N1342" s="187">
        <v>43992</v>
      </c>
      <c r="O1342" s="180">
        <v>-0.193</v>
      </c>
      <c r="P1342" s="191">
        <v>43992</v>
      </c>
      <c r="Q1342" s="192" t="s">
        <v>274</v>
      </c>
    </row>
    <row r="1343" spans="14:17" ht="15">
      <c r="N1343" s="187">
        <v>43993</v>
      </c>
      <c r="O1343" s="180">
        <v>-0.183</v>
      </c>
      <c r="P1343" s="191"/>
      <c r="Q1343" s="193" t="s">
        <v>274</v>
      </c>
    </row>
    <row r="1344" spans="14:17" ht="15">
      <c r="N1344" s="187">
        <v>43994</v>
      </c>
      <c r="O1344" s="180">
        <v>-0.19900000000000001</v>
      </c>
      <c r="P1344" s="191">
        <v>43994</v>
      </c>
      <c r="Q1344" s="192" t="s">
        <v>275</v>
      </c>
    </row>
    <row r="1345" spans="14:17" ht="15">
      <c r="N1345" s="187">
        <v>43997</v>
      </c>
      <c r="O1345" s="180">
        <v>-0.20599999999999999</v>
      </c>
      <c r="P1345" s="191">
        <v>43997</v>
      </c>
      <c r="Q1345" s="192" t="s">
        <v>275</v>
      </c>
    </row>
    <row r="1346" spans="14:17" ht="15">
      <c r="N1346" s="187">
        <v>43998</v>
      </c>
      <c r="O1346" s="180">
        <v>-0.20599999999999999</v>
      </c>
      <c r="P1346" s="191">
        <v>43998</v>
      </c>
      <c r="Q1346" s="192" t="s">
        <v>276</v>
      </c>
    </row>
    <row r="1347" spans="14:17" ht="15">
      <c r="N1347" s="187">
        <v>43999</v>
      </c>
      <c r="O1347" s="180">
        <v>-0.215</v>
      </c>
      <c r="P1347" s="191">
        <v>43999</v>
      </c>
      <c r="Q1347" s="192" t="s">
        <v>276</v>
      </c>
    </row>
    <row r="1348" spans="14:17" ht="15">
      <c r="N1348" s="187">
        <v>44000</v>
      </c>
      <c r="O1348" s="180">
        <v>-0.22800000000000001</v>
      </c>
      <c r="P1348" s="191">
        <v>44000</v>
      </c>
      <c r="Q1348" s="192" t="s">
        <v>275</v>
      </c>
    </row>
    <row r="1349" spans="14:17" ht="15">
      <c r="N1349" s="187">
        <v>44001</v>
      </c>
      <c r="O1349" s="180">
        <v>-0.23400000000000001</v>
      </c>
      <c r="P1349" s="191">
        <v>44001</v>
      </c>
      <c r="Q1349" s="192" t="s">
        <v>153</v>
      </c>
    </row>
    <row r="1350" spans="14:17" ht="15">
      <c r="N1350" s="187">
        <v>44004</v>
      </c>
      <c r="O1350" s="180">
        <v>-0.25900000000000001</v>
      </c>
      <c r="P1350" s="191">
        <v>44004</v>
      </c>
      <c r="Q1350" s="192" t="s">
        <v>272</v>
      </c>
    </row>
    <row r="1351" spans="14:17" ht="15">
      <c r="N1351" s="187">
        <v>44005</v>
      </c>
      <c r="O1351" s="180">
        <v>-0.26900000000000002</v>
      </c>
      <c r="P1351" s="191">
        <v>44005</v>
      </c>
      <c r="Q1351" s="192" t="s">
        <v>277</v>
      </c>
    </row>
    <row r="1352" spans="14:17" ht="15">
      <c r="N1352" s="187">
        <v>44006</v>
      </c>
      <c r="O1352" s="180">
        <v>-0.27800000000000002</v>
      </c>
      <c r="P1352" s="191">
        <v>44006</v>
      </c>
      <c r="Q1352" s="192" t="s">
        <v>271</v>
      </c>
    </row>
    <row r="1353" spans="14:17" ht="15">
      <c r="N1353" s="187">
        <v>44007</v>
      </c>
      <c r="O1353" s="180">
        <v>-0.26800000000000002</v>
      </c>
      <c r="P1353" s="191">
        <v>44007</v>
      </c>
      <c r="Q1353" s="192" t="s">
        <v>228</v>
      </c>
    </row>
    <row r="1354" spans="14:17" ht="15">
      <c r="N1354" s="187">
        <v>44008</v>
      </c>
      <c r="O1354" s="180">
        <v>-0.28299999999999997</v>
      </c>
      <c r="P1354" s="191">
        <v>44008</v>
      </c>
      <c r="Q1354" s="192" t="s">
        <v>278</v>
      </c>
    </row>
    <row r="1355" spans="14:17" ht="15">
      <c r="N1355" s="187">
        <v>44011</v>
      </c>
      <c r="O1355" s="180">
        <v>-0.28699999999999998</v>
      </c>
      <c r="P1355" s="191">
        <v>44011</v>
      </c>
      <c r="Q1355" s="192" t="s">
        <v>279</v>
      </c>
    </row>
    <row r="1356" spans="14:17" ht="15">
      <c r="N1356" s="187">
        <v>44012</v>
      </c>
      <c r="O1356" s="180">
        <v>-0.308</v>
      </c>
      <c r="P1356" s="191">
        <v>44012</v>
      </c>
      <c r="Q1356" s="192" t="s">
        <v>278</v>
      </c>
    </row>
    <row r="1357" spans="14:17" ht="15">
      <c r="N1357" s="187">
        <v>44013</v>
      </c>
      <c r="O1357" s="180">
        <v>-0.29499999999999998</v>
      </c>
      <c r="P1357" s="191">
        <v>44013</v>
      </c>
      <c r="Q1357" s="192" t="s">
        <v>204</v>
      </c>
    </row>
    <row r="1358" spans="14:17" ht="15">
      <c r="N1358" s="187">
        <v>44014</v>
      </c>
      <c r="O1358" s="180">
        <v>-0.30199999999999999</v>
      </c>
      <c r="P1358" s="191">
        <v>44014</v>
      </c>
      <c r="Q1358" s="192" t="s">
        <v>280</v>
      </c>
    </row>
    <row r="1359" spans="14:17" ht="15">
      <c r="N1359" s="187">
        <v>44015</v>
      </c>
      <c r="O1359" s="180">
        <v>-0.314</v>
      </c>
      <c r="P1359" s="191">
        <v>44015</v>
      </c>
      <c r="Q1359" s="192" t="s">
        <v>281</v>
      </c>
    </row>
    <row r="1360" spans="14:17" ht="15">
      <c r="N1360" s="187">
        <v>44018</v>
      </c>
      <c r="O1360" s="180">
        <v>-0.308</v>
      </c>
      <c r="P1360" s="191">
        <v>44018</v>
      </c>
      <c r="Q1360" s="192" t="s">
        <v>282</v>
      </c>
    </row>
    <row r="1361" spans="14:17" ht="15">
      <c r="N1361" s="187">
        <v>44019</v>
      </c>
      <c r="O1361" s="180">
        <v>-0.313</v>
      </c>
      <c r="P1361" s="191">
        <v>44019</v>
      </c>
      <c r="Q1361" s="192" t="s">
        <v>283</v>
      </c>
    </row>
    <row r="1362" spans="14:17" ht="15">
      <c r="N1362" s="187">
        <v>44020</v>
      </c>
      <c r="O1362" s="180">
        <v>-0.32200000000000001</v>
      </c>
      <c r="P1362" s="191">
        <v>44020</v>
      </c>
      <c r="Q1362" s="192" t="s">
        <v>284</v>
      </c>
    </row>
    <row r="1363" spans="14:17" ht="15">
      <c r="N1363" s="187">
        <v>44021</v>
      </c>
      <c r="O1363" s="180">
        <v>-0.32800000000000001</v>
      </c>
      <c r="P1363" s="191">
        <v>44021</v>
      </c>
      <c r="Q1363" s="192" t="s">
        <v>249</v>
      </c>
    </row>
    <row r="1364" spans="14:17" ht="15">
      <c r="N1364" s="187">
        <v>44022</v>
      </c>
      <c r="O1364" s="180">
        <v>-0.33</v>
      </c>
      <c r="P1364" s="191">
        <v>44022</v>
      </c>
      <c r="Q1364" s="192" t="s">
        <v>285</v>
      </c>
    </row>
    <row r="1365" spans="14:17" ht="15">
      <c r="N1365" s="187">
        <v>44025</v>
      </c>
      <c r="O1365" s="180">
        <v>-0.33200000000000002</v>
      </c>
      <c r="P1365" s="191">
        <v>44025</v>
      </c>
      <c r="Q1365" s="192" t="s">
        <v>286</v>
      </c>
    </row>
    <row r="1366" spans="14:17" ht="15">
      <c r="N1366" s="187">
        <v>44026</v>
      </c>
      <c r="O1366" s="180">
        <v>-0.33</v>
      </c>
      <c r="P1366" s="191">
        <v>44026</v>
      </c>
      <c r="Q1366" s="192" t="s">
        <v>159</v>
      </c>
    </row>
    <row r="1367" spans="14:17" ht="15">
      <c r="N1367" s="187">
        <v>44027</v>
      </c>
      <c r="O1367" s="180">
        <v>-0.33300000000000002</v>
      </c>
      <c r="P1367" s="191">
        <v>44027</v>
      </c>
      <c r="Q1367" s="192" t="s">
        <v>287</v>
      </c>
    </row>
    <row r="1368" spans="14:17" ht="15">
      <c r="N1368" s="187">
        <v>44028</v>
      </c>
      <c r="O1368" s="180">
        <v>-0.35199999999999998</v>
      </c>
      <c r="P1368" s="191">
        <v>44028</v>
      </c>
      <c r="Q1368" s="192" t="s">
        <v>288</v>
      </c>
    </row>
    <row r="1369" spans="14:17" ht="15">
      <c r="N1369" s="187">
        <v>44029</v>
      </c>
      <c r="O1369" s="180">
        <v>-0.35099999999999998</v>
      </c>
      <c r="P1369" s="191">
        <v>44029</v>
      </c>
      <c r="Q1369" s="192" t="s">
        <v>289</v>
      </c>
    </row>
    <row r="1370" spans="14:17" ht="15">
      <c r="N1370" s="187">
        <v>44032</v>
      </c>
      <c r="O1370" s="180">
        <v>-0.34799999999999998</v>
      </c>
      <c r="P1370" s="191">
        <v>44032</v>
      </c>
      <c r="Q1370" s="192" t="s">
        <v>198</v>
      </c>
    </row>
    <row r="1371" spans="14:17" ht="15">
      <c r="N1371" s="187">
        <v>44033</v>
      </c>
      <c r="O1371" s="180">
        <v>-0.35299999999999998</v>
      </c>
      <c r="P1371" s="191">
        <v>44033</v>
      </c>
      <c r="Q1371" s="192" t="s">
        <v>290</v>
      </c>
    </row>
    <row r="1372" spans="14:17" ht="15">
      <c r="N1372" s="187">
        <v>44034</v>
      </c>
      <c r="O1372" s="180">
        <v>-0.35499999999999998</v>
      </c>
      <c r="P1372" s="191">
        <v>44034</v>
      </c>
      <c r="Q1372" s="192" t="s">
        <v>291</v>
      </c>
    </row>
    <row r="1373" spans="14:17" ht="15">
      <c r="N1373" s="187">
        <v>44035</v>
      </c>
      <c r="O1373" s="180">
        <v>-0.373</v>
      </c>
      <c r="P1373" s="191">
        <v>44035</v>
      </c>
      <c r="Q1373" s="192" t="s">
        <v>247</v>
      </c>
    </row>
    <row r="1374" spans="14:17" ht="15">
      <c r="N1374" s="187">
        <v>44036</v>
      </c>
      <c r="O1374" s="180">
        <v>-0.373</v>
      </c>
      <c r="P1374" s="191">
        <v>44036</v>
      </c>
      <c r="Q1374" s="192" t="s">
        <v>161</v>
      </c>
    </row>
    <row r="1375" spans="14:17" ht="15">
      <c r="N1375" s="187">
        <v>44039</v>
      </c>
      <c r="O1375" s="180">
        <v>-0.375</v>
      </c>
      <c r="P1375" s="191">
        <v>44039</v>
      </c>
      <c r="Q1375" s="192" t="s">
        <v>292</v>
      </c>
    </row>
    <row r="1376" spans="14:17" ht="15">
      <c r="N1376" s="187">
        <v>44040</v>
      </c>
      <c r="O1376" s="180">
        <v>-0.379</v>
      </c>
      <c r="P1376" s="191">
        <v>44040</v>
      </c>
      <c r="Q1376" s="192" t="s">
        <v>293</v>
      </c>
    </row>
    <row r="1377" spans="14:17" ht="15">
      <c r="N1377" s="187">
        <v>44041</v>
      </c>
      <c r="O1377" s="180">
        <v>-0.38900000000000001</v>
      </c>
      <c r="P1377" s="191">
        <v>44041</v>
      </c>
      <c r="Q1377" s="192" t="s">
        <v>294</v>
      </c>
    </row>
    <row r="1378" spans="14:17" ht="15">
      <c r="N1378" s="187">
        <v>44042</v>
      </c>
      <c r="O1378" s="180">
        <v>-0.39900000000000002</v>
      </c>
      <c r="P1378" s="191">
        <v>44042</v>
      </c>
      <c r="Q1378" s="192" t="s">
        <v>295</v>
      </c>
    </row>
    <row r="1379" spans="14:17" ht="15">
      <c r="N1379" s="187">
        <v>44043</v>
      </c>
      <c r="O1379" s="180">
        <v>-0.40699999999999997</v>
      </c>
      <c r="P1379" s="191">
        <v>44043</v>
      </c>
      <c r="Q1379" s="192" t="s">
        <v>296</v>
      </c>
    </row>
    <row r="1380" spans="14:17" ht="15">
      <c r="N1380" s="187">
        <v>44046</v>
      </c>
      <c r="O1380" s="180">
        <v>-0.41699999999999998</v>
      </c>
      <c r="P1380" s="191">
        <v>44046</v>
      </c>
      <c r="Q1380" s="192" t="s">
        <v>245</v>
      </c>
    </row>
    <row r="1381" spans="14:17" ht="15">
      <c r="N1381" s="187">
        <v>44047</v>
      </c>
      <c r="O1381" s="180">
        <v>-0.42099999999999999</v>
      </c>
      <c r="P1381" s="191">
        <v>44047</v>
      </c>
      <c r="Q1381" s="192" t="s">
        <v>297</v>
      </c>
    </row>
    <row r="1382" spans="14:17" ht="15">
      <c r="N1382" s="187">
        <v>44048</v>
      </c>
      <c r="O1382" s="180">
        <v>-0.41799999999999998</v>
      </c>
      <c r="P1382" s="191">
        <v>44048</v>
      </c>
      <c r="Q1382" s="192" t="s">
        <v>189</v>
      </c>
    </row>
    <row r="1383" spans="14:17" ht="15">
      <c r="N1383" s="187">
        <v>44049</v>
      </c>
      <c r="O1383" s="180">
        <v>-0.41699999999999998</v>
      </c>
      <c r="P1383" s="191">
        <v>44049</v>
      </c>
      <c r="Q1383" s="192" t="s">
        <v>244</v>
      </c>
    </row>
    <row r="1384" spans="14:17" ht="15">
      <c r="N1384" s="187">
        <v>44050</v>
      </c>
      <c r="O1384" s="180">
        <v>-0.41799999999999998</v>
      </c>
      <c r="P1384" s="191">
        <v>44050</v>
      </c>
      <c r="Q1384" s="192" t="s">
        <v>239</v>
      </c>
    </row>
    <row r="1385" spans="14:17" ht="15">
      <c r="N1385" s="187">
        <v>44053</v>
      </c>
      <c r="O1385" s="180">
        <v>-0.42199999999999999</v>
      </c>
      <c r="P1385" s="191">
        <v>44053</v>
      </c>
      <c r="Q1385" s="192" t="s">
        <v>298</v>
      </c>
    </row>
    <row r="1386" spans="14:17" ht="15">
      <c r="N1386" s="187">
        <v>44054</v>
      </c>
      <c r="O1386" s="180">
        <v>-0.42599999999999999</v>
      </c>
      <c r="P1386" s="191">
        <v>44054</v>
      </c>
      <c r="Q1386" s="192" t="s">
        <v>165</v>
      </c>
    </row>
    <row r="1387" spans="14:17" ht="15">
      <c r="N1387" s="187">
        <v>44055</v>
      </c>
      <c r="O1387" s="180">
        <v>-0.42799999999999999</v>
      </c>
      <c r="P1387" s="191">
        <v>44055</v>
      </c>
      <c r="Q1387" s="192" t="s">
        <v>299</v>
      </c>
    </row>
    <row r="1388" spans="14:17" ht="15">
      <c r="N1388" s="187">
        <v>44056</v>
      </c>
      <c r="O1388" s="180">
        <v>-0.433</v>
      </c>
      <c r="P1388" s="191">
        <v>44056</v>
      </c>
      <c r="Q1388" s="192" t="s">
        <v>243</v>
      </c>
    </row>
    <row r="1389" spans="14:17" ht="15">
      <c r="N1389" s="187">
        <v>44057</v>
      </c>
      <c r="O1389" s="180">
        <v>-0.432</v>
      </c>
      <c r="P1389" s="191">
        <v>44057</v>
      </c>
      <c r="Q1389" s="192" t="s">
        <v>299</v>
      </c>
    </row>
    <row r="1390" spans="14:17" ht="15">
      <c r="N1390" s="187">
        <v>44060</v>
      </c>
      <c r="O1390" s="180">
        <v>-0.433</v>
      </c>
      <c r="P1390" s="191">
        <v>44060</v>
      </c>
      <c r="Q1390" s="192" t="s">
        <v>299</v>
      </c>
    </row>
    <row r="1391" spans="14:17" ht="15">
      <c r="N1391" s="187">
        <v>44061</v>
      </c>
      <c r="O1391" s="180">
        <v>-0.44</v>
      </c>
      <c r="P1391" s="191">
        <v>44061</v>
      </c>
      <c r="Q1391" s="192" t="s">
        <v>300</v>
      </c>
    </row>
    <row r="1392" spans="14:17" ht="15">
      <c r="N1392" s="187">
        <v>44062</v>
      </c>
      <c r="O1392" s="180">
        <v>-0.442</v>
      </c>
      <c r="P1392" s="191">
        <v>44062</v>
      </c>
      <c r="Q1392" s="192" t="s">
        <v>299</v>
      </c>
    </row>
    <row r="1393" spans="14:17" ht="15">
      <c r="N1393" s="187">
        <v>44063</v>
      </c>
      <c r="O1393" s="180">
        <v>-0.44400000000000001</v>
      </c>
      <c r="P1393" s="191">
        <v>44063</v>
      </c>
      <c r="Q1393" s="192" t="s">
        <v>299</v>
      </c>
    </row>
    <row r="1394" spans="14:17" ht="15">
      <c r="N1394" s="187">
        <v>44064</v>
      </c>
      <c r="O1394" s="180">
        <v>-0.441</v>
      </c>
      <c r="P1394" s="191">
        <v>44064</v>
      </c>
      <c r="Q1394" s="192" t="s">
        <v>301</v>
      </c>
    </row>
    <row r="1395" spans="14:17" ht="15">
      <c r="N1395" s="187">
        <v>44067</v>
      </c>
      <c r="O1395" s="180">
        <v>-0.442</v>
      </c>
      <c r="P1395" s="191">
        <v>44067</v>
      </c>
      <c r="Q1395" s="192" t="s">
        <v>302</v>
      </c>
    </row>
    <row r="1396" spans="14:17" ht="15">
      <c r="N1396" s="187">
        <v>44068</v>
      </c>
      <c r="O1396" s="180">
        <v>-0.443</v>
      </c>
      <c r="P1396" s="191">
        <v>44068</v>
      </c>
      <c r="Q1396" s="192" t="s">
        <v>301</v>
      </c>
    </row>
    <row r="1397" spans="14:17" ht="15">
      <c r="N1397" s="187">
        <v>44069</v>
      </c>
      <c r="O1397" s="180">
        <v>-0.443</v>
      </c>
      <c r="P1397" s="191">
        <v>44069</v>
      </c>
      <c r="Q1397" s="192" t="s">
        <v>299</v>
      </c>
    </row>
    <row r="1398" spans="14:17" ht="15">
      <c r="N1398" s="187">
        <v>44070</v>
      </c>
      <c r="O1398" s="180">
        <v>-0.439</v>
      </c>
      <c r="P1398" s="191">
        <v>44070</v>
      </c>
      <c r="Q1398" s="192" t="s">
        <v>165</v>
      </c>
    </row>
    <row r="1399" spans="14:17" ht="15">
      <c r="N1399" s="187">
        <v>44071</v>
      </c>
      <c r="O1399" s="180">
        <v>-0.44400000000000001</v>
      </c>
      <c r="P1399" s="191">
        <v>44071</v>
      </c>
      <c r="Q1399" s="192" t="s">
        <v>298</v>
      </c>
    </row>
    <row r="1400" spans="14:17" ht="15">
      <c r="N1400" s="187">
        <v>44074</v>
      </c>
      <c r="O1400" s="180">
        <v>-0.44800000000000001</v>
      </c>
      <c r="P1400" s="191">
        <v>44074</v>
      </c>
      <c r="Q1400" s="192" t="s">
        <v>303</v>
      </c>
    </row>
    <row r="1401" spans="14:17" ht="15">
      <c r="N1401" s="187">
        <v>44075</v>
      </c>
      <c r="O1401" s="180">
        <v>-0.441</v>
      </c>
      <c r="P1401" s="191">
        <v>44075</v>
      </c>
      <c r="Q1401" s="192" t="s">
        <v>164</v>
      </c>
    </row>
    <row r="1402" spans="14:17" ht="15">
      <c r="N1402" s="187">
        <v>44076</v>
      </c>
      <c r="O1402" s="180">
        <v>-0.45100000000000001</v>
      </c>
      <c r="P1402" s="191">
        <v>44076</v>
      </c>
      <c r="Q1402" s="192" t="s">
        <v>188</v>
      </c>
    </row>
    <row r="1403" spans="14:17" ht="15">
      <c r="N1403" s="187">
        <v>44077</v>
      </c>
      <c r="O1403" s="180">
        <v>-0.45500000000000002</v>
      </c>
      <c r="P1403" s="191">
        <v>44077</v>
      </c>
      <c r="Q1403" s="192" t="s">
        <v>304</v>
      </c>
    </row>
    <row r="1404" spans="14:17" ht="15">
      <c r="N1404" s="187">
        <v>44078</v>
      </c>
      <c r="O1404" s="180">
        <v>-0.45100000000000001</v>
      </c>
      <c r="P1404" s="191">
        <v>44078</v>
      </c>
      <c r="Q1404" s="192" t="s">
        <v>305</v>
      </c>
    </row>
    <row r="1405" spans="14:17" ht="15">
      <c r="N1405" s="187">
        <v>44081</v>
      </c>
      <c r="O1405" s="180">
        <v>-0.45900000000000002</v>
      </c>
      <c r="P1405" s="191">
        <v>44081</v>
      </c>
      <c r="Q1405" s="192" t="s">
        <v>306</v>
      </c>
    </row>
    <row r="1406" spans="14:17" ht="15">
      <c r="N1406" s="187">
        <v>44082</v>
      </c>
      <c r="O1406" s="180">
        <v>-0.45900000000000002</v>
      </c>
      <c r="P1406" s="191">
        <v>44082</v>
      </c>
      <c r="Q1406" s="192" t="s">
        <v>189</v>
      </c>
    </row>
    <row r="1407" spans="14:17" ht="15">
      <c r="N1407" s="187">
        <v>44083</v>
      </c>
      <c r="O1407" s="180">
        <v>-0.46300000000000002</v>
      </c>
      <c r="P1407" s="191">
        <v>44083</v>
      </c>
      <c r="Q1407" s="192" t="s">
        <v>306</v>
      </c>
    </row>
    <row r="1408" spans="14:17" ht="15">
      <c r="N1408" s="187">
        <v>44084</v>
      </c>
      <c r="O1408" s="180">
        <v>-0.45800000000000002</v>
      </c>
      <c r="P1408" s="191">
        <v>44084</v>
      </c>
      <c r="Q1408" s="192" t="s">
        <v>189</v>
      </c>
    </row>
    <row r="1409" spans="14:17" ht="15">
      <c r="N1409" s="187">
        <v>44085</v>
      </c>
      <c r="O1409" s="180">
        <v>-0.45500000000000002</v>
      </c>
      <c r="P1409" s="191">
        <v>44085</v>
      </c>
      <c r="Q1409" s="192" t="s">
        <v>304</v>
      </c>
    </row>
    <row r="1410" spans="14:17" ht="15">
      <c r="N1410" s="187">
        <v>44088</v>
      </c>
      <c r="O1410" s="180">
        <v>-0.46</v>
      </c>
      <c r="P1410" s="191">
        <v>44088</v>
      </c>
      <c r="Q1410" s="192" t="s">
        <v>244</v>
      </c>
    </row>
    <row r="1411" spans="14:17" ht="15">
      <c r="N1411" s="187">
        <v>44089</v>
      </c>
      <c r="O1411" s="180">
        <v>-0.45800000000000002</v>
      </c>
      <c r="P1411" s="191">
        <v>44089</v>
      </c>
      <c r="Q1411" s="192" t="s">
        <v>163</v>
      </c>
    </row>
    <row r="1412" spans="14:17" ht="15">
      <c r="N1412" s="187">
        <v>44090</v>
      </c>
      <c r="O1412" s="180">
        <v>-0.46200000000000002</v>
      </c>
      <c r="P1412" s="191">
        <v>44090</v>
      </c>
      <c r="Q1412" s="192" t="s">
        <v>307</v>
      </c>
    </row>
    <row r="1413" spans="14:17" ht="15">
      <c r="N1413" s="187">
        <v>44091</v>
      </c>
      <c r="O1413" s="180">
        <v>-0.46300000000000002</v>
      </c>
      <c r="P1413" s="191">
        <v>44091</v>
      </c>
      <c r="Q1413" s="192" t="s">
        <v>238</v>
      </c>
    </row>
    <row r="1414" spans="14:17" ht="15">
      <c r="N1414" s="187">
        <v>44092</v>
      </c>
      <c r="O1414" s="180">
        <v>-0.46800000000000003</v>
      </c>
      <c r="P1414" s="191">
        <v>44092</v>
      </c>
      <c r="Q1414" s="192" t="s">
        <v>238</v>
      </c>
    </row>
    <row r="1415" spans="14:17" ht="15">
      <c r="N1415" s="187">
        <v>44095</v>
      </c>
      <c r="O1415" s="180">
        <v>-0.47</v>
      </c>
      <c r="P1415" s="191">
        <v>44095</v>
      </c>
      <c r="Q1415" s="192" t="s">
        <v>191</v>
      </c>
    </row>
    <row r="1416" spans="14:17" ht="15">
      <c r="N1416" s="187">
        <v>44096</v>
      </c>
      <c r="O1416" s="180">
        <v>-0.47299999999999998</v>
      </c>
      <c r="P1416" s="191">
        <v>44096</v>
      </c>
      <c r="Q1416" s="192" t="s">
        <v>306</v>
      </c>
    </row>
    <row r="1417" spans="14:17" ht="15">
      <c r="N1417" s="187">
        <v>44097</v>
      </c>
      <c r="O1417" s="180">
        <v>-0.46800000000000003</v>
      </c>
      <c r="P1417" s="191">
        <v>44097</v>
      </c>
      <c r="Q1417" s="192" t="s">
        <v>244</v>
      </c>
    </row>
    <row r="1418" spans="14:17" ht="15">
      <c r="N1418" s="187">
        <v>44098</v>
      </c>
      <c r="O1418" s="180">
        <v>-0.47199999999999998</v>
      </c>
      <c r="P1418" s="191">
        <v>44098</v>
      </c>
      <c r="Q1418" s="192" t="s">
        <v>303</v>
      </c>
    </row>
    <row r="1419" spans="14:17" ht="15">
      <c r="N1419" s="187">
        <v>44099</v>
      </c>
      <c r="O1419" s="180">
        <v>-0.46800000000000003</v>
      </c>
      <c r="P1419" s="191">
        <v>44099</v>
      </c>
      <c r="Q1419" s="192" t="s">
        <v>308</v>
      </c>
    </row>
    <row r="1420" spans="14:17" ht="15">
      <c r="N1420" s="187">
        <v>44102</v>
      </c>
      <c r="O1420" s="180">
        <v>-0.47</v>
      </c>
      <c r="P1420" s="191">
        <v>44102</v>
      </c>
      <c r="Q1420" s="192" t="s">
        <v>299</v>
      </c>
    </row>
    <row r="1421" spans="14:17" ht="15">
      <c r="N1421" s="187">
        <v>44103</v>
      </c>
      <c r="O1421" s="180">
        <v>-0.47399999999999998</v>
      </c>
      <c r="P1421" s="191">
        <v>44103</v>
      </c>
      <c r="Q1421" s="192" t="s">
        <v>309</v>
      </c>
    </row>
    <row r="1422" spans="14:17" ht="15">
      <c r="N1422" s="187">
        <v>44104</v>
      </c>
      <c r="O1422" s="180">
        <v>-0.48</v>
      </c>
      <c r="P1422" s="191">
        <v>44104</v>
      </c>
      <c r="Q1422" s="192" t="s">
        <v>240</v>
      </c>
    </row>
    <row r="1423" spans="14:17" ht="15">
      <c r="N1423" s="187">
        <v>44105</v>
      </c>
      <c r="O1423" s="180">
        <v>-0.48099999999999998</v>
      </c>
      <c r="P1423" s="191">
        <v>44105</v>
      </c>
      <c r="Q1423" s="192" t="s">
        <v>184</v>
      </c>
    </row>
    <row r="1424" spans="14:17" ht="15">
      <c r="N1424" s="187">
        <v>44106</v>
      </c>
      <c r="O1424" s="180">
        <v>-0.47299999999999998</v>
      </c>
      <c r="P1424" s="191">
        <v>44106</v>
      </c>
      <c r="Q1424" s="192" t="s">
        <v>242</v>
      </c>
    </row>
    <row r="1425" spans="14:17" ht="15">
      <c r="N1425" s="187">
        <v>44109</v>
      </c>
      <c r="O1425" s="180">
        <v>-0.48799999999999999</v>
      </c>
      <c r="P1425" s="191">
        <v>44109</v>
      </c>
      <c r="Q1425" s="192" t="s">
        <v>310</v>
      </c>
    </row>
    <row r="1426" spans="14:17" ht="15">
      <c r="N1426" s="187">
        <v>44110</v>
      </c>
      <c r="O1426" s="180">
        <v>-0.47899999999999998</v>
      </c>
      <c r="P1426" s="191">
        <v>44110</v>
      </c>
      <c r="Q1426" s="192" t="s">
        <v>167</v>
      </c>
    </row>
    <row r="1427" spans="14:17" ht="15">
      <c r="N1427" s="187">
        <v>44111</v>
      </c>
      <c r="O1427" s="180">
        <v>-0.48799999999999999</v>
      </c>
      <c r="P1427" s="191">
        <v>44111</v>
      </c>
      <c r="Q1427" s="192" t="s">
        <v>241</v>
      </c>
    </row>
    <row r="1428" spans="14:17" ht="15">
      <c r="N1428" s="187">
        <v>44112</v>
      </c>
      <c r="O1428" s="180">
        <v>-0.48599999999999999</v>
      </c>
      <c r="P1428" s="191">
        <v>44112</v>
      </c>
      <c r="Q1428" s="192" t="s">
        <v>311</v>
      </c>
    </row>
    <row r="1429" spans="14:17" ht="15">
      <c r="N1429" s="187">
        <v>44113</v>
      </c>
      <c r="O1429" s="180">
        <v>-0.48599999999999999</v>
      </c>
      <c r="P1429" s="191">
        <v>44113</v>
      </c>
      <c r="Q1429" s="192" t="s">
        <v>312</v>
      </c>
    </row>
    <row r="1430" spans="14:17" ht="15">
      <c r="N1430" s="187">
        <v>44116</v>
      </c>
      <c r="O1430" s="180">
        <v>-0.48499999999999999</v>
      </c>
      <c r="P1430" s="191">
        <v>44116</v>
      </c>
      <c r="Q1430" s="192" t="s">
        <v>168</v>
      </c>
    </row>
    <row r="1431" spans="14:17" ht="15">
      <c r="N1431" s="187">
        <v>44117</v>
      </c>
      <c r="O1431" s="180">
        <v>-0.48299999999999998</v>
      </c>
      <c r="P1431" s="191">
        <v>44117</v>
      </c>
      <c r="Q1431" s="192" t="s">
        <v>313</v>
      </c>
    </row>
    <row r="1432" spans="14:17" ht="15">
      <c r="N1432" s="187">
        <v>44118</v>
      </c>
      <c r="O1432" s="180">
        <v>-0.49299999999999999</v>
      </c>
      <c r="P1432" s="191">
        <v>44118</v>
      </c>
      <c r="Q1432" s="192" t="s">
        <v>314</v>
      </c>
    </row>
    <row r="1433" spans="14:17" ht="15">
      <c r="N1433" s="187">
        <v>44119</v>
      </c>
      <c r="O1433" s="180">
        <v>-0.497</v>
      </c>
      <c r="P1433" s="191">
        <v>44119</v>
      </c>
      <c r="Q1433" s="192" t="s">
        <v>181</v>
      </c>
    </row>
    <row r="1434" spans="14:17" ht="15">
      <c r="N1434" s="187">
        <v>44120</v>
      </c>
      <c r="O1434" s="180">
        <v>-0.498</v>
      </c>
      <c r="P1434" s="191">
        <v>44120</v>
      </c>
      <c r="Q1434" s="192" t="s">
        <v>315</v>
      </c>
    </row>
    <row r="1435" spans="14:17" ht="15">
      <c r="N1435" s="187">
        <v>44123</v>
      </c>
      <c r="O1435" s="180">
        <v>-0.497</v>
      </c>
      <c r="P1435" s="191">
        <v>44123</v>
      </c>
      <c r="Q1435" s="192" t="s">
        <v>316</v>
      </c>
    </row>
    <row r="1436" spans="14:17" ht="15">
      <c r="N1436" s="187">
        <v>44124</v>
      </c>
      <c r="O1436" s="180">
        <v>-0.498</v>
      </c>
      <c r="P1436" s="191">
        <v>44124</v>
      </c>
      <c r="Q1436" s="192" t="s">
        <v>317</v>
      </c>
    </row>
    <row r="1437" spans="14:17" ht="15">
      <c r="N1437" s="187">
        <v>44125</v>
      </c>
      <c r="O1437" s="180">
        <v>-0.498</v>
      </c>
      <c r="P1437" s="191">
        <v>44125</v>
      </c>
      <c r="Q1437" s="192" t="s">
        <v>318</v>
      </c>
    </row>
    <row r="1438" spans="14:17" ht="15">
      <c r="N1438" s="187">
        <v>44126</v>
      </c>
      <c r="O1438" s="180">
        <v>-0.498</v>
      </c>
      <c r="P1438" s="191">
        <v>44126</v>
      </c>
      <c r="Q1438" s="192" t="s">
        <v>319</v>
      </c>
    </row>
    <row r="1439" spans="14:17" ht="15">
      <c r="N1439" s="187">
        <v>44127</v>
      </c>
      <c r="O1439" s="180">
        <v>-0.496</v>
      </c>
      <c r="P1439" s="191">
        <v>44127</v>
      </c>
      <c r="Q1439" s="192" t="s">
        <v>318</v>
      </c>
    </row>
    <row r="1440" spans="14:17" ht="15">
      <c r="N1440" s="187">
        <v>44130</v>
      </c>
      <c r="O1440" s="180">
        <v>-0.496</v>
      </c>
      <c r="P1440" s="191"/>
      <c r="Q1440" s="193" t="s">
        <v>318</v>
      </c>
    </row>
    <row r="1441" spans="14:18" ht="15">
      <c r="N1441" s="187">
        <v>44131</v>
      </c>
      <c r="O1441" s="180">
        <v>-0.50700000000000001</v>
      </c>
      <c r="P1441" s="191">
        <v>44131</v>
      </c>
      <c r="Q1441" s="192" t="s">
        <v>320</v>
      </c>
    </row>
    <row r="1442" spans="14:18" ht="15">
      <c r="N1442" s="187">
        <v>44132</v>
      </c>
      <c r="O1442" s="180">
        <v>-0.505</v>
      </c>
      <c r="P1442" s="191">
        <v>44132</v>
      </c>
      <c r="Q1442" s="192" t="s">
        <v>321</v>
      </c>
    </row>
    <row r="1443" spans="14:18" ht="15">
      <c r="N1443" s="187">
        <v>44133</v>
      </c>
      <c r="O1443" s="180">
        <v>-0.51500000000000001</v>
      </c>
      <c r="P1443" s="191">
        <v>44133</v>
      </c>
      <c r="Q1443" s="192" t="s">
        <v>180</v>
      </c>
    </row>
    <row r="1444" spans="14:18" ht="15">
      <c r="N1444" s="187">
        <v>44134</v>
      </c>
      <c r="O1444" s="180">
        <v>-0.52100000000000002</v>
      </c>
      <c r="P1444" s="191">
        <v>44134</v>
      </c>
      <c r="Q1444" s="192" t="s">
        <v>322</v>
      </c>
    </row>
    <row r="1445" spans="14:18" ht="15">
      <c r="N1445" s="187">
        <v>44137</v>
      </c>
      <c r="O1445" s="180">
        <v>-0.51300000000000001</v>
      </c>
      <c r="P1445" s="191">
        <v>44137</v>
      </c>
      <c r="Q1445" s="192">
        <v>-0.45500000000000002</v>
      </c>
      <c r="R1445" s="111">
        <f>+(O1445+Q1445)/2+0.37</f>
        <v>-0.11399999999999999</v>
      </c>
    </row>
    <row r="1446" spans="14:18" ht="15">
      <c r="N1446" s="187">
        <v>44138</v>
      </c>
      <c r="O1446" s="180">
        <v>-0.51300000000000001</v>
      </c>
      <c r="P1446" s="191">
        <v>44138</v>
      </c>
      <c r="Q1446" s="192" t="s">
        <v>323</v>
      </c>
    </row>
    <row r="1447" spans="14:18" ht="15">
      <c r="N1447" s="187">
        <v>44139</v>
      </c>
      <c r="O1447" s="180">
        <v>-0.51500000000000001</v>
      </c>
      <c r="P1447" s="191">
        <v>44139</v>
      </c>
      <c r="Q1447" s="192" t="s">
        <v>177</v>
      </c>
    </row>
    <row r="1448" spans="14:18" ht="15">
      <c r="N1448" s="187">
        <v>44140</v>
      </c>
      <c r="O1448" s="180">
        <v>-0.51100000000000001</v>
      </c>
      <c r="P1448" s="191">
        <v>44140</v>
      </c>
      <c r="Q1448" s="192" t="s">
        <v>324</v>
      </c>
    </row>
    <row r="1449" spans="14:18" ht="15">
      <c r="N1449" s="187">
        <v>44141</v>
      </c>
      <c r="O1449" s="180">
        <v>-0.51200000000000001</v>
      </c>
      <c r="P1449" s="191">
        <v>44141</v>
      </c>
      <c r="Q1449" s="192" t="s">
        <v>325</v>
      </c>
    </row>
    <row r="1450" spans="14:18" ht="15">
      <c r="N1450" s="187">
        <v>44144</v>
      </c>
      <c r="O1450" s="180">
        <v>-0.51100000000000001</v>
      </c>
      <c r="P1450" s="191">
        <v>44144</v>
      </c>
      <c r="Q1450" s="192" t="s">
        <v>326</v>
      </c>
    </row>
    <row r="1451" spans="14:18" ht="15">
      <c r="N1451" s="187">
        <v>44145</v>
      </c>
      <c r="O1451" s="180">
        <v>-0.505</v>
      </c>
      <c r="P1451" s="191">
        <v>44145</v>
      </c>
      <c r="Q1451" s="192" t="s">
        <v>327</v>
      </c>
    </row>
    <row r="1452" spans="14:18" ht="15">
      <c r="N1452" s="187">
        <v>44146</v>
      </c>
      <c r="O1452" s="180">
        <v>-0.50700000000000001</v>
      </c>
      <c r="P1452" s="191">
        <v>44146</v>
      </c>
      <c r="Q1452" s="192" t="s">
        <v>328</v>
      </c>
    </row>
    <row r="1453" spans="14:18" ht="15">
      <c r="N1453" s="187">
        <v>44147</v>
      </c>
      <c r="O1453" s="180">
        <v>-0.504</v>
      </c>
      <c r="P1453" s="191">
        <v>44147</v>
      </c>
      <c r="Q1453" s="192" t="s">
        <v>329</v>
      </c>
    </row>
    <row r="1454" spans="14:18" ht="15">
      <c r="N1454" s="187">
        <v>44148</v>
      </c>
      <c r="O1454" s="180">
        <v>-0.503</v>
      </c>
      <c r="P1454" s="191">
        <v>44148</v>
      </c>
      <c r="Q1454" s="192" t="s">
        <v>176</v>
      </c>
    </row>
    <row r="1455" spans="14:18" ht="15">
      <c r="N1455" s="187">
        <v>44151</v>
      </c>
      <c r="O1455" s="180">
        <v>-0.505</v>
      </c>
      <c r="P1455" s="191">
        <v>44151</v>
      </c>
      <c r="Q1455" s="192" t="s">
        <v>330</v>
      </c>
    </row>
    <row r="1456" spans="14:18" ht="15">
      <c r="N1456" s="187">
        <v>44152</v>
      </c>
      <c r="O1456" s="180">
        <v>-0.50800000000000001</v>
      </c>
      <c r="P1456" s="191">
        <v>44152</v>
      </c>
      <c r="Q1456" s="192" t="s">
        <v>331</v>
      </c>
    </row>
    <row r="1457" spans="14:17" ht="15">
      <c r="N1457" s="187">
        <v>44153</v>
      </c>
      <c r="O1457" s="180">
        <v>-0.51300000000000001</v>
      </c>
      <c r="P1457" s="191">
        <v>44153</v>
      </c>
      <c r="Q1457" s="192" t="s">
        <v>174</v>
      </c>
    </row>
    <row r="1458" spans="14:17" ht="15">
      <c r="N1458" s="187">
        <v>44154</v>
      </c>
      <c r="O1458" s="180">
        <v>-0.51200000000000001</v>
      </c>
      <c r="P1458" s="191">
        <v>44154</v>
      </c>
      <c r="Q1458" s="192" t="s">
        <v>174</v>
      </c>
    </row>
    <row r="1459" spans="14:17" ht="15">
      <c r="N1459" s="187">
        <v>44155</v>
      </c>
      <c r="O1459" s="180">
        <v>-0.50900000000000001</v>
      </c>
      <c r="P1459" s="191">
        <v>44155</v>
      </c>
      <c r="Q1459" s="192" t="s">
        <v>331</v>
      </c>
    </row>
    <row r="1460" spans="14:17" ht="15">
      <c r="N1460" s="187">
        <v>44158</v>
      </c>
      <c r="O1460" s="180">
        <v>-0.50900000000000001</v>
      </c>
      <c r="P1460" s="191">
        <v>44158</v>
      </c>
      <c r="Q1460" s="192" t="s">
        <v>330</v>
      </c>
    </row>
    <row r="1461" spans="14:17" ht="15">
      <c r="N1461" s="187">
        <v>44159</v>
      </c>
      <c r="O1461" s="180">
        <v>-0.51</v>
      </c>
      <c r="P1461" s="191">
        <v>44159</v>
      </c>
      <c r="Q1461" s="192" t="s">
        <v>175</v>
      </c>
    </row>
    <row r="1462" spans="14:17" ht="15">
      <c r="N1462" s="187">
        <v>44160</v>
      </c>
      <c r="O1462" s="180">
        <v>-0.50800000000000001</v>
      </c>
      <c r="P1462" s="191">
        <v>44160</v>
      </c>
      <c r="Q1462" s="192" t="s">
        <v>330</v>
      </c>
    </row>
    <row r="1463" spans="14:17" ht="15">
      <c r="N1463" s="187">
        <v>44161</v>
      </c>
      <c r="O1463" s="180">
        <v>-0.50600000000000001</v>
      </c>
      <c r="P1463" s="191">
        <v>44161</v>
      </c>
      <c r="Q1463" s="192" t="s">
        <v>177</v>
      </c>
    </row>
    <row r="1464" spans="14:17" ht="15">
      <c r="N1464" s="187">
        <v>44162</v>
      </c>
      <c r="O1464" s="180">
        <v>-0.50700000000000001</v>
      </c>
      <c r="P1464" s="191">
        <v>44162</v>
      </c>
      <c r="Q1464" s="192" t="s">
        <v>331</v>
      </c>
    </row>
    <row r="1465" spans="14:17" ht="15">
      <c r="N1465" s="187">
        <v>44165</v>
      </c>
      <c r="O1465" s="180">
        <v>-0.50800000000000001</v>
      </c>
      <c r="P1465" s="191">
        <v>44165</v>
      </c>
      <c r="Q1465" s="192" t="s">
        <v>174</v>
      </c>
    </row>
    <row r="1466" spans="14:17" ht="15">
      <c r="N1466" s="187">
        <v>44166</v>
      </c>
      <c r="O1466" s="180">
        <v>-0.50800000000000001</v>
      </c>
      <c r="P1466" s="191">
        <v>44166</v>
      </c>
      <c r="Q1466" s="192" t="s">
        <v>178</v>
      </c>
    </row>
    <row r="1467" spans="14:17" ht="15">
      <c r="N1467" s="187">
        <v>44167</v>
      </c>
      <c r="O1467" s="180">
        <v>-0.50800000000000001</v>
      </c>
      <c r="P1467" s="191">
        <v>44167</v>
      </c>
      <c r="Q1467" s="192" t="s">
        <v>173</v>
      </c>
    </row>
    <row r="1468" spans="14:17" ht="15">
      <c r="N1468" s="187">
        <v>44168</v>
      </c>
      <c r="O1468" s="180">
        <v>-0.51</v>
      </c>
      <c r="P1468" s="191">
        <v>44168</v>
      </c>
      <c r="Q1468" s="192" t="s">
        <v>332</v>
      </c>
    </row>
    <row r="1469" spans="14:17" ht="15">
      <c r="N1469" s="187">
        <v>44169</v>
      </c>
      <c r="O1469" s="180">
        <v>-0.51200000000000001</v>
      </c>
      <c r="P1469" s="191">
        <v>44169</v>
      </c>
      <c r="Q1469" s="192" t="s">
        <v>322</v>
      </c>
    </row>
    <row r="1470" spans="14:17" ht="15">
      <c r="N1470" s="187">
        <v>44172</v>
      </c>
      <c r="O1470" s="180">
        <v>-0.51300000000000001</v>
      </c>
      <c r="P1470" s="191">
        <v>44172</v>
      </c>
      <c r="Q1470" s="192" t="s">
        <v>322</v>
      </c>
    </row>
    <row r="1471" spans="14:17" ht="15">
      <c r="N1471" s="187">
        <v>44173</v>
      </c>
      <c r="O1471" s="180">
        <v>-0.51800000000000002</v>
      </c>
      <c r="P1471" s="191"/>
      <c r="Q1471" s="193" t="s">
        <v>322</v>
      </c>
    </row>
    <row r="1472" spans="14:17" ht="15">
      <c r="N1472" s="187">
        <v>44174</v>
      </c>
      <c r="O1472" s="180">
        <v>-0.52400000000000002</v>
      </c>
      <c r="P1472" s="191">
        <v>44174</v>
      </c>
      <c r="Q1472" s="192" t="s">
        <v>333</v>
      </c>
    </row>
    <row r="1473" spans="14:17" ht="15">
      <c r="N1473" s="187">
        <v>44175</v>
      </c>
      <c r="O1473" s="180">
        <v>-0.52300000000000002</v>
      </c>
      <c r="P1473" s="191">
        <v>44175</v>
      </c>
      <c r="Q1473" s="192" t="s">
        <v>334</v>
      </c>
    </row>
    <row r="1474" spans="14:17" ht="15">
      <c r="N1474" s="187">
        <v>44176</v>
      </c>
      <c r="O1474" s="180">
        <v>-0.52</v>
      </c>
      <c r="P1474" s="191">
        <v>44176</v>
      </c>
      <c r="Q1474" s="192" t="s">
        <v>174</v>
      </c>
    </row>
    <row r="1475" spans="14:17" ht="15">
      <c r="N1475" s="187">
        <v>44179</v>
      </c>
      <c r="O1475" s="180">
        <v>-0.52200000000000002</v>
      </c>
      <c r="P1475" s="191">
        <v>44179</v>
      </c>
      <c r="Q1475" s="192" t="s">
        <v>330</v>
      </c>
    </row>
    <row r="1476" spans="14:17" ht="15">
      <c r="N1476" s="187">
        <v>44180</v>
      </c>
      <c r="O1476" s="180">
        <v>-0.52</v>
      </c>
      <c r="P1476" s="191">
        <v>44180</v>
      </c>
      <c r="Q1476" s="192" t="s">
        <v>175</v>
      </c>
    </row>
    <row r="1477" spans="14:17" ht="15">
      <c r="N1477" s="187">
        <v>44181</v>
      </c>
      <c r="O1477" s="180">
        <v>-0.52500000000000002</v>
      </c>
      <c r="P1477" s="191">
        <v>44181</v>
      </c>
      <c r="Q1477" s="192" t="s">
        <v>175</v>
      </c>
    </row>
    <row r="1478" spans="14:17" ht="15">
      <c r="N1478" s="187">
        <v>44182</v>
      </c>
      <c r="O1478" s="180">
        <v>-0.51800000000000002</v>
      </c>
      <c r="P1478" s="191">
        <v>44182</v>
      </c>
      <c r="Q1478" s="192" t="s">
        <v>175</v>
      </c>
    </row>
    <row r="1479" spans="14:17" ht="15">
      <c r="N1479" s="187">
        <v>44183</v>
      </c>
      <c r="O1479" s="180">
        <v>-0.52</v>
      </c>
      <c r="P1479" s="191">
        <v>44183</v>
      </c>
      <c r="Q1479" s="192" t="s">
        <v>330</v>
      </c>
    </row>
    <row r="1480" spans="14:17" ht="15">
      <c r="N1480" s="187">
        <v>44186</v>
      </c>
      <c r="O1480" s="180">
        <v>-0.51800000000000002</v>
      </c>
      <c r="P1480" s="191">
        <v>44186</v>
      </c>
      <c r="Q1480" s="192" t="s">
        <v>175</v>
      </c>
    </row>
    <row r="1481" spans="14:17" ht="15">
      <c r="N1481" s="187">
        <v>44187</v>
      </c>
      <c r="O1481" s="180">
        <v>-0.52200000000000002</v>
      </c>
      <c r="P1481" s="191">
        <v>44187</v>
      </c>
      <c r="Q1481" s="192" t="s">
        <v>175</v>
      </c>
    </row>
    <row r="1482" spans="14:17" ht="15">
      <c r="N1482" s="187">
        <v>44188</v>
      </c>
      <c r="O1482" s="180">
        <v>-0.52100000000000002</v>
      </c>
      <c r="P1482" s="191">
        <v>44188</v>
      </c>
      <c r="Q1482" s="192" t="s">
        <v>175</v>
      </c>
    </row>
    <row r="1483" spans="14:17" ht="15">
      <c r="N1483" s="187">
        <v>44189</v>
      </c>
      <c r="O1483" s="180">
        <v>-0.51900000000000002</v>
      </c>
      <c r="P1483" s="191"/>
      <c r="Q1483" s="193" t="s">
        <v>175</v>
      </c>
    </row>
    <row r="1484" spans="14:17" ht="15">
      <c r="N1484" s="187">
        <v>44190</v>
      </c>
      <c r="O1484" s="180">
        <v>-0.51900000000000002</v>
      </c>
      <c r="P1484" s="191"/>
      <c r="Q1484" s="193" t="s">
        <v>175</v>
      </c>
    </row>
    <row r="1485" spans="14:17" ht="15">
      <c r="N1485" s="187">
        <v>44193</v>
      </c>
      <c r="O1485" s="180">
        <v>-0.52</v>
      </c>
      <c r="P1485" s="191">
        <v>44193</v>
      </c>
      <c r="Q1485" s="192" t="s">
        <v>330</v>
      </c>
    </row>
    <row r="1486" spans="14:17" ht="15">
      <c r="N1486" s="187">
        <v>44194</v>
      </c>
      <c r="O1486" s="180">
        <v>-0.52300000000000002</v>
      </c>
      <c r="P1486" s="191">
        <v>44194</v>
      </c>
      <c r="Q1486" s="192" t="s">
        <v>330</v>
      </c>
    </row>
    <row r="1487" spans="14:17" ht="15">
      <c r="N1487" s="187">
        <v>44195</v>
      </c>
      <c r="O1487" s="180">
        <v>-0.52</v>
      </c>
      <c r="P1487" s="191">
        <v>44195</v>
      </c>
      <c r="Q1487" s="192" t="s">
        <v>177</v>
      </c>
    </row>
    <row r="1488" spans="14:17" ht="15">
      <c r="N1488" s="187">
        <v>44196</v>
      </c>
      <c r="O1488" s="180">
        <v>-0.52600000000000002</v>
      </c>
      <c r="P1488" s="191">
        <v>44196</v>
      </c>
      <c r="Q1488" s="192" t="s">
        <v>177</v>
      </c>
    </row>
    <row r="1489" spans="14:17" ht="15">
      <c r="N1489" s="187">
        <v>44197</v>
      </c>
      <c r="O1489" s="180">
        <v>-0.52600000000000002</v>
      </c>
      <c r="P1489" s="191"/>
      <c r="Q1489" s="193" t="s">
        <v>177</v>
      </c>
    </row>
    <row r="1490" spans="14:17" ht="15">
      <c r="N1490" s="187">
        <v>44200</v>
      </c>
      <c r="O1490" s="180">
        <v>-0.53200000000000003</v>
      </c>
      <c r="P1490" s="191">
        <v>44200</v>
      </c>
      <c r="Q1490" s="192" t="s">
        <v>330</v>
      </c>
    </row>
    <row r="1491" spans="14:17" ht="15">
      <c r="N1491" s="187">
        <v>44201</v>
      </c>
      <c r="O1491" s="180">
        <v>-0.52400000000000002</v>
      </c>
      <c r="P1491" s="191">
        <v>44201</v>
      </c>
      <c r="Q1491" s="192" t="s">
        <v>324</v>
      </c>
    </row>
    <row r="1492" spans="14:17" ht="15">
      <c r="N1492" s="187">
        <v>44202</v>
      </c>
      <c r="O1492" s="180">
        <v>-0.53</v>
      </c>
      <c r="P1492" s="191"/>
      <c r="Q1492" s="193" t="s">
        <v>324</v>
      </c>
    </row>
    <row r="1493" spans="14:17" ht="15">
      <c r="N1493" s="187">
        <v>44203</v>
      </c>
      <c r="O1493" s="180">
        <v>-0.52400000000000002</v>
      </c>
      <c r="P1493" s="191">
        <v>44203</v>
      </c>
      <c r="Q1493" s="192" t="s">
        <v>329</v>
      </c>
    </row>
    <row r="1494" spans="14:17" ht="15">
      <c r="N1494" s="187">
        <v>44204</v>
      </c>
      <c r="O1494" s="180">
        <v>-0.53</v>
      </c>
      <c r="P1494" s="191">
        <v>44204</v>
      </c>
      <c r="Q1494" s="192" t="s">
        <v>329</v>
      </c>
    </row>
    <row r="1495" spans="14:17" ht="15">
      <c r="N1495" s="187">
        <v>44207</v>
      </c>
      <c r="O1495" s="180">
        <v>-0.52300000000000002</v>
      </c>
      <c r="P1495" s="191">
        <v>44207</v>
      </c>
      <c r="Q1495" s="192" t="s">
        <v>176</v>
      </c>
    </row>
    <row r="1496" spans="14:17" ht="15">
      <c r="N1496" s="187">
        <v>44208</v>
      </c>
      <c r="O1496" s="180">
        <v>-0.53</v>
      </c>
      <c r="P1496" s="191">
        <v>44208</v>
      </c>
      <c r="Q1496" s="192" t="s">
        <v>177</v>
      </c>
    </row>
    <row r="1497" spans="14:17" ht="15">
      <c r="N1497" s="187">
        <v>44209</v>
      </c>
      <c r="O1497" s="180">
        <v>-0.52700000000000002</v>
      </c>
      <c r="P1497" s="191">
        <v>44209</v>
      </c>
      <c r="Q1497" s="192" t="s">
        <v>178</v>
      </c>
    </row>
    <row r="1498" spans="14:17" ht="15">
      <c r="N1498" s="187">
        <v>44210</v>
      </c>
      <c r="O1498" s="180">
        <v>-0.53300000000000003</v>
      </c>
      <c r="P1498" s="191">
        <v>44210</v>
      </c>
      <c r="Q1498" s="192" t="s">
        <v>179</v>
      </c>
    </row>
    <row r="1499" spans="14:17" ht="15">
      <c r="N1499" s="187">
        <v>44211</v>
      </c>
      <c r="O1499" s="180">
        <v>-0.53200000000000003</v>
      </c>
      <c r="P1499" s="191">
        <v>44211</v>
      </c>
      <c r="Q1499" s="192" t="s">
        <v>332</v>
      </c>
    </row>
    <row r="1500" spans="14:17" ht="15">
      <c r="N1500" s="187">
        <v>44214</v>
      </c>
      <c r="O1500" s="180">
        <v>-0.53300000000000003</v>
      </c>
      <c r="P1500" s="191">
        <v>44214</v>
      </c>
      <c r="Q1500" s="192" t="s">
        <v>335</v>
      </c>
    </row>
    <row r="1501" spans="14:17" ht="15">
      <c r="N1501" s="187">
        <v>44215</v>
      </c>
      <c r="O1501" s="180">
        <v>-0.52800000000000002</v>
      </c>
      <c r="P1501" s="191">
        <v>44215</v>
      </c>
      <c r="Q1501" s="192" t="s">
        <v>322</v>
      </c>
    </row>
    <row r="1502" spans="14:17" ht="15">
      <c r="N1502" s="187">
        <v>44216</v>
      </c>
      <c r="O1502" s="180">
        <v>-0.53200000000000003</v>
      </c>
      <c r="P1502" s="191">
        <v>44216</v>
      </c>
      <c r="Q1502" s="192" t="s">
        <v>336</v>
      </c>
    </row>
    <row r="1503" spans="14:17" ht="15">
      <c r="N1503" s="187">
        <v>44217</v>
      </c>
      <c r="O1503" s="180">
        <v>-0.52700000000000002</v>
      </c>
      <c r="P1503" s="191">
        <v>44217</v>
      </c>
      <c r="Q1503" s="192" t="s">
        <v>180</v>
      </c>
    </row>
    <row r="1504" spans="14:17" ht="15">
      <c r="N1504" s="187">
        <v>44218</v>
      </c>
      <c r="O1504" s="180">
        <v>-0.52500000000000002</v>
      </c>
      <c r="P1504" s="191">
        <v>44218</v>
      </c>
      <c r="Q1504" s="192" t="s">
        <v>321</v>
      </c>
    </row>
    <row r="1505" spans="14:17" ht="15">
      <c r="N1505" s="187">
        <v>44221</v>
      </c>
      <c r="O1505" s="180">
        <v>-0.52100000000000002</v>
      </c>
      <c r="P1505" s="191">
        <v>44221</v>
      </c>
      <c r="Q1505" s="192" t="s">
        <v>337</v>
      </c>
    </row>
    <row r="1506" spans="14:17" ht="15">
      <c r="N1506" s="187">
        <v>44222</v>
      </c>
      <c r="O1506" s="180">
        <v>-0.52800000000000002</v>
      </c>
      <c r="P1506" s="191">
        <v>44222</v>
      </c>
      <c r="Q1506" s="192" t="s">
        <v>320</v>
      </c>
    </row>
    <row r="1507" spans="14:17" ht="15">
      <c r="N1507" s="187">
        <v>44223</v>
      </c>
      <c r="O1507" s="180">
        <v>-0.52600000000000002</v>
      </c>
      <c r="P1507" s="191">
        <v>44223</v>
      </c>
      <c r="Q1507" s="192" t="s">
        <v>171</v>
      </c>
    </row>
    <row r="1508" spans="14:17" ht="15">
      <c r="N1508" s="187">
        <v>44224</v>
      </c>
      <c r="O1508" s="180">
        <v>-0.53400000000000003</v>
      </c>
      <c r="P1508" s="191">
        <v>44224</v>
      </c>
      <c r="Q1508" s="192" t="s">
        <v>338</v>
      </c>
    </row>
    <row r="1509" spans="14:17" ht="15">
      <c r="N1509" s="187">
        <v>44225</v>
      </c>
      <c r="O1509" s="180">
        <v>-0.53100000000000003</v>
      </c>
      <c r="P1509" s="191">
        <v>44225</v>
      </c>
      <c r="Q1509" s="192" t="s">
        <v>339</v>
      </c>
    </row>
    <row r="1510" spans="14:17" ht="15">
      <c r="N1510" s="187">
        <v>44228</v>
      </c>
      <c r="O1510" s="180">
        <v>-0.52800000000000002</v>
      </c>
      <c r="P1510" s="191">
        <v>44228</v>
      </c>
      <c r="Q1510" s="192" t="s">
        <v>319</v>
      </c>
    </row>
    <row r="1511" spans="14:17" ht="15">
      <c r="N1511" s="187">
        <v>44229</v>
      </c>
      <c r="O1511" s="180">
        <v>-0.52600000000000002</v>
      </c>
      <c r="P1511" s="191">
        <v>44229</v>
      </c>
      <c r="Q1511" s="192" t="s">
        <v>340</v>
      </c>
    </row>
    <row r="1512" spans="14:17" ht="15">
      <c r="N1512" s="187">
        <v>44230</v>
      </c>
      <c r="O1512" s="180">
        <v>-0.52100000000000002</v>
      </c>
      <c r="P1512" s="191">
        <v>44230</v>
      </c>
      <c r="Q1512" s="192" t="s">
        <v>341</v>
      </c>
    </row>
    <row r="1513" spans="14:17" ht="15">
      <c r="N1513" s="187">
        <v>44231</v>
      </c>
      <c r="O1513" s="180">
        <v>-0.52500000000000002</v>
      </c>
      <c r="P1513" s="191">
        <v>44231</v>
      </c>
      <c r="Q1513" s="192" t="s">
        <v>181</v>
      </c>
    </row>
    <row r="1514" spans="14:17" ht="15">
      <c r="N1514" s="187">
        <v>44232</v>
      </c>
      <c r="O1514" s="180">
        <v>-0.51900000000000002</v>
      </c>
      <c r="P1514" s="191">
        <v>44232</v>
      </c>
      <c r="Q1514" s="192" t="s">
        <v>169</v>
      </c>
    </row>
    <row r="1515" spans="14:17" ht="15">
      <c r="N1515" s="187">
        <v>44235</v>
      </c>
      <c r="O1515" s="180">
        <v>-0.52100000000000002</v>
      </c>
      <c r="P1515" s="191">
        <v>44235</v>
      </c>
      <c r="Q1515" s="192" t="s">
        <v>182</v>
      </c>
    </row>
    <row r="1516" spans="14:17" ht="15">
      <c r="N1516" s="187">
        <v>44236</v>
      </c>
      <c r="O1516" s="180">
        <v>-0.52300000000000002</v>
      </c>
      <c r="P1516" s="191">
        <v>44236</v>
      </c>
      <c r="Q1516" s="192" t="s">
        <v>342</v>
      </c>
    </row>
    <row r="1517" spans="14:17" ht="15">
      <c r="N1517" s="187">
        <v>44237</v>
      </c>
      <c r="O1517" s="180">
        <v>-0.52200000000000002</v>
      </c>
      <c r="P1517" s="191">
        <v>44237</v>
      </c>
      <c r="Q1517" s="192" t="s">
        <v>343</v>
      </c>
    </row>
    <row r="1518" spans="14:17" ht="15">
      <c r="N1518" s="187">
        <v>44238</v>
      </c>
      <c r="O1518" s="180">
        <v>-0.52100000000000002</v>
      </c>
      <c r="P1518" s="191">
        <v>44238</v>
      </c>
      <c r="Q1518" s="192" t="s">
        <v>344</v>
      </c>
    </row>
    <row r="1519" spans="14:17" ht="15">
      <c r="N1519" s="187">
        <v>44239</v>
      </c>
      <c r="O1519" s="180">
        <v>-0.52200000000000002</v>
      </c>
      <c r="P1519" s="191">
        <v>44239</v>
      </c>
      <c r="Q1519" s="192" t="s">
        <v>183</v>
      </c>
    </row>
    <row r="1520" spans="14:17" ht="15">
      <c r="N1520" s="187">
        <v>44242</v>
      </c>
      <c r="O1520" s="180">
        <v>-0.52100000000000002</v>
      </c>
      <c r="P1520" s="191">
        <v>44242</v>
      </c>
      <c r="Q1520" s="192" t="s">
        <v>167</v>
      </c>
    </row>
    <row r="1521" spans="14:17" ht="15">
      <c r="N1521" s="187">
        <v>44243</v>
      </c>
      <c r="O1521" s="180">
        <v>-0.52</v>
      </c>
      <c r="P1521" s="191">
        <v>44243</v>
      </c>
      <c r="Q1521" s="192" t="s">
        <v>184</v>
      </c>
    </row>
    <row r="1522" spans="14:17" ht="15">
      <c r="N1522" s="187">
        <v>44244</v>
      </c>
      <c r="O1522" s="180">
        <v>-0.52100000000000002</v>
      </c>
      <c r="P1522" s="191">
        <v>44244</v>
      </c>
      <c r="Q1522" s="192" t="s">
        <v>185</v>
      </c>
    </row>
    <row r="1523" spans="14:17" ht="15">
      <c r="N1523" s="187">
        <v>44245</v>
      </c>
      <c r="O1523" s="180">
        <v>-0.51800000000000002</v>
      </c>
      <c r="P1523" s="191">
        <v>44245</v>
      </c>
      <c r="Q1523" s="192" t="s">
        <v>165</v>
      </c>
    </row>
    <row r="1524" spans="14:17" ht="15">
      <c r="N1524" s="187">
        <v>44246</v>
      </c>
      <c r="O1524" s="180">
        <v>-0.51700000000000002</v>
      </c>
      <c r="P1524" s="191">
        <v>44246</v>
      </c>
      <c r="Q1524" s="192" t="s">
        <v>303</v>
      </c>
    </row>
    <row r="1525" spans="14:17" ht="15">
      <c r="N1525" s="187">
        <v>44249</v>
      </c>
      <c r="O1525" s="180">
        <v>-0.51600000000000001</v>
      </c>
      <c r="P1525" s="191">
        <v>44249</v>
      </c>
      <c r="Q1525" s="192" t="s">
        <v>189</v>
      </c>
    </row>
    <row r="1526" spans="14:17" ht="15">
      <c r="N1526" s="187">
        <v>44250</v>
      </c>
      <c r="O1526" s="180">
        <v>-0.51700000000000002</v>
      </c>
      <c r="P1526" s="191">
        <v>44250</v>
      </c>
      <c r="Q1526" s="192" t="s">
        <v>245</v>
      </c>
    </row>
    <row r="1527" spans="14:17" ht="15">
      <c r="N1527" s="187">
        <v>44251</v>
      </c>
      <c r="O1527" s="180">
        <v>-0.51800000000000002</v>
      </c>
      <c r="P1527" s="191">
        <v>44251</v>
      </c>
      <c r="Q1527" s="192" t="s">
        <v>162</v>
      </c>
    </row>
    <row r="1528" spans="14:17" ht="15">
      <c r="N1528" s="187">
        <v>44252</v>
      </c>
      <c r="O1528" s="180">
        <v>-0.51800000000000002</v>
      </c>
      <c r="P1528" s="191">
        <v>44252</v>
      </c>
      <c r="Q1528" s="192" t="s">
        <v>345</v>
      </c>
    </row>
    <row r="1529" spans="14:17" ht="15">
      <c r="N1529" s="187">
        <v>44253</v>
      </c>
      <c r="O1529" s="180">
        <v>-0.51600000000000001</v>
      </c>
      <c r="P1529" s="191">
        <v>44253</v>
      </c>
      <c r="Q1529" s="192" t="s">
        <v>197</v>
      </c>
    </row>
    <row r="1530" spans="14:17" ht="15">
      <c r="N1530" s="187">
        <v>44256</v>
      </c>
      <c r="O1530" s="180">
        <v>-0.50800000000000001</v>
      </c>
      <c r="P1530" s="191">
        <v>44256</v>
      </c>
      <c r="Q1530" s="192" t="s">
        <v>235</v>
      </c>
    </row>
    <row r="1531" spans="14:17" ht="15">
      <c r="N1531" s="187">
        <v>44257</v>
      </c>
      <c r="O1531" s="180">
        <v>-0.51600000000000001</v>
      </c>
      <c r="P1531" s="191">
        <v>44257</v>
      </c>
      <c r="Q1531" s="192" t="s">
        <v>234</v>
      </c>
    </row>
    <row r="1532" spans="14:17" ht="15">
      <c r="N1532" s="187">
        <v>44258</v>
      </c>
      <c r="O1532" s="180">
        <v>-0.51700000000000002</v>
      </c>
      <c r="P1532" s="191">
        <v>44258</v>
      </c>
      <c r="Q1532" s="192" t="s">
        <v>346</v>
      </c>
    </row>
    <row r="1533" spans="14:17" ht="15">
      <c r="N1533" s="187">
        <v>44259</v>
      </c>
      <c r="O1533" s="180">
        <v>-0.51800000000000002</v>
      </c>
      <c r="P1533" s="191">
        <v>44259</v>
      </c>
      <c r="Q1533" s="192" t="s">
        <v>347</v>
      </c>
    </row>
    <row r="1534" spans="14:17" ht="15">
      <c r="N1534" s="187">
        <v>44260</v>
      </c>
      <c r="O1534" s="180">
        <v>-0.51400000000000001</v>
      </c>
      <c r="P1534" s="191">
        <v>44260</v>
      </c>
      <c r="Q1534" s="192" t="s">
        <v>201</v>
      </c>
    </row>
    <row r="1535" spans="14:17" ht="15">
      <c r="N1535" s="187">
        <v>44263</v>
      </c>
      <c r="O1535" s="180">
        <v>-0.51500000000000001</v>
      </c>
      <c r="P1535" s="191">
        <v>44263</v>
      </c>
      <c r="Q1535" s="192" t="s">
        <v>348</v>
      </c>
    </row>
    <row r="1536" spans="14:17" ht="15">
      <c r="N1536" s="187">
        <v>44264</v>
      </c>
      <c r="O1536" s="180">
        <v>-0.51800000000000002</v>
      </c>
      <c r="P1536" s="191">
        <v>44264</v>
      </c>
      <c r="Q1536" s="192" t="s">
        <v>349</v>
      </c>
    </row>
    <row r="1537" spans="14:17" ht="15">
      <c r="N1537" s="187">
        <v>44265</v>
      </c>
      <c r="O1537" s="180">
        <v>-0.52</v>
      </c>
      <c r="P1537" s="191">
        <v>44265</v>
      </c>
      <c r="Q1537" s="192" t="s">
        <v>350</v>
      </c>
    </row>
    <row r="1538" spans="14:17" ht="15">
      <c r="N1538" s="187">
        <v>44266</v>
      </c>
      <c r="O1538" s="180">
        <v>-0.51800000000000002</v>
      </c>
      <c r="P1538" s="191">
        <v>44266</v>
      </c>
      <c r="Q1538" s="192" t="s">
        <v>281</v>
      </c>
    </row>
    <row r="1539" spans="14:17" ht="15">
      <c r="N1539" s="187">
        <v>44267</v>
      </c>
      <c r="O1539" s="180">
        <v>-0.51400000000000001</v>
      </c>
      <c r="P1539" s="191">
        <v>44267</v>
      </c>
      <c r="Q1539" s="192" t="s">
        <v>351</v>
      </c>
    </row>
    <row r="1540" spans="14:17" ht="15">
      <c r="N1540" s="187">
        <v>44270</v>
      </c>
      <c r="O1540" s="180">
        <v>-0.51500000000000001</v>
      </c>
      <c r="P1540" s="191">
        <v>44270</v>
      </c>
      <c r="Q1540" s="192" t="s">
        <v>280</v>
      </c>
    </row>
    <row r="1541" spans="14:17" ht="15">
      <c r="N1541" s="187">
        <v>44271</v>
      </c>
      <c r="O1541" s="180">
        <v>-0.52</v>
      </c>
      <c r="P1541" s="191">
        <v>44271</v>
      </c>
      <c r="Q1541" s="192" t="s">
        <v>251</v>
      </c>
    </row>
    <row r="1542" spans="14:17" ht="15">
      <c r="N1542" s="187">
        <v>44272</v>
      </c>
      <c r="O1542" s="180">
        <v>-0.52</v>
      </c>
      <c r="P1542" s="191">
        <v>44272</v>
      </c>
      <c r="Q1542" s="192" t="s">
        <v>352</v>
      </c>
    </row>
    <row r="1543" spans="14:17" ht="15">
      <c r="N1543" s="187">
        <v>44273</v>
      </c>
      <c r="O1543" s="180">
        <v>-0.51900000000000002</v>
      </c>
      <c r="P1543" s="191">
        <v>44273</v>
      </c>
      <c r="Q1543" s="192" t="s">
        <v>204</v>
      </c>
    </row>
    <row r="1544" spans="14:17" ht="15">
      <c r="N1544" s="187">
        <v>44274</v>
      </c>
      <c r="O1544" s="180">
        <v>-0.51500000000000001</v>
      </c>
      <c r="P1544" s="191">
        <v>44274</v>
      </c>
      <c r="Q1544" s="192" t="s">
        <v>204</v>
      </c>
    </row>
    <row r="1545" spans="14:17" ht="15">
      <c r="N1545" s="187">
        <v>44277</v>
      </c>
      <c r="O1545" s="180">
        <v>-0.51800000000000002</v>
      </c>
      <c r="P1545" s="191">
        <v>44277</v>
      </c>
      <c r="Q1545" s="192" t="s">
        <v>204</v>
      </c>
    </row>
    <row r="1546" spans="14:17" ht="15">
      <c r="N1546" s="187">
        <v>44278</v>
      </c>
      <c r="O1546" s="180">
        <v>-0.51800000000000002</v>
      </c>
      <c r="P1546" s="191">
        <v>44278</v>
      </c>
      <c r="Q1546" s="192" t="s">
        <v>353</v>
      </c>
    </row>
    <row r="1547" spans="14:17" ht="15">
      <c r="N1547" s="187">
        <v>44279</v>
      </c>
      <c r="O1547" s="180">
        <v>-0.51600000000000001</v>
      </c>
      <c r="P1547" s="191">
        <v>44279</v>
      </c>
      <c r="Q1547" s="192" t="s">
        <v>279</v>
      </c>
    </row>
    <row r="1548" spans="14:17" ht="15">
      <c r="N1548" s="187">
        <v>44280</v>
      </c>
      <c r="O1548" s="180">
        <v>-0.51400000000000001</v>
      </c>
      <c r="P1548" s="191">
        <v>44280</v>
      </c>
      <c r="Q1548" s="192" t="s">
        <v>354</v>
      </c>
    </row>
    <row r="1549" spans="14:17" ht="15">
      <c r="N1549" s="187">
        <v>44281</v>
      </c>
      <c r="O1549" s="180">
        <v>-0.51400000000000001</v>
      </c>
      <c r="P1549" s="191">
        <v>44281</v>
      </c>
      <c r="Q1549" s="192" t="s">
        <v>281</v>
      </c>
    </row>
    <row r="1550" spans="14:17" ht="15">
      <c r="N1550" s="187">
        <v>44284</v>
      </c>
      <c r="O1550" s="180">
        <v>-0.51300000000000001</v>
      </c>
      <c r="P1550" s="191">
        <v>44284</v>
      </c>
      <c r="Q1550" s="192" t="s">
        <v>230</v>
      </c>
    </row>
    <row r="1551" spans="14:17" ht="15">
      <c r="N1551" s="187">
        <v>44285</v>
      </c>
      <c r="O1551" s="180">
        <v>-0.51900000000000002</v>
      </c>
      <c r="P1551" s="191">
        <v>44285</v>
      </c>
      <c r="Q1551" s="192" t="s">
        <v>355</v>
      </c>
    </row>
    <row r="1552" spans="14:17" ht="15">
      <c r="N1552" s="187">
        <v>44286</v>
      </c>
      <c r="O1552" s="180">
        <v>-0.50900000000000001</v>
      </c>
      <c r="P1552" s="191">
        <v>44286</v>
      </c>
      <c r="Q1552" s="192" t="s">
        <v>281</v>
      </c>
    </row>
    <row r="1553" spans="14:17" ht="15">
      <c r="N1553" s="187">
        <v>44287</v>
      </c>
      <c r="O1553" s="180">
        <v>-0.51200000000000001</v>
      </c>
      <c r="P1553" s="191">
        <v>44287</v>
      </c>
      <c r="Q1553" s="192" t="s">
        <v>355</v>
      </c>
    </row>
    <row r="1554" spans="14:17" ht="15">
      <c r="N1554" s="187">
        <v>44288</v>
      </c>
      <c r="O1554" s="180">
        <v>-0.51200000000000001</v>
      </c>
      <c r="P1554" s="191">
        <v>44288</v>
      </c>
      <c r="Q1554" s="192" t="s">
        <v>230</v>
      </c>
    </row>
    <row r="1555" spans="14:17" ht="15">
      <c r="N1555" s="187">
        <v>44291</v>
      </c>
      <c r="O1555" s="180">
        <v>-0.51200000000000001</v>
      </c>
      <c r="P1555" s="191"/>
      <c r="Q1555" s="193" t="s">
        <v>230</v>
      </c>
    </row>
    <row r="1556" spans="14:17" ht="15">
      <c r="N1556" s="187">
        <v>44292</v>
      </c>
      <c r="O1556" s="180">
        <v>-0.51700000000000002</v>
      </c>
      <c r="P1556" s="191">
        <v>44292</v>
      </c>
      <c r="Q1556" s="192" t="s">
        <v>356</v>
      </c>
    </row>
    <row r="1557" spans="14:17" ht="15">
      <c r="N1557" s="187">
        <v>44293</v>
      </c>
      <c r="O1557" s="180">
        <v>-0.51700000000000002</v>
      </c>
      <c r="P1557" s="191">
        <v>44293</v>
      </c>
      <c r="Q1557" s="192" t="s">
        <v>250</v>
      </c>
    </row>
    <row r="1558" spans="14:17" ht="15">
      <c r="N1558" s="187">
        <v>44294</v>
      </c>
      <c r="O1558" s="180">
        <v>-0.51800000000000002</v>
      </c>
      <c r="P1558" s="191">
        <v>44294</v>
      </c>
      <c r="Q1558" s="192" t="s">
        <v>357</v>
      </c>
    </row>
    <row r="1559" spans="14:17" ht="15">
      <c r="N1559" s="187">
        <v>44295</v>
      </c>
      <c r="O1559" s="180">
        <v>-0.52200000000000002</v>
      </c>
      <c r="P1559" s="191">
        <v>44295</v>
      </c>
      <c r="Q1559" s="192" t="s">
        <v>357</v>
      </c>
    </row>
    <row r="1560" spans="14:17" ht="15">
      <c r="N1560" s="187">
        <v>44298</v>
      </c>
      <c r="O1560" s="180">
        <v>-0.51700000000000002</v>
      </c>
      <c r="P1560" s="191">
        <v>44298</v>
      </c>
      <c r="Q1560" s="192" t="s">
        <v>357</v>
      </c>
    </row>
    <row r="1561" spans="14:17" ht="15">
      <c r="N1561" s="187">
        <v>44299</v>
      </c>
      <c r="O1561" s="180">
        <v>-0.52300000000000002</v>
      </c>
      <c r="P1561" s="191">
        <v>44299</v>
      </c>
      <c r="Q1561" s="192" t="s">
        <v>230</v>
      </c>
    </row>
    <row r="1562" spans="14:17" ht="15">
      <c r="N1562" s="187">
        <v>44300</v>
      </c>
      <c r="O1562" s="180">
        <v>-0.50900000000000001</v>
      </c>
      <c r="P1562" s="191">
        <v>44300</v>
      </c>
      <c r="Q1562" s="192" t="s">
        <v>281</v>
      </c>
    </row>
    <row r="1563" spans="14:17" ht="15">
      <c r="N1563" s="187">
        <v>44301</v>
      </c>
      <c r="O1563" s="180">
        <v>-0.51200000000000001</v>
      </c>
      <c r="P1563" s="191">
        <v>44301</v>
      </c>
      <c r="Q1563" s="192" t="s">
        <v>358</v>
      </c>
    </row>
    <row r="1564" spans="14:17" ht="15">
      <c r="N1564" s="187">
        <v>44302</v>
      </c>
      <c r="O1564" s="180">
        <v>-0.51100000000000001</v>
      </c>
      <c r="P1564" s="191">
        <v>44302</v>
      </c>
      <c r="Q1564" s="192" t="s">
        <v>203</v>
      </c>
    </row>
    <row r="1565" spans="14:17" ht="15">
      <c r="N1565" s="187">
        <v>44305</v>
      </c>
      <c r="O1565" s="180">
        <v>-0.51300000000000001</v>
      </c>
      <c r="P1565" s="191">
        <v>44305</v>
      </c>
      <c r="Q1565" s="192" t="s">
        <v>358</v>
      </c>
    </row>
    <row r="1566" spans="14:17" ht="15">
      <c r="N1566" s="187">
        <v>44306</v>
      </c>
      <c r="O1566" s="180">
        <v>-0.51300000000000001</v>
      </c>
      <c r="P1566" s="191">
        <v>44306</v>
      </c>
      <c r="Q1566" s="192" t="s">
        <v>359</v>
      </c>
    </row>
    <row r="1567" spans="14:17" ht="15">
      <c r="N1567" s="187">
        <v>44307</v>
      </c>
      <c r="O1567" s="180">
        <v>-0.51300000000000001</v>
      </c>
      <c r="P1567" s="191">
        <v>44307</v>
      </c>
      <c r="Q1567" s="192" t="s">
        <v>360</v>
      </c>
    </row>
    <row r="1568" spans="14:17" ht="15">
      <c r="N1568" s="187">
        <v>44308</v>
      </c>
      <c r="O1568" s="180">
        <v>-0.51500000000000001</v>
      </c>
      <c r="P1568" s="191">
        <v>44308</v>
      </c>
      <c r="Q1568" s="192" t="s">
        <v>271</v>
      </c>
    </row>
    <row r="1569" spans="14:18" ht="15">
      <c r="N1569" s="187">
        <v>44309</v>
      </c>
      <c r="O1569" s="180">
        <v>-0.51500000000000001</v>
      </c>
      <c r="P1569" s="191">
        <v>44309</v>
      </c>
      <c r="Q1569" s="192" t="s">
        <v>361</v>
      </c>
    </row>
    <row r="1570" spans="14:18" ht="15">
      <c r="N1570" s="187">
        <v>44312</v>
      </c>
      <c r="O1570" s="180">
        <v>-0.51400000000000001</v>
      </c>
      <c r="P1570" s="191">
        <v>44312</v>
      </c>
      <c r="Q1570" s="192" t="s">
        <v>252</v>
      </c>
    </row>
    <row r="1571" spans="14:18" ht="15">
      <c r="N1571" s="187">
        <v>44313</v>
      </c>
      <c r="O1571" s="180">
        <v>-0.51800000000000002</v>
      </c>
      <c r="P1571" s="191">
        <v>44313</v>
      </c>
      <c r="Q1571" s="192" t="s">
        <v>273</v>
      </c>
    </row>
    <row r="1572" spans="14:18" ht="15">
      <c r="N1572" s="187">
        <v>44314</v>
      </c>
      <c r="O1572" s="180">
        <v>-0.51800000000000002</v>
      </c>
      <c r="P1572" s="191">
        <v>44314</v>
      </c>
      <c r="Q1572" s="192" t="s">
        <v>275</v>
      </c>
    </row>
    <row r="1573" spans="14:18" ht="15">
      <c r="N1573" s="187">
        <v>44315</v>
      </c>
      <c r="O1573" s="180">
        <v>-0.51800000000000002</v>
      </c>
      <c r="P1573" s="191">
        <v>44315</v>
      </c>
      <c r="Q1573" s="192" t="s">
        <v>152</v>
      </c>
    </row>
    <row r="1574" spans="14:18" ht="15">
      <c r="N1574" s="187">
        <v>44316</v>
      </c>
      <c r="O1574" s="180">
        <v>-0.52100000000000002</v>
      </c>
      <c r="P1574" s="191">
        <v>44316</v>
      </c>
      <c r="Q1574" s="192" t="s">
        <v>362</v>
      </c>
    </row>
    <row r="1575" spans="14:18" ht="15">
      <c r="N1575" s="187">
        <v>44319</v>
      </c>
      <c r="O1575" s="180">
        <v>-0.51800000000000002</v>
      </c>
      <c r="P1575" s="191">
        <v>44319</v>
      </c>
      <c r="Q1575" s="192">
        <v>-0.217</v>
      </c>
      <c r="R1575" s="111">
        <f>+(O1575+Q1575)/2+0.37</f>
        <v>2.5000000000000022E-3</v>
      </c>
    </row>
    <row r="1576" spans="14:18" ht="15">
      <c r="N1576" s="187">
        <v>44320</v>
      </c>
      <c r="O1576" s="180">
        <v>-0.51600000000000001</v>
      </c>
      <c r="P1576" s="191">
        <v>44320</v>
      </c>
      <c r="Q1576" s="192" t="s">
        <v>149</v>
      </c>
    </row>
    <row r="1577" spans="14:18" ht="15">
      <c r="N1577" s="187">
        <v>44321</v>
      </c>
      <c r="O1577" s="180">
        <v>-0.51500000000000001</v>
      </c>
      <c r="P1577" s="191">
        <v>44321</v>
      </c>
      <c r="Q1577" s="192" t="s">
        <v>148</v>
      </c>
    </row>
    <row r="1578" spans="14:18" ht="15">
      <c r="N1578" s="187">
        <v>44322</v>
      </c>
      <c r="O1578" s="180">
        <v>-0.51300000000000001</v>
      </c>
      <c r="P1578" s="191">
        <v>44322</v>
      </c>
      <c r="Q1578" s="192" t="s">
        <v>225</v>
      </c>
    </row>
    <row r="1579" spans="14:18" ht="15">
      <c r="N1579" s="187">
        <v>44323</v>
      </c>
      <c r="O1579" s="180">
        <v>-0.51400000000000001</v>
      </c>
      <c r="P1579" s="191">
        <v>44323</v>
      </c>
      <c r="Q1579" s="192" t="s">
        <v>224</v>
      </c>
    </row>
    <row r="1580" spans="14:18" ht="15">
      <c r="N1580" s="187">
        <v>44326</v>
      </c>
      <c r="O1580" s="180">
        <v>-0.51300000000000001</v>
      </c>
      <c r="P1580" s="191">
        <v>44326</v>
      </c>
      <c r="Q1580" s="192" t="s">
        <v>93</v>
      </c>
    </row>
    <row r="1581" spans="14:18" ht="15">
      <c r="N1581" s="187">
        <v>44327</v>
      </c>
      <c r="O1581" s="180">
        <v>-0.51300000000000001</v>
      </c>
      <c r="P1581" s="191">
        <v>44327</v>
      </c>
      <c r="Q1581" s="192" t="s">
        <v>89</v>
      </c>
    </row>
    <row r="1582" spans="14:18" ht="15">
      <c r="N1582" s="187">
        <v>44328</v>
      </c>
      <c r="O1582" s="180">
        <v>-0.51300000000000001</v>
      </c>
      <c r="P1582" s="191">
        <v>44328</v>
      </c>
      <c r="Q1582" s="192" t="s">
        <v>216</v>
      </c>
    </row>
    <row r="1583" spans="14:18" ht="15">
      <c r="N1583" s="187">
        <v>44329</v>
      </c>
      <c r="O1583" s="180">
        <v>-0.51500000000000001</v>
      </c>
      <c r="P1583" s="191"/>
      <c r="Q1583" s="193" t="s">
        <v>216</v>
      </c>
    </row>
    <row r="1584" spans="14:18" ht="15">
      <c r="N1584" s="187">
        <v>44330</v>
      </c>
      <c r="O1584" s="180">
        <v>-0.51300000000000001</v>
      </c>
      <c r="P1584" s="191">
        <v>44330</v>
      </c>
      <c r="Q1584" s="192" t="s">
        <v>86</v>
      </c>
    </row>
    <row r="1585" spans="14:17" ht="15">
      <c r="N1585" s="187">
        <v>44333</v>
      </c>
      <c r="O1585" s="180">
        <v>-0.51500000000000001</v>
      </c>
      <c r="P1585" s="191">
        <v>44333</v>
      </c>
      <c r="Q1585" s="192" t="s">
        <v>217</v>
      </c>
    </row>
    <row r="1586" spans="14:17" ht="15">
      <c r="N1586" s="187">
        <v>44334</v>
      </c>
      <c r="O1586" s="180">
        <v>-0.51500000000000001</v>
      </c>
      <c r="P1586" s="191">
        <v>44334</v>
      </c>
      <c r="Q1586" s="192" t="s">
        <v>80</v>
      </c>
    </row>
    <row r="1587" spans="14:17" ht="15">
      <c r="N1587" s="187">
        <v>44335</v>
      </c>
      <c r="O1587" s="180">
        <v>-0.51500000000000001</v>
      </c>
      <c r="P1587" s="191">
        <v>44335</v>
      </c>
      <c r="Q1587" s="192" t="s">
        <v>103</v>
      </c>
    </row>
    <row r="1588" spans="14:17" ht="15">
      <c r="N1588" s="187">
        <v>44336</v>
      </c>
      <c r="O1588" s="180">
        <v>-0.51700000000000002</v>
      </c>
      <c r="P1588" s="191">
        <v>44336</v>
      </c>
      <c r="Q1588" s="192" t="s">
        <v>97</v>
      </c>
    </row>
    <row r="1589" spans="14:17" ht="15">
      <c r="N1589" s="187">
        <v>44337</v>
      </c>
      <c r="O1589" s="180">
        <v>-0.51300000000000001</v>
      </c>
      <c r="P1589" s="191">
        <v>44337</v>
      </c>
      <c r="Q1589" s="192" t="s">
        <v>99</v>
      </c>
    </row>
    <row r="1590" spans="14:17" ht="15">
      <c r="N1590" s="187">
        <v>44340</v>
      </c>
      <c r="O1590" s="180">
        <v>-0.50900000000000001</v>
      </c>
      <c r="P1590" s="191"/>
      <c r="Q1590" s="193" t="s">
        <v>99</v>
      </c>
    </row>
    <row r="1591" spans="14:17" ht="15">
      <c r="N1591" s="187">
        <v>44341</v>
      </c>
      <c r="O1591" s="180">
        <v>-0.505</v>
      </c>
      <c r="P1591" s="191">
        <v>44341</v>
      </c>
      <c r="Q1591" s="192" t="s">
        <v>101</v>
      </c>
    </row>
    <row r="1592" spans="14:17" ht="15">
      <c r="N1592" s="187">
        <v>44342</v>
      </c>
      <c r="O1592" s="180">
        <v>-0.50700000000000001</v>
      </c>
      <c r="P1592" s="191">
        <v>44342</v>
      </c>
      <c r="Q1592" s="192" t="s">
        <v>108</v>
      </c>
    </row>
    <row r="1593" spans="14:17" ht="15">
      <c r="N1593" s="187">
        <v>44343</v>
      </c>
      <c r="O1593" s="180">
        <v>-0.50900000000000001</v>
      </c>
      <c r="P1593" s="191">
        <v>44343</v>
      </c>
      <c r="Q1593" s="192" t="s">
        <v>142</v>
      </c>
    </row>
    <row r="1594" spans="14:17" ht="15">
      <c r="N1594" s="187">
        <v>44344</v>
      </c>
      <c r="O1594" s="180">
        <v>-0.51200000000000001</v>
      </c>
      <c r="P1594" s="191">
        <v>44344</v>
      </c>
      <c r="Q1594" s="192" t="s">
        <v>363</v>
      </c>
    </row>
    <row r="1595" spans="14:17" ht="15">
      <c r="N1595" s="187">
        <v>44347</v>
      </c>
      <c r="O1595" s="180">
        <v>-0.51300000000000001</v>
      </c>
      <c r="P1595" s="191">
        <v>44347</v>
      </c>
      <c r="Q1595" s="192" t="s">
        <v>364</v>
      </c>
    </row>
    <row r="1596" spans="14:17" ht="15">
      <c r="N1596" s="187">
        <v>44348</v>
      </c>
      <c r="O1596" s="180">
        <v>-0.51700000000000002</v>
      </c>
      <c r="P1596" s="191">
        <v>44348</v>
      </c>
      <c r="Q1596" s="192" t="s">
        <v>365</v>
      </c>
    </row>
    <row r="1597" spans="14:17" ht="15">
      <c r="N1597" s="187">
        <v>44349</v>
      </c>
      <c r="O1597" s="180">
        <v>-0.51600000000000001</v>
      </c>
      <c r="P1597" s="191">
        <v>44349</v>
      </c>
      <c r="Q1597" s="192" t="s">
        <v>364</v>
      </c>
    </row>
    <row r="1598" spans="14:17" ht="15">
      <c r="N1598" s="187">
        <v>44350</v>
      </c>
      <c r="O1598" s="180">
        <v>-0.51700000000000002</v>
      </c>
      <c r="P1598" s="191"/>
      <c r="Q1598" s="193" t="s">
        <v>364</v>
      </c>
    </row>
    <row r="1599" spans="14:17" ht="15">
      <c r="N1599" s="187">
        <v>44351</v>
      </c>
      <c r="O1599" s="180">
        <v>-0.51300000000000001</v>
      </c>
      <c r="P1599" s="191">
        <v>44351</v>
      </c>
      <c r="Q1599" s="192" t="s">
        <v>111</v>
      </c>
    </row>
    <row r="1600" spans="14:17" ht="15">
      <c r="N1600" s="187">
        <v>44354</v>
      </c>
      <c r="O1600" s="180">
        <v>-0.51300000000000001</v>
      </c>
      <c r="P1600" s="191">
        <v>44354</v>
      </c>
      <c r="Q1600" s="192" t="s">
        <v>141</v>
      </c>
    </row>
    <row r="1601" spans="14:17" ht="15">
      <c r="N1601" s="187">
        <v>44355</v>
      </c>
      <c r="O1601" s="180">
        <v>-0.51600000000000001</v>
      </c>
      <c r="P1601" s="191">
        <v>44355</v>
      </c>
      <c r="Q1601" s="192" t="s">
        <v>366</v>
      </c>
    </row>
    <row r="1602" spans="14:17" ht="15">
      <c r="N1602" s="187">
        <v>44356</v>
      </c>
      <c r="O1602" s="180">
        <v>-0.51800000000000002</v>
      </c>
      <c r="P1602" s="191">
        <v>44356</v>
      </c>
      <c r="Q1602" s="192" t="s">
        <v>141</v>
      </c>
    </row>
    <row r="1603" spans="14:17" ht="15">
      <c r="N1603" s="187">
        <v>44357</v>
      </c>
      <c r="O1603" s="180">
        <v>-0.51900000000000002</v>
      </c>
      <c r="P1603" s="191">
        <v>44357</v>
      </c>
      <c r="Q1603" s="192" t="s">
        <v>365</v>
      </c>
    </row>
    <row r="1604" spans="14:17" ht="15">
      <c r="N1604" s="187">
        <v>44358</v>
      </c>
      <c r="O1604" s="180">
        <v>-0.52100000000000002</v>
      </c>
      <c r="P1604" s="191">
        <v>44358</v>
      </c>
      <c r="Q1604" s="192" t="s">
        <v>72</v>
      </c>
    </row>
    <row r="1605" spans="14:17" ht="15">
      <c r="N1605" s="187">
        <v>44361</v>
      </c>
      <c r="O1605" s="180">
        <v>-0.52200000000000002</v>
      </c>
      <c r="P1605" s="191">
        <v>44361</v>
      </c>
      <c r="Q1605" s="192" t="s">
        <v>108</v>
      </c>
    </row>
    <row r="1606" spans="14:17" ht="15">
      <c r="N1606" s="187">
        <v>44362</v>
      </c>
      <c r="O1606" s="180">
        <v>-0.52200000000000002</v>
      </c>
      <c r="P1606" s="191">
        <v>44362</v>
      </c>
      <c r="Q1606" s="192" t="s">
        <v>74</v>
      </c>
    </row>
    <row r="1607" spans="14:17" ht="15">
      <c r="N1607" s="187">
        <v>44363</v>
      </c>
      <c r="O1607" s="180">
        <v>-0.51900000000000002</v>
      </c>
      <c r="P1607" s="191">
        <v>44363</v>
      </c>
      <c r="Q1607" s="192" t="s">
        <v>98</v>
      </c>
    </row>
    <row r="1608" spans="14:17" ht="15">
      <c r="N1608" s="187">
        <v>44364</v>
      </c>
      <c r="O1608" s="180">
        <v>-0.51300000000000001</v>
      </c>
      <c r="P1608" s="191">
        <v>44364</v>
      </c>
      <c r="Q1608" s="192" t="s">
        <v>77</v>
      </c>
    </row>
    <row r="1609" spans="14:17" ht="15">
      <c r="N1609" s="187">
        <v>44365</v>
      </c>
      <c r="O1609" s="180">
        <v>-0.51300000000000001</v>
      </c>
      <c r="P1609" s="191">
        <v>44365</v>
      </c>
      <c r="Q1609" s="192" t="s">
        <v>103</v>
      </c>
    </row>
    <row r="1610" spans="14:17" ht="15">
      <c r="N1610" s="187">
        <v>44368</v>
      </c>
      <c r="O1610" s="180">
        <v>-0.51100000000000001</v>
      </c>
      <c r="P1610" s="191">
        <v>44368</v>
      </c>
      <c r="Q1610" s="192" t="s">
        <v>367</v>
      </c>
    </row>
    <row r="1611" spans="14:17" ht="15">
      <c r="N1611" s="187">
        <v>44369</v>
      </c>
      <c r="O1611" s="180">
        <v>-0.50800000000000001</v>
      </c>
      <c r="P1611" s="191">
        <v>44369</v>
      </c>
      <c r="Q1611" s="192" t="s">
        <v>219</v>
      </c>
    </row>
    <row r="1612" spans="14:17" ht="15">
      <c r="N1612" s="187">
        <v>44370</v>
      </c>
      <c r="O1612" s="180">
        <v>-0.50900000000000001</v>
      </c>
      <c r="P1612" s="191">
        <v>44370</v>
      </c>
      <c r="Q1612" s="192" t="s">
        <v>82</v>
      </c>
    </row>
    <row r="1613" spans="14:17" ht="15">
      <c r="N1613" s="187">
        <v>44371</v>
      </c>
      <c r="O1613" s="180">
        <v>-0.50800000000000001</v>
      </c>
      <c r="P1613" s="191">
        <v>44371</v>
      </c>
      <c r="Q1613" s="192" t="s">
        <v>82</v>
      </c>
    </row>
    <row r="1614" spans="14:17" ht="15">
      <c r="N1614" s="187">
        <v>44372</v>
      </c>
      <c r="O1614" s="180">
        <v>-0.51300000000000001</v>
      </c>
      <c r="P1614" s="191">
        <v>44372</v>
      </c>
      <c r="Q1614" s="192" t="s">
        <v>82</v>
      </c>
    </row>
    <row r="1615" spans="14:17" ht="15">
      <c r="N1615" s="187">
        <v>44375</v>
      </c>
      <c r="O1615" s="180">
        <v>-0.51300000000000001</v>
      </c>
      <c r="P1615" s="191">
        <v>44375</v>
      </c>
      <c r="Q1615" s="192" t="s">
        <v>82</v>
      </c>
    </row>
    <row r="1616" spans="14:17" ht="15">
      <c r="N1616" s="187">
        <v>44376</v>
      </c>
      <c r="O1616" s="180">
        <v>-0.51300000000000001</v>
      </c>
      <c r="P1616" s="191">
        <v>44376</v>
      </c>
      <c r="Q1616" s="192" t="s">
        <v>82</v>
      </c>
    </row>
    <row r="1617" spans="14:17" ht="15">
      <c r="N1617" s="187">
        <v>44377</v>
      </c>
      <c r="O1617" s="180">
        <v>-0.51500000000000001</v>
      </c>
      <c r="P1617" s="191">
        <v>44377</v>
      </c>
      <c r="Q1617" s="192" t="s">
        <v>368</v>
      </c>
    </row>
    <row r="1618" spans="14:17" ht="15">
      <c r="N1618" s="187">
        <v>44378</v>
      </c>
      <c r="O1618" s="180">
        <v>-0.51300000000000001</v>
      </c>
      <c r="P1618" s="191">
        <v>44378</v>
      </c>
      <c r="Q1618" s="192" t="s">
        <v>83</v>
      </c>
    </row>
    <row r="1619" spans="14:17" ht="15">
      <c r="N1619" s="187">
        <v>44379</v>
      </c>
      <c r="O1619" s="180">
        <v>-0.51200000000000001</v>
      </c>
      <c r="P1619" s="191">
        <v>44379</v>
      </c>
      <c r="Q1619" s="192" t="s">
        <v>223</v>
      </c>
    </row>
    <row r="1620" spans="14:17" ht="15">
      <c r="N1620" s="187">
        <v>44382</v>
      </c>
      <c r="O1620" s="180">
        <v>-0.51300000000000001</v>
      </c>
      <c r="P1620" s="191">
        <v>44382</v>
      </c>
      <c r="Q1620" s="192" t="s">
        <v>84</v>
      </c>
    </row>
    <row r="1621" spans="14:17" ht="15">
      <c r="N1621" s="187">
        <v>44383</v>
      </c>
      <c r="O1621" s="180">
        <v>-0.51300000000000001</v>
      </c>
      <c r="P1621" s="191">
        <v>44383</v>
      </c>
      <c r="Q1621" s="192" t="s">
        <v>369</v>
      </c>
    </row>
    <row r="1622" spans="14:17" ht="15">
      <c r="N1622" s="187">
        <v>44384</v>
      </c>
      <c r="O1622" s="180">
        <v>-0.51100000000000001</v>
      </c>
      <c r="P1622" s="191">
        <v>44384</v>
      </c>
      <c r="Q1622" s="192" t="s">
        <v>86</v>
      </c>
    </row>
    <row r="1623" spans="14:17" ht="15">
      <c r="N1623" s="187">
        <v>44385</v>
      </c>
      <c r="O1623" s="180">
        <v>-0.51500000000000001</v>
      </c>
      <c r="P1623" s="191">
        <v>44385</v>
      </c>
      <c r="Q1623" s="192" t="s">
        <v>215</v>
      </c>
    </row>
    <row r="1624" spans="14:17" ht="15">
      <c r="N1624" s="187">
        <v>44386</v>
      </c>
      <c r="O1624" s="180">
        <v>-0.51400000000000001</v>
      </c>
      <c r="P1624" s="191">
        <v>44386</v>
      </c>
      <c r="Q1624" s="192" t="s">
        <v>88</v>
      </c>
    </row>
    <row r="1625" spans="14:17" ht="15">
      <c r="N1625" s="187">
        <v>44389</v>
      </c>
      <c r="O1625" s="180">
        <v>-0.51100000000000001</v>
      </c>
      <c r="P1625" s="191">
        <v>44389</v>
      </c>
      <c r="Q1625" s="192" t="s">
        <v>214</v>
      </c>
    </row>
    <row r="1626" spans="14:17" ht="15">
      <c r="N1626" s="187">
        <v>44390</v>
      </c>
      <c r="O1626" s="180">
        <v>-0.51300000000000001</v>
      </c>
      <c r="P1626" s="191">
        <v>44390</v>
      </c>
      <c r="Q1626" s="192" t="s">
        <v>213</v>
      </c>
    </row>
    <row r="1627" spans="14:17" ht="15">
      <c r="N1627" s="187">
        <v>44391</v>
      </c>
      <c r="O1627" s="180">
        <v>-0.51300000000000001</v>
      </c>
      <c r="P1627" s="191">
        <v>44391</v>
      </c>
      <c r="Q1627" s="192" t="s">
        <v>95</v>
      </c>
    </row>
    <row r="1628" spans="14:17" ht="15">
      <c r="N1628" s="187">
        <v>44392</v>
      </c>
      <c r="O1628" s="180">
        <v>-0.51300000000000001</v>
      </c>
      <c r="P1628" s="191">
        <v>44392</v>
      </c>
      <c r="Q1628" s="192" t="s">
        <v>92</v>
      </c>
    </row>
    <row r="1629" spans="14:17" ht="15">
      <c r="N1629" s="187">
        <v>44393</v>
      </c>
      <c r="O1629" s="180">
        <v>-0.51500000000000001</v>
      </c>
      <c r="P1629" s="191">
        <v>44393</v>
      </c>
      <c r="Q1629" s="192" t="s">
        <v>145</v>
      </c>
    </row>
    <row r="1630" spans="14:17" ht="15">
      <c r="N1630" s="187">
        <v>44396</v>
      </c>
      <c r="O1630" s="180">
        <v>-0.51500000000000001</v>
      </c>
      <c r="P1630" s="191">
        <v>44396</v>
      </c>
      <c r="Q1630" s="192" t="s">
        <v>226</v>
      </c>
    </row>
    <row r="1631" spans="14:17" ht="15">
      <c r="N1631" s="187">
        <v>44397</v>
      </c>
      <c r="O1631" s="180">
        <v>-0.51800000000000002</v>
      </c>
      <c r="P1631" s="191">
        <v>44397</v>
      </c>
      <c r="Q1631" s="192" t="s">
        <v>208</v>
      </c>
    </row>
    <row r="1632" spans="14:17" ht="15">
      <c r="N1632" s="187">
        <v>44398</v>
      </c>
      <c r="O1632" s="180">
        <v>-0.51300000000000001</v>
      </c>
      <c r="P1632" s="191">
        <v>44398</v>
      </c>
      <c r="Q1632" s="192" t="s">
        <v>227</v>
      </c>
    </row>
    <row r="1633" spans="14:17" ht="15">
      <c r="N1633" s="187">
        <v>44399</v>
      </c>
      <c r="O1633" s="180">
        <v>-0.51700000000000002</v>
      </c>
      <c r="P1633" s="191">
        <v>44399</v>
      </c>
      <c r="Q1633" s="192" t="s">
        <v>153</v>
      </c>
    </row>
    <row r="1634" spans="14:17" ht="15">
      <c r="N1634" s="187">
        <v>44400</v>
      </c>
      <c r="O1634" s="180">
        <v>-0.51900000000000002</v>
      </c>
      <c r="P1634" s="191">
        <v>44400</v>
      </c>
      <c r="Q1634" s="192" t="s">
        <v>269</v>
      </c>
    </row>
    <row r="1635" spans="14:17" ht="15">
      <c r="N1635" s="187">
        <v>44403</v>
      </c>
      <c r="O1635" s="180">
        <v>-0.51900000000000002</v>
      </c>
      <c r="P1635" s="191">
        <v>44403</v>
      </c>
      <c r="Q1635" s="192" t="s">
        <v>370</v>
      </c>
    </row>
    <row r="1636" spans="14:17" ht="15">
      <c r="N1636" s="187">
        <v>44404</v>
      </c>
      <c r="O1636" s="180">
        <v>-0.52300000000000002</v>
      </c>
      <c r="P1636" s="191">
        <v>44404</v>
      </c>
      <c r="Q1636" s="192" t="s">
        <v>280</v>
      </c>
    </row>
    <row r="1637" spans="14:17" ht="15">
      <c r="N1637" s="187">
        <v>44405</v>
      </c>
      <c r="O1637" s="180">
        <v>-0.52400000000000002</v>
      </c>
      <c r="P1637" s="191">
        <v>44405</v>
      </c>
      <c r="Q1637" s="192" t="s">
        <v>357</v>
      </c>
    </row>
    <row r="1638" spans="14:17" ht="15">
      <c r="N1638" s="187">
        <v>44406</v>
      </c>
      <c r="O1638" s="180">
        <v>-0.52400000000000002</v>
      </c>
      <c r="P1638" s="191">
        <v>44406</v>
      </c>
      <c r="Q1638" s="192" t="s">
        <v>349</v>
      </c>
    </row>
    <row r="1639" spans="14:17" ht="15">
      <c r="N1639" s="187">
        <v>44407</v>
      </c>
      <c r="O1639" s="180">
        <v>-0.52300000000000002</v>
      </c>
      <c r="P1639" s="191">
        <v>44407</v>
      </c>
      <c r="Q1639" s="192" t="s">
        <v>232</v>
      </c>
    </row>
    <row r="1640" spans="14:17" ht="15">
      <c r="N1640" s="187">
        <v>44410</v>
      </c>
      <c r="O1640" s="180">
        <v>-0.52300000000000002</v>
      </c>
      <c r="P1640" s="191">
        <v>44410</v>
      </c>
      <c r="Q1640" s="192" t="s">
        <v>347</v>
      </c>
    </row>
    <row r="1641" spans="14:17" ht="15">
      <c r="N1641" s="187">
        <v>44411</v>
      </c>
      <c r="O1641" s="180">
        <v>-0.52500000000000002</v>
      </c>
      <c r="P1641" s="191">
        <v>44411</v>
      </c>
      <c r="Q1641" s="192" t="s">
        <v>371</v>
      </c>
    </row>
    <row r="1642" spans="14:17" ht="15">
      <c r="N1642" s="187">
        <v>44412</v>
      </c>
      <c r="O1642" s="180">
        <v>-0.53100000000000003</v>
      </c>
      <c r="P1642" s="191">
        <v>44412</v>
      </c>
      <c r="Q1642" s="192" t="s">
        <v>372</v>
      </c>
    </row>
    <row r="1643" spans="14:17" ht="15">
      <c r="N1643" s="187">
        <v>44413</v>
      </c>
      <c r="O1643" s="180">
        <v>-0.52700000000000002</v>
      </c>
      <c r="P1643" s="191">
        <v>44413</v>
      </c>
      <c r="Q1643" s="192" t="s">
        <v>373</v>
      </c>
    </row>
    <row r="1644" spans="14:17" ht="15">
      <c r="N1644" s="187">
        <v>44414</v>
      </c>
      <c r="O1644" s="180">
        <v>-0.52400000000000002</v>
      </c>
      <c r="P1644" s="191">
        <v>44414</v>
      </c>
      <c r="Q1644" s="192" t="s">
        <v>291</v>
      </c>
    </row>
    <row r="1645" spans="14:17" ht="15">
      <c r="N1645" s="187">
        <v>44417</v>
      </c>
      <c r="O1645" s="180">
        <v>-0.52700000000000002</v>
      </c>
      <c r="P1645" s="191">
        <v>44417</v>
      </c>
      <c r="Q1645" s="192" t="s">
        <v>161</v>
      </c>
    </row>
    <row r="1646" spans="14:17" ht="15">
      <c r="N1646" s="187">
        <v>44418</v>
      </c>
      <c r="O1646" s="180">
        <v>-0.52800000000000002</v>
      </c>
      <c r="P1646" s="191">
        <v>44418</v>
      </c>
      <c r="Q1646" s="192" t="s">
        <v>374</v>
      </c>
    </row>
    <row r="1647" spans="14:17" ht="15">
      <c r="N1647" s="187">
        <v>44419</v>
      </c>
      <c r="O1647" s="180">
        <v>-0.53</v>
      </c>
      <c r="P1647" s="191">
        <v>44419</v>
      </c>
      <c r="Q1647" s="192" t="s">
        <v>246</v>
      </c>
    </row>
    <row r="1648" spans="14:17" ht="15">
      <c r="N1648" s="187">
        <v>44420</v>
      </c>
      <c r="O1648" s="180">
        <v>-0.52700000000000002</v>
      </c>
      <c r="P1648" s="191">
        <v>44420</v>
      </c>
      <c r="Q1648" s="192" t="s">
        <v>295</v>
      </c>
    </row>
    <row r="1649" spans="14:17" ht="15">
      <c r="N1649" s="187">
        <v>44421</v>
      </c>
      <c r="O1649" s="180">
        <v>-0.52800000000000002</v>
      </c>
      <c r="P1649" s="191">
        <v>44421</v>
      </c>
      <c r="Q1649" s="192" t="s">
        <v>193</v>
      </c>
    </row>
    <row r="1650" spans="14:17" ht="15">
      <c r="N1650" s="187">
        <v>44424</v>
      </c>
      <c r="O1650" s="180">
        <v>-0.52700000000000002</v>
      </c>
      <c r="P1650" s="191">
        <v>44424</v>
      </c>
      <c r="Q1650" s="192" t="s">
        <v>192</v>
      </c>
    </row>
    <row r="1651" spans="14:17" ht="15">
      <c r="N1651" s="187">
        <v>44425</v>
      </c>
      <c r="O1651" s="180">
        <v>-0.52700000000000002</v>
      </c>
      <c r="P1651" s="191">
        <v>44425</v>
      </c>
      <c r="Q1651" s="192" t="s">
        <v>307</v>
      </c>
    </row>
    <row r="1652" spans="14:17" ht="15">
      <c r="N1652" s="187">
        <v>44426</v>
      </c>
      <c r="O1652" s="180">
        <v>-0.52700000000000002</v>
      </c>
      <c r="P1652" s="191">
        <v>44426</v>
      </c>
      <c r="Q1652" s="192" t="s">
        <v>191</v>
      </c>
    </row>
    <row r="1653" spans="14:17" ht="15">
      <c r="N1653" s="187">
        <v>44427</v>
      </c>
      <c r="O1653" s="180">
        <v>-0.52900000000000003</v>
      </c>
      <c r="P1653" s="191">
        <v>44427</v>
      </c>
      <c r="Q1653" s="192" t="s">
        <v>189</v>
      </c>
    </row>
    <row r="1654" spans="14:17" ht="15">
      <c r="N1654" s="187">
        <v>44428</v>
      </c>
      <c r="O1654" s="180">
        <v>-0.52800000000000002</v>
      </c>
      <c r="P1654" s="191">
        <v>44428</v>
      </c>
      <c r="Q1654" s="192" t="s">
        <v>297</v>
      </c>
    </row>
    <row r="1655" spans="14:17" ht="15">
      <c r="N1655" s="187">
        <v>44431</v>
      </c>
      <c r="O1655" s="180">
        <v>-0.52900000000000003</v>
      </c>
      <c r="P1655" s="191">
        <v>44431</v>
      </c>
      <c r="Q1655" s="192" t="s">
        <v>375</v>
      </c>
    </row>
    <row r="1656" spans="14:17" ht="15">
      <c r="N1656" s="187">
        <v>44432</v>
      </c>
      <c r="O1656" s="180">
        <v>-0.52700000000000002</v>
      </c>
      <c r="P1656" s="191">
        <v>44432</v>
      </c>
      <c r="Q1656" s="192" t="s">
        <v>306</v>
      </c>
    </row>
    <row r="1657" spans="14:17" ht="15">
      <c r="N1657" s="187">
        <v>44433</v>
      </c>
      <c r="O1657" s="180">
        <v>-0.52800000000000002</v>
      </c>
      <c r="P1657" s="191">
        <v>44433</v>
      </c>
      <c r="Q1657" s="192" t="s">
        <v>305</v>
      </c>
    </row>
    <row r="1658" spans="14:17" ht="15">
      <c r="N1658" s="187">
        <v>44434</v>
      </c>
      <c r="O1658" s="180">
        <v>-0.53</v>
      </c>
      <c r="P1658" s="191">
        <v>44434</v>
      </c>
      <c r="Q1658" s="192" t="s">
        <v>306</v>
      </c>
    </row>
    <row r="1659" spans="14:17" ht="15">
      <c r="N1659" s="187">
        <v>44435</v>
      </c>
      <c r="O1659" s="180">
        <v>-0.52900000000000003</v>
      </c>
      <c r="P1659" s="191">
        <v>44435</v>
      </c>
      <c r="Q1659" s="192" t="s">
        <v>189</v>
      </c>
    </row>
    <row r="1660" spans="14:17" ht="15">
      <c r="N1660" s="187">
        <v>44438</v>
      </c>
      <c r="O1660" s="180">
        <v>-0.52900000000000003</v>
      </c>
      <c r="P1660" s="191">
        <v>44438</v>
      </c>
      <c r="Q1660" s="192" t="s">
        <v>375</v>
      </c>
    </row>
    <row r="1661" spans="14:17" ht="15">
      <c r="N1661" s="187">
        <v>44439</v>
      </c>
      <c r="O1661" s="180">
        <v>-0.52200000000000002</v>
      </c>
      <c r="P1661" s="191">
        <v>44439</v>
      </c>
      <c r="Q1661" s="192" t="s">
        <v>191</v>
      </c>
    </row>
    <row r="1662" spans="14:17" ht="15">
      <c r="N1662" s="187">
        <v>44440</v>
      </c>
      <c r="O1662" s="180">
        <v>-0.52100000000000002</v>
      </c>
      <c r="P1662" s="191">
        <v>44440</v>
      </c>
      <c r="Q1662" s="192" t="s">
        <v>163</v>
      </c>
    </row>
    <row r="1663" spans="14:17" ht="15">
      <c r="N1663" s="187">
        <v>44441</v>
      </c>
      <c r="O1663" s="180">
        <v>-0.52</v>
      </c>
      <c r="P1663" s="191">
        <v>44441</v>
      </c>
      <c r="Q1663" s="192" t="s">
        <v>192</v>
      </c>
    </row>
    <row r="1664" spans="14:17" ht="15">
      <c r="N1664" s="187">
        <v>44442</v>
      </c>
      <c r="O1664" s="180">
        <v>-0.51900000000000002</v>
      </c>
      <c r="P1664" s="191">
        <v>44442</v>
      </c>
      <c r="Q1664" s="192" t="s">
        <v>376</v>
      </c>
    </row>
    <row r="1665" spans="14:17" ht="15">
      <c r="N1665" s="187">
        <v>44445</v>
      </c>
      <c r="O1665" s="180">
        <v>-0.52</v>
      </c>
      <c r="P1665" s="191">
        <v>44445</v>
      </c>
      <c r="Q1665" s="192" t="s">
        <v>237</v>
      </c>
    </row>
    <row r="1666" spans="14:17" ht="15">
      <c r="N1666" s="187">
        <v>44446</v>
      </c>
      <c r="O1666" s="180">
        <v>-0.51800000000000002</v>
      </c>
      <c r="P1666" s="191">
        <v>44446</v>
      </c>
      <c r="Q1666" s="192" t="s">
        <v>162</v>
      </c>
    </row>
    <row r="1667" spans="14:17" ht="15">
      <c r="N1667" s="187">
        <v>44447</v>
      </c>
      <c r="O1667" s="180">
        <v>-0.51700000000000002</v>
      </c>
      <c r="P1667" s="191">
        <v>44447</v>
      </c>
      <c r="Q1667" s="192" t="s">
        <v>246</v>
      </c>
    </row>
    <row r="1668" spans="14:17" ht="15">
      <c r="N1668" s="187">
        <v>44448</v>
      </c>
      <c r="O1668" s="180">
        <v>-0.52200000000000002</v>
      </c>
      <c r="P1668" s="191">
        <v>44448</v>
      </c>
      <c r="Q1668" s="192" t="s">
        <v>374</v>
      </c>
    </row>
    <row r="1669" spans="14:17" ht="15">
      <c r="N1669" s="187">
        <v>44449</v>
      </c>
      <c r="O1669" s="180">
        <v>-0.51900000000000002</v>
      </c>
      <c r="P1669" s="191">
        <v>44449</v>
      </c>
      <c r="Q1669" s="192" t="s">
        <v>292</v>
      </c>
    </row>
    <row r="1670" spans="14:17" ht="15">
      <c r="N1670" s="187">
        <v>44452</v>
      </c>
      <c r="O1670" s="180">
        <v>-0.52</v>
      </c>
      <c r="P1670" s="191">
        <v>44452</v>
      </c>
      <c r="Q1670" s="192" t="s">
        <v>377</v>
      </c>
    </row>
    <row r="1671" spans="14:17" ht="15">
      <c r="N1671" s="187">
        <v>44453</v>
      </c>
      <c r="O1671" s="180">
        <v>-0.52200000000000002</v>
      </c>
      <c r="P1671" s="191">
        <v>44453</v>
      </c>
      <c r="Q1671" s="192" t="s">
        <v>291</v>
      </c>
    </row>
    <row r="1672" spans="14:17" ht="15">
      <c r="N1672" s="187">
        <v>44454</v>
      </c>
      <c r="O1672" s="180">
        <v>-0.52400000000000002</v>
      </c>
      <c r="P1672" s="191">
        <v>44454</v>
      </c>
      <c r="Q1672" s="192" t="s">
        <v>373</v>
      </c>
    </row>
    <row r="1673" spans="14:17" ht="15">
      <c r="N1673" s="187">
        <v>44455</v>
      </c>
      <c r="O1673" s="180">
        <v>-0.52200000000000002</v>
      </c>
      <c r="P1673" s="191">
        <v>44455</v>
      </c>
      <c r="Q1673" s="192" t="s">
        <v>289</v>
      </c>
    </row>
    <row r="1674" spans="14:17" ht="15">
      <c r="N1674" s="187">
        <v>44456</v>
      </c>
      <c r="O1674" s="180">
        <v>-0.52600000000000002</v>
      </c>
      <c r="P1674" s="191">
        <v>44456</v>
      </c>
      <c r="Q1674" s="192" t="s">
        <v>289</v>
      </c>
    </row>
    <row r="1675" spans="14:17" ht="15">
      <c r="N1675" s="187">
        <v>44459</v>
      </c>
      <c r="O1675" s="180">
        <v>-0.52800000000000002</v>
      </c>
      <c r="P1675" s="191">
        <v>44459</v>
      </c>
      <c r="Q1675" s="192" t="s">
        <v>347</v>
      </c>
    </row>
    <row r="1676" spans="14:17" ht="15">
      <c r="N1676" s="187">
        <v>44460</v>
      </c>
      <c r="O1676" s="180">
        <v>-0.53</v>
      </c>
      <c r="P1676" s="191">
        <v>44460</v>
      </c>
      <c r="Q1676" s="192" t="s">
        <v>249</v>
      </c>
    </row>
    <row r="1677" spans="14:17" ht="15">
      <c r="N1677" s="187">
        <v>44461</v>
      </c>
      <c r="O1677" s="180">
        <v>-0.52300000000000002</v>
      </c>
      <c r="P1677" s="191">
        <v>44461</v>
      </c>
      <c r="Q1677" s="192" t="s">
        <v>232</v>
      </c>
    </row>
    <row r="1678" spans="14:17" ht="15">
      <c r="N1678" s="187">
        <v>44462</v>
      </c>
      <c r="O1678" s="180">
        <v>-0.52800000000000002</v>
      </c>
      <c r="P1678" s="191">
        <v>44462</v>
      </c>
      <c r="Q1678" s="192" t="s">
        <v>250</v>
      </c>
    </row>
    <row r="1679" spans="14:17" ht="15">
      <c r="N1679" s="187">
        <v>44463</v>
      </c>
      <c r="O1679" s="180">
        <v>-0.52300000000000002</v>
      </c>
      <c r="P1679" s="191">
        <v>44463</v>
      </c>
      <c r="Q1679" s="192" t="s">
        <v>281</v>
      </c>
    </row>
    <row r="1680" spans="14:17" ht="15">
      <c r="N1680" s="187">
        <v>44466</v>
      </c>
      <c r="O1680" s="180">
        <v>-0.51700000000000002</v>
      </c>
      <c r="P1680" s="191">
        <v>44466</v>
      </c>
      <c r="Q1680" s="192" t="s">
        <v>280</v>
      </c>
    </row>
    <row r="1681" spans="14:17" ht="15">
      <c r="N1681" s="187">
        <v>44467</v>
      </c>
      <c r="O1681" s="180">
        <v>-0.52300000000000002</v>
      </c>
      <c r="P1681" s="191">
        <v>44467</v>
      </c>
      <c r="Q1681" s="192" t="s">
        <v>378</v>
      </c>
    </row>
    <row r="1682" spans="14:17" ht="15">
      <c r="N1682" s="187">
        <v>44468</v>
      </c>
      <c r="O1682" s="180">
        <v>-0.52300000000000002</v>
      </c>
      <c r="P1682" s="191">
        <v>44468</v>
      </c>
      <c r="Q1682" s="192" t="s">
        <v>228</v>
      </c>
    </row>
    <row r="1683" spans="14:17" ht="15">
      <c r="N1683" s="187">
        <v>44469</v>
      </c>
      <c r="O1683" s="180">
        <v>-0.52800000000000002</v>
      </c>
      <c r="P1683" s="191">
        <v>44469</v>
      </c>
      <c r="Q1683" s="192" t="s">
        <v>271</v>
      </c>
    </row>
    <row r="1684" spans="14:17" ht="15">
      <c r="N1684" s="187">
        <v>44470</v>
      </c>
      <c r="O1684" s="180">
        <v>-0.52600000000000002</v>
      </c>
      <c r="P1684" s="191">
        <v>44470</v>
      </c>
      <c r="Q1684" s="192" t="s">
        <v>272</v>
      </c>
    </row>
    <row r="1685" spans="14:17" ht="15">
      <c r="N1685" s="187">
        <v>44473</v>
      </c>
      <c r="O1685" s="180">
        <v>-0.52700000000000002</v>
      </c>
      <c r="P1685" s="191">
        <v>44473</v>
      </c>
      <c r="Q1685" s="192" t="s">
        <v>273</v>
      </c>
    </row>
    <row r="1686" spans="14:17" ht="15">
      <c r="N1686" s="187">
        <v>44474</v>
      </c>
      <c r="O1686" s="180">
        <v>-0.52500000000000002</v>
      </c>
      <c r="P1686" s="191">
        <v>44474</v>
      </c>
      <c r="Q1686" s="192" t="s">
        <v>274</v>
      </c>
    </row>
    <row r="1687" spans="14:17" ht="15">
      <c r="N1687" s="187">
        <v>44475</v>
      </c>
      <c r="O1687" s="180">
        <v>-0.53</v>
      </c>
      <c r="P1687" s="191">
        <v>44475</v>
      </c>
      <c r="Q1687" s="192" t="s">
        <v>362</v>
      </c>
    </row>
    <row r="1688" spans="14:17" ht="15">
      <c r="N1688" s="187">
        <v>44476</v>
      </c>
      <c r="O1688" s="180">
        <v>-0.52600000000000002</v>
      </c>
      <c r="P1688" s="191">
        <v>44476</v>
      </c>
      <c r="Q1688" s="192" t="s">
        <v>253</v>
      </c>
    </row>
    <row r="1689" spans="14:17" ht="15">
      <c r="N1689" s="187">
        <v>44477</v>
      </c>
      <c r="O1689" s="180">
        <v>-0.51800000000000002</v>
      </c>
      <c r="P1689" s="191">
        <v>44477</v>
      </c>
      <c r="Q1689" s="192" t="s">
        <v>148</v>
      </c>
    </row>
    <row r="1690" spans="14:17" ht="15">
      <c r="N1690" s="187">
        <v>44480</v>
      </c>
      <c r="O1690" s="180">
        <v>-0.52100000000000002</v>
      </c>
      <c r="P1690" s="191">
        <v>44480</v>
      </c>
      <c r="Q1690" s="192" t="s">
        <v>379</v>
      </c>
    </row>
    <row r="1691" spans="14:17" ht="15">
      <c r="N1691" s="187">
        <v>44481</v>
      </c>
      <c r="O1691" s="180">
        <v>-0.52300000000000002</v>
      </c>
      <c r="P1691" s="191">
        <v>44481</v>
      </c>
      <c r="Q1691" s="192" t="s">
        <v>92</v>
      </c>
    </row>
    <row r="1692" spans="14:17" ht="15">
      <c r="N1692" s="187">
        <v>44482</v>
      </c>
      <c r="O1692" s="180">
        <v>-0.52400000000000002</v>
      </c>
      <c r="P1692" s="191">
        <v>44482</v>
      </c>
      <c r="Q1692" s="192" t="s">
        <v>214</v>
      </c>
    </row>
    <row r="1693" spans="14:17" ht="15">
      <c r="N1693" s="187">
        <v>44483</v>
      </c>
      <c r="O1693" s="180">
        <v>-0.52300000000000002</v>
      </c>
      <c r="P1693" s="191">
        <v>44483</v>
      </c>
      <c r="Q1693" s="192" t="s">
        <v>266</v>
      </c>
    </row>
    <row r="1694" spans="14:17" ht="15">
      <c r="N1694" s="187">
        <v>44484</v>
      </c>
      <c r="O1694" s="180">
        <v>-0.52800000000000002</v>
      </c>
      <c r="P1694" s="191">
        <v>44484</v>
      </c>
      <c r="Q1694" s="192" t="s">
        <v>86</v>
      </c>
    </row>
    <row r="1695" spans="14:17" ht="15">
      <c r="N1695" s="187">
        <v>44487</v>
      </c>
      <c r="O1695" s="180">
        <v>-0.52700000000000002</v>
      </c>
      <c r="P1695" s="191">
        <v>44487</v>
      </c>
      <c r="Q1695" s="192" t="s">
        <v>223</v>
      </c>
    </row>
    <row r="1696" spans="14:17" ht="15">
      <c r="N1696" s="187">
        <v>44488</v>
      </c>
      <c r="O1696" s="180">
        <v>-0.52400000000000002</v>
      </c>
      <c r="P1696" s="191">
        <v>44488</v>
      </c>
      <c r="Q1696" s="192" t="s">
        <v>80</v>
      </c>
    </row>
    <row r="1697" spans="14:18" ht="15">
      <c r="N1697" s="187">
        <v>44489</v>
      </c>
      <c r="O1697" s="180">
        <v>-0.52700000000000002</v>
      </c>
      <c r="P1697" s="191">
        <v>44489</v>
      </c>
      <c r="Q1697" s="192" t="s">
        <v>102</v>
      </c>
    </row>
    <row r="1698" spans="14:18" ht="15">
      <c r="N1698" s="187">
        <v>44490</v>
      </c>
      <c r="O1698" s="180">
        <v>-0.53200000000000003</v>
      </c>
      <c r="P1698" s="191">
        <v>44490</v>
      </c>
      <c r="Q1698" s="192" t="s">
        <v>76</v>
      </c>
    </row>
    <row r="1699" spans="14:18" ht="15">
      <c r="N1699" s="187">
        <v>44491</v>
      </c>
      <c r="O1699" s="180">
        <v>-0.53400000000000003</v>
      </c>
      <c r="P1699" s="191">
        <v>44491</v>
      </c>
      <c r="Q1699" s="192" t="s">
        <v>99</v>
      </c>
    </row>
    <row r="1700" spans="14:18" ht="15">
      <c r="N1700" s="187">
        <v>44494</v>
      </c>
      <c r="O1700" s="180">
        <v>-0.52800000000000002</v>
      </c>
      <c r="P1700" s="191">
        <v>44494</v>
      </c>
      <c r="Q1700" s="192" t="s">
        <v>101</v>
      </c>
    </row>
    <row r="1701" spans="14:18" ht="15">
      <c r="N1701" s="187">
        <v>44495</v>
      </c>
      <c r="O1701" s="180">
        <v>-0.53300000000000003</v>
      </c>
      <c r="P1701" s="191"/>
      <c r="Q1701" s="193" t="s">
        <v>101</v>
      </c>
    </row>
    <row r="1702" spans="14:18" ht="15">
      <c r="N1702" s="187">
        <v>44496</v>
      </c>
      <c r="O1702" s="180">
        <v>-0.53600000000000003</v>
      </c>
      <c r="P1702" s="191">
        <v>44496</v>
      </c>
      <c r="Q1702" s="192" t="s">
        <v>108</v>
      </c>
    </row>
    <row r="1703" spans="14:18" ht="15">
      <c r="N1703" s="187">
        <v>44497</v>
      </c>
      <c r="O1703" s="180">
        <v>-0.53300000000000003</v>
      </c>
      <c r="P1703" s="191">
        <v>44497</v>
      </c>
      <c r="Q1703" s="192" t="s">
        <v>109</v>
      </c>
    </row>
    <row r="1704" spans="14:18" ht="15">
      <c r="N1704" s="187">
        <v>44498</v>
      </c>
      <c r="O1704" s="180">
        <v>-0.52700000000000002</v>
      </c>
      <c r="P1704" s="191">
        <v>44498</v>
      </c>
      <c r="Q1704" s="192" t="s">
        <v>365</v>
      </c>
    </row>
    <row r="1705" spans="14:18" ht="15">
      <c r="N1705" s="187">
        <v>44501</v>
      </c>
      <c r="O1705" s="180">
        <v>-0.52900000000000003</v>
      </c>
      <c r="P1705" s="191"/>
      <c r="Q1705" s="193">
        <v>-0.13400000000000001</v>
      </c>
      <c r="R1705" s="111">
        <f>+(O1705+Q1705)/2+0.37</f>
        <v>3.8499999999999979E-2</v>
      </c>
    </row>
    <row r="1706" spans="14:18" ht="15">
      <c r="N1706" s="187">
        <v>44502</v>
      </c>
      <c r="O1706" s="180">
        <v>-0.53400000000000003</v>
      </c>
      <c r="P1706" s="191">
        <v>44502</v>
      </c>
      <c r="Q1706" s="192" t="s">
        <v>366</v>
      </c>
    </row>
    <row r="1707" spans="14:18" ht="15">
      <c r="N1707" s="187">
        <v>44503</v>
      </c>
      <c r="O1707" s="180">
        <v>-0.53800000000000003</v>
      </c>
      <c r="P1707" s="191">
        <v>44503</v>
      </c>
      <c r="Q1707" s="192" t="s">
        <v>71</v>
      </c>
    </row>
    <row r="1708" spans="14:18" ht="15">
      <c r="N1708" s="187">
        <v>44504</v>
      </c>
      <c r="O1708" s="180">
        <v>-0.53800000000000003</v>
      </c>
      <c r="P1708" s="191">
        <v>44504</v>
      </c>
      <c r="Q1708" s="192" t="s">
        <v>380</v>
      </c>
    </row>
    <row r="1709" spans="14:18" ht="15">
      <c r="N1709" s="187">
        <v>44505</v>
      </c>
      <c r="O1709" s="180">
        <v>-0.53600000000000003</v>
      </c>
      <c r="P1709" s="191">
        <v>44505</v>
      </c>
      <c r="Q1709" s="192" t="s">
        <v>112</v>
      </c>
    </row>
    <row r="1710" spans="14:18" ht="15">
      <c r="N1710" s="187">
        <v>44508</v>
      </c>
      <c r="O1710" s="180">
        <v>-0.53700000000000003</v>
      </c>
      <c r="P1710" s="191">
        <v>44508</v>
      </c>
      <c r="Q1710" s="192" t="s">
        <v>366</v>
      </c>
    </row>
    <row r="1711" spans="14:18" ht="15">
      <c r="N1711" s="187">
        <v>44509</v>
      </c>
      <c r="O1711" s="180">
        <v>-0.53300000000000003</v>
      </c>
      <c r="P1711" s="191">
        <v>44509</v>
      </c>
      <c r="Q1711" s="192" t="s">
        <v>364</v>
      </c>
    </row>
    <row r="1712" spans="14:18" ht="15">
      <c r="N1712" s="187">
        <v>44510</v>
      </c>
      <c r="O1712" s="180">
        <v>-0.53200000000000003</v>
      </c>
      <c r="P1712" s="191">
        <v>44510</v>
      </c>
      <c r="Q1712" s="192" t="s">
        <v>142</v>
      </c>
    </row>
    <row r="1713" spans="14:17" ht="15">
      <c r="N1713" s="187">
        <v>44511</v>
      </c>
      <c r="O1713" s="180">
        <v>-0.52700000000000002</v>
      </c>
      <c r="P1713" s="191">
        <v>44511</v>
      </c>
      <c r="Q1713" s="192" t="s">
        <v>73</v>
      </c>
    </row>
    <row r="1714" spans="14:17" ht="15">
      <c r="N1714" s="187">
        <v>44512</v>
      </c>
      <c r="O1714" s="180">
        <v>-0.53300000000000003</v>
      </c>
      <c r="P1714" s="191">
        <v>44512</v>
      </c>
      <c r="Q1714" s="192" t="s">
        <v>75</v>
      </c>
    </row>
    <row r="1715" spans="14:17" ht="15">
      <c r="N1715" s="187">
        <v>44515</v>
      </c>
      <c r="O1715" s="180">
        <v>-0.52800000000000002</v>
      </c>
      <c r="P1715" s="191">
        <v>44515</v>
      </c>
      <c r="Q1715" s="192" t="s">
        <v>97</v>
      </c>
    </row>
    <row r="1716" spans="14:17" ht="15">
      <c r="N1716" s="187">
        <v>44516</v>
      </c>
      <c r="O1716" s="180">
        <v>-0.53</v>
      </c>
      <c r="P1716" s="191">
        <v>44516</v>
      </c>
      <c r="Q1716" s="192" t="s">
        <v>221</v>
      </c>
    </row>
    <row r="1717" spans="14:17" ht="15">
      <c r="N1717" s="187">
        <v>44517</v>
      </c>
      <c r="O1717" s="180">
        <v>-0.53800000000000003</v>
      </c>
      <c r="P1717" s="191">
        <v>44517</v>
      </c>
      <c r="Q1717" s="192" t="s">
        <v>103</v>
      </c>
    </row>
    <row r="1718" spans="14:17" ht="15">
      <c r="N1718" s="187">
        <v>44518</v>
      </c>
      <c r="O1718" s="180">
        <v>-0.53300000000000003</v>
      </c>
      <c r="P1718" s="191">
        <v>44518</v>
      </c>
      <c r="Q1718" s="192" t="s">
        <v>80</v>
      </c>
    </row>
    <row r="1719" spans="14:17" ht="15">
      <c r="N1719" s="187">
        <v>44519</v>
      </c>
      <c r="O1719" s="180">
        <v>-0.52800000000000002</v>
      </c>
      <c r="P1719" s="191">
        <v>44519</v>
      </c>
      <c r="Q1719" s="192" t="s">
        <v>223</v>
      </c>
    </row>
    <row r="1720" spans="14:17" ht="15">
      <c r="N1720" s="187">
        <v>44522</v>
      </c>
      <c r="O1720" s="180">
        <v>-0.52800000000000002</v>
      </c>
      <c r="P1720" s="191">
        <v>44522</v>
      </c>
      <c r="Q1720" s="192" t="s">
        <v>78</v>
      </c>
    </row>
    <row r="1721" spans="14:17" ht="15">
      <c r="N1721" s="187">
        <v>44523</v>
      </c>
      <c r="O1721" s="180">
        <v>-0.53300000000000003</v>
      </c>
      <c r="P1721" s="191">
        <v>44523</v>
      </c>
      <c r="Q1721" s="192" t="s">
        <v>367</v>
      </c>
    </row>
    <row r="1722" spans="14:17" ht="15">
      <c r="N1722" s="187">
        <v>44524</v>
      </c>
      <c r="O1722" s="180">
        <v>-0.54</v>
      </c>
      <c r="P1722" s="191">
        <v>44524</v>
      </c>
      <c r="Q1722" s="192" t="s">
        <v>219</v>
      </c>
    </row>
    <row r="1723" spans="14:17" ht="15">
      <c r="N1723" s="187">
        <v>44525</v>
      </c>
      <c r="O1723" s="180">
        <v>-0.54200000000000004</v>
      </c>
      <c r="P1723" s="191">
        <v>44525</v>
      </c>
      <c r="Q1723" s="192" t="s">
        <v>368</v>
      </c>
    </row>
    <row r="1724" spans="14:17" ht="15">
      <c r="N1724" s="187">
        <v>44526</v>
      </c>
      <c r="O1724" s="180">
        <v>-0.53700000000000003</v>
      </c>
      <c r="P1724" s="191">
        <v>44526</v>
      </c>
      <c r="Q1724" s="192" t="s">
        <v>381</v>
      </c>
    </row>
    <row r="1725" spans="14:17" ht="15">
      <c r="N1725" s="187">
        <v>44529</v>
      </c>
      <c r="O1725" s="180">
        <v>-0.53600000000000003</v>
      </c>
      <c r="P1725" s="191">
        <v>44529</v>
      </c>
      <c r="Q1725" s="192" t="s">
        <v>266</v>
      </c>
    </row>
    <row r="1726" spans="14:17" ht="15">
      <c r="N1726" s="187">
        <v>44530</v>
      </c>
      <c r="O1726" s="180">
        <v>-0.53800000000000003</v>
      </c>
      <c r="P1726" s="191">
        <v>44530</v>
      </c>
      <c r="Q1726" s="192" t="s">
        <v>89</v>
      </c>
    </row>
    <row r="1727" spans="14:17" ht="15">
      <c r="N1727" s="187">
        <v>44531</v>
      </c>
      <c r="O1727" s="180">
        <v>-0.54100000000000004</v>
      </c>
      <c r="P1727" s="191">
        <v>44531</v>
      </c>
      <c r="Q1727" s="192" t="s">
        <v>93</v>
      </c>
    </row>
    <row r="1728" spans="14:17" ht="15">
      <c r="N1728" s="187">
        <v>44532</v>
      </c>
      <c r="O1728" s="180">
        <v>-0.54100000000000004</v>
      </c>
      <c r="P1728" s="191">
        <v>44532</v>
      </c>
      <c r="Q1728" s="192" t="s">
        <v>144</v>
      </c>
    </row>
    <row r="1729" spans="14:17" ht="15">
      <c r="N1729" s="187">
        <v>44533</v>
      </c>
      <c r="O1729" s="180">
        <v>-0.53700000000000003</v>
      </c>
      <c r="P1729" s="191">
        <v>44533</v>
      </c>
      <c r="Q1729" s="192" t="s">
        <v>225</v>
      </c>
    </row>
    <row r="1730" spans="14:17" ht="15">
      <c r="N1730" s="187">
        <v>44536</v>
      </c>
      <c r="O1730" s="180">
        <v>-0.54300000000000004</v>
      </c>
      <c r="P1730" s="191">
        <v>44536</v>
      </c>
      <c r="Q1730" s="192" t="s">
        <v>147</v>
      </c>
    </row>
    <row r="1731" spans="14:17" ht="15">
      <c r="N1731" s="187">
        <v>44537</v>
      </c>
      <c r="O1731" s="180">
        <v>-0.53800000000000003</v>
      </c>
      <c r="P1731" s="191">
        <v>44537</v>
      </c>
      <c r="Q1731" s="192" t="s">
        <v>226</v>
      </c>
    </row>
    <row r="1732" spans="14:17" ht="15">
      <c r="N1732" s="187">
        <v>44538</v>
      </c>
      <c r="O1732" s="180">
        <v>-0.54</v>
      </c>
      <c r="P1732" s="191"/>
      <c r="Q1732" s="193" t="s">
        <v>226</v>
      </c>
    </row>
    <row r="1733" spans="14:17" ht="15">
      <c r="N1733" s="187">
        <v>44539</v>
      </c>
      <c r="O1733" s="180">
        <v>-0.54600000000000004</v>
      </c>
      <c r="P1733" s="191">
        <v>44539</v>
      </c>
      <c r="Q1733" s="192" t="s">
        <v>226</v>
      </c>
    </row>
    <row r="1734" spans="14:17" ht="15">
      <c r="N1734" s="187">
        <v>44540</v>
      </c>
      <c r="O1734" s="180">
        <v>-0.54300000000000004</v>
      </c>
      <c r="P1734" s="191">
        <v>44540</v>
      </c>
      <c r="Q1734" s="192" t="s">
        <v>148</v>
      </c>
    </row>
    <row r="1735" spans="14:17" ht="15">
      <c r="N1735" s="187">
        <v>44543</v>
      </c>
      <c r="O1735" s="180">
        <v>-0.54700000000000004</v>
      </c>
      <c r="P1735" s="191">
        <v>44543</v>
      </c>
      <c r="Q1735" s="192" t="s">
        <v>382</v>
      </c>
    </row>
    <row r="1736" spans="14:17" ht="15">
      <c r="N1736" s="187">
        <v>44544</v>
      </c>
      <c r="O1736" s="180">
        <v>-0.54500000000000004</v>
      </c>
      <c r="P1736" s="191">
        <v>44544</v>
      </c>
      <c r="Q1736" s="192" t="s">
        <v>149</v>
      </c>
    </row>
    <row r="1737" spans="14:17" ht="15">
      <c r="N1737" s="187">
        <v>44545</v>
      </c>
      <c r="O1737" s="180">
        <v>-0.54700000000000004</v>
      </c>
      <c r="P1737" s="191">
        <v>44545</v>
      </c>
      <c r="Q1737" s="192" t="s">
        <v>253</v>
      </c>
    </row>
    <row r="1738" spans="14:17" ht="15">
      <c r="N1738" s="187">
        <v>44546</v>
      </c>
      <c r="O1738" s="180">
        <v>-0.54800000000000004</v>
      </c>
      <c r="P1738" s="191">
        <v>44546</v>
      </c>
      <c r="Q1738" s="192" t="s">
        <v>150</v>
      </c>
    </row>
    <row r="1739" spans="14:17" ht="15">
      <c r="N1739" s="187">
        <v>44547</v>
      </c>
      <c r="O1739" s="180">
        <v>-0.55100000000000005</v>
      </c>
      <c r="P1739" s="191">
        <v>44547</v>
      </c>
      <c r="Q1739" s="192" t="s">
        <v>383</v>
      </c>
    </row>
    <row r="1740" spans="14:17" ht="15">
      <c r="N1740" s="187">
        <v>44550</v>
      </c>
      <c r="O1740" s="180">
        <v>-0.55400000000000005</v>
      </c>
      <c r="P1740" s="191">
        <v>44550</v>
      </c>
      <c r="Q1740" s="192" t="s">
        <v>362</v>
      </c>
    </row>
    <row r="1741" spans="14:17" ht="15">
      <c r="N1741" s="187">
        <v>44551</v>
      </c>
      <c r="O1741" s="180">
        <v>-0.55100000000000005</v>
      </c>
      <c r="P1741" s="191">
        <v>44551</v>
      </c>
      <c r="Q1741" s="192" t="s">
        <v>383</v>
      </c>
    </row>
    <row r="1742" spans="14:17" ht="15">
      <c r="N1742" s="187">
        <v>44552</v>
      </c>
      <c r="O1742" s="180">
        <v>-0.54500000000000004</v>
      </c>
      <c r="P1742" s="191">
        <v>44552</v>
      </c>
      <c r="Q1742" s="192" t="s">
        <v>268</v>
      </c>
    </row>
    <row r="1743" spans="14:17" ht="15">
      <c r="N1743" s="187">
        <v>44553</v>
      </c>
      <c r="O1743" s="180">
        <v>-0.53700000000000003</v>
      </c>
      <c r="P1743" s="191">
        <v>44553</v>
      </c>
      <c r="Q1743" s="192" t="s">
        <v>383</v>
      </c>
    </row>
    <row r="1744" spans="14:17" ht="15">
      <c r="N1744" s="187">
        <v>44554</v>
      </c>
      <c r="O1744" s="180">
        <v>-0.54400000000000004</v>
      </c>
      <c r="P1744" s="191"/>
      <c r="Q1744" s="193" t="s">
        <v>383</v>
      </c>
    </row>
    <row r="1745" spans="14:17" ht="15">
      <c r="N1745" s="187">
        <v>44557</v>
      </c>
      <c r="O1745" s="180">
        <v>-0.54400000000000004</v>
      </c>
      <c r="P1745" s="191">
        <v>44557</v>
      </c>
      <c r="Q1745" s="192" t="s">
        <v>383</v>
      </c>
    </row>
    <row r="1746" spans="14:17" ht="15">
      <c r="N1746" s="187">
        <v>44558</v>
      </c>
      <c r="O1746" s="180">
        <v>-0.54800000000000004</v>
      </c>
      <c r="P1746" s="191">
        <v>44558</v>
      </c>
      <c r="Q1746" s="192" t="s">
        <v>208</v>
      </c>
    </row>
    <row r="1747" spans="14:17" ht="15">
      <c r="N1747" s="187">
        <v>44559</v>
      </c>
      <c r="O1747" s="180">
        <v>-0.54400000000000004</v>
      </c>
      <c r="P1747" s="191">
        <v>44559</v>
      </c>
      <c r="Q1747" s="192" t="s">
        <v>384</v>
      </c>
    </row>
    <row r="1748" spans="14:17" ht="15">
      <c r="N1748" s="187">
        <v>44560</v>
      </c>
      <c r="O1748" s="180">
        <v>-0.54600000000000004</v>
      </c>
      <c r="P1748" s="191">
        <v>44560</v>
      </c>
      <c r="Q1748" s="192" t="s">
        <v>379</v>
      </c>
    </row>
    <row r="1749" spans="14:17" ht="15">
      <c r="N1749" s="187">
        <v>44561</v>
      </c>
      <c r="O1749" s="180">
        <v>-0.54600000000000004</v>
      </c>
      <c r="P1749" s="191">
        <v>44561</v>
      </c>
      <c r="Q1749" s="192" t="s">
        <v>211</v>
      </c>
    </row>
    <row r="1750" spans="14:17" ht="15">
      <c r="N1750" s="187">
        <v>44564</v>
      </c>
      <c r="O1750" s="180">
        <v>-0.53900000000000003</v>
      </c>
      <c r="P1750" s="191">
        <v>44564</v>
      </c>
      <c r="Q1750" s="192" t="s">
        <v>212</v>
      </c>
    </row>
    <row r="1751" spans="14:17" ht="15">
      <c r="N1751" s="187">
        <v>44565</v>
      </c>
      <c r="O1751" s="180">
        <v>-0.53500000000000003</v>
      </c>
      <c r="P1751" s="191">
        <v>44565</v>
      </c>
      <c r="Q1751" s="192" t="s">
        <v>86</v>
      </c>
    </row>
    <row r="1752" spans="14:17" ht="15">
      <c r="N1752" s="187">
        <v>44566</v>
      </c>
      <c r="O1752" s="180">
        <v>-0.54100000000000004</v>
      </c>
      <c r="P1752" s="191">
        <v>44566</v>
      </c>
      <c r="Q1752" s="192" t="s">
        <v>368</v>
      </c>
    </row>
    <row r="1753" spans="14:17" ht="15">
      <c r="N1753" s="187">
        <v>44567</v>
      </c>
      <c r="O1753" s="180">
        <v>-0.53400000000000003</v>
      </c>
      <c r="P1753" s="191"/>
      <c r="Q1753" s="193" t="s">
        <v>368</v>
      </c>
    </row>
    <row r="1754" spans="14:17" ht="15">
      <c r="N1754" s="187">
        <v>44568</v>
      </c>
      <c r="O1754" s="180">
        <v>-0.53600000000000003</v>
      </c>
      <c r="P1754" s="191">
        <v>44568</v>
      </c>
      <c r="Q1754" s="192" t="s">
        <v>78</v>
      </c>
    </row>
    <row r="1755" spans="14:17" ht="15">
      <c r="N1755" s="187">
        <v>44571</v>
      </c>
      <c r="O1755" s="180">
        <v>-0.53100000000000003</v>
      </c>
      <c r="P1755" s="191">
        <v>44571</v>
      </c>
      <c r="Q1755" s="192" t="s">
        <v>143</v>
      </c>
    </row>
    <row r="1756" spans="14:17" ht="15">
      <c r="N1756" s="187">
        <v>44572</v>
      </c>
      <c r="O1756" s="180">
        <v>-0.52800000000000002</v>
      </c>
      <c r="P1756" s="191">
        <v>44572</v>
      </c>
      <c r="Q1756" s="192" t="s">
        <v>363</v>
      </c>
    </row>
    <row r="1757" spans="14:17" ht="15">
      <c r="N1757" s="187">
        <v>44573</v>
      </c>
      <c r="O1757" s="180">
        <v>-0.52900000000000003</v>
      </c>
      <c r="P1757" s="191">
        <v>44573</v>
      </c>
      <c r="Q1757" s="192" t="s">
        <v>265</v>
      </c>
    </row>
    <row r="1758" spans="14:17" ht="15">
      <c r="N1758" s="187">
        <v>44574</v>
      </c>
      <c r="O1758" s="180">
        <v>-0.53400000000000003</v>
      </c>
      <c r="P1758" s="191">
        <v>44574</v>
      </c>
      <c r="Q1758" s="192" t="s">
        <v>385</v>
      </c>
    </row>
    <row r="1759" spans="14:17" ht="15">
      <c r="N1759" s="187">
        <v>44575</v>
      </c>
      <c r="O1759" s="180">
        <v>-0.53300000000000003</v>
      </c>
      <c r="P1759" s="191">
        <v>44575</v>
      </c>
      <c r="Q1759" s="192" t="s">
        <v>386</v>
      </c>
    </row>
    <row r="1760" spans="14:17" ht="15">
      <c r="N1760" s="187">
        <v>44578</v>
      </c>
      <c r="O1760" s="180">
        <v>-0.52300000000000002</v>
      </c>
      <c r="P1760" s="191">
        <v>44578</v>
      </c>
      <c r="Q1760" s="192" t="s">
        <v>387</v>
      </c>
    </row>
    <row r="1761" spans="14:17" ht="15">
      <c r="N1761" s="187">
        <v>44579</v>
      </c>
      <c r="O1761" s="180">
        <v>-0.52400000000000002</v>
      </c>
      <c r="P1761" s="191">
        <v>44579</v>
      </c>
      <c r="Q1761" s="192" t="s">
        <v>256</v>
      </c>
    </row>
    <row r="1762" spans="14:17" ht="15">
      <c r="N1762" s="187">
        <v>44580</v>
      </c>
      <c r="O1762" s="180">
        <v>-0.52400000000000002</v>
      </c>
      <c r="P1762" s="191">
        <v>44580</v>
      </c>
      <c r="Q1762" s="192" t="s">
        <v>388</v>
      </c>
    </row>
    <row r="1763" spans="14:17" ht="15">
      <c r="N1763" s="187">
        <v>44581</v>
      </c>
      <c r="O1763" s="180">
        <v>-0.52100000000000002</v>
      </c>
      <c r="P1763" s="191">
        <v>44581</v>
      </c>
      <c r="Q1763" s="192" t="s">
        <v>389</v>
      </c>
    </row>
    <row r="1764" spans="14:17" ht="15">
      <c r="N1764" s="187">
        <v>44582</v>
      </c>
      <c r="O1764" s="180">
        <v>-0.52200000000000002</v>
      </c>
      <c r="P1764" s="191">
        <v>44582</v>
      </c>
      <c r="Q1764" s="192" t="s">
        <v>390</v>
      </c>
    </row>
    <row r="1765" spans="14:17" ht="15">
      <c r="N1765" s="187">
        <v>44585</v>
      </c>
      <c r="O1765" s="180">
        <v>-0.52200000000000002</v>
      </c>
      <c r="P1765" s="191">
        <v>44585</v>
      </c>
      <c r="Q1765" s="192" t="s">
        <v>122</v>
      </c>
    </row>
    <row r="1766" spans="14:17" ht="15">
      <c r="N1766" s="187">
        <v>44586</v>
      </c>
      <c r="O1766" s="180">
        <v>-0.52300000000000002</v>
      </c>
      <c r="P1766" s="191">
        <v>44586</v>
      </c>
      <c r="Q1766" s="192" t="s">
        <v>391</v>
      </c>
    </row>
    <row r="1767" spans="14:17" ht="15">
      <c r="N1767" s="187">
        <v>44587</v>
      </c>
      <c r="O1767" s="180">
        <v>-0.52400000000000002</v>
      </c>
      <c r="P1767" s="191">
        <v>44587</v>
      </c>
      <c r="Q1767" s="192" t="s">
        <v>392</v>
      </c>
    </row>
    <row r="1768" spans="14:17" ht="15">
      <c r="N1768" s="187">
        <v>44588</v>
      </c>
      <c r="O1768" s="180">
        <v>-0.51800000000000002</v>
      </c>
      <c r="P1768" s="191">
        <v>44588</v>
      </c>
      <c r="Q1768" s="192" t="s">
        <v>124</v>
      </c>
    </row>
    <row r="1769" spans="14:17" ht="15">
      <c r="N1769" s="187">
        <v>44589</v>
      </c>
      <c r="O1769" s="180">
        <v>-0.51900000000000002</v>
      </c>
      <c r="P1769" s="191">
        <v>44589</v>
      </c>
      <c r="Q1769" s="192" t="s">
        <v>393</v>
      </c>
    </row>
    <row r="1770" spans="14:17" ht="15">
      <c r="N1770" s="187">
        <v>44592</v>
      </c>
      <c r="O1770" s="180">
        <v>-0.51400000000000001</v>
      </c>
      <c r="P1770" s="191">
        <v>44592</v>
      </c>
      <c r="Q1770" s="192" t="s">
        <v>394</v>
      </c>
    </row>
    <row r="1771" spans="14:17" ht="15">
      <c r="N1771" s="187">
        <v>44593</v>
      </c>
      <c r="O1771" s="180">
        <v>-0.503</v>
      </c>
      <c r="P1771" s="191">
        <v>44593</v>
      </c>
      <c r="Q1771" s="192">
        <v>0</v>
      </c>
    </row>
    <row r="1772" spans="14:17" ht="15">
      <c r="N1772" s="187">
        <v>44594</v>
      </c>
      <c r="O1772" s="180">
        <v>-0.502</v>
      </c>
      <c r="P1772" s="191">
        <v>44594</v>
      </c>
      <c r="Q1772" s="192">
        <v>7.0000000000000001E-3</v>
      </c>
    </row>
    <row r="1773" spans="14:17" ht="15">
      <c r="N1773" s="187">
        <v>44595</v>
      </c>
      <c r="O1773" s="180">
        <v>-0.499</v>
      </c>
      <c r="P1773" s="191">
        <v>44595</v>
      </c>
      <c r="Q1773" s="192">
        <v>1.6E-2</v>
      </c>
    </row>
    <row r="1774" spans="14:17" ht="15">
      <c r="N1774" s="187">
        <v>44596</v>
      </c>
      <c r="O1774" s="180">
        <v>-0.47299999999999998</v>
      </c>
      <c r="P1774" s="191">
        <v>44596</v>
      </c>
      <c r="Q1774" s="192">
        <v>0.03</v>
      </c>
    </row>
    <row r="1775" spans="14:17" ht="15">
      <c r="N1775" s="187">
        <v>44599</v>
      </c>
      <c r="O1775" s="180">
        <v>-0.45600000000000002</v>
      </c>
      <c r="P1775" s="191">
        <v>44599</v>
      </c>
      <c r="Q1775" s="192">
        <v>4.5999999999999999E-2</v>
      </c>
    </row>
    <row r="1776" spans="14:17" ht="15">
      <c r="N1776" s="187">
        <v>44600</v>
      </c>
      <c r="O1776" s="180">
        <v>-0.46300000000000002</v>
      </c>
      <c r="P1776" s="191">
        <v>44600</v>
      </c>
      <c r="Q1776" s="192">
        <v>6.2E-2</v>
      </c>
    </row>
    <row r="1777" spans="14:17" ht="15">
      <c r="N1777" s="187">
        <v>44601</v>
      </c>
      <c r="O1777" s="180">
        <v>-0.45700000000000002</v>
      </c>
      <c r="P1777" s="191">
        <v>44601</v>
      </c>
      <c r="Q1777" s="192">
        <v>7.6999999999999999E-2</v>
      </c>
    </row>
    <row r="1778" spans="14:17" ht="15">
      <c r="N1778" s="187">
        <v>44602</v>
      </c>
      <c r="O1778" s="180">
        <v>-0.46700000000000003</v>
      </c>
      <c r="P1778" s="191">
        <v>44602</v>
      </c>
      <c r="Q1778" s="192">
        <v>9.4E-2</v>
      </c>
    </row>
    <row r="1779" spans="14:17" ht="15">
      <c r="N1779" s="187">
        <v>44603</v>
      </c>
      <c r="O1779" s="180">
        <v>-0.45800000000000002</v>
      </c>
      <c r="P1779" s="191">
        <v>44603</v>
      </c>
      <c r="Q1779" s="192">
        <v>0.114</v>
      </c>
    </row>
    <row r="1780" spans="14:17" ht="15">
      <c r="N1780" s="187">
        <v>44606</v>
      </c>
      <c r="O1780" s="180">
        <v>-0.44800000000000001</v>
      </c>
      <c r="P1780" s="191">
        <v>44606</v>
      </c>
      <c r="Q1780" s="192">
        <v>0.13</v>
      </c>
    </row>
    <row r="1781" spans="14:17" ht="15">
      <c r="N1781" s="187">
        <v>44607</v>
      </c>
      <c r="O1781" s="180">
        <v>-0.45500000000000002</v>
      </c>
      <c r="P1781" s="191">
        <v>44607</v>
      </c>
      <c r="Q1781" s="192">
        <v>0.14699999999999999</v>
      </c>
    </row>
    <row r="1782" spans="14:17" ht="15">
      <c r="N1782" s="187">
        <v>44608</v>
      </c>
      <c r="O1782" s="180">
        <v>-0.46100000000000002</v>
      </c>
      <c r="P1782" s="191">
        <v>44608</v>
      </c>
      <c r="Q1782" s="192">
        <v>0.16300000000000001</v>
      </c>
    </row>
    <row r="1783" spans="14:17" ht="15">
      <c r="N1783" s="187">
        <v>44609</v>
      </c>
      <c r="O1783" s="180">
        <v>-0.47799999999999998</v>
      </c>
      <c r="P1783" s="191">
        <v>44609</v>
      </c>
      <c r="Q1783" s="192">
        <v>0.17899999999999999</v>
      </c>
    </row>
    <row r="1784" spans="14:17" ht="15">
      <c r="N1784" s="187">
        <v>44610</v>
      </c>
      <c r="O1784" s="180">
        <v>-0.48699999999999999</v>
      </c>
      <c r="P1784" s="191">
        <v>44610</v>
      </c>
      <c r="Q1784" s="192">
        <v>0.193</v>
      </c>
    </row>
    <row r="1785" spans="14:17" ht="15">
      <c r="N1785" s="187">
        <v>44613</v>
      </c>
      <c r="O1785" s="180">
        <v>-0.48199999999999998</v>
      </c>
      <c r="P1785" s="191">
        <v>44613</v>
      </c>
      <c r="Q1785" s="192">
        <v>0.21</v>
      </c>
    </row>
    <row r="1786" spans="14:17" ht="15">
      <c r="N1786" s="187">
        <v>44614</v>
      </c>
      <c r="O1786" s="180">
        <v>-0.49</v>
      </c>
      <c r="P1786" s="191">
        <v>44614</v>
      </c>
      <c r="Q1786" s="192">
        <v>0.22700000000000001</v>
      </c>
    </row>
    <row r="1787" spans="14:17" ht="15">
      <c r="N1787" s="187">
        <v>44615</v>
      </c>
      <c r="O1787" s="180">
        <v>-0.48299999999999998</v>
      </c>
      <c r="P1787" s="191">
        <v>44615</v>
      </c>
      <c r="Q1787" s="192">
        <v>0.24399999999999999</v>
      </c>
    </row>
    <row r="1788" spans="14:17" ht="15">
      <c r="N1788" s="187">
        <v>44616</v>
      </c>
      <c r="O1788" s="180">
        <v>-0.48</v>
      </c>
      <c r="P1788" s="191">
        <v>44616</v>
      </c>
      <c r="Q1788" s="192">
        <v>0.25700000000000001</v>
      </c>
    </row>
    <row r="1789" spans="14:17" ht="15">
      <c r="N1789" s="187">
        <v>44617</v>
      </c>
      <c r="O1789" s="180">
        <v>-0.48799999999999999</v>
      </c>
      <c r="P1789" s="191">
        <v>44617</v>
      </c>
      <c r="Q1789" s="192">
        <v>0.27100000000000002</v>
      </c>
    </row>
    <row r="1790" spans="14:17" ht="15">
      <c r="N1790" s="187">
        <v>44620</v>
      </c>
      <c r="O1790" s="180">
        <v>-0.49299999999999999</v>
      </c>
      <c r="P1790" s="191">
        <v>44620</v>
      </c>
      <c r="Q1790" s="192">
        <v>0.28199999999999997</v>
      </c>
    </row>
    <row r="1791" spans="14:17" ht="15">
      <c r="N1791" s="187">
        <v>44621</v>
      </c>
      <c r="O1791" s="180">
        <v>-0.496</v>
      </c>
      <c r="P1791" s="191">
        <v>44621</v>
      </c>
      <c r="Q1791" s="192">
        <v>0.28499999999999998</v>
      </c>
    </row>
    <row r="1792" spans="14:17" ht="15">
      <c r="N1792" s="187">
        <v>44622</v>
      </c>
      <c r="O1792" s="180">
        <v>-0.502</v>
      </c>
      <c r="P1792" s="191">
        <v>44622</v>
      </c>
      <c r="Q1792" s="192">
        <v>0.28599999999999998</v>
      </c>
    </row>
    <row r="1793" spans="14:17" ht="15">
      <c r="N1793" s="187">
        <v>44623</v>
      </c>
      <c r="O1793" s="180">
        <v>-0.48499999999999999</v>
      </c>
      <c r="P1793" s="191">
        <v>44623</v>
      </c>
      <c r="Q1793" s="192">
        <v>0.28899999999999998</v>
      </c>
    </row>
    <row r="1794" spans="14:17" ht="15">
      <c r="N1794" s="187">
        <v>44624</v>
      </c>
      <c r="O1794" s="180">
        <v>-0.48199999999999998</v>
      </c>
      <c r="P1794" s="191">
        <v>44624</v>
      </c>
      <c r="Q1794" s="192">
        <v>0.28100000000000003</v>
      </c>
    </row>
    <row r="1795" spans="14:17" ht="15">
      <c r="N1795" s="187">
        <v>44627</v>
      </c>
      <c r="O1795" s="180">
        <v>-0.45300000000000001</v>
      </c>
      <c r="P1795" s="191">
        <v>44627</v>
      </c>
      <c r="Q1795" s="192">
        <v>0.27200000000000002</v>
      </c>
    </row>
    <row r="1796" spans="14:17" ht="15">
      <c r="N1796" s="187">
        <v>44628</v>
      </c>
      <c r="O1796" s="180">
        <v>-0.443</v>
      </c>
      <c r="P1796" s="191">
        <v>44628</v>
      </c>
      <c r="Q1796" s="192">
        <v>0.26600000000000001</v>
      </c>
    </row>
    <row r="1797" spans="14:17" ht="15">
      <c r="N1797" s="187">
        <v>44629</v>
      </c>
      <c r="O1797" s="180">
        <v>-0.42399999999999999</v>
      </c>
      <c r="P1797" s="191">
        <v>44629</v>
      </c>
      <c r="Q1797" s="192">
        <v>0.26500000000000001</v>
      </c>
    </row>
    <row r="1798" spans="14:17" ht="15">
      <c r="N1798" s="187">
        <v>44630</v>
      </c>
      <c r="O1798" s="180">
        <v>-0.42699999999999999</v>
      </c>
      <c r="P1798" s="191">
        <v>44630</v>
      </c>
      <c r="Q1798" s="192">
        <v>0.26300000000000001</v>
      </c>
    </row>
    <row r="1799" spans="14:17" ht="15">
      <c r="N1799" s="187">
        <v>44631</v>
      </c>
      <c r="O1799" s="180">
        <v>-0.41399999999999998</v>
      </c>
      <c r="P1799" s="191">
        <v>44631</v>
      </c>
      <c r="Q1799" s="192">
        <v>0.26500000000000001</v>
      </c>
    </row>
    <row r="1800" spans="14:17" ht="15">
      <c r="N1800" s="187">
        <v>44634</v>
      </c>
      <c r="O1800" s="180">
        <v>-0.41299999999999998</v>
      </c>
      <c r="P1800" s="191">
        <v>44634</v>
      </c>
      <c r="Q1800" s="192">
        <v>0.27200000000000002</v>
      </c>
    </row>
    <row r="1801" spans="14:17" ht="15">
      <c r="N1801" s="187">
        <v>44635</v>
      </c>
      <c r="O1801" s="180">
        <v>-0.40699999999999997</v>
      </c>
      <c r="P1801" s="191">
        <v>44635</v>
      </c>
      <c r="Q1801" s="192">
        <v>0.27400000000000002</v>
      </c>
    </row>
    <row r="1802" spans="14:17" ht="15">
      <c r="N1802" s="187">
        <v>44636</v>
      </c>
      <c r="O1802" s="180">
        <v>-0.39300000000000002</v>
      </c>
      <c r="P1802" s="191">
        <v>44636</v>
      </c>
      <c r="Q1802" s="192">
        <v>0.27800000000000002</v>
      </c>
    </row>
    <row r="1803" spans="14:17" ht="15">
      <c r="N1803" s="187">
        <v>44637</v>
      </c>
      <c r="O1803" s="180">
        <v>-0.40200000000000002</v>
      </c>
      <c r="P1803" s="191">
        <v>44637</v>
      </c>
      <c r="Q1803" s="192">
        <v>0.28399999999999997</v>
      </c>
    </row>
    <row r="1804" spans="14:17" ht="15">
      <c r="N1804" s="187">
        <v>44638</v>
      </c>
      <c r="O1804" s="180">
        <v>-0.39300000000000002</v>
      </c>
      <c r="P1804" s="191">
        <v>44638</v>
      </c>
      <c r="Q1804" s="192">
        <v>0.28999999999999998</v>
      </c>
    </row>
    <row r="1805" spans="14:17" ht="15">
      <c r="N1805" s="187">
        <v>44641</v>
      </c>
      <c r="O1805" s="180">
        <v>-0.39100000000000001</v>
      </c>
      <c r="P1805" s="191">
        <v>44641</v>
      </c>
      <c r="Q1805" s="192">
        <v>0.29899999999999999</v>
      </c>
    </row>
    <row r="1806" spans="14:17" ht="15">
      <c r="N1806" s="187">
        <v>44642</v>
      </c>
      <c r="O1806" s="180">
        <v>-0.39300000000000002</v>
      </c>
      <c r="P1806" s="191">
        <v>44642</v>
      </c>
      <c r="Q1806" s="192">
        <v>0.31</v>
      </c>
    </row>
    <row r="1807" spans="14:17" ht="15">
      <c r="N1807" s="187">
        <v>44643</v>
      </c>
      <c r="O1807" s="180">
        <v>-0.39200000000000002</v>
      </c>
      <c r="P1807" s="191">
        <v>44643</v>
      </c>
      <c r="Q1807" s="192">
        <v>0.31900000000000001</v>
      </c>
    </row>
    <row r="1808" spans="14:17" ht="15">
      <c r="N1808" s="187">
        <v>44644</v>
      </c>
      <c r="O1808" s="180">
        <v>-0.39700000000000002</v>
      </c>
      <c r="P1808" s="191">
        <v>44644</v>
      </c>
      <c r="Q1808" s="192">
        <v>0.33200000000000002</v>
      </c>
    </row>
    <row r="1809" spans="14:17" ht="15">
      <c r="N1809" s="187">
        <v>44645</v>
      </c>
      <c r="O1809" s="180">
        <v>-0.39200000000000002</v>
      </c>
      <c r="P1809" s="191">
        <v>44645</v>
      </c>
      <c r="Q1809" s="192">
        <v>0.34399999999999997</v>
      </c>
    </row>
    <row r="1810" spans="14:17" ht="15">
      <c r="N1810" s="187">
        <v>44648</v>
      </c>
      <c r="O1810" s="180">
        <v>-0.38800000000000001</v>
      </c>
      <c r="P1810" s="191">
        <v>44648</v>
      </c>
      <c r="Q1810" s="192">
        <v>0.36</v>
      </c>
    </row>
    <row r="1811" spans="14:17" ht="15">
      <c r="N1811" s="187">
        <v>44649</v>
      </c>
      <c r="O1811" s="180">
        <v>-0.38100000000000001</v>
      </c>
      <c r="P1811" s="191">
        <v>44649</v>
      </c>
      <c r="Q1811" s="192">
        <v>0.38700000000000001</v>
      </c>
    </row>
    <row r="1812" spans="14:17" ht="15">
      <c r="N1812" s="187">
        <v>44650</v>
      </c>
      <c r="O1812" s="180">
        <v>-0.371</v>
      </c>
      <c r="P1812" s="191">
        <v>44650</v>
      </c>
      <c r="Q1812" s="192">
        <v>0.42799999999999999</v>
      </c>
    </row>
    <row r="1813" spans="14:17" ht="15">
      <c r="N1813" s="187">
        <v>44651</v>
      </c>
      <c r="O1813" s="180">
        <v>-0.36699999999999999</v>
      </c>
      <c r="P1813" s="191">
        <v>44651</v>
      </c>
      <c r="Q1813" s="192">
        <v>0.44900000000000001</v>
      </c>
    </row>
    <row r="1814" spans="14:17" ht="15">
      <c r="N1814" s="187">
        <v>44652</v>
      </c>
      <c r="O1814" s="180">
        <v>-0.36199999999999999</v>
      </c>
      <c r="P1814" s="191">
        <v>44652</v>
      </c>
      <c r="Q1814" s="192">
        <v>0.47399999999999998</v>
      </c>
    </row>
    <row r="1815" spans="14:17" ht="15">
      <c r="N1815" s="187">
        <v>44655</v>
      </c>
      <c r="O1815" s="180">
        <v>-0.35799999999999998</v>
      </c>
      <c r="P1815" s="191">
        <v>44655</v>
      </c>
      <c r="Q1815" s="192">
        <v>0.497</v>
      </c>
    </row>
    <row r="1816" spans="14:17" ht="15">
      <c r="N1816" s="187">
        <v>44656</v>
      </c>
      <c r="O1816" s="180">
        <v>-0.375</v>
      </c>
      <c r="P1816" s="191">
        <v>44656</v>
      </c>
      <c r="Q1816" s="192">
        <v>0.52200000000000002</v>
      </c>
    </row>
    <row r="1817" spans="14:17" ht="15">
      <c r="N1817" s="187">
        <v>44657</v>
      </c>
      <c r="O1817" s="180">
        <v>-0.36099999999999999</v>
      </c>
      <c r="P1817" s="191">
        <v>44657</v>
      </c>
      <c r="Q1817" s="192">
        <v>0.54600000000000004</v>
      </c>
    </row>
    <row r="1818" spans="14:17" ht="15">
      <c r="N1818" s="187">
        <v>44658</v>
      </c>
      <c r="O1818" s="180">
        <v>-0.35499999999999998</v>
      </c>
      <c r="P1818" s="191">
        <v>44658</v>
      </c>
      <c r="Q1818" s="192">
        <v>0.57099999999999995</v>
      </c>
    </row>
    <row r="1819" spans="14:17" ht="15">
      <c r="N1819" s="187">
        <v>44659</v>
      </c>
      <c r="O1819" s="180">
        <v>-0.35</v>
      </c>
      <c r="P1819" s="191">
        <v>44659</v>
      </c>
      <c r="Q1819" s="192">
        <v>0.59099999999999997</v>
      </c>
    </row>
    <row r="1820" spans="14:17" ht="15">
      <c r="N1820" s="187">
        <v>44662</v>
      </c>
      <c r="O1820" s="180">
        <v>-0.33400000000000002</v>
      </c>
      <c r="P1820" s="191">
        <v>44662</v>
      </c>
      <c r="Q1820" s="192">
        <v>0.61199999999999999</v>
      </c>
    </row>
    <row r="1821" spans="14:17" ht="15">
      <c r="N1821" s="187">
        <v>44663</v>
      </c>
      <c r="O1821" s="180">
        <v>-0.32</v>
      </c>
      <c r="P1821" s="191">
        <v>44663</v>
      </c>
      <c r="Q1821" s="192">
        <v>0.63300000000000001</v>
      </c>
    </row>
    <row r="1822" spans="14:17" ht="15">
      <c r="N1822" s="187">
        <v>44664</v>
      </c>
      <c r="O1822" s="180">
        <v>-0.32800000000000001</v>
      </c>
      <c r="P1822" s="191">
        <v>44664</v>
      </c>
      <c r="Q1822" s="192">
        <v>0.65300000000000002</v>
      </c>
    </row>
    <row r="1823" spans="14:17" ht="15">
      <c r="N1823" s="187">
        <v>44665</v>
      </c>
      <c r="O1823" s="180">
        <v>-0.317</v>
      </c>
      <c r="P1823" s="191">
        <v>44665</v>
      </c>
      <c r="Q1823" s="192">
        <v>0.67100000000000004</v>
      </c>
    </row>
    <row r="1824" spans="14:17" ht="15">
      <c r="N1824" s="187">
        <v>44666</v>
      </c>
      <c r="O1824" s="180">
        <v>-0.317</v>
      </c>
      <c r="P1824" s="191">
        <v>44666</v>
      </c>
      <c r="Q1824" s="192">
        <v>0.68400000000000005</v>
      </c>
    </row>
    <row r="1825" spans="14:18" ht="15">
      <c r="N1825" s="187">
        <v>44669</v>
      </c>
      <c r="O1825" s="180">
        <v>-0.317</v>
      </c>
      <c r="P1825" s="191"/>
      <c r="Q1825" s="193">
        <v>0.68400000000000005</v>
      </c>
    </row>
    <row r="1826" spans="14:18" ht="15">
      <c r="N1826" s="187">
        <v>44670</v>
      </c>
      <c r="O1826" s="180">
        <v>-0.33300000000000002</v>
      </c>
      <c r="P1826" s="191">
        <v>44670</v>
      </c>
      <c r="Q1826" s="192">
        <v>0.70699999999999996</v>
      </c>
    </row>
    <row r="1827" spans="14:18" ht="15">
      <c r="N1827" s="187">
        <v>44671</v>
      </c>
      <c r="O1827" s="180">
        <v>-0.33200000000000002</v>
      </c>
      <c r="P1827" s="191">
        <v>44671</v>
      </c>
      <c r="Q1827" s="192">
        <v>0.754</v>
      </c>
    </row>
    <row r="1828" spans="14:18" ht="15">
      <c r="N1828" s="187">
        <v>44672</v>
      </c>
      <c r="O1828" s="180">
        <v>-0.31</v>
      </c>
      <c r="P1828" s="191">
        <v>44672</v>
      </c>
      <c r="Q1828" s="192">
        <v>0.77300000000000002</v>
      </c>
    </row>
    <row r="1829" spans="14:18" ht="15">
      <c r="N1829" s="187">
        <v>44673</v>
      </c>
      <c r="O1829" s="180">
        <v>-0.26800000000000002</v>
      </c>
      <c r="P1829" s="191">
        <v>44673</v>
      </c>
      <c r="Q1829" s="192">
        <v>0.79400000000000004</v>
      </c>
    </row>
    <row r="1830" spans="14:18" ht="15">
      <c r="N1830" s="187">
        <v>44676</v>
      </c>
      <c r="O1830" s="180">
        <v>-0.23899999999999999</v>
      </c>
      <c r="P1830" s="191">
        <v>44676</v>
      </c>
      <c r="Q1830" s="192">
        <v>0.81200000000000006</v>
      </c>
    </row>
    <row r="1831" spans="14:18" ht="15">
      <c r="N1831" s="187">
        <v>44677</v>
      </c>
      <c r="O1831" s="180">
        <v>-0.246</v>
      </c>
      <c r="P1831" s="191">
        <v>44677</v>
      </c>
      <c r="Q1831" s="192">
        <v>0.82399999999999995</v>
      </c>
    </row>
    <row r="1832" spans="14:18" ht="15">
      <c r="N1832" s="187">
        <v>44678</v>
      </c>
      <c r="O1832" s="180">
        <v>-0.251</v>
      </c>
      <c r="P1832" s="191">
        <v>44678</v>
      </c>
      <c r="Q1832" s="192">
        <v>0.83299999999999996</v>
      </c>
    </row>
    <row r="1833" spans="14:18" ht="15">
      <c r="N1833" s="187">
        <v>44679</v>
      </c>
      <c r="O1833" s="180">
        <v>-0.24199999999999999</v>
      </c>
      <c r="P1833" s="191">
        <v>44679</v>
      </c>
      <c r="Q1833" s="192">
        <v>0.84199999999999997</v>
      </c>
    </row>
    <row r="1834" spans="14:18" ht="15">
      <c r="N1834" s="187">
        <v>44680</v>
      </c>
      <c r="O1834" s="180">
        <v>-0.22600000000000001</v>
      </c>
      <c r="P1834" s="191">
        <v>44680</v>
      </c>
      <c r="Q1834" s="192">
        <v>0.86</v>
      </c>
    </row>
    <row r="1835" spans="14:18" ht="15">
      <c r="N1835" s="187">
        <v>44683</v>
      </c>
      <c r="O1835" s="180">
        <v>-0.20399999999999999</v>
      </c>
      <c r="P1835" s="191">
        <v>44683</v>
      </c>
      <c r="Q1835" s="192">
        <v>0.877</v>
      </c>
      <c r="R1835" s="111">
        <f>+(O1835+Q1835)/2+0.37</f>
        <v>0.70650000000000002</v>
      </c>
    </row>
    <row r="1836" spans="14:18" ht="15">
      <c r="N1836" s="187">
        <v>44684</v>
      </c>
      <c r="O1836" s="180">
        <v>-0.19800000000000001</v>
      </c>
      <c r="P1836" s="191">
        <v>44684</v>
      </c>
      <c r="Q1836" s="192">
        <v>0.89800000000000002</v>
      </c>
    </row>
    <row r="1837" spans="14:18" ht="15">
      <c r="N1837" s="187">
        <v>44685</v>
      </c>
      <c r="O1837" s="180">
        <v>-0.20499999999999999</v>
      </c>
      <c r="P1837" s="191">
        <v>44685</v>
      </c>
      <c r="Q1837" s="192">
        <v>0.91700000000000004</v>
      </c>
    </row>
    <row r="1838" spans="14:18" ht="15">
      <c r="N1838" s="187">
        <v>44686</v>
      </c>
      <c r="O1838" s="180">
        <v>-0.20599999999999999</v>
      </c>
      <c r="P1838" s="191">
        <v>44686</v>
      </c>
      <c r="Q1838" s="192">
        <v>0.92900000000000005</v>
      </c>
    </row>
    <row r="1839" spans="14:18" ht="15">
      <c r="N1839" s="187">
        <v>44687</v>
      </c>
      <c r="O1839" s="180">
        <v>-0.20599999999999999</v>
      </c>
      <c r="P1839" s="191">
        <v>44687</v>
      </c>
      <c r="Q1839" s="192">
        <v>0.94799999999999995</v>
      </c>
    </row>
    <row r="1840" spans="14:18" ht="15">
      <c r="N1840" s="187">
        <v>44690</v>
      </c>
      <c r="O1840" s="180">
        <v>-0.183</v>
      </c>
      <c r="P1840" s="191">
        <v>44690</v>
      </c>
      <c r="Q1840" s="192">
        <v>0.96599999999999997</v>
      </c>
    </row>
    <row r="1841" spans="14:17" ht="15">
      <c r="N1841" s="187">
        <v>44691</v>
      </c>
      <c r="O1841" s="180">
        <v>-0.20200000000000001</v>
      </c>
      <c r="P1841" s="191">
        <v>44691</v>
      </c>
      <c r="Q1841" s="192">
        <v>0.97499999999999998</v>
      </c>
    </row>
    <row r="1842" spans="14:17" ht="15">
      <c r="N1842" s="187">
        <v>44692</v>
      </c>
      <c r="O1842" s="180">
        <v>-0.20799999999999999</v>
      </c>
      <c r="P1842" s="191">
        <v>44692</v>
      </c>
      <c r="Q1842" s="192">
        <v>0.98199999999999998</v>
      </c>
    </row>
    <row r="1843" spans="14:17" ht="15">
      <c r="N1843" s="187">
        <v>44693</v>
      </c>
      <c r="O1843" s="180">
        <v>-0.21099999999999999</v>
      </c>
      <c r="P1843" s="191">
        <v>44693</v>
      </c>
      <c r="Q1843" s="192">
        <v>0.98699999999999999</v>
      </c>
    </row>
    <row r="1844" spans="14:17" ht="15">
      <c r="N1844" s="187">
        <v>44694</v>
      </c>
      <c r="O1844" s="180">
        <v>-0.20899999999999999</v>
      </c>
      <c r="P1844" s="191">
        <v>44694</v>
      </c>
      <c r="Q1844" s="192">
        <v>0.99299999999999999</v>
      </c>
    </row>
    <row r="1845" spans="14:17" ht="15">
      <c r="N1845" s="187">
        <v>44697</v>
      </c>
      <c r="O1845" s="180">
        <v>-0.192</v>
      </c>
      <c r="P1845" s="191">
        <v>44697</v>
      </c>
      <c r="Q1845" s="192">
        <v>0.995</v>
      </c>
    </row>
    <row r="1846" spans="14:17" ht="15">
      <c r="N1846" s="187">
        <v>44698</v>
      </c>
      <c r="O1846" s="180">
        <v>-0.16600000000000001</v>
      </c>
      <c r="P1846" s="191">
        <v>44698</v>
      </c>
      <c r="Q1846" s="192">
        <v>1.0009999999999999</v>
      </c>
    </row>
    <row r="1847" spans="14:17" ht="15">
      <c r="N1847" s="187">
        <v>44699</v>
      </c>
      <c r="O1847" s="180">
        <v>-0.126</v>
      </c>
      <c r="P1847" s="191">
        <v>44699</v>
      </c>
      <c r="Q1847" s="192">
        <v>1.0109999999999999</v>
      </c>
    </row>
    <row r="1848" spans="14:17" ht="15">
      <c r="N1848" s="187">
        <v>44700</v>
      </c>
      <c r="O1848" s="180">
        <v>-9.6000000000000002E-2</v>
      </c>
      <c r="P1848" s="191">
        <v>44700</v>
      </c>
      <c r="Q1848" s="192">
        <v>1.0169999999999999</v>
      </c>
    </row>
    <row r="1849" spans="14:17" ht="15">
      <c r="N1849" s="187">
        <v>44701</v>
      </c>
      <c r="O1849" s="180">
        <v>-7.8E-2</v>
      </c>
      <c r="P1849" s="191">
        <v>44701</v>
      </c>
      <c r="Q1849" s="192">
        <v>1.0209999999999999</v>
      </c>
    </row>
    <row r="1850" spans="14:17" ht="15">
      <c r="N1850" s="187">
        <v>44704</v>
      </c>
      <c r="O1850" s="180">
        <v>-8.5000000000000006E-2</v>
      </c>
      <c r="P1850" s="191">
        <v>44704</v>
      </c>
      <c r="Q1850" s="192">
        <v>1.0289999999999999</v>
      </c>
    </row>
    <row r="1851" spans="14:17" ht="15">
      <c r="N1851" s="187">
        <v>44705</v>
      </c>
      <c r="O1851" s="180">
        <v>-7.2999999999999995E-2</v>
      </c>
      <c r="P1851" s="191">
        <v>44705</v>
      </c>
      <c r="Q1851" s="192">
        <v>1.0409999999999999</v>
      </c>
    </row>
    <row r="1852" spans="14:17" ht="15">
      <c r="N1852" s="187">
        <v>44706</v>
      </c>
      <c r="O1852" s="180">
        <v>-6.2E-2</v>
      </c>
      <c r="P1852" s="191">
        <v>44706</v>
      </c>
      <c r="Q1852" s="192">
        <v>1.0509999999999999</v>
      </c>
    </row>
    <row r="1853" spans="14:17" ht="15">
      <c r="N1853" s="187">
        <v>44707</v>
      </c>
      <c r="O1853" s="180">
        <v>-6.0999999999999999E-2</v>
      </c>
      <c r="P1853" s="191"/>
      <c r="Q1853" s="193">
        <v>1.0509999999999999</v>
      </c>
    </row>
    <row r="1854" spans="14:17" ht="15">
      <c r="N1854" s="187">
        <v>44708</v>
      </c>
      <c r="O1854" s="180">
        <v>-7.5999999999999998E-2</v>
      </c>
      <c r="P1854" s="191">
        <v>44708</v>
      </c>
      <c r="Q1854" s="192">
        <v>1.0609999999999999</v>
      </c>
    </row>
    <row r="1855" spans="14:17" ht="15">
      <c r="N1855" s="187">
        <v>44711</v>
      </c>
      <c r="O1855" s="180">
        <v>-6.8000000000000005E-2</v>
      </c>
      <c r="P1855" s="191">
        <v>44711</v>
      </c>
      <c r="Q1855" s="192">
        <v>1.07</v>
      </c>
    </row>
    <row r="1856" spans="14:17" ht="15">
      <c r="N1856" s="187">
        <v>44712</v>
      </c>
      <c r="O1856" s="180">
        <v>-4.4999999999999998E-2</v>
      </c>
      <c r="P1856" s="191">
        <v>44712</v>
      </c>
      <c r="Q1856" s="192">
        <v>1.095</v>
      </c>
    </row>
    <row r="1857" spans="14:17" ht="15">
      <c r="N1857" s="187">
        <v>44713</v>
      </c>
      <c r="O1857" s="180">
        <v>-3.4000000000000002E-2</v>
      </c>
      <c r="P1857" s="191">
        <v>44713</v>
      </c>
      <c r="Q1857" s="192">
        <v>1.1060000000000001</v>
      </c>
    </row>
    <row r="1858" spans="14:17" ht="15">
      <c r="N1858" s="187">
        <v>44714</v>
      </c>
      <c r="O1858" s="180">
        <v>-1.7000000000000001E-2</v>
      </c>
      <c r="P1858" s="191">
        <v>44714</v>
      </c>
      <c r="Q1858" s="192">
        <v>1.119</v>
      </c>
    </row>
    <row r="1859" spans="14:17" ht="15">
      <c r="N1859" s="187">
        <v>44715</v>
      </c>
      <c r="O1859" s="180">
        <v>-8.0000000000000002E-3</v>
      </c>
      <c r="P1859" s="191">
        <v>44715</v>
      </c>
      <c r="Q1859" s="192">
        <v>1.135</v>
      </c>
    </row>
    <row r="1860" spans="14:17" ht="15">
      <c r="N1860" s="187">
        <v>44718</v>
      </c>
      <c r="O1860" s="180">
        <v>8.9999999999999993E-3</v>
      </c>
      <c r="P1860" s="191"/>
      <c r="Q1860" s="193">
        <v>1.135</v>
      </c>
    </row>
    <row r="1861" spans="14:17" ht="15">
      <c r="N1861" s="187">
        <v>44719</v>
      </c>
      <c r="O1861" s="180">
        <v>2.9000000000000001E-2</v>
      </c>
      <c r="P1861" s="191">
        <v>44719</v>
      </c>
      <c r="Q1861" s="192">
        <v>1.147</v>
      </c>
    </row>
    <row r="1862" spans="14:17" ht="15">
      <c r="N1862" s="187">
        <v>44720</v>
      </c>
      <c r="O1862" s="180">
        <v>3.4000000000000002E-2</v>
      </c>
      <c r="P1862" s="191">
        <v>44720</v>
      </c>
      <c r="Q1862" s="192">
        <v>1.161</v>
      </c>
    </row>
    <row r="1863" spans="14:17" ht="15">
      <c r="N1863" s="187">
        <v>44721</v>
      </c>
      <c r="O1863" s="180">
        <v>6.3E-2</v>
      </c>
      <c r="P1863" s="191">
        <v>44721</v>
      </c>
      <c r="Q1863" s="192">
        <v>1.1819999999999999</v>
      </c>
    </row>
    <row r="1864" spans="14:17" ht="15">
      <c r="N1864" s="187">
        <v>44722</v>
      </c>
      <c r="O1864" s="180">
        <v>8.3000000000000004E-2</v>
      </c>
      <c r="P1864" s="191">
        <v>44722</v>
      </c>
      <c r="Q1864" s="192">
        <v>1.2090000000000001</v>
      </c>
    </row>
    <row r="1865" spans="14:17" ht="15">
      <c r="N1865" s="187">
        <v>44725</v>
      </c>
      <c r="O1865" s="180">
        <v>0.108</v>
      </c>
      <c r="P1865" s="191">
        <v>44725</v>
      </c>
      <c r="Q1865" s="192">
        <v>1.2490000000000001</v>
      </c>
    </row>
    <row r="1866" spans="14:17" ht="15">
      <c r="N1866" s="187">
        <v>44726</v>
      </c>
      <c r="O1866" s="180">
        <v>0.17499999999999999</v>
      </c>
      <c r="P1866" s="191">
        <v>44726</v>
      </c>
      <c r="Q1866" s="192">
        <v>1.2929999999999999</v>
      </c>
    </row>
    <row r="1867" spans="14:17" ht="15">
      <c r="N1867" s="187">
        <v>44727</v>
      </c>
      <c r="O1867" s="180">
        <v>0.23699999999999999</v>
      </c>
      <c r="P1867" s="191">
        <v>44727</v>
      </c>
      <c r="Q1867" s="192">
        <v>1.333</v>
      </c>
    </row>
    <row r="1868" spans="14:17" ht="15">
      <c r="N1868" s="187">
        <v>44728</v>
      </c>
      <c r="O1868" s="180">
        <v>0.249</v>
      </c>
      <c r="P1868" s="191"/>
      <c r="Q1868" s="193">
        <v>1.333</v>
      </c>
    </row>
    <row r="1869" spans="14:17" ht="15">
      <c r="N1869" s="187">
        <v>44729</v>
      </c>
      <c r="O1869" s="180">
        <v>0.29099999999999998</v>
      </c>
      <c r="P1869" s="191">
        <v>44729</v>
      </c>
      <c r="Q1869" s="192">
        <v>1.371</v>
      </c>
    </row>
    <row r="1870" spans="14:17" ht="15">
      <c r="N1870" s="187">
        <v>44732</v>
      </c>
      <c r="O1870" s="180">
        <v>0.27300000000000002</v>
      </c>
      <c r="P1870" s="191">
        <v>44732</v>
      </c>
      <c r="Q1870" s="192">
        <v>1.405</v>
      </c>
    </row>
    <row r="1871" spans="14:17" ht="15">
      <c r="N1871" s="187">
        <v>44733</v>
      </c>
      <c r="O1871" s="180">
        <v>0.28899999999999998</v>
      </c>
      <c r="P1871" s="191">
        <v>44733</v>
      </c>
      <c r="Q1871" s="192">
        <v>1.448</v>
      </c>
    </row>
    <row r="1872" spans="14:17" ht="15">
      <c r="N1872" s="187">
        <v>44734</v>
      </c>
      <c r="O1872" s="180">
        <v>0.29099999999999998</v>
      </c>
      <c r="P1872" s="191">
        <v>44734</v>
      </c>
      <c r="Q1872" s="192">
        <v>1.4850000000000001</v>
      </c>
    </row>
    <row r="1873" spans="14:17" ht="15">
      <c r="N1873" s="187">
        <v>44735</v>
      </c>
      <c r="O1873" s="180">
        <v>0.27300000000000002</v>
      </c>
      <c r="P1873" s="191">
        <v>44735</v>
      </c>
      <c r="Q1873" s="192">
        <v>1.5089999999999999</v>
      </c>
    </row>
    <row r="1874" spans="14:17" ht="15">
      <c r="N1874" s="187">
        <v>44736</v>
      </c>
      <c r="O1874" s="180">
        <v>0.223</v>
      </c>
      <c r="P1874" s="191">
        <v>44736</v>
      </c>
      <c r="Q1874" s="192">
        <v>1.532</v>
      </c>
    </row>
    <row r="1875" spans="14:17" ht="15">
      <c r="N1875" s="187">
        <v>44739</v>
      </c>
      <c r="O1875" s="180">
        <v>0.223</v>
      </c>
      <c r="P1875" s="191">
        <v>44739</v>
      </c>
      <c r="Q1875" s="192">
        <v>1.5609999999999999</v>
      </c>
    </row>
    <row r="1876" spans="14:17" ht="15">
      <c r="N1876" s="187">
        <v>44740</v>
      </c>
      <c r="O1876" s="180">
        <v>0.22500000000000001</v>
      </c>
      <c r="P1876" s="191">
        <v>44740</v>
      </c>
      <c r="Q1876" s="192">
        <v>1.593</v>
      </c>
    </row>
    <row r="1877" spans="14:17" ht="15">
      <c r="N1877" s="187">
        <v>44741</v>
      </c>
      <c r="O1877" s="180">
        <v>0.27800000000000002</v>
      </c>
      <c r="P1877" s="191">
        <v>44741</v>
      </c>
      <c r="Q1877" s="192">
        <v>1.6180000000000001</v>
      </c>
    </row>
    <row r="1878" spans="14:17" ht="15">
      <c r="N1878" s="187">
        <v>44742</v>
      </c>
      <c r="O1878" s="180">
        <v>0.26300000000000001</v>
      </c>
      <c r="P1878" s="191">
        <v>44742</v>
      </c>
      <c r="Q1878" s="192">
        <v>1.633</v>
      </c>
    </row>
    <row r="1879" spans="14:17" ht="15">
      <c r="N1879" s="187">
        <v>44743</v>
      </c>
      <c r="O1879" s="180">
        <v>0.23799999999999999</v>
      </c>
      <c r="P1879" s="191">
        <v>44743</v>
      </c>
      <c r="Q1879" s="192">
        <v>1.641</v>
      </c>
    </row>
    <row r="1880" spans="14:17" ht="15">
      <c r="N1880" s="187">
        <v>44746</v>
      </c>
      <c r="O1880" s="180">
        <v>0.24099999999999999</v>
      </c>
      <c r="P1880" s="191">
        <v>44746</v>
      </c>
      <c r="Q1880" s="192">
        <v>1.645</v>
      </c>
    </row>
    <row r="1881" spans="14:17" ht="15">
      <c r="N1881" s="187">
        <v>44747</v>
      </c>
      <c r="O1881" s="180">
        <v>0.23400000000000001</v>
      </c>
      <c r="P1881" s="191">
        <v>44747</v>
      </c>
      <c r="Q1881" s="192">
        <v>1.6459999999999999</v>
      </c>
    </row>
    <row r="1882" spans="14:17" ht="15">
      <c r="N1882" s="187">
        <v>44748</v>
      </c>
      <c r="O1882" s="180">
        <v>0.22600000000000001</v>
      </c>
      <c r="P1882" s="191">
        <v>44748</v>
      </c>
      <c r="Q1882" s="192">
        <v>1.641</v>
      </c>
    </row>
    <row r="1883" spans="14:17" ht="15">
      <c r="N1883" s="187">
        <v>44749</v>
      </c>
      <c r="O1883" s="180">
        <v>0.23799999999999999</v>
      </c>
      <c r="P1883" s="191">
        <v>44749</v>
      </c>
      <c r="Q1883" s="192">
        <v>1.641</v>
      </c>
    </row>
    <row r="1884" spans="14:17" ht="15">
      <c r="N1884" s="187">
        <v>44750</v>
      </c>
      <c r="O1884" s="180">
        <v>0.32200000000000001</v>
      </c>
      <c r="P1884" s="191">
        <v>44750</v>
      </c>
      <c r="Q1884" s="192">
        <v>1.637</v>
      </c>
    </row>
    <row r="1885" spans="14:17" ht="15">
      <c r="N1885" s="187">
        <v>44753</v>
      </c>
      <c r="O1885" s="180">
        <v>0.36499999999999999</v>
      </c>
      <c r="P1885" s="191">
        <v>44753</v>
      </c>
      <c r="Q1885" s="192">
        <v>1.6259999999999999</v>
      </c>
    </row>
    <row r="1886" spans="14:17" ht="15">
      <c r="N1886" s="187">
        <v>44754</v>
      </c>
      <c r="O1886" s="180">
        <v>0.379</v>
      </c>
      <c r="P1886" s="191">
        <v>44754</v>
      </c>
      <c r="Q1886" s="192">
        <v>1.6020000000000001</v>
      </c>
    </row>
    <row r="1887" spans="14:17" ht="15">
      <c r="N1887" s="187">
        <v>44755</v>
      </c>
      <c r="O1887" s="180">
        <v>0.36299999999999999</v>
      </c>
      <c r="P1887" s="191">
        <v>44755</v>
      </c>
      <c r="Q1887" s="192">
        <v>1.573</v>
      </c>
    </row>
    <row r="1888" spans="14:17" ht="15">
      <c r="N1888" s="187">
        <v>44756</v>
      </c>
      <c r="O1888" s="180">
        <v>0.44800000000000001</v>
      </c>
      <c r="P1888" s="191">
        <v>44756</v>
      </c>
      <c r="Q1888" s="192">
        <v>1.55</v>
      </c>
    </row>
    <row r="1889" spans="14:17" ht="15">
      <c r="N1889" s="187">
        <v>44757</v>
      </c>
      <c r="O1889" s="180">
        <v>0.53200000000000003</v>
      </c>
      <c r="P1889" s="191">
        <v>44757</v>
      </c>
      <c r="Q1889" s="192">
        <v>1.5629999999999999</v>
      </c>
    </row>
    <row r="1890" spans="14:17" ht="15">
      <c r="N1890" s="187">
        <v>44760</v>
      </c>
      <c r="O1890" s="180">
        <v>0.503</v>
      </c>
      <c r="P1890" s="191">
        <v>44760</v>
      </c>
      <c r="Q1890" s="192">
        <v>1.54</v>
      </c>
    </row>
    <row r="1891" spans="14:17" ht="15">
      <c r="N1891" s="187">
        <v>44761</v>
      </c>
      <c r="O1891" s="180">
        <v>0.53400000000000003</v>
      </c>
      <c r="P1891" s="191">
        <v>44761</v>
      </c>
      <c r="Q1891" s="192">
        <v>1.514</v>
      </c>
    </row>
    <row r="1892" spans="14:17" ht="15">
      <c r="N1892" s="187">
        <v>44762</v>
      </c>
      <c r="O1892" s="180">
        <v>0.63500000000000001</v>
      </c>
      <c r="P1892" s="191">
        <v>44762</v>
      </c>
      <c r="Q1892" s="192">
        <v>1.4930000000000001</v>
      </c>
    </row>
    <row r="1893" spans="14:17" ht="15">
      <c r="N1893" s="187">
        <v>44763</v>
      </c>
      <c r="O1893" s="180">
        <v>0.63200000000000001</v>
      </c>
      <c r="P1893" s="191">
        <v>44763</v>
      </c>
      <c r="Q1893" s="192">
        <v>1.4830000000000001</v>
      </c>
    </row>
    <row r="1894" spans="14:17" ht="15">
      <c r="N1894" s="187">
        <v>44764</v>
      </c>
      <c r="O1894" s="180">
        <v>0.70599999999999996</v>
      </c>
      <c r="P1894" s="191">
        <v>44764</v>
      </c>
      <c r="Q1894" s="192">
        <v>1.4650000000000001</v>
      </c>
    </row>
    <row r="1895" spans="14:17" ht="15">
      <c r="N1895" s="187">
        <v>44767</v>
      </c>
      <c r="O1895" s="180">
        <v>0.63300000000000001</v>
      </c>
      <c r="P1895" s="191">
        <v>44767</v>
      </c>
      <c r="Q1895" s="192">
        <v>1.4419999999999999</v>
      </c>
    </row>
    <row r="1896" spans="14:17" ht="15">
      <c r="N1896" s="187">
        <v>44768</v>
      </c>
      <c r="O1896" s="180">
        <v>0.623</v>
      </c>
      <c r="P1896" s="191">
        <v>44768</v>
      </c>
      <c r="Q1896" s="192">
        <v>1.411</v>
      </c>
    </row>
    <row r="1897" spans="14:17" ht="15">
      <c r="N1897" s="187">
        <v>44769</v>
      </c>
      <c r="O1897" s="180">
        <v>0.63100000000000001</v>
      </c>
      <c r="P1897" s="191">
        <v>44769</v>
      </c>
      <c r="Q1897" s="192">
        <v>1.383</v>
      </c>
    </row>
    <row r="1898" spans="14:17" ht="15">
      <c r="N1898" s="187">
        <v>44770</v>
      </c>
      <c r="O1898" s="180">
        <v>0.66</v>
      </c>
      <c r="P1898" s="191">
        <v>44770</v>
      </c>
      <c r="Q1898" s="192">
        <v>1.36</v>
      </c>
    </row>
    <row r="1899" spans="14:17" ht="15">
      <c r="N1899" s="187">
        <v>44771</v>
      </c>
      <c r="O1899" s="180">
        <v>0.65300000000000002</v>
      </c>
      <c r="P1899" s="191">
        <v>44771</v>
      </c>
      <c r="Q1899" s="192">
        <v>1.341</v>
      </c>
    </row>
    <row r="1900" spans="14:17" ht="15">
      <c r="N1900" s="187">
        <v>44774</v>
      </c>
      <c r="O1900" s="180">
        <v>0.65400000000000003</v>
      </c>
      <c r="P1900" s="191">
        <v>44774</v>
      </c>
      <c r="Q1900" s="192">
        <v>1.319</v>
      </c>
    </row>
    <row r="1901" spans="14:17" ht="15">
      <c r="N1901" s="187">
        <v>44775</v>
      </c>
      <c r="O1901" s="180">
        <v>0.65200000000000002</v>
      </c>
      <c r="P1901" s="191">
        <v>44775</v>
      </c>
      <c r="Q1901" s="192">
        <v>1.296</v>
      </c>
    </row>
    <row r="1902" spans="14:17" ht="15">
      <c r="N1902" s="187">
        <v>44776</v>
      </c>
      <c r="O1902" s="180">
        <v>0.66700000000000004</v>
      </c>
      <c r="P1902" s="191">
        <v>44776</v>
      </c>
      <c r="Q1902" s="192">
        <v>1.284</v>
      </c>
    </row>
    <row r="1903" spans="14:17" ht="15">
      <c r="N1903" s="187">
        <v>44777</v>
      </c>
      <c r="O1903" s="180">
        <v>0.68899999999999995</v>
      </c>
      <c r="P1903" s="191">
        <v>44777</v>
      </c>
      <c r="Q1903" s="192">
        <v>1.266</v>
      </c>
    </row>
    <row r="1904" spans="14:17" ht="15">
      <c r="N1904" s="187">
        <v>44778</v>
      </c>
      <c r="O1904" s="180">
        <v>0.67800000000000005</v>
      </c>
      <c r="P1904" s="191">
        <v>44778</v>
      </c>
      <c r="Q1904" s="192">
        <v>1.248</v>
      </c>
    </row>
    <row r="1905" spans="14:17" ht="15">
      <c r="N1905" s="187">
        <v>44781</v>
      </c>
      <c r="O1905" s="180">
        <v>0.72899999999999998</v>
      </c>
      <c r="P1905" s="191">
        <v>44781</v>
      </c>
      <c r="Q1905" s="192">
        <v>1.234</v>
      </c>
    </row>
    <row r="1906" spans="14:17" ht="15">
      <c r="N1906" s="187">
        <v>44782</v>
      </c>
      <c r="O1906" s="180">
        <v>0.73699999999999999</v>
      </c>
      <c r="P1906" s="191">
        <v>44782</v>
      </c>
      <c r="Q1906" s="192">
        <v>1.2290000000000001</v>
      </c>
    </row>
    <row r="1907" spans="14:17" ht="15">
      <c r="N1907" s="187">
        <v>44783</v>
      </c>
      <c r="O1907" s="180">
        <v>0.77400000000000002</v>
      </c>
      <c r="P1907" s="191">
        <v>44783</v>
      </c>
      <c r="Q1907" s="192">
        <v>1.2190000000000001</v>
      </c>
    </row>
    <row r="1908" spans="14:17" ht="15">
      <c r="N1908" s="187">
        <v>44784</v>
      </c>
      <c r="O1908" s="180">
        <v>0.76400000000000001</v>
      </c>
      <c r="P1908" s="191">
        <v>44784</v>
      </c>
      <c r="Q1908" s="192">
        <v>1.21</v>
      </c>
    </row>
    <row r="1909" spans="14:17" ht="15">
      <c r="N1909" s="187">
        <v>44785</v>
      </c>
      <c r="O1909" s="180">
        <v>0.76600000000000001</v>
      </c>
      <c r="P1909" s="191">
        <v>44785</v>
      </c>
      <c r="Q1909" s="192">
        <v>1.206</v>
      </c>
    </row>
    <row r="1910" spans="14:17" ht="15">
      <c r="N1910" s="187">
        <v>44788</v>
      </c>
      <c r="O1910" s="180">
        <v>0.745</v>
      </c>
      <c r="P1910" s="191"/>
      <c r="Q1910" s="193">
        <v>1.206</v>
      </c>
    </row>
    <row r="1911" spans="14:17" ht="15">
      <c r="N1911" s="187">
        <v>44789</v>
      </c>
      <c r="O1911" s="180">
        <v>0.73499999999999999</v>
      </c>
      <c r="P1911" s="191">
        <v>44789</v>
      </c>
      <c r="Q1911" s="192">
        <v>1.198</v>
      </c>
    </row>
    <row r="1912" spans="14:17" ht="15">
      <c r="N1912" s="187">
        <v>44790</v>
      </c>
      <c r="O1912" s="180">
        <v>0.753</v>
      </c>
      <c r="P1912" s="191">
        <v>44790</v>
      </c>
      <c r="Q1912" s="192">
        <v>1.1919999999999999</v>
      </c>
    </row>
    <row r="1913" spans="14:17" ht="15">
      <c r="N1913" s="187">
        <v>44791</v>
      </c>
      <c r="O1913" s="180">
        <v>0.82599999999999996</v>
      </c>
      <c r="P1913" s="191">
        <v>44791</v>
      </c>
      <c r="Q1913" s="192">
        <v>1.1870000000000001</v>
      </c>
    </row>
    <row r="1914" spans="14:17" ht="15">
      <c r="N1914" s="187">
        <v>44792</v>
      </c>
      <c r="O1914" s="180">
        <v>0.86199999999999999</v>
      </c>
      <c r="P1914" s="191">
        <v>44792</v>
      </c>
      <c r="Q1914" s="192">
        <v>1.1879999999999999</v>
      </c>
    </row>
    <row r="1915" spans="14:17" ht="15">
      <c r="N1915" s="187">
        <v>44795</v>
      </c>
      <c r="O1915" s="180">
        <v>0.90800000000000003</v>
      </c>
      <c r="P1915" s="191">
        <v>44795</v>
      </c>
      <c r="Q1915" s="192">
        <v>1.2</v>
      </c>
    </row>
    <row r="1916" spans="14:17" ht="15">
      <c r="N1916" s="187">
        <v>44796</v>
      </c>
      <c r="O1916" s="180">
        <v>0.92600000000000005</v>
      </c>
      <c r="P1916" s="191">
        <v>44796</v>
      </c>
      <c r="Q1916" s="192">
        <v>1.216</v>
      </c>
    </row>
    <row r="1917" spans="14:17" ht="15">
      <c r="N1917" s="187">
        <v>44797</v>
      </c>
      <c r="O1917" s="180">
        <v>0.94699999999999995</v>
      </c>
      <c r="P1917" s="191">
        <v>44797</v>
      </c>
      <c r="Q1917" s="192">
        <v>1.238</v>
      </c>
    </row>
    <row r="1918" spans="14:17" ht="15">
      <c r="N1918" s="187">
        <v>44798</v>
      </c>
      <c r="O1918" s="180">
        <v>0.98399999999999999</v>
      </c>
      <c r="P1918" s="191">
        <v>44798</v>
      </c>
      <c r="Q1918" s="192">
        <v>1.2589999999999999</v>
      </c>
    </row>
    <row r="1919" spans="14:17" ht="15">
      <c r="N1919" s="187">
        <v>44799</v>
      </c>
      <c r="O1919" s="180">
        <v>0.98299999999999998</v>
      </c>
      <c r="P1919" s="191">
        <v>44799</v>
      </c>
      <c r="Q1919" s="192">
        <v>1.286</v>
      </c>
    </row>
    <row r="1920" spans="14:17" ht="15">
      <c r="N1920" s="187">
        <v>44802</v>
      </c>
      <c r="O1920" s="180">
        <v>1.077</v>
      </c>
      <c r="P1920" s="191">
        <v>44802</v>
      </c>
      <c r="Q1920" s="192">
        <v>1.3220000000000001</v>
      </c>
    </row>
    <row r="1921" spans="14:17" ht="15">
      <c r="N1921" s="187">
        <v>44803</v>
      </c>
      <c r="O1921" s="180">
        <v>1.1930000000000001</v>
      </c>
      <c r="P1921" s="191">
        <v>44803</v>
      </c>
      <c r="Q1921" s="192">
        <v>1.361</v>
      </c>
    </row>
    <row r="1922" spans="14:17" ht="15">
      <c r="N1922" s="187">
        <v>44804</v>
      </c>
      <c r="O1922" s="180">
        <v>1.2030000000000001</v>
      </c>
      <c r="P1922" s="191">
        <v>44804</v>
      </c>
      <c r="Q1922" s="192">
        <v>1.4039999999999999</v>
      </c>
    </row>
    <row r="1923" spans="14:17" ht="15">
      <c r="N1923" s="187">
        <v>44805</v>
      </c>
      <c r="O1923" s="180">
        <v>1.24</v>
      </c>
      <c r="P1923" s="191">
        <v>44805</v>
      </c>
      <c r="Q1923" s="192">
        <v>1.4430000000000001</v>
      </c>
    </row>
    <row r="1924" spans="14:17" ht="15">
      <c r="N1924" s="187">
        <v>44806</v>
      </c>
      <c r="O1924" s="180">
        <v>1.29</v>
      </c>
      <c r="P1924" s="191">
        <v>44806</v>
      </c>
      <c r="Q1924" s="192">
        <v>1.4810000000000001</v>
      </c>
    </row>
    <row r="1925" spans="14:17" ht="15">
      <c r="N1925" s="187">
        <v>44809</v>
      </c>
      <c r="O1925" s="180">
        <v>1.298</v>
      </c>
      <c r="P1925" s="191">
        <v>44809</v>
      </c>
      <c r="Q1925" s="192">
        <v>1.5189999999999999</v>
      </c>
    </row>
    <row r="1926" spans="14:17" ht="15">
      <c r="N1926" s="187">
        <v>44810</v>
      </c>
      <c r="O1926" s="180">
        <v>1.337</v>
      </c>
      <c r="P1926" s="191">
        <v>44810</v>
      </c>
      <c r="Q1926" s="192">
        <v>1.5529999999999999</v>
      </c>
    </row>
    <row r="1927" spans="14:17" ht="15">
      <c r="N1927" s="187">
        <v>44811</v>
      </c>
      <c r="O1927" s="180">
        <v>1.363</v>
      </c>
      <c r="P1927" s="191">
        <v>44811</v>
      </c>
      <c r="Q1927" s="192">
        <v>1.585</v>
      </c>
    </row>
    <row r="1928" spans="14:17" ht="15">
      <c r="N1928" s="187">
        <v>44812</v>
      </c>
      <c r="O1928" s="180">
        <v>1.3540000000000001</v>
      </c>
      <c r="P1928" s="191">
        <v>44812</v>
      </c>
      <c r="Q1928" s="192">
        <v>1.6240000000000001</v>
      </c>
    </row>
    <row r="1929" spans="14:17" ht="15">
      <c r="N1929" s="187">
        <v>44813</v>
      </c>
      <c r="O1929" s="180">
        <v>1.4419999999999999</v>
      </c>
      <c r="P1929" s="191">
        <v>44813</v>
      </c>
      <c r="Q1929" s="192">
        <v>1.663</v>
      </c>
    </row>
    <row r="1930" spans="14:17" ht="15">
      <c r="N1930" s="187">
        <v>44816</v>
      </c>
      <c r="O1930" s="180">
        <v>1.494</v>
      </c>
      <c r="P1930" s="191">
        <v>44816</v>
      </c>
      <c r="Q1930" s="192">
        <v>1.7</v>
      </c>
    </row>
    <row r="1931" spans="14:17" ht="15">
      <c r="N1931" s="187">
        <v>44817</v>
      </c>
      <c r="O1931" s="180">
        <v>1.538</v>
      </c>
      <c r="P1931" s="191">
        <v>44817</v>
      </c>
      <c r="Q1931" s="192">
        <v>1.738</v>
      </c>
    </row>
    <row r="1932" spans="14:17" ht="15">
      <c r="N1932" s="187">
        <v>44818</v>
      </c>
      <c r="O1932" s="180">
        <v>1.548</v>
      </c>
      <c r="P1932" s="191">
        <v>44818</v>
      </c>
      <c r="Q1932" s="192">
        <v>1.7729999999999999</v>
      </c>
    </row>
    <row r="1933" spans="14:17" ht="15">
      <c r="N1933" s="187">
        <v>44819</v>
      </c>
      <c r="O1933" s="180">
        <v>1.6080000000000001</v>
      </c>
      <c r="P1933" s="191">
        <v>44819</v>
      </c>
      <c r="Q1933" s="192">
        <v>1.8069999999999999</v>
      </c>
    </row>
    <row r="1934" spans="14:17" ht="15">
      <c r="N1934" s="187">
        <v>44820</v>
      </c>
      <c r="O1934" s="180">
        <v>1.6719999999999999</v>
      </c>
      <c r="P1934" s="191">
        <v>44820</v>
      </c>
      <c r="Q1934" s="192">
        <v>1.8380000000000001</v>
      </c>
    </row>
    <row r="1935" spans="14:17" ht="15">
      <c r="N1935" s="187">
        <v>44823</v>
      </c>
      <c r="O1935" s="180">
        <v>1.7370000000000001</v>
      </c>
      <c r="P1935" s="191">
        <v>44823</v>
      </c>
      <c r="Q1935" s="192">
        <v>1.869</v>
      </c>
    </row>
    <row r="1936" spans="14:17" ht="15">
      <c r="N1936" s="187">
        <v>44824</v>
      </c>
      <c r="O1936" s="180">
        <v>1.74</v>
      </c>
      <c r="P1936" s="191">
        <v>44824</v>
      </c>
      <c r="Q1936" s="192">
        <v>1.9019999999999999</v>
      </c>
    </row>
    <row r="1937" spans="14:17" ht="15">
      <c r="N1937" s="187">
        <v>44825</v>
      </c>
      <c r="O1937" s="180">
        <v>1.766</v>
      </c>
      <c r="P1937" s="191">
        <v>44825</v>
      </c>
      <c r="Q1937" s="192">
        <v>1.9330000000000001</v>
      </c>
    </row>
    <row r="1938" spans="14:17" ht="15">
      <c r="N1938" s="187">
        <v>44826</v>
      </c>
      <c r="O1938" s="180">
        <v>1.7629999999999999</v>
      </c>
      <c r="P1938" s="191">
        <v>44826</v>
      </c>
      <c r="Q1938" s="192">
        <v>1.9670000000000001</v>
      </c>
    </row>
    <row r="1939" spans="14:17" ht="15">
      <c r="N1939" s="187">
        <v>44827</v>
      </c>
      <c r="O1939" s="180">
        <v>1.8029999999999999</v>
      </c>
      <c r="P1939" s="191">
        <v>44827</v>
      </c>
      <c r="Q1939" s="192">
        <v>2.0009999999999999</v>
      </c>
    </row>
    <row r="1940" spans="14:17" ht="15">
      <c r="N1940" s="187">
        <v>44830</v>
      </c>
      <c r="O1940" s="180">
        <v>1.8029999999999999</v>
      </c>
      <c r="P1940" s="191">
        <v>44830</v>
      </c>
      <c r="Q1940" s="192">
        <v>2.0329999999999999</v>
      </c>
    </row>
    <row r="1941" spans="14:17" ht="15">
      <c r="N1941" s="187">
        <v>44831</v>
      </c>
      <c r="O1941" s="180">
        <v>1.851</v>
      </c>
      <c r="P1941" s="191">
        <v>44831</v>
      </c>
      <c r="Q1941" s="192">
        <v>2.0659999999999998</v>
      </c>
    </row>
    <row r="1942" spans="14:17" ht="15">
      <c r="N1942" s="187">
        <v>44832</v>
      </c>
      <c r="O1942" s="180">
        <v>1.8580000000000001</v>
      </c>
      <c r="P1942" s="191">
        <v>44832</v>
      </c>
      <c r="Q1942" s="192">
        <v>2.1030000000000002</v>
      </c>
    </row>
    <row r="1943" spans="14:17" ht="15">
      <c r="N1943" s="187">
        <v>44833</v>
      </c>
      <c r="O1943" s="180">
        <v>1.8</v>
      </c>
      <c r="P1943" s="191">
        <v>44833</v>
      </c>
      <c r="Q1943" s="192">
        <v>2.1349999999999998</v>
      </c>
    </row>
    <row r="1944" spans="14:17" ht="15">
      <c r="N1944" s="187">
        <v>44834</v>
      </c>
      <c r="O1944" s="180">
        <v>1.8089999999999999</v>
      </c>
      <c r="P1944" s="191">
        <v>44834</v>
      </c>
      <c r="Q1944" s="192">
        <v>2.1629999999999998</v>
      </c>
    </row>
    <row r="1945" spans="14:17" ht="15">
      <c r="N1945" s="187">
        <v>44837</v>
      </c>
      <c r="O1945" s="180">
        <v>1.7749999999999999</v>
      </c>
      <c r="P1945" s="191">
        <v>44837</v>
      </c>
      <c r="Q1945" s="192">
        <v>2.1869999999999998</v>
      </c>
    </row>
    <row r="1946" spans="14:17" ht="15">
      <c r="N1946" s="187">
        <v>44838</v>
      </c>
      <c r="O1946" s="180">
        <v>1.762</v>
      </c>
      <c r="P1946" s="191">
        <v>44838</v>
      </c>
      <c r="Q1946" s="192">
        <v>2.2040000000000002</v>
      </c>
    </row>
    <row r="1947" spans="14:17" ht="15">
      <c r="N1947" s="187">
        <v>44839</v>
      </c>
      <c r="O1947" s="180">
        <v>1.7310000000000001</v>
      </c>
      <c r="P1947" s="191">
        <v>44839</v>
      </c>
      <c r="Q1947" s="192">
        <v>2.2269999999999999</v>
      </c>
    </row>
    <row r="1948" spans="14:17" ht="15">
      <c r="N1948" s="187">
        <v>44840</v>
      </c>
      <c r="O1948" s="180">
        <v>1.8380000000000001</v>
      </c>
      <c r="P1948" s="191">
        <v>44840</v>
      </c>
      <c r="Q1948" s="192">
        <v>2.2519999999999998</v>
      </c>
    </row>
    <row r="1949" spans="14:17" ht="15">
      <c r="N1949" s="187">
        <v>44841</v>
      </c>
      <c r="O1949" s="180">
        <v>1.897</v>
      </c>
      <c r="P1949" s="191">
        <v>44841</v>
      </c>
      <c r="Q1949" s="192">
        <v>2.2770000000000001</v>
      </c>
    </row>
    <row r="1950" spans="14:17" ht="15">
      <c r="N1950" s="187">
        <v>44844</v>
      </c>
      <c r="O1950" s="180">
        <v>1.962</v>
      </c>
      <c r="P1950" s="191">
        <v>44844</v>
      </c>
      <c r="Q1950" s="192">
        <v>2.3050000000000002</v>
      </c>
    </row>
    <row r="1951" spans="14:17" ht="15">
      <c r="N1951" s="187">
        <v>44845</v>
      </c>
      <c r="O1951" s="180">
        <v>2.0030000000000001</v>
      </c>
      <c r="P1951" s="191">
        <v>44845</v>
      </c>
      <c r="Q1951" s="192">
        <v>2.3359999999999999</v>
      </c>
    </row>
    <row r="1952" spans="14:17" ht="15">
      <c r="N1952" s="187">
        <v>44846</v>
      </c>
      <c r="O1952" s="180">
        <v>1.998</v>
      </c>
      <c r="P1952" s="191">
        <v>44846</v>
      </c>
      <c r="Q1952" s="192">
        <v>2.367</v>
      </c>
    </row>
    <row r="1953" spans="14:18" ht="15">
      <c r="N1953" s="187">
        <v>44847</v>
      </c>
      <c r="O1953" s="180">
        <v>2.012</v>
      </c>
      <c r="P1953" s="191">
        <v>44847</v>
      </c>
      <c r="Q1953" s="192">
        <v>2.3959999999999999</v>
      </c>
    </row>
    <row r="1954" spans="14:18" ht="15">
      <c r="N1954" s="187">
        <v>44848</v>
      </c>
      <c r="O1954" s="180">
        <v>2.0270000000000001</v>
      </c>
      <c r="P1954" s="191">
        <v>44848</v>
      </c>
      <c r="Q1954" s="192">
        <v>2.42</v>
      </c>
    </row>
    <row r="1955" spans="14:18" ht="15">
      <c r="N1955" s="187">
        <v>44851</v>
      </c>
      <c r="O1955" s="180">
        <v>2.032</v>
      </c>
      <c r="P1955" s="191">
        <v>44851</v>
      </c>
      <c r="Q1955" s="192">
        <v>2.444</v>
      </c>
    </row>
    <row r="1956" spans="14:18" ht="15">
      <c r="N1956" s="187">
        <v>44852</v>
      </c>
      <c r="O1956" s="180">
        <v>2.0379999999999998</v>
      </c>
      <c r="P1956" s="191">
        <v>44852</v>
      </c>
      <c r="Q1956" s="192">
        <v>2.4649999999999999</v>
      </c>
    </row>
    <row r="1957" spans="14:18" ht="15">
      <c r="N1957" s="187">
        <v>44853</v>
      </c>
      <c r="O1957" s="180">
        <v>2.0569999999999999</v>
      </c>
      <c r="P1957" s="191">
        <v>44853</v>
      </c>
      <c r="Q1957" s="192">
        <v>2.488</v>
      </c>
    </row>
    <row r="1958" spans="14:18" ht="15">
      <c r="N1958" s="187">
        <v>44854</v>
      </c>
      <c r="O1958" s="180">
        <v>2.0830000000000002</v>
      </c>
      <c r="P1958" s="191">
        <v>44854</v>
      </c>
      <c r="Q1958" s="192">
        <v>2.552</v>
      </c>
    </row>
    <row r="1959" spans="14:18" ht="15">
      <c r="N1959" s="187">
        <v>44855</v>
      </c>
      <c r="O1959" s="180">
        <v>2.1070000000000002</v>
      </c>
      <c r="P1959" s="191">
        <v>44855</v>
      </c>
      <c r="Q1959" s="192">
        <v>2.5750000000000002</v>
      </c>
    </row>
    <row r="1960" spans="14:18" ht="15">
      <c r="N1960" s="187">
        <v>44858</v>
      </c>
      <c r="O1960" s="180">
        <v>2.1320000000000001</v>
      </c>
      <c r="P1960" s="191">
        <v>44858</v>
      </c>
      <c r="Q1960" s="192">
        <v>2.5859999999999999</v>
      </c>
    </row>
    <row r="1961" spans="14:18" ht="15">
      <c r="N1961" s="187">
        <v>44859</v>
      </c>
      <c r="O1961" s="180">
        <v>2.1059999999999999</v>
      </c>
      <c r="P1961" s="191">
        <v>44859</v>
      </c>
      <c r="Q1961" s="192">
        <v>2.593</v>
      </c>
    </row>
    <row r="1962" spans="14:18" ht="15">
      <c r="N1962" s="187">
        <v>44860</v>
      </c>
      <c r="O1962" s="180">
        <v>2.1030000000000002</v>
      </c>
      <c r="P1962" s="191"/>
      <c r="Q1962" s="193">
        <v>2.593</v>
      </c>
    </row>
    <row r="1963" spans="14:18" ht="15">
      <c r="N1963" s="187">
        <v>44861</v>
      </c>
      <c r="O1963" s="180">
        <v>2.1179999999999999</v>
      </c>
      <c r="P1963" s="191">
        <v>44861</v>
      </c>
      <c r="Q1963" s="192">
        <v>2.593</v>
      </c>
    </row>
    <row r="1964" spans="14:18" ht="15">
      <c r="N1964" s="187">
        <v>44862</v>
      </c>
      <c r="O1964" s="180">
        <v>2.0339999999999998</v>
      </c>
      <c r="P1964" s="191">
        <v>44862</v>
      </c>
      <c r="Q1964" s="192">
        <v>2.5880000000000001</v>
      </c>
    </row>
    <row r="1965" spans="14:18" ht="15">
      <c r="N1965" s="187">
        <v>44865</v>
      </c>
      <c r="O1965" s="180">
        <v>2.13</v>
      </c>
      <c r="P1965" s="191">
        <v>44865</v>
      </c>
      <c r="Q1965" s="192">
        <v>2.5910000000000002</v>
      </c>
    </row>
    <row r="1966" spans="14:18" ht="15">
      <c r="N1966" s="187">
        <v>44866</v>
      </c>
      <c r="O1966" s="180">
        <v>2.1680000000000001</v>
      </c>
      <c r="P1966" s="191"/>
      <c r="Q1966" s="193">
        <v>2.5910000000000002</v>
      </c>
      <c r="R1966" s="111">
        <f>+(O1966+Q1966)/2+0.37</f>
        <v>2.7495000000000003</v>
      </c>
    </row>
    <row r="1967" spans="14:18" ht="15">
      <c r="N1967" s="187">
        <v>44867</v>
      </c>
      <c r="O1967" s="180">
        <v>2.198</v>
      </c>
      <c r="P1967" s="191">
        <v>44867</v>
      </c>
      <c r="Q1967" s="192">
        <v>2.5990000000000002</v>
      </c>
    </row>
    <row r="1968" spans="14:18" ht="15">
      <c r="N1968" s="187">
        <v>44868</v>
      </c>
      <c r="O1968" s="180">
        <v>2.2250000000000001</v>
      </c>
      <c r="P1968" s="191">
        <v>44868</v>
      </c>
      <c r="Q1968" s="192">
        <v>2.6190000000000002</v>
      </c>
    </row>
    <row r="1969" spans="14:19" ht="15">
      <c r="N1969" s="187">
        <v>44869</v>
      </c>
      <c r="O1969" s="180">
        <v>2.278</v>
      </c>
      <c r="P1969" s="191">
        <v>44869</v>
      </c>
      <c r="Q1969" s="192">
        <v>2.6339999999999999</v>
      </c>
    </row>
    <row r="1970" spans="14:19" ht="15">
      <c r="N1970" s="187">
        <v>44872</v>
      </c>
      <c r="O1970" s="180">
        <v>2.2959999999999998</v>
      </c>
      <c r="P1970" s="191">
        <v>44872</v>
      </c>
      <c r="Q1970" s="192">
        <v>2.6469999999999998</v>
      </c>
    </row>
    <row r="1971" spans="14:19" ht="15">
      <c r="N1971" s="187">
        <v>44873</v>
      </c>
      <c r="O1971" s="180">
        <v>2.3159999999999998</v>
      </c>
      <c r="P1971" s="191">
        <v>44873</v>
      </c>
      <c r="Q1971" s="192">
        <v>2.6549999999999998</v>
      </c>
    </row>
    <row r="1972" spans="14:19" ht="15">
      <c r="N1972" s="187">
        <v>44874</v>
      </c>
      <c r="O1972" s="180">
        <v>2.3330000000000002</v>
      </c>
      <c r="P1972" s="191">
        <v>44874</v>
      </c>
      <c r="Q1972" s="192">
        <v>2.6579999999999999</v>
      </c>
    </row>
    <row r="1973" spans="14:19" ht="15">
      <c r="N1973" s="187">
        <v>44875</v>
      </c>
      <c r="O1973" s="180">
        <v>2.319</v>
      </c>
      <c r="P1973" s="191">
        <v>44875</v>
      </c>
      <c r="Q1973" s="192">
        <v>2.6509999999999998</v>
      </c>
    </row>
    <row r="1974" spans="14:19" ht="15">
      <c r="N1974" s="187">
        <v>44876</v>
      </c>
      <c r="O1974" s="180">
        <v>2.2909999999999999</v>
      </c>
      <c r="P1974" s="191">
        <v>44876</v>
      </c>
      <c r="Q1974" s="192">
        <v>2.6419999999999999</v>
      </c>
    </row>
    <row r="1975" spans="14:19" ht="15">
      <c r="N1975" s="187">
        <v>44879</v>
      </c>
      <c r="O1975" s="180">
        <v>2.3370000000000002</v>
      </c>
      <c r="P1975" s="191">
        <v>44879</v>
      </c>
      <c r="Q1975" s="192">
        <v>2.6349999999999998</v>
      </c>
      <c r="S1975">
        <f t="shared" ref="S1975:S1986" si="11">+O1975-Q1975</f>
        <v>-0.2979999999999996</v>
      </c>
    </row>
    <row r="1976" spans="14:19" ht="15">
      <c r="N1976" s="187">
        <v>44880</v>
      </c>
      <c r="O1976" s="180">
        <v>2.2999999999999998</v>
      </c>
      <c r="P1976" s="191">
        <v>44880</v>
      </c>
      <c r="Q1976" s="192">
        <v>2.63</v>
      </c>
      <c r="S1976">
        <f t="shared" si="11"/>
        <v>-0.33000000000000007</v>
      </c>
    </row>
    <row r="1977" spans="14:19" ht="15">
      <c r="N1977" s="187">
        <v>44881</v>
      </c>
      <c r="O1977" s="180">
        <v>2.3109999999999999</v>
      </c>
      <c r="P1977" s="191">
        <v>44881</v>
      </c>
      <c r="Q1977" s="192">
        <v>2.62</v>
      </c>
      <c r="S1977">
        <f t="shared" si="11"/>
        <v>-0.30900000000000016</v>
      </c>
    </row>
    <row r="1978" spans="14:19" ht="15">
      <c r="N1978" s="187">
        <v>44882</v>
      </c>
      <c r="O1978" s="180">
        <v>2.294</v>
      </c>
      <c r="P1978" s="191">
        <v>44882</v>
      </c>
      <c r="Q1978" s="192">
        <v>2.6070000000000002</v>
      </c>
      <c r="S1978">
        <f t="shared" si="11"/>
        <v>-0.31300000000000017</v>
      </c>
    </row>
    <row r="1979" spans="14:19" ht="15">
      <c r="N1979" s="187">
        <v>44883</v>
      </c>
      <c r="O1979" s="180">
        <v>2.3420000000000001</v>
      </c>
      <c r="P1979" s="191">
        <v>44883</v>
      </c>
      <c r="Q1979" s="192">
        <v>2.5920000000000001</v>
      </c>
      <c r="S1979">
        <f t="shared" si="11"/>
        <v>-0.25</v>
      </c>
    </row>
    <row r="1980" spans="14:19" ht="15">
      <c r="N1980" s="187">
        <v>44886</v>
      </c>
      <c r="O1980" s="180">
        <v>2.327</v>
      </c>
      <c r="P1980" s="191">
        <v>44886</v>
      </c>
      <c r="Q1980" s="192">
        <v>2.5720000000000001</v>
      </c>
      <c r="S1980">
        <f t="shared" si="11"/>
        <v>-0.24500000000000011</v>
      </c>
    </row>
    <row r="1981" spans="14:19" ht="15">
      <c r="N1981" s="187">
        <v>44887</v>
      </c>
      <c r="O1981" s="180">
        <v>2.3380000000000001</v>
      </c>
      <c r="P1981" s="191">
        <v>44887</v>
      </c>
      <c r="Q1981" s="192">
        <v>2.5499999999999998</v>
      </c>
      <c r="S1981">
        <f t="shared" si="11"/>
        <v>-0.21199999999999974</v>
      </c>
    </row>
    <row r="1982" spans="14:19" ht="15">
      <c r="N1982" s="187">
        <v>44888</v>
      </c>
      <c r="O1982" s="180">
        <v>2.36</v>
      </c>
      <c r="P1982" s="191">
        <v>44888</v>
      </c>
      <c r="Q1982" s="192">
        <v>2.5329999999999999</v>
      </c>
      <c r="S1982">
        <f t="shared" si="11"/>
        <v>-0.17300000000000004</v>
      </c>
    </row>
    <row r="1983" spans="14:19" ht="15">
      <c r="N1983" s="187">
        <v>44889</v>
      </c>
      <c r="O1983" s="180">
        <v>2.3679999999999999</v>
      </c>
      <c r="P1983" s="191">
        <v>44889</v>
      </c>
      <c r="Q1983" s="192">
        <v>2.5139999999999998</v>
      </c>
      <c r="S1983">
        <f t="shared" si="11"/>
        <v>-0.14599999999999991</v>
      </c>
    </row>
    <row r="1984" spans="14:19" ht="15">
      <c r="N1984" s="187">
        <v>44890</v>
      </c>
      <c r="O1984" s="180">
        <v>2.3740000000000001</v>
      </c>
      <c r="P1984" s="191">
        <v>44890</v>
      </c>
      <c r="Q1984" s="192">
        <v>2.504</v>
      </c>
      <c r="S1984">
        <f t="shared" si="11"/>
        <v>-0.12999999999999989</v>
      </c>
    </row>
    <row r="1985" spans="14:19" ht="15">
      <c r="N1985" s="187">
        <v>44893</v>
      </c>
      <c r="O1985" s="180">
        <v>2.4359999999999999</v>
      </c>
      <c r="P1985" s="191">
        <v>44893</v>
      </c>
      <c r="Q1985" s="192">
        <v>2.4990000000000001</v>
      </c>
      <c r="S1985">
        <f t="shared" si="11"/>
        <v>-6.3000000000000167E-2</v>
      </c>
    </row>
    <row r="1986" spans="14:19" ht="15">
      <c r="N1986" s="187">
        <v>44894</v>
      </c>
      <c r="O1986" s="180">
        <v>2.4420000000000002</v>
      </c>
      <c r="P1986" s="191">
        <v>44894</v>
      </c>
      <c r="Q1986" s="192">
        <v>2.4870000000000001</v>
      </c>
      <c r="S1986">
        <f t="shared" si="11"/>
        <v>-4.4999999999999929E-2</v>
      </c>
    </row>
    <row r="1987" spans="14:19" ht="15">
      <c r="N1987" s="187">
        <v>44895</v>
      </c>
      <c r="O1987" s="180">
        <v>2.4140000000000001</v>
      </c>
      <c r="P1987" s="191">
        <v>44895</v>
      </c>
      <c r="Q1987" s="192">
        <v>2.476</v>
      </c>
      <c r="S1987">
        <f t="shared" ref="S1987:S1997" si="12">+O1987-Q1987</f>
        <v>-6.1999999999999833E-2</v>
      </c>
    </row>
    <row r="1988" spans="14:19" ht="15">
      <c r="N1988" s="187">
        <v>44896</v>
      </c>
      <c r="O1988" s="180">
        <v>2.4049999999999998</v>
      </c>
      <c r="P1988" s="191">
        <v>44896</v>
      </c>
      <c r="Q1988" s="192">
        <v>2.456</v>
      </c>
      <c r="S1988">
        <f t="shared" si="12"/>
        <v>-5.1000000000000156E-2</v>
      </c>
    </row>
    <row r="1989" spans="14:19" ht="15">
      <c r="N1989" s="187">
        <v>44897</v>
      </c>
      <c r="O1989" s="180">
        <v>2.4060000000000001</v>
      </c>
      <c r="P1989" s="191">
        <v>44897</v>
      </c>
      <c r="Q1989" s="192">
        <v>2.4329999999999998</v>
      </c>
      <c r="S1989">
        <f t="shared" si="12"/>
        <v>-2.6999999999999691E-2</v>
      </c>
    </row>
    <row r="1990" spans="14:19">
      <c r="N1990" s="187">
        <v>44900</v>
      </c>
      <c r="O1990" s="180">
        <v>2.4359999999999999</v>
      </c>
      <c r="S1990">
        <f t="shared" si="12"/>
        <v>2.4359999999999999</v>
      </c>
    </row>
    <row r="1991" spans="14:19">
      <c r="N1991" s="187">
        <v>44901</v>
      </c>
      <c r="O1991" s="180">
        <v>2.4430000000000001</v>
      </c>
      <c r="S1991">
        <f t="shared" si="12"/>
        <v>2.4430000000000001</v>
      </c>
    </row>
    <row r="1992" spans="14:19">
      <c r="N1992" s="187">
        <v>44902</v>
      </c>
      <c r="O1992" s="180">
        <v>2.4420000000000002</v>
      </c>
      <c r="S1992">
        <f t="shared" si="12"/>
        <v>2.4420000000000002</v>
      </c>
    </row>
    <row r="1993" spans="14:19">
      <c r="N1993" s="187">
        <v>44903</v>
      </c>
      <c r="O1993" s="180">
        <v>2.456</v>
      </c>
      <c r="S1993">
        <f t="shared" si="12"/>
        <v>2.456</v>
      </c>
    </row>
    <row r="1994" spans="14:19">
      <c r="N1994" s="187">
        <v>44904</v>
      </c>
      <c r="O1994" s="180">
        <v>2.4660000000000002</v>
      </c>
      <c r="S1994">
        <f t="shared" si="12"/>
        <v>2.4660000000000002</v>
      </c>
    </row>
    <row r="1995" spans="14:19">
      <c r="N1995" s="187">
        <v>44907</v>
      </c>
      <c r="O1995" s="180">
        <v>2.5270000000000001</v>
      </c>
      <c r="S1995">
        <f t="shared" si="12"/>
        <v>2.5270000000000001</v>
      </c>
    </row>
    <row r="1996" spans="14:19">
      <c r="N1996" s="187">
        <v>44908</v>
      </c>
      <c r="O1996" s="180">
        <v>2.4790000000000001</v>
      </c>
      <c r="S1996">
        <f t="shared" si="12"/>
        <v>2.4790000000000001</v>
      </c>
    </row>
    <row r="1997" spans="14:19">
      <c r="N1997" s="187">
        <v>44909</v>
      </c>
      <c r="O1997" s="180">
        <v>2.5190000000000001</v>
      </c>
      <c r="S1997">
        <f t="shared" si="12"/>
        <v>2.5190000000000001</v>
      </c>
    </row>
    <row r="1998" spans="14:19">
      <c r="N1998" s="102"/>
    </row>
    <row r="1999" spans="14:19">
      <c r="N1999" s="102"/>
    </row>
    <row r="2000" spans="14:19">
      <c r="N2000" s="102"/>
    </row>
    <row r="2001" spans="14:14">
      <c r="N2001" s="102"/>
    </row>
    <row r="2002" spans="14:14">
      <c r="N2002" s="102"/>
    </row>
    <row r="2003" spans="14:14">
      <c r="N2003" s="102"/>
    </row>
    <row r="2004" spans="14:14">
      <c r="N2004" s="102"/>
    </row>
    <row r="2005" spans="14:14">
      <c r="N2005" s="102"/>
    </row>
    <row r="2006" spans="14:14">
      <c r="N2006" s="102"/>
    </row>
    <row r="2007" spans="14:14">
      <c r="N2007" s="102"/>
    </row>
    <row r="2008" spans="14:14">
      <c r="N2008" s="102"/>
    </row>
    <row r="2009" spans="14:14">
      <c r="N2009" s="102"/>
    </row>
    <row r="2010" spans="14:14">
      <c r="N2010" s="102"/>
    </row>
    <row r="2011" spans="14:14">
      <c r="N2011" s="102"/>
    </row>
    <row r="2012" spans="14:14">
      <c r="N2012" s="102"/>
    </row>
    <row r="2013" spans="14:14">
      <c r="N2013" s="102"/>
    </row>
    <row r="2014" spans="14:14">
      <c r="N2014" s="102"/>
    </row>
    <row r="2015" spans="14:14">
      <c r="N2015" s="102"/>
    </row>
    <row r="2016" spans="14:14">
      <c r="N2016" s="102"/>
    </row>
    <row r="2017" spans="14:14">
      <c r="N2017" s="102"/>
    </row>
    <row r="2018" spans="14:14">
      <c r="N2018" s="102"/>
    </row>
    <row r="2019" spans="14:14">
      <c r="N2019" s="102"/>
    </row>
    <row r="2020" spans="14:14">
      <c r="N2020" s="102"/>
    </row>
    <row r="2021" spans="14:14">
      <c r="N2021" s="102"/>
    </row>
    <row r="2022" spans="14:14">
      <c r="N2022" s="102"/>
    </row>
    <row r="2023" spans="14:14">
      <c r="N2023" s="102"/>
    </row>
    <row r="2024" spans="14:14">
      <c r="N2024" s="102"/>
    </row>
    <row r="2025" spans="14:14">
      <c r="N2025" s="102"/>
    </row>
    <row r="2026" spans="14:14">
      <c r="N2026" s="102"/>
    </row>
    <row r="2027" spans="14:14">
      <c r="N2027" s="102"/>
    </row>
    <row r="2028" spans="14:14">
      <c r="N2028" s="102"/>
    </row>
    <row r="2029" spans="14:14">
      <c r="N2029" s="102"/>
    </row>
    <row r="2030" spans="14:14">
      <c r="N2030" s="102"/>
    </row>
    <row r="2031" spans="14:14">
      <c r="N2031" s="102"/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84BDA-9E88-41F3-B382-36B8F12DA0E5}">
  <sheetPr codeName="Tabelle3"/>
  <dimension ref="A3:E13"/>
  <sheetViews>
    <sheetView workbookViewId="0">
      <selection activeCell="F33" sqref="F29:F33"/>
    </sheetView>
  </sheetViews>
  <sheetFormatPr baseColWidth="10" defaultRowHeight="12.75"/>
  <cols>
    <col min="1" max="1" width="17.5703125" bestFit="1" customWidth="1"/>
    <col min="3" max="3" width="13.5703125" bestFit="1" customWidth="1"/>
  </cols>
  <sheetData>
    <row r="3" spans="1:5">
      <c r="B3" s="2" t="s">
        <v>429</v>
      </c>
    </row>
    <row r="5" spans="1:5">
      <c r="B5" s="2" t="s">
        <v>427</v>
      </c>
      <c r="C5" s="2">
        <v>11415</v>
      </c>
      <c r="D5" s="2" t="s">
        <v>428</v>
      </c>
    </row>
    <row r="6" spans="1:5">
      <c r="B6" t="s">
        <v>432</v>
      </c>
    </row>
    <row r="7" spans="1:5">
      <c r="A7" s="1" t="s">
        <v>431</v>
      </c>
      <c r="B7" s="7">
        <v>3750</v>
      </c>
      <c r="C7" s="195">
        <f>+B7/C5</f>
        <v>0.32851511169513797</v>
      </c>
      <c r="D7" t="s">
        <v>433</v>
      </c>
    </row>
    <row r="8" spans="1:5">
      <c r="A8" s="1" t="s">
        <v>430</v>
      </c>
      <c r="B8" s="7">
        <v>29140</v>
      </c>
      <c r="C8" s="195">
        <f>+B8/C5</f>
        <v>2.5527814279456855</v>
      </c>
      <c r="D8" t="s">
        <v>433</v>
      </c>
    </row>
    <row r="9" spans="1:5">
      <c r="A9" s="1" t="s">
        <v>426</v>
      </c>
      <c r="C9" s="198">
        <f>+-(C8-D9)</f>
        <v>-1.2777814279456856</v>
      </c>
      <c r="D9" s="197">
        <v>1.2749999999999999</v>
      </c>
    </row>
    <row r="10" spans="1:5">
      <c r="B10" s="1" t="s">
        <v>425</v>
      </c>
      <c r="C10" s="199">
        <f>SUM(C7:C9)</f>
        <v>1.6035151116951378</v>
      </c>
      <c r="D10" t="s">
        <v>433</v>
      </c>
    </row>
    <row r="13" spans="1:5">
      <c r="C13" s="200" t="s">
        <v>434</v>
      </c>
      <c r="D13" s="200">
        <v>126.58</v>
      </c>
      <c r="E13" s="200" t="s">
        <v>428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219D9-F117-4DB0-AD19-45E5EB2C54F6}">
  <sheetPr codeName="Tabelle5"/>
  <dimension ref="A1:AM1283"/>
  <sheetViews>
    <sheetView workbookViewId="0">
      <pane ySplit="5" topLeftCell="A6" activePane="bottomLeft" state="frozen"/>
      <selection pane="bottomLeft" activeCell="J28" sqref="J28"/>
    </sheetView>
  </sheetViews>
  <sheetFormatPr baseColWidth="10" defaultRowHeight="12.75"/>
  <cols>
    <col min="2" max="2" width="13.28515625" bestFit="1" customWidth="1"/>
    <col min="3" max="3" width="19" bestFit="1" customWidth="1"/>
    <col min="7" max="7" width="16.5703125" customWidth="1"/>
    <col min="8" max="8" width="9.5703125" customWidth="1"/>
    <col min="9" max="9" width="11.28515625" customWidth="1"/>
    <col min="11" max="11" width="11.42578125" style="582"/>
    <col min="14" max="14" width="11.42578125" customWidth="1"/>
    <col min="18" max="18" width="11.5703125" customWidth="1"/>
    <col min="19" max="19" width="14.7109375" customWidth="1"/>
    <col min="24" max="24" width="11.42578125" style="600"/>
    <col min="25" max="25" width="11.42578125" style="61"/>
    <col min="26" max="26" width="11.140625" style="61" customWidth="1"/>
    <col min="27" max="28" width="16.42578125" style="7" bestFit="1" customWidth="1"/>
    <col min="29" max="29" width="18.42578125" style="7" customWidth="1"/>
    <col min="30" max="30" width="16.5703125" style="7" customWidth="1"/>
    <col min="31" max="32" width="11.42578125" style="7"/>
    <col min="33" max="33" width="14.28515625" style="7" customWidth="1"/>
    <col min="34" max="34" width="16.42578125" style="7" customWidth="1"/>
    <col min="35" max="35" width="17.7109375" style="7" customWidth="1"/>
    <col min="36" max="38" width="11.42578125" style="7"/>
    <col min="39" max="39" width="12.85546875" style="7" bestFit="1" customWidth="1"/>
    <col min="40" max="16384" width="11.42578125" style="7"/>
  </cols>
  <sheetData>
    <row r="1" spans="1:39" ht="13.5" thickBot="1">
      <c r="O1" s="573">
        <v>44909</v>
      </c>
      <c r="P1" s="180" t="s">
        <v>569</v>
      </c>
      <c r="Q1" s="557"/>
      <c r="R1" s="547" t="s">
        <v>559</v>
      </c>
      <c r="S1" s="547">
        <v>59276.41</v>
      </c>
      <c r="T1" s="557">
        <v>49493.1</v>
      </c>
      <c r="U1" s="16">
        <f>+S1-T1</f>
        <v>9783.3100000000049</v>
      </c>
      <c r="V1" s="557"/>
    </row>
    <row r="2" spans="1:39" ht="13.5" thickBot="1">
      <c r="O2" s="564" t="s">
        <v>563</v>
      </c>
      <c r="P2" s="565" t="s">
        <v>562</v>
      </c>
      <c r="Q2" s="565" t="s">
        <v>560</v>
      </c>
      <c r="R2" s="576" t="s">
        <v>561</v>
      </c>
      <c r="S2" s="558"/>
      <c r="T2" s="638" t="s">
        <v>585</v>
      </c>
      <c r="U2" s="557"/>
      <c r="V2" s="557"/>
      <c r="AA2" s="636" t="s">
        <v>583</v>
      </c>
    </row>
    <row r="3" spans="1:39">
      <c r="G3" s="567">
        <f>+G8+0.06%</f>
        <v>-1.66E-3</v>
      </c>
      <c r="I3" s="7">
        <f>+$S$6*I8*($B$14-$B$8)/360</f>
        <v>752.08207042666652</v>
      </c>
      <c r="J3" s="7">
        <f>+$S$6*K8*($B$14-$B$8)/360</f>
        <v>278.70071274666662</v>
      </c>
      <c r="K3" s="45">
        <f>+J3/I3-1</f>
        <v>-0.6294277929155313</v>
      </c>
      <c r="O3" s="559">
        <v>44682</v>
      </c>
      <c r="P3" s="637">
        <v>853.32</v>
      </c>
      <c r="Q3" s="560">
        <v>853.32</v>
      </c>
      <c r="R3" s="560"/>
      <c r="S3" s="560"/>
      <c r="T3" s="561">
        <f>+T1-Q3</f>
        <v>48639.78</v>
      </c>
      <c r="U3" s="557"/>
      <c r="V3" s="557"/>
      <c r="Z3" s="625" t="s">
        <v>559</v>
      </c>
      <c r="AA3" s="626">
        <v>1701120</v>
      </c>
      <c r="AB3" s="299"/>
      <c r="AC3" s="299"/>
      <c r="AD3" s="603"/>
    </row>
    <row r="4" spans="1:39" ht="13.5" thickBot="1">
      <c r="D4" s="2" t="s">
        <v>554</v>
      </c>
      <c r="E4" s="2"/>
      <c r="I4" s="7">
        <f>+$S$6*I14*($B$20-$B$14)/360</f>
        <v>3114.5005121499998</v>
      </c>
      <c r="J4" s="7">
        <f>+$S$6*K14*($B$20-$B$14)/360</f>
        <v>343.19981371749947</v>
      </c>
      <c r="K4" s="45">
        <f>+J4/I4-1</f>
        <v>-0.88980582524271856</v>
      </c>
      <c r="O4" s="559">
        <v>44866</v>
      </c>
      <c r="P4" s="637">
        <v>979.31</v>
      </c>
      <c r="Q4" s="560">
        <v>740.65</v>
      </c>
      <c r="R4" s="569">
        <v>238.66</v>
      </c>
      <c r="S4" s="560"/>
      <c r="T4" s="561">
        <f>+T3-Q4</f>
        <v>47899.13</v>
      </c>
      <c r="U4" s="575">
        <f>+I8</f>
        <v>7.3399999999999993E-3</v>
      </c>
      <c r="V4" s="570">
        <f>+(O4-O3)/360*I8*S1</f>
        <v>222.37874524888886</v>
      </c>
      <c r="W4">
        <f>+V4/6</f>
        <v>37.063124208148146</v>
      </c>
      <c r="Z4" s="606" t="s">
        <v>573</v>
      </c>
      <c r="AA4" s="604">
        <v>41274</v>
      </c>
      <c r="AB4" s="205"/>
      <c r="AC4" s="333" t="s">
        <v>575</v>
      </c>
      <c r="AD4" s="608" t="s">
        <v>576</v>
      </c>
    </row>
    <row r="5" spans="1:39" ht="21" thickBot="1">
      <c r="B5" s="536" t="s">
        <v>555</v>
      </c>
      <c r="C5" s="543">
        <f>+EDATE(B7,12*10)</f>
        <v>48334</v>
      </c>
      <c r="D5" s="548" t="s">
        <v>450</v>
      </c>
      <c r="E5" s="549"/>
      <c r="F5" s="550"/>
      <c r="G5" s="551"/>
      <c r="H5" s="551"/>
      <c r="I5" s="551"/>
      <c r="J5" s="551"/>
      <c r="K5" s="583"/>
      <c r="N5" s="16">
        <f>+R5+Q5-S5</f>
        <v>1593.97</v>
      </c>
      <c r="O5" s="568" t="s">
        <v>565</v>
      </c>
      <c r="P5" s="562">
        <f>SUM(P3:P4)</f>
        <v>1832.63</v>
      </c>
      <c r="Q5" s="562">
        <f>SUM(Q3:Q4)</f>
        <v>1593.97</v>
      </c>
      <c r="R5" s="563"/>
      <c r="S5" s="563"/>
      <c r="T5" s="639">
        <f>+T4</f>
        <v>47899.13</v>
      </c>
      <c r="U5" s="557"/>
      <c r="V5" s="557"/>
      <c r="Z5" s="607" t="s">
        <v>574</v>
      </c>
      <c r="AA5" s="605">
        <f>EDATE(AA4,35*12)</f>
        <v>54057</v>
      </c>
      <c r="AB5" s="620">
        <f>+(AA5-AA4)/365</f>
        <v>35.021917808219179</v>
      </c>
      <c r="AC5" s="615">
        <f>+ROUNDDOWN(AB5,0)</f>
        <v>35</v>
      </c>
      <c r="AD5" s="616">
        <f>+AC5*2</f>
        <v>70</v>
      </c>
    </row>
    <row r="6" spans="1:39" ht="18" thickBot="1">
      <c r="C6" s="255" t="s">
        <v>31</v>
      </c>
      <c r="D6" s="52" t="s">
        <v>27</v>
      </c>
      <c r="E6" s="52" t="s">
        <v>26</v>
      </c>
      <c r="F6" s="52" t="s">
        <v>32</v>
      </c>
      <c r="G6" s="544" t="s">
        <v>556</v>
      </c>
      <c r="H6" s="546" t="s">
        <v>557</v>
      </c>
      <c r="I6" s="544"/>
      <c r="J6" s="544" t="s">
        <v>466</v>
      </c>
      <c r="K6" s="547" t="s">
        <v>553</v>
      </c>
      <c r="P6" s="557"/>
      <c r="Q6" s="557"/>
      <c r="R6" s="547" t="s">
        <v>559</v>
      </c>
      <c r="S6" s="547">
        <v>200472.06</v>
      </c>
      <c r="T6" s="557">
        <v>167384.95000000001</v>
      </c>
      <c r="U6" s="16">
        <f>+S6-T6</f>
        <v>33087.109999999986</v>
      </c>
      <c r="V6" s="557"/>
      <c r="X6" s="600" t="s">
        <v>584</v>
      </c>
      <c r="AB6" s="621" t="s">
        <v>579</v>
      </c>
      <c r="AC6" s="617" t="s">
        <v>578</v>
      </c>
      <c r="AD6" s="618" t="s">
        <v>50</v>
      </c>
      <c r="AE6" s="618" t="s">
        <v>557</v>
      </c>
      <c r="AF6" s="619" t="s">
        <v>580</v>
      </c>
      <c r="AG6" s="622" t="s">
        <v>581</v>
      </c>
      <c r="AH6" s="618" t="s">
        <v>557</v>
      </c>
      <c r="AI6" s="623" t="s">
        <v>582</v>
      </c>
      <c r="AJ6" s="354" t="s">
        <v>31</v>
      </c>
      <c r="AK6" s="354" t="s">
        <v>27</v>
      </c>
      <c r="AL6" s="354" t="s">
        <v>26</v>
      </c>
      <c r="AM6" s="354" t="s">
        <v>32</v>
      </c>
    </row>
    <row r="7" spans="1:39" ht="13.5" thickBot="1">
      <c r="B7" s="164">
        <v>44681</v>
      </c>
      <c r="C7" s="63"/>
      <c r="F7" s="7"/>
      <c r="O7" s="564" t="s">
        <v>564</v>
      </c>
      <c r="P7" s="565" t="s">
        <v>562</v>
      </c>
      <c r="Q7" s="565" t="s">
        <v>560</v>
      </c>
      <c r="R7" s="576" t="s">
        <v>561</v>
      </c>
      <c r="S7" s="558"/>
      <c r="T7" s="638" t="s">
        <v>585</v>
      </c>
      <c r="U7" s="557"/>
      <c r="V7" s="557"/>
      <c r="X7" s="600">
        <v>0.31900000000000001</v>
      </c>
      <c r="Y7" s="631" t="s">
        <v>577</v>
      </c>
      <c r="Z7" s="632"/>
      <c r="AA7" s="628">
        <f>+AA4</f>
        <v>41274</v>
      </c>
      <c r="AB7" s="628">
        <f>+AA7</f>
        <v>41274</v>
      </c>
      <c r="AC7" s="629">
        <f>+IF(WEEKDAY(AB7)=2,AB7-4,IF(WEEKDAY(AB7)=3,AB7-4,AB7-2))</f>
        <v>41270</v>
      </c>
      <c r="AD7" s="276">
        <f>_xll.BDH($AD$6, "PX_LAST", AC7, AC7)</f>
        <v>0.31900000000000001</v>
      </c>
      <c r="AE7" s="276">
        <v>0.37</v>
      </c>
      <c r="AF7" s="398">
        <f t="shared" ref="AF7:AF11" si="0">+$AF$13</f>
        <v>0.35399999999999998</v>
      </c>
      <c r="AG7" s="276">
        <f>+(AD7+AF7)/2+AE7</f>
        <v>0.70650000000000002</v>
      </c>
      <c r="AH7" s="276"/>
      <c r="AI7" s="276"/>
      <c r="AM7" s="7">
        <f>+AA3</f>
        <v>1701120</v>
      </c>
    </row>
    <row r="8" spans="1:39" ht="13.5" thickBot="1">
      <c r="B8" s="535">
        <v>44683</v>
      </c>
      <c r="C8" s="242">
        <v>200</v>
      </c>
      <c r="D8" s="7"/>
      <c r="E8" s="7"/>
      <c r="F8" s="7"/>
      <c r="G8" s="545">
        <v>-2.2599999999999999E-3</v>
      </c>
      <c r="H8" s="545">
        <v>9.5999999999999992E-3</v>
      </c>
      <c r="I8" s="590">
        <f>+H8+G8</f>
        <v>7.3399999999999993E-3</v>
      </c>
      <c r="J8" s="592">
        <f>+'basierend auf Endabrechnung 21'!BL9/100</f>
        <v>4.62E-3</v>
      </c>
      <c r="K8" s="566">
        <f>+I8-J8</f>
        <v>2.7199999999999993E-3</v>
      </c>
      <c r="O8" s="559">
        <v>44682</v>
      </c>
      <c r="P8" s="637">
        <v>2885.96</v>
      </c>
      <c r="Q8" s="560">
        <v>2885.94</v>
      </c>
      <c r="R8" s="560"/>
      <c r="S8" s="560"/>
      <c r="T8" s="561">
        <f>+T6-Q8</f>
        <v>164499.01</v>
      </c>
      <c r="U8" s="557"/>
      <c r="V8" s="557"/>
      <c r="X8" s="600">
        <v>0.33700000000000002</v>
      </c>
      <c r="Y8" s="633">
        <v>1</v>
      </c>
      <c r="Z8" s="632">
        <v>6</v>
      </c>
      <c r="AA8" s="628">
        <f>+EDATE($AA$7,Z8)</f>
        <v>41455</v>
      </c>
      <c r="AB8" s="628">
        <f>+IF(WEEKDAY(AA8)=1,AA8+1,IF(WEEKDAY(AA8)=7,AA8+2,AA8))</f>
        <v>41456</v>
      </c>
      <c r="AC8" s="630">
        <f t="shared" ref="AC8:AC70" si="1">+IF(WEEKDAY(AB8)=2,AB8-4,IF(WEEKDAY(AB8)=3,AB8-4,AB8-2))</f>
        <v>41452</v>
      </c>
      <c r="AD8" s="276">
        <f>_xll.BDH($AD$6, "PX_LAST", AC8, AC8)</f>
        <v>0.33700000000000002</v>
      </c>
      <c r="AE8" s="276">
        <v>0.37</v>
      </c>
      <c r="AF8" s="398">
        <f t="shared" si="0"/>
        <v>0.35399999999999998</v>
      </c>
      <c r="AG8" s="276">
        <f t="shared" ref="AG8:AG27" si="2">+(AD8+AF8)/2+AE8</f>
        <v>0.71550000000000002</v>
      </c>
      <c r="AH8" s="276"/>
      <c r="AI8" s="276"/>
    </row>
    <row r="9" spans="1:39">
      <c r="A9" s="537">
        <v>1</v>
      </c>
      <c r="B9" s="538">
        <f>+EDATE(B8,1)</f>
        <v>44714</v>
      </c>
      <c r="C9" s="16"/>
      <c r="D9" s="7"/>
      <c r="E9" s="7"/>
      <c r="F9" s="7"/>
      <c r="I9" s="63"/>
      <c r="J9" s="593"/>
      <c r="O9" s="559">
        <v>44866</v>
      </c>
      <c r="P9" s="637">
        <v>3311.98</v>
      </c>
      <c r="Q9" s="560">
        <v>2504.83</v>
      </c>
      <c r="R9" s="569">
        <v>807.15</v>
      </c>
      <c r="S9" s="560"/>
      <c r="T9" s="561">
        <f>+T8-Q9</f>
        <v>161994.18000000002</v>
      </c>
      <c r="U9" s="575">
        <f>+I8</f>
        <v>7.3399999999999993E-3</v>
      </c>
      <c r="V9" s="570">
        <f>+(O9-O8)/360*U9*S6</f>
        <v>752.08207042666652</v>
      </c>
      <c r="X9" s="600">
        <v>0.39200000000000002</v>
      </c>
      <c r="Y9" s="633">
        <v>2</v>
      </c>
      <c r="Z9" s="632">
        <v>12</v>
      </c>
      <c r="AA9" s="628">
        <f t="shared" ref="AA9:AA72" si="3">+EDATE($AA$7,Z9)</f>
        <v>41639</v>
      </c>
      <c r="AB9" s="628">
        <f t="shared" ref="AB9:AB17" si="4">+IF(WEEKDAY(AA9)=1,AA9+1,IF(WEEKDAY(AA9)=7,AA9+2,AA9))</f>
        <v>41639</v>
      </c>
      <c r="AC9" s="630">
        <f t="shared" si="1"/>
        <v>41635</v>
      </c>
      <c r="AD9" s="276">
        <f>_xll.BDH($AD$6, "PX_LAST", AC9, AC9)</f>
        <v>0.39200000000000002</v>
      </c>
      <c r="AE9" s="276">
        <v>0.37</v>
      </c>
      <c r="AF9" s="398">
        <f t="shared" si="0"/>
        <v>0.35399999999999998</v>
      </c>
      <c r="AG9" s="276">
        <f t="shared" si="2"/>
        <v>0.74299999999999999</v>
      </c>
      <c r="AH9" s="276"/>
      <c r="AI9" s="276"/>
    </row>
    <row r="10" spans="1:39" ht="13.5" thickBot="1">
      <c r="A10" s="203">
        <v>2</v>
      </c>
      <c r="B10" s="539">
        <f t="shared" ref="B10:B73" si="5">+EDATE(B9,1)</f>
        <v>44744</v>
      </c>
      <c r="C10" s="16"/>
      <c r="D10" s="7"/>
      <c r="E10" s="7"/>
      <c r="F10" s="7"/>
      <c r="I10" s="63"/>
      <c r="J10" s="593"/>
      <c r="N10" s="16">
        <f>+R10+Q10-S10</f>
        <v>5390.77</v>
      </c>
      <c r="O10" s="568" t="s">
        <v>565</v>
      </c>
      <c r="P10" s="562">
        <f>SUM(P8:P9)</f>
        <v>6197.9400000000005</v>
      </c>
      <c r="Q10" s="562">
        <f>SUM(Q8:Q9)</f>
        <v>5390.77</v>
      </c>
      <c r="R10" s="563"/>
      <c r="S10" s="563"/>
      <c r="T10" s="639">
        <f>+T9</f>
        <v>161994.18000000002</v>
      </c>
      <c r="U10" s="557"/>
      <c r="V10" s="557"/>
      <c r="X10" s="600">
        <v>0.30499999999999999</v>
      </c>
      <c r="Y10" s="633">
        <v>3</v>
      </c>
      <c r="Z10" s="632">
        <v>18</v>
      </c>
      <c r="AA10" s="628">
        <f t="shared" si="3"/>
        <v>41820</v>
      </c>
      <c r="AB10" s="628">
        <f t="shared" si="4"/>
        <v>41820</v>
      </c>
      <c r="AC10" s="630">
        <f t="shared" si="1"/>
        <v>41816</v>
      </c>
      <c r="AD10" s="276">
        <f>_xll.BDH($AD$6, "PX_LAST", AC10, AC10)</f>
        <v>0.30499999999999999</v>
      </c>
      <c r="AE10" s="276">
        <v>0.37</v>
      </c>
      <c r="AF10" s="398">
        <f t="shared" si="0"/>
        <v>0.35399999999999998</v>
      </c>
      <c r="AG10" s="276">
        <f t="shared" si="2"/>
        <v>0.69950000000000001</v>
      </c>
      <c r="AH10" s="276"/>
      <c r="AI10" s="276"/>
    </row>
    <row r="11" spans="1:39" ht="13.5" thickBot="1">
      <c r="A11" s="203">
        <v>3</v>
      </c>
      <c r="B11" s="539">
        <f t="shared" si="5"/>
        <v>44775</v>
      </c>
      <c r="C11" s="16"/>
      <c r="D11" s="7"/>
      <c r="E11" s="7"/>
      <c r="F11" s="7"/>
      <c r="I11" s="63"/>
      <c r="J11" s="593"/>
      <c r="P11" s="557"/>
      <c r="Q11" s="557"/>
      <c r="R11" s="547" t="s">
        <v>559</v>
      </c>
      <c r="S11" s="547">
        <v>85120</v>
      </c>
      <c r="T11" s="557">
        <v>58831.12</v>
      </c>
      <c r="U11" s="557"/>
      <c r="V11" s="557"/>
      <c r="X11" s="600">
        <v>0.17199999999999999</v>
      </c>
      <c r="Y11" s="633">
        <v>4</v>
      </c>
      <c r="Z11" s="632">
        <v>24</v>
      </c>
      <c r="AA11" s="628">
        <f t="shared" si="3"/>
        <v>42004</v>
      </c>
      <c r="AB11" s="628">
        <f t="shared" si="4"/>
        <v>42004</v>
      </c>
      <c r="AC11" s="630">
        <f t="shared" si="1"/>
        <v>42002</v>
      </c>
      <c r="AD11" s="276">
        <f>_xll.BDH($AD$6, "PX_LAST", AC11, AC11)</f>
        <v>0.17199999999999999</v>
      </c>
      <c r="AE11" s="276">
        <v>0.37</v>
      </c>
      <c r="AF11" s="398">
        <f t="shared" si="0"/>
        <v>0.35399999999999998</v>
      </c>
      <c r="AG11" s="276">
        <f t="shared" si="2"/>
        <v>0.63300000000000001</v>
      </c>
      <c r="AH11" s="276"/>
      <c r="AI11" s="276"/>
    </row>
    <row r="12" spans="1:39" ht="13.5" thickBot="1">
      <c r="A12" s="203">
        <v>4</v>
      </c>
      <c r="B12" s="539">
        <f t="shared" si="5"/>
        <v>44806</v>
      </c>
      <c r="C12" s="16"/>
      <c r="D12" s="7"/>
      <c r="E12" s="7"/>
      <c r="F12" s="7"/>
      <c r="I12" s="63"/>
      <c r="J12" s="593"/>
      <c r="O12" s="564" t="s">
        <v>564</v>
      </c>
      <c r="P12" s="565" t="s">
        <v>562</v>
      </c>
      <c r="Q12" s="565" t="s">
        <v>560</v>
      </c>
      <c r="R12" s="576" t="s">
        <v>561</v>
      </c>
      <c r="S12" s="580" t="s">
        <v>566</v>
      </c>
      <c r="T12" s="638" t="s">
        <v>585</v>
      </c>
      <c r="U12" s="557"/>
      <c r="V12" s="557"/>
      <c r="X12" s="600">
        <v>0.05</v>
      </c>
      <c r="Y12" s="609">
        <v>5</v>
      </c>
      <c r="Z12" s="61">
        <v>30</v>
      </c>
      <c r="AA12" s="610">
        <f t="shared" si="3"/>
        <v>42185</v>
      </c>
      <c r="AB12" s="610">
        <f t="shared" si="4"/>
        <v>42185</v>
      </c>
      <c r="AC12" s="613">
        <f t="shared" si="1"/>
        <v>42181</v>
      </c>
      <c r="AD12" s="7">
        <f>_xll.BDH($AD$6, "PX_LAST", AC12, AC12)</f>
        <v>0.05</v>
      </c>
      <c r="AE12" s="7">
        <v>0.37</v>
      </c>
      <c r="AF12" s="12">
        <f>+$AF$13</f>
        <v>0.35399999999999998</v>
      </c>
      <c r="AG12" s="7">
        <f t="shared" si="2"/>
        <v>0.57199999999999995</v>
      </c>
    </row>
    <row r="13" spans="1:39">
      <c r="A13" s="203">
        <v>5</v>
      </c>
      <c r="B13" s="539">
        <f t="shared" si="5"/>
        <v>44836</v>
      </c>
      <c r="C13" s="16"/>
      <c r="D13" s="7"/>
      <c r="E13" s="7"/>
      <c r="F13" s="7"/>
      <c r="I13" s="63"/>
      <c r="J13" s="593"/>
      <c r="O13" s="559">
        <v>44682</v>
      </c>
      <c r="P13" s="637">
        <v>1520</v>
      </c>
      <c r="Q13" s="560">
        <v>2127.9899999999998</v>
      </c>
      <c r="R13" s="560"/>
      <c r="S13" s="577">
        <v>608</v>
      </c>
      <c r="T13" s="561">
        <f>+T11-Q13</f>
        <v>56703.130000000005</v>
      </c>
      <c r="U13" s="557"/>
      <c r="V13" s="557"/>
      <c r="X13" s="600">
        <v>-4.2000000000000003E-2</v>
      </c>
      <c r="Y13" s="609">
        <v>6</v>
      </c>
      <c r="Z13" s="61">
        <v>36</v>
      </c>
      <c r="AA13" s="610">
        <f t="shared" si="3"/>
        <v>42369</v>
      </c>
      <c r="AB13" s="610">
        <f t="shared" si="4"/>
        <v>42369</v>
      </c>
      <c r="AC13" s="613">
        <f t="shared" si="1"/>
        <v>42367</v>
      </c>
      <c r="AD13" s="7">
        <f>_xll.BDH($AD$6, "PX_LAST", AC13, AC13)</f>
        <v>-4.2000000000000003E-2</v>
      </c>
      <c r="AE13" s="7">
        <v>0.37</v>
      </c>
      <c r="AF13" s="602">
        <v>0.35399999999999998</v>
      </c>
      <c r="AG13" s="7">
        <f t="shared" si="2"/>
        <v>0.52600000000000002</v>
      </c>
    </row>
    <row r="14" spans="1:39">
      <c r="A14" s="203">
        <v>6</v>
      </c>
      <c r="B14" s="539">
        <f t="shared" si="5"/>
        <v>44867</v>
      </c>
      <c r="C14" s="582"/>
      <c r="D14" s="7"/>
      <c r="E14" s="7"/>
      <c r="F14" s="7"/>
      <c r="G14" s="545">
        <v>2.1299999999999999E-2</v>
      </c>
      <c r="H14" s="545">
        <v>9.5999999999999992E-3</v>
      </c>
      <c r="I14" s="591">
        <f>+H14+G14</f>
        <v>3.0899999999999997E-2</v>
      </c>
      <c r="J14" s="594">
        <f>+'basierend auf Endabrechnung 21'!BL1966/100</f>
        <v>2.7495000000000002E-2</v>
      </c>
      <c r="K14" s="566">
        <f>+I14-J14</f>
        <v>3.4049999999999948E-3</v>
      </c>
      <c r="L14" s="45"/>
      <c r="O14" s="559">
        <v>44866</v>
      </c>
      <c r="P14" s="637">
        <v>1520</v>
      </c>
      <c r="Q14" s="560">
        <v>1849.77</v>
      </c>
      <c r="R14" s="569">
        <v>278.23</v>
      </c>
      <c r="S14" s="577">
        <v>608</v>
      </c>
      <c r="T14" s="561">
        <f>+T13-Q14</f>
        <v>54853.360000000008</v>
      </c>
      <c r="U14" s="575">
        <v>6.4000000000000003E-3</v>
      </c>
      <c r="V14" s="570">
        <f>+(O14-O13)/360*U14*S11</f>
        <v>278.43697777777777</v>
      </c>
      <c r="X14" s="600">
        <v>-0.17599999999999999</v>
      </c>
      <c r="Y14" s="609">
        <v>7</v>
      </c>
      <c r="Z14" s="61">
        <v>42</v>
      </c>
      <c r="AA14" s="610">
        <f t="shared" si="3"/>
        <v>42551</v>
      </c>
      <c r="AB14" s="610">
        <f t="shared" si="4"/>
        <v>42551</v>
      </c>
      <c r="AC14" s="613">
        <f t="shared" si="1"/>
        <v>42549</v>
      </c>
      <c r="AD14" s="7">
        <f>_xll.BDH($AD$6, "PX_LAST", AC14, AC14)</f>
        <v>-0.17599999999999999</v>
      </c>
      <c r="AE14" s="7">
        <v>0.37</v>
      </c>
      <c r="AF14" s="602">
        <v>3.0000000000000001E-3</v>
      </c>
      <c r="AG14" s="7">
        <f t="shared" si="2"/>
        <v>0.28349999999999997</v>
      </c>
    </row>
    <row r="15" spans="1:39" ht="13.5" thickBot="1">
      <c r="A15" s="203">
        <v>1</v>
      </c>
      <c r="B15" s="552">
        <f t="shared" si="5"/>
        <v>44897</v>
      </c>
      <c r="C15" s="16"/>
      <c r="D15" s="7"/>
      <c r="E15" s="7"/>
      <c r="F15" s="547">
        <v>49493.1</v>
      </c>
      <c r="K15" s="547" t="e">
        <f>SUM(K16:K248)</f>
        <v>#REF!</v>
      </c>
      <c r="L15" s="582" t="e">
        <f>+-F15+K15</f>
        <v>#REF!</v>
      </c>
      <c r="M15" s="582"/>
      <c r="N15" s="16"/>
      <c r="O15" s="568" t="s">
        <v>565</v>
      </c>
      <c r="P15" s="562">
        <f>SUM(P13:P14)</f>
        <v>3040</v>
      </c>
      <c r="Q15" s="562">
        <f>SUM(Q13:Q14)</f>
        <v>3977.7599999999998</v>
      </c>
      <c r="R15" s="562">
        <f t="shared" ref="R15:S15" si="6">SUM(R13:R14)</f>
        <v>278.23</v>
      </c>
      <c r="S15" s="578">
        <f t="shared" si="6"/>
        <v>1216</v>
      </c>
      <c r="T15" s="639">
        <f>+T14</f>
        <v>54853.360000000008</v>
      </c>
      <c r="U15" s="557"/>
      <c r="V15" s="557"/>
      <c r="X15" s="600">
        <v>-0.221</v>
      </c>
      <c r="Y15" s="609">
        <v>8</v>
      </c>
      <c r="Z15" s="61">
        <v>48</v>
      </c>
      <c r="AA15" s="610">
        <f t="shared" si="3"/>
        <v>42735</v>
      </c>
      <c r="AB15" s="610">
        <f t="shared" si="4"/>
        <v>42737</v>
      </c>
      <c r="AC15" s="613">
        <f t="shared" si="1"/>
        <v>42733</v>
      </c>
      <c r="AD15" s="7">
        <f>_xll.BDH($AD$6, "PX_LAST", AC15, AC15)</f>
        <v>-0.221</v>
      </c>
      <c r="AE15" s="7">
        <v>0.37</v>
      </c>
      <c r="AF15" s="602">
        <v>7.8E-2</v>
      </c>
      <c r="AG15" s="7">
        <f t="shared" si="2"/>
        <v>0.29849999999999999</v>
      </c>
    </row>
    <row r="16" spans="1:39" ht="13.5" thickBot="1">
      <c r="A16" s="553">
        <v>2</v>
      </c>
      <c r="B16" s="554">
        <f t="shared" si="5"/>
        <v>44928</v>
      </c>
      <c r="C16" s="585">
        <f>+C8</f>
        <v>200</v>
      </c>
      <c r="D16" s="555">
        <f>+C16-E16</f>
        <v>68.307109750000023</v>
      </c>
      <c r="E16" s="205">
        <f>+(I14)*F15*(B16-B15)/360</f>
        <v>131.69289024999998</v>
      </c>
      <c r="F16" s="555">
        <f t="shared" ref="F16:F79" si="7">+F15-D16</f>
        <v>49424.792890249999</v>
      </c>
      <c r="G16" s="581">
        <v>2.1693899999999999</v>
      </c>
      <c r="J16" s="581">
        <v>0.99852224000000001</v>
      </c>
      <c r="K16" s="582">
        <f>+C16*J16</f>
        <v>199.70444800000001</v>
      </c>
      <c r="L16" s="582"/>
      <c r="P16" s="557"/>
      <c r="Q16" s="557"/>
      <c r="R16" s="547" t="s">
        <v>559</v>
      </c>
      <c r="S16" s="547">
        <v>76000</v>
      </c>
      <c r="T16" s="557">
        <v>14163.06</v>
      </c>
      <c r="U16" s="16">
        <f>+S16-T16</f>
        <v>61836.94</v>
      </c>
      <c r="V16" s="557"/>
      <c r="X16" s="600">
        <v>-0.27100000000000002</v>
      </c>
      <c r="Y16" s="609">
        <v>9</v>
      </c>
      <c r="Z16" s="61">
        <v>54</v>
      </c>
      <c r="AA16" s="610">
        <f t="shared" si="3"/>
        <v>42916</v>
      </c>
      <c r="AB16" s="610">
        <f t="shared" si="4"/>
        <v>42916</v>
      </c>
      <c r="AC16" s="613">
        <f t="shared" si="1"/>
        <v>42914</v>
      </c>
      <c r="AD16" s="7">
        <f>_xll.BDH($AD$6, "PX_LAST", AC16, AC16)</f>
        <v>-0.27100000000000002</v>
      </c>
      <c r="AE16" s="7">
        <v>0.37</v>
      </c>
      <c r="AF16" s="602">
        <v>0.13500000000000001</v>
      </c>
      <c r="AG16" s="7">
        <f t="shared" si="2"/>
        <v>0.30199999999999999</v>
      </c>
    </row>
    <row r="17" spans="1:35" ht="13.5" thickBot="1">
      <c r="A17" s="203">
        <v>3</v>
      </c>
      <c r="B17" s="540">
        <f t="shared" si="5"/>
        <v>44959</v>
      </c>
      <c r="C17" s="16">
        <f t="shared" ref="C17:C73" si="8">+$C$8</f>
        <v>200</v>
      </c>
      <c r="D17" s="7">
        <f t="shared" ref="D17:D72" si="9">+C17-E17</f>
        <v>68.488863584526484</v>
      </c>
      <c r="E17" s="205">
        <f>+(I14)*F16*(B17-B16)/360</f>
        <v>131.51113641547352</v>
      </c>
      <c r="F17" s="7">
        <f t="shared" si="7"/>
        <v>49356.304026665472</v>
      </c>
      <c r="G17" s="581">
        <v>3.1947999999999999</v>
      </c>
      <c r="J17" s="581">
        <v>0.99678031</v>
      </c>
      <c r="K17" s="582">
        <f t="shared" ref="K17:K80" si="10">+C17*J17</f>
        <v>199.35606200000001</v>
      </c>
      <c r="L17" s="582"/>
      <c r="O17" s="579" t="s">
        <v>558</v>
      </c>
      <c r="P17" s="565" t="s">
        <v>562</v>
      </c>
      <c r="Q17" s="565" t="s">
        <v>560</v>
      </c>
      <c r="R17" s="576" t="s">
        <v>561</v>
      </c>
      <c r="S17" s="580" t="s">
        <v>567</v>
      </c>
      <c r="T17" s="641" t="s">
        <v>585</v>
      </c>
      <c r="U17" s="557"/>
      <c r="V17" s="557"/>
      <c r="X17" s="600">
        <v>-0.27100000000000002</v>
      </c>
      <c r="Y17" s="609">
        <v>10</v>
      </c>
      <c r="Z17" s="61">
        <v>60</v>
      </c>
      <c r="AA17" s="610">
        <f t="shared" si="3"/>
        <v>43100</v>
      </c>
      <c r="AB17" s="610">
        <f t="shared" si="4"/>
        <v>43101</v>
      </c>
      <c r="AC17" s="613">
        <f t="shared" si="1"/>
        <v>43097</v>
      </c>
      <c r="AD17" s="7">
        <f>_xll.BDH($AD$6, "PX_LAST", AC17, AC17)</f>
        <v>-0.27100000000000002</v>
      </c>
      <c r="AE17" s="7">
        <v>0.37</v>
      </c>
      <c r="AF17" s="602">
        <v>0.153</v>
      </c>
      <c r="AG17" s="7">
        <f t="shared" si="2"/>
        <v>0.311</v>
      </c>
    </row>
    <row r="18" spans="1:35">
      <c r="A18" s="203">
        <v>4</v>
      </c>
      <c r="B18" s="540">
        <f t="shared" si="5"/>
        <v>44987</v>
      </c>
      <c r="C18" s="16">
        <f t="shared" si="8"/>
        <v>200</v>
      </c>
      <c r="D18" s="7">
        <f t="shared" si="9"/>
        <v>81.380349322580656</v>
      </c>
      <c r="E18" s="205">
        <f>+(I14)*F17*(B18-B17)/360</f>
        <v>118.61965067741934</v>
      </c>
      <c r="F18" s="7">
        <f t="shared" si="7"/>
        <v>49274.923677342893</v>
      </c>
      <c r="G18" s="581">
        <v>3.3759399999999999</v>
      </c>
      <c r="J18" s="581">
        <v>0.99461440000000001</v>
      </c>
      <c r="K18" s="582">
        <f t="shared" si="10"/>
        <v>198.92287999999999</v>
      </c>
      <c r="L18" s="582"/>
      <c r="O18" s="559">
        <v>44682</v>
      </c>
      <c r="P18" s="637">
        <v>-950.01</v>
      </c>
      <c r="Q18" s="560">
        <v>499.18</v>
      </c>
      <c r="R18" s="569">
        <v>70.81</v>
      </c>
      <c r="S18" s="577">
        <v>1520</v>
      </c>
      <c r="T18" s="561">
        <f>+$T$16-Q18+S18</f>
        <v>15183.88</v>
      </c>
      <c r="U18" s="557"/>
      <c r="V18" s="557"/>
      <c r="X18" s="600">
        <v>-0.27</v>
      </c>
      <c r="Y18" s="609">
        <v>11</v>
      </c>
      <c r="Z18" s="61">
        <v>66</v>
      </c>
      <c r="AA18" s="610">
        <f t="shared" si="3"/>
        <v>43281</v>
      </c>
      <c r="AB18" s="610">
        <f>+IF(WEEKDAY(AA18)=1,AA18+1,IF(WEEKDAY(AA18)=7,AA18+2,AA18))</f>
        <v>43283</v>
      </c>
      <c r="AC18" s="613">
        <f t="shared" si="1"/>
        <v>43279</v>
      </c>
      <c r="AD18" s="7">
        <f>_xll.BDH($AD$6, "PX_LAST", AC18, AC18)</f>
        <v>-0.27</v>
      </c>
      <c r="AE18" s="7">
        <v>0.37</v>
      </c>
      <c r="AF18" s="602">
        <v>0.32700000000000001</v>
      </c>
      <c r="AG18" s="7">
        <f t="shared" si="2"/>
        <v>0.39849999999999997</v>
      </c>
    </row>
    <row r="19" spans="1:35">
      <c r="A19" s="203">
        <v>5</v>
      </c>
      <c r="B19" s="540">
        <f t="shared" si="5"/>
        <v>45018</v>
      </c>
      <c r="C19" s="16">
        <f t="shared" si="8"/>
        <v>200</v>
      </c>
      <c r="D19" s="7">
        <f t="shared" si="9"/>
        <v>68.887640581870102</v>
      </c>
      <c r="E19" s="205">
        <f>+(I14)*F18*(B19-B18)/360</f>
        <v>131.1123594181299</v>
      </c>
      <c r="F19" s="7">
        <f t="shared" si="7"/>
        <v>49206.036036761019</v>
      </c>
      <c r="G19" s="581">
        <v>3.48739</v>
      </c>
      <c r="J19" s="581">
        <v>0.99248234000000002</v>
      </c>
      <c r="K19" s="582">
        <f t="shared" si="10"/>
        <v>198.49646799999999</v>
      </c>
      <c r="L19" s="582"/>
      <c r="O19" s="559">
        <v>44866</v>
      </c>
      <c r="P19" s="637">
        <v>-950</v>
      </c>
      <c r="Q19" s="560">
        <v>494.7</v>
      </c>
      <c r="R19" s="569">
        <v>75.92</v>
      </c>
      <c r="S19" s="577">
        <v>1520</v>
      </c>
      <c r="T19" s="561">
        <f>+$T$18-Q19+S19+R19</f>
        <v>16285.099999999999</v>
      </c>
      <c r="U19" s="575">
        <v>2E-3</v>
      </c>
      <c r="V19" s="570">
        <f>+(O19-O18)/360*U19*S16</f>
        <v>77.688888888888883</v>
      </c>
      <c r="X19" s="600">
        <v>-0.23699999999999999</v>
      </c>
      <c r="Y19" s="609">
        <v>12</v>
      </c>
      <c r="Z19" s="61">
        <v>72</v>
      </c>
      <c r="AA19" s="610">
        <f t="shared" si="3"/>
        <v>43465</v>
      </c>
      <c r="AB19" s="610">
        <f t="shared" ref="AB19:AB82" si="11">+IF(WEEKDAY(AA19)=1,AA19+1,IF(WEEKDAY(AA19)=7,AA19+2,AA19))</f>
        <v>43465</v>
      </c>
      <c r="AC19" s="613">
        <f t="shared" si="1"/>
        <v>43461</v>
      </c>
      <c r="AD19" s="7">
        <f>_xll.BDH($AD$6, "PX_LAST", AC19, AC19)</f>
        <v>-0.23699999999999999</v>
      </c>
      <c r="AE19" s="7">
        <v>0.37</v>
      </c>
      <c r="AF19" s="602">
        <v>0.25900000000000001</v>
      </c>
      <c r="AG19" s="7">
        <f t="shared" si="2"/>
        <v>0.38100000000000001</v>
      </c>
    </row>
    <row r="20" spans="1:35" ht="13.5" thickBot="1">
      <c r="A20" s="541">
        <v>6</v>
      </c>
      <c r="B20" s="542">
        <f t="shared" si="5"/>
        <v>45048</v>
      </c>
      <c r="C20" s="16">
        <f t="shared" si="8"/>
        <v>200</v>
      </c>
      <c r="D20" s="7">
        <f t="shared" si="9"/>
        <v>73.294457205340379</v>
      </c>
      <c r="E20" s="205">
        <f>+(I14)*F19*(B20-B19)/360</f>
        <v>126.70554279465962</v>
      </c>
      <c r="F20" s="7">
        <f t="shared" si="7"/>
        <v>49132.741579555681</v>
      </c>
      <c r="G20" s="581">
        <v>3.58447</v>
      </c>
      <c r="H20" s="545">
        <v>9.5999999999999992E-3</v>
      </c>
      <c r="I20" s="572">
        <f>+H20+G20/100</f>
        <v>4.5444699999999998E-2</v>
      </c>
      <c r="J20" s="581">
        <v>0.98974324000000002</v>
      </c>
      <c r="K20" s="582">
        <f t="shared" si="10"/>
        <v>197.94864799999999</v>
      </c>
      <c r="L20" s="582"/>
      <c r="N20" s="16">
        <f>+R20+Q20-S20</f>
        <v>-1899.3899999999999</v>
      </c>
      <c r="O20" s="568" t="s">
        <v>565</v>
      </c>
      <c r="P20" s="562">
        <f>SUM(P18:P19)</f>
        <v>-1900.01</v>
      </c>
      <c r="Q20" s="562">
        <f>SUM(Q18:Q19)</f>
        <v>993.88</v>
      </c>
      <c r="R20" s="562">
        <f t="shared" ref="R20:S20" si="12">SUM(R18:R19)</f>
        <v>146.73000000000002</v>
      </c>
      <c r="S20" s="578">
        <f t="shared" si="12"/>
        <v>3040</v>
      </c>
      <c r="T20" s="639">
        <f>+T19</f>
        <v>16285.099999999999</v>
      </c>
      <c r="U20" s="557"/>
      <c r="V20" s="557"/>
      <c r="X20" s="600">
        <v>-0.313</v>
      </c>
      <c r="Y20" s="609">
        <v>13</v>
      </c>
      <c r="Z20" s="61">
        <v>78</v>
      </c>
      <c r="AA20" s="610">
        <f t="shared" si="3"/>
        <v>43646</v>
      </c>
      <c r="AB20" s="610">
        <f t="shared" si="11"/>
        <v>43647</v>
      </c>
      <c r="AC20" s="613">
        <f t="shared" si="1"/>
        <v>43643</v>
      </c>
      <c r="AD20" s="7">
        <f>_xll.BDH($AD$6, "PX_LAST", AC20, AC20)</f>
        <v>-0.313</v>
      </c>
      <c r="AE20" s="7">
        <v>0.37</v>
      </c>
      <c r="AF20" s="602">
        <v>-0.13200000000000001</v>
      </c>
      <c r="AG20" s="7">
        <f t="shared" si="2"/>
        <v>0.14749999999999999</v>
      </c>
    </row>
    <row r="21" spans="1:35" ht="13.5" thickBot="1">
      <c r="B21" s="538">
        <f t="shared" si="5"/>
        <v>45079</v>
      </c>
      <c r="C21" s="16">
        <f t="shared" si="8"/>
        <v>200</v>
      </c>
      <c r="D21" s="7">
        <f t="shared" si="9"/>
        <v>7.7291562803515319</v>
      </c>
      <c r="E21" s="205">
        <f>+(I20)*F20*(B21-B20)/360</f>
        <v>192.27084371964847</v>
      </c>
      <c r="F21" s="7">
        <f t="shared" si="7"/>
        <v>49125.01242327533</v>
      </c>
      <c r="G21" s="581">
        <v>3.6179299999999999</v>
      </c>
      <c r="J21" s="581">
        <v>0.98711039</v>
      </c>
      <c r="K21" s="582">
        <f t="shared" si="10"/>
        <v>197.422078</v>
      </c>
      <c r="L21" s="582"/>
      <c r="P21" s="557"/>
      <c r="Q21" s="557"/>
      <c r="R21" s="642" t="s">
        <v>559</v>
      </c>
      <c r="S21" s="642">
        <v>36480</v>
      </c>
      <c r="T21" s="557">
        <v>34692.699999999997</v>
      </c>
      <c r="U21" s="16">
        <f>+S21-T21</f>
        <v>1787.3000000000029</v>
      </c>
      <c r="X21" s="600">
        <v>-0.32500000000000001</v>
      </c>
      <c r="Y21" s="609">
        <v>14</v>
      </c>
      <c r="Z21" s="61">
        <v>84</v>
      </c>
      <c r="AA21" s="610">
        <f t="shared" si="3"/>
        <v>43830</v>
      </c>
      <c r="AB21" s="610">
        <f t="shared" si="11"/>
        <v>43830</v>
      </c>
      <c r="AC21" s="613">
        <f t="shared" si="1"/>
        <v>43826</v>
      </c>
      <c r="AD21" s="7">
        <f>_xll.BDH($AD$6, "PX_LAST", AC21, AC21)</f>
        <v>-0.32500000000000001</v>
      </c>
      <c r="AE21" s="7">
        <v>0.37</v>
      </c>
      <c r="AF21" s="602">
        <v>-0.18</v>
      </c>
      <c r="AG21" s="7">
        <f t="shared" si="2"/>
        <v>0.11749999999999999</v>
      </c>
    </row>
    <row r="22" spans="1:35" ht="13.5" thickBot="1">
      <c r="B22" s="539">
        <f t="shared" si="5"/>
        <v>45109</v>
      </c>
      <c r="C22" s="16">
        <f t="shared" si="8"/>
        <v>200</v>
      </c>
      <c r="D22" s="7">
        <f t="shared" si="9"/>
        <v>13.960712327331635</v>
      </c>
      <c r="E22" s="205">
        <f>+(I20)*F21*(B22-B21)/360</f>
        <v>186.03928767266837</v>
      </c>
      <c r="F22" s="7">
        <f t="shared" si="7"/>
        <v>49111.051710947999</v>
      </c>
      <c r="G22" s="581">
        <v>3.5986400000000001</v>
      </c>
      <c r="J22" s="581">
        <v>0.98429003000000004</v>
      </c>
      <c r="K22" s="582">
        <f t="shared" si="10"/>
        <v>196.85800600000002</v>
      </c>
      <c r="L22" s="582"/>
      <c r="O22" s="579" t="s">
        <v>558</v>
      </c>
      <c r="P22" s="565" t="s">
        <v>562</v>
      </c>
      <c r="Q22" s="565" t="s">
        <v>560</v>
      </c>
      <c r="R22" s="576" t="s">
        <v>561</v>
      </c>
      <c r="S22" s="558"/>
      <c r="T22" s="641" t="s">
        <v>585</v>
      </c>
      <c r="X22" s="600">
        <v>-0.28299999999999997</v>
      </c>
      <c r="Y22" s="609">
        <v>15</v>
      </c>
      <c r="Z22" s="61">
        <v>90</v>
      </c>
      <c r="AA22" s="610">
        <f t="shared" si="3"/>
        <v>44012</v>
      </c>
      <c r="AB22" s="610">
        <f t="shared" si="11"/>
        <v>44012</v>
      </c>
      <c r="AC22" s="613">
        <f t="shared" si="1"/>
        <v>44008</v>
      </c>
      <c r="AD22" s="7">
        <f>_xll.BDH($AD$6, "PX_LAST", AC22, AC22)</f>
        <v>-0.28299999999999997</v>
      </c>
      <c r="AE22" s="7">
        <v>0.37</v>
      </c>
      <c r="AF22" s="602">
        <v>-0.25</v>
      </c>
      <c r="AG22" s="7">
        <f t="shared" si="2"/>
        <v>0.10350000000000004</v>
      </c>
    </row>
    <row r="23" spans="1:35">
      <c r="B23" s="539">
        <f t="shared" si="5"/>
        <v>45140</v>
      </c>
      <c r="C23" s="16">
        <f t="shared" si="8"/>
        <v>200</v>
      </c>
      <c r="D23" s="7">
        <f t="shared" si="9"/>
        <v>7.8140351045998102</v>
      </c>
      <c r="E23" s="205">
        <f>+(I20)*F22*(B23-B22)/360</f>
        <v>192.18596489540019</v>
      </c>
      <c r="F23" s="7">
        <f t="shared" si="7"/>
        <v>49103.237675843397</v>
      </c>
      <c r="G23" s="581">
        <v>3.5707300000000002</v>
      </c>
      <c r="J23" s="581">
        <v>0.98140463</v>
      </c>
      <c r="K23" s="582">
        <f t="shared" si="10"/>
        <v>196.28092599999999</v>
      </c>
      <c r="L23" s="582"/>
      <c r="O23" s="559">
        <v>44682</v>
      </c>
      <c r="P23" s="637">
        <v>342</v>
      </c>
      <c r="Q23" s="560">
        <v>168.53</v>
      </c>
      <c r="R23" s="560">
        <v>173.47</v>
      </c>
      <c r="S23" s="560"/>
      <c r="T23" s="561">
        <f>+$T$21-Q23+S23</f>
        <v>34524.17</v>
      </c>
      <c r="X23" s="600">
        <v>-0.52300000000000002</v>
      </c>
      <c r="Y23" s="609">
        <v>16</v>
      </c>
      <c r="Z23" s="61">
        <v>96</v>
      </c>
      <c r="AA23" s="610">
        <f t="shared" si="3"/>
        <v>44196</v>
      </c>
      <c r="AB23" s="610">
        <f t="shared" si="11"/>
        <v>44196</v>
      </c>
      <c r="AC23" s="613">
        <f t="shared" si="1"/>
        <v>44194</v>
      </c>
      <c r="AD23" s="7">
        <f>_xll.BDH($AD$6, "PX_LAST", AC23, AC23)</f>
        <v>-0.52300000000000002</v>
      </c>
      <c r="AE23" s="7">
        <v>0.37</v>
      </c>
      <c r="AF23" s="602">
        <v>-0.46500000000000002</v>
      </c>
      <c r="AG23" s="7">
        <f t="shared" si="2"/>
        <v>-0.124</v>
      </c>
    </row>
    <row r="24" spans="1:35">
      <c r="B24" s="539">
        <f t="shared" si="5"/>
        <v>45171</v>
      </c>
      <c r="C24" s="16">
        <f t="shared" si="8"/>
        <v>200</v>
      </c>
      <c r="D24" s="7">
        <f t="shared" si="9"/>
        <v>7.8446137182516509</v>
      </c>
      <c r="E24" s="205">
        <f>+(I20)*F23*(B24-B23)/360</f>
        <v>192.15538628174835</v>
      </c>
      <c r="F24" s="7">
        <f t="shared" si="7"/>
        <v>49095.393062125142</v>
      </c>
      <c r="G24" s="581">
        <v>3.5445799999999998</v>
      </c>
      <c r="J24" s="581">
        <v>0.97869768000000001</v>
      </c>
      <c r="K24" s="582">
        <f t="shared" si="10"/>
        <v>195.73953600000002</v>
      </c>
      <c r="L24" s="582"/>
      <c r="O24" s="559">
        <v>44866</v>
      </c>
      <c r="P24" s="637">
        <v>342</v>
      </c>
      <c r="Q24" s="560">
        <v>169.38</v>
      </c>
      <c r="R24" s="569">
        <v>172.62</v>
      </c>
      <c r="S24" s="560"/>
      <c r="T24" s="561">
        <f>+$T$21-Q24+S24</f>
        <v>34523.32</v>
      </c>
      <c r="U24" s="571"/>
      <c r="V24" s="571"/>
      <c r="X24" s="600">
        <v>-0.51300000000000001</v>
      </c>
      <c r="Y24" s="609">
        <v>17</v>
      </c>
      <c r="Z24" s="61">
        <v>102</v>
      </c>
      <c r="AA24" s="610">
        <f t="shared" si="3"/>
        <v>44377</v>
      </c>
      <c r="AB24" s="610">
        <f t="shared" si="11"/>
        <v>44377</v>
      </c>
      <c r="AC24" s="613">
        <f t="shared" si="1"/>
        <v>44375</v>
      </c>
      <c r="AD24" s="7">
        <f>_xll.BDH($AD$6, "PX_LAST", AC24, AC24)</f>
        <v>-0.51300000000000001</v>
      </c>
      <c r="AE24" s="7">
        <v>0.37</v>
      </c>
      <c r="AF24" s="602">
        <v>-0.17</v>
      </c>
      <c r="AG24" s="7">
        <f t="shared" si="2"/>
        <v>2.849999999999997E-2</v>
      </c>
    </row>
    <row r="25" spans="1:35" ht="13.5" thickBot="1">
      <c r="B25" s="539">
        <f t="shared" si="5"/>
        <v>45201</v>
      </c>
      <c r="C25" s="16">
        <f t="shared" si="8"/>
        <v>200</v>
      </c>
      <c r="D25" s="7">
        <f t="shared" si="9"/>
        <v>14.072882575803476</v>
      </c>
      <c r="E25" s="205">
        <f>+(I20)*F24*(B25-B24)/360</f>
        <v>185.92711742419652</v>
      </c>
      <c r="F25" s="7">
        <f t="shared" si="7"/>
        <v>49081.320179549337</v>
      </c>
      <c r="G25" s="581">
        <v>3.51532</v>
      </c>
      <c r="J25" s="581">
        <v>0.97573624000000003</v>
      </c>
      <c r="K25" s="582">
        <f t="shared" si="10"/>
        <v>195.14724800000002</v>
      </c>
      <c r="L25" s="582"/>
      <c r="N25" s="16">
        <f>+R25+Q25-S25</f>
        <v>684</v>
      </c>
      <c r="O25" s="568" t="s">
        <v>565</v>
      </c>
      <c r="P25" s="562">
        <f>SUM(P23:P24)</f>
        <v>684</v>
      </c>
      <c r="Q25" s="562">
        <f>SUM(Q23:Q24)</f>
        <v>337.90999999999997</v>
      </c>
      <c r="R25" s="562">
        <f t="shared" ref="R25" si="13">SUM(R23:R24)</f>
        <v>346.09000000000003</v>
      </c>
      <c r="S25" s="562"/>
      <c r="T25" s="639">
        <f>+T24</f>
        <v>34523.32</v>
      </c>
      <c r="X25" s="600">
        <v>-0.54400000000000004</v>
      </c>
      <c r="Y25" s="609">
        <v>18</v>
      </c>
      <c r="Z25" s="61">
        <v>108</v>
      </c>
      <c r="AA25" s="610">
        <f t="shared" si="3"/>
        <v>44561</v>
      </c>
      <c r="AB25" s="610">
        <f t="shared" si="11"/>
        <v>44561</v>
      </c>
      <c r="AC25" s="613">
        <f t="shared" si="1"/>
        <v>44559</v>
      </c>
      <c r="AD25" s="7">
        <f>_xll.BDH($AD$6, "PX_LAST", AC25, AC25)</f>
        <v>-0.54400000000000004</v>
      </c>
      <c r="AE25" s="7">
        <v>0.37</v>
      </c>
      <c r="AF25" s="602">
        <v>-0.21099999999999999</v>
      </c>
      <c r="AG25" s="7">
        <f t="shared" si="2"/>
        <v>-7.5000000000000067E-3</v>
      </c>
    </row>
    <row r="26" spans="1:35" ht="19.5" thickBot="1">
      <c r="B26" s="539">
        <f t="shared" si="5"/>
        <v>45232</v>
      </c>
      <c r="C26" s="16">
        <f t="shared" si="8"/>
        <v>200</v>
      </c>
      <c r="D26" s="7">
        <f t="shared" si="9"/>
        <v>7.93038331647071</v>
      </c>
      <c r="E26" s="205">
        <f>+(I20)*F25*(B26-B25)/360</f>
        <v>192.06961668352929</v>
      </c>
      <c r="G26" s="7">
        <f>+F25-D26</f>
        <v>49073.389796232863</v>
      </c>
      <c r="H26" s="545">
        <v>9.5999999999999992E-3</v>
      </c>
      <c r="I26" s="572" t="e">
        <f>+H26+#REF!/100</f>
        <v>#REF!</v>
      </c>
      <c r="J26" s="581">
        <v>0.97299228999999998</v>
      </c>
      <c r="K26" s="582">
        <f t="shared" si="10"/>
        <v>194.59845799999999</v>
      </c>
      <c r="L26" s="582"/>
      <c r="S26" s="1"/>
      <c r="X26" s="600">
        <v>0.22500000000000001</v>
      </c>
      <c r="Y26" s="609">
        <v>19</v>
      </c>
      <c r="Z26" s="611">
        <v>114</v>
      </c>
      <c r="AA26" s="612">
        <f t="shared" si="3"/>
        <v>44742</v>
      </c>
      <c r="AB26" s="612">
        <f t="shared" si="11"/>
        <v>44742</v>
      </c>
      <c r="AC26" s="614">
        <f t="shared" si="1"/>
        <v>44740</v>
      </c>
      <c r="AD26" s="7">
        <f>_xll.BDH($AD$6, "PX_LAST", AC26, AC26)</f>
        <v>0.22500000000000001</v>
      </c>
      <c r="AE26" s="7">
        <v>0.37</v>
      </c>
      <c r="AF26" s="602">
        <v>1.593</v>
      </c>
      <c r="AG26" s="7">
        <f t="shared" si="2"/>
        <v>1.2789999999999999</v>
      </c>
    </row>
    <row r="27" spans="1:35" ht="13.5" thickBot="1">
      <c r="B27" s="540">
        <f t="shared" si="5"/>
        <v>45262</v>
      </c>
      <c r="C27" s="16">
        <f t="shared" si="8"/>
        <v>200</v>
      </c>
      <c r="D27" s="7" t="e">
        <f>+C27-E27</f>
        <v>#REF!</v>
      </c>
      <c r="E27" s="205" t="e">
        <f>+(I26)*G26*(B27-B26)/360</f>
        <v>#REF!</v>
      </c>
      <c r="F27" s="7" t="e">
        <f>+G26-D27</f>
        <v>#REF!</v>
      </c>
      <c r="G27" s="581">
        <v>3.4614199999999999</v>
      </c>
      <c r="J27" s="581">
        <v>0.97034805000000002</v>
      </c>
      <c r="K27" s="582">
        <f t="shared" si="10"/>
        <v>194.06961000000001</v>
      </c>
      <c r="L27" s="582"/>
      <c r="R27" s="16"/>
      <c r="S27" s="574" t="s">
        <v>568</v>
      </c>
      <c r="T27" s="640">
        <f>+T25+T20+T15+T10+T5</f>
        <v>315555.09000000003</v>
      </c>
      <c r="U27" s="16"/>
      <c r="X27" s="600">
        <v>2.726</v>
      </c>
      <c r="Y27" s="609">
        <v>20</v>
      </c>
      <c r="Z27" s="61">
        <v>120</v>
      </c>
      <c r="AA27" s="610">
        <f t="shared" si="3"/>
        <v>44926</v>
      </c>
      <c r="AB27" s="610">
        <f t="shared" si="11"/>
        <v>44928</v>
      </c>
      <c r="AC27" s="613">
        <f t="shared" si="1"/>
        <v>44924</v>
      </c>
      <c r="AD27" s="7">
        <f>_xll.BDH($AD$6, "PX_LAST", AC27, AC27)</f>
        <v>2.726</v>
      </c>
      <c r="AE27" s="7">
        <v>0.37</v>
      </c>
      <c r="AF27" s="602">
        <v>2.472</v>
      </c>
      <c r="AG27" s="7">
        <f t="shared" si="2"/>
        <v>2.9690000000000003</v>
      </c>
      <c r="AH27" s="7">
        <v>0.96</v>
      </c>
      <c r="AI27" s="624">
        <f>+AH27+AD27</f>
        <v>3.6859999999999999</v>
      </c>
    </row>
    <row r="28" spans="1:35">
      <c r="B28" s="540">
        <f t="shared" si="5"/>
        <v>45293</v>
      </c>
      <c r="C28" s="16">
        <f t="shared" si="8"/>
        <v>200</v>
      </c>
      <c r="D28" s="7" t="e">
        <f t="shared" si="9"/>
        <v>#REF!</v>
      </c>
      <c r="E28" s="205" t="e">
        <f t="shared" ref="E28" si="14">+(I26)*F27*(B28-B27)/360</f>
        <v>#REF!</v>
      </c>
      <c r="F28" s="7" t="e">
        <f t="shared" si="7"/>
        <v>#REF!</v>
      </c>
      <c r="G28" s="581">
        <v>3.4108299999999998</v>
      </c>
      <c r="J28" s="581">
        <v>0.96741719000000004</v>
      </c>
      <c r="K28" s="582">
        <f t="shared" si="10"/>
        <v>193.48343800000001</v>
      </c>
      <c r="L28" s="582"/>
      <c r="N28" s="16"/>
      <c r="O28" s="16"/>
      <c r="P28" s="16">
        <f>+P5+P10+P20+P25</f>
        <v>6814.56</v>
      </c>
      <c r="T28">
        <v>85000</v>
      </c>
      <c r="Y28" s="609">
        <v>21</v>
      </c>
      <c r="Z28" s="61">
        <v>126</v>
      </c>
      <c r="AA28" s="610">
        <f t="shared" si="3"/>
        <v>45107</v>
      </c>
      <c r="AB28" s="610">
        <f t="shared" si="11"/>
        <v>45107</v>
      </c>
      <c r="AC28" s="610">
        <f t="shared" si="1"/>
        <v>45105</v>
      </c>
    </row>
    <row r="29" spans="1:35">
      <c r="B29" s="540">
        <f t="shared" si="5"/>
        <v>45324</v>
      </c>
      <c r="C29" s="16">
        <f t="shared" si="8"/>
        <v>200</v>
      </c>
      <c r="D29" s="7" t="e">
        <f t="shared" si="9"/>
        <v>#REF!</v>
      </c>
      <c r="E29" s="205" t="e">
        <f t="shared" ref="E29" si="15">+(I26)*F28*(B29-B28)/360</f>
        <v>#REF!</v>
      </c>
      <c r="F29" s="7" t="e">
        <f t="shared" si="7"/>
        <v>#REF!</v>
      </c>
      <c r="G29" s="581">
        <v>3.3601999999999999</v>
      </c>
      <c r="J29" s="581">
        <v>0.96486550000000004</v>
      </c>
      <c r="K29" s="582">
        <f t="shared" si="10"/>
        <v>192.97310000000002</v>
      </c>
      <c r="L29" s="582"/>
      <c r="O29">
        <v>2022</v>
      </c>
      <c r="P29" s="7">
        <f>+'basierend auf Endabrechnung 21'!Q10*12</f>
        <v>10232.76</v>
      </c>
      <c r="Q29" t="s">
        <v>20</v>
      </c>
      <c r="T29" s="16">
        <f>+T27-T28</f>
        <v>230555.09000000003</v>
      </c>
      <c r="Y29" s="609">
        <v>22</v>
      </c>
      <c r="Z29" s="61">
        <v>132</v>
      </c>
      <c r="AA29" s="610">
        <f t="shared" si="3"/>
        <v>45291</v>
      </c>
      <c r="AB29" s="610">
        <f t="shared" si="11"/>
        <v>45292</v>
      </c>
      <c r="AC29" s="610">
        <f t="shared" si="1"/>
        <v>45288</v>
      </c>
    </row>
    <row r="30" spans="1:35">
      <c r="B30" s="540">
        <f t="shared" si="5"/>
        <v>45353</v>
      </c>
      <c r="C30" s="16">
        <f t="shared" si="8"/>
        <v>200</v>
      </c>
      <c r="D30" s="7" t="e">
        <f t="shared" si="9"/>
        <v>#REF!</v>
      </c>
      <c r="E30" s="205" t="e">
        <f t="shared" ref="E30" si="16">+(I26)*F29*(B30-B29)/360</f>
        <v>#REF!</v>
      </c>
      <c r="F30" s="7" t="e">
        <f t="shared" si="7"/>
        <v>#REF!</v>
      </c>
      <c r="G30" s="581">
        <v>3.3086500000000001</v>
      </c>
      <c r="J30" s="581">
        <v>0.96240817999999995</v>
      </c>
      <c r="K30" s="582">
        <f t="shared" si="10"/>
        <v>192.48163599999998</v>
      </c>
      <c r="L30" s="582"/>
      <c r="P30" s="16"/>
      <c r="Q30" s="16"/>
      <c r="R30" s="16"/>
      <c r="S30" s="16"/>
      <c r="T30" s="16"/>
      <c r="Y30" s="609">
        <v>23</v>
      </c>
      <c r="Z30" s="61">
        <v>138</v>
      </c>
      <c r="AA30" s="610">
        <f t="shared" si="3"/>
        <v>45473</v>
      </c>
      <c r="AB30" s="610">
        <f t="shared" si="11"/>
        <v>45474</v>
      </c>
      <c r="AC30" s="610">
        <f t="shared" si="1"/>
        <v>45470</v>
      </c>
    </row>
    <row r="31" spans="1:35">
      <c r="B31" s="540">
        <f t="shared" si="5"/>
        <v>45384</v>
      </c>
      <c r="C31" s="16">
        <f t="shared" si="8"/>
        <v>200</v>
      </c>
      <c r="D31" s="7" t="e">
        <f t="shared" si="9"/>
        <v>#REF!</v>
      </c>
      <c r="E31" s="205" t="e">
        <f t="shared" ref="E31" si="17">+(I26)*F30*(B31-B30)/360</f>
        <v>#REF!</v>
      </c>
      <c r="F31" s="7" t="e">
        <f t="shared" si="7"/>
        <v>#REF!</v>
      </c>
      <c r="G31" s="581">
        <v>3.2552599999999998</v>
      </c>
      <c r="J31" s="581">
        <v>0.95965290000000003</v>
      </c>
      <c r="K31" s="582">
        <f t="shared" si="10"/>
        <v>191.93058000000002</v>
      </c>
      <c r="L31" s="582"/>
      <c r="Y31" s="609">
        <v>24</v>
      </c>
      <c r="Z31" s="61">
        <v>144</v>
      </c>
      <c r="AA31" s="610">
        <f t="shared" si="3"/>
        <v>45657</v>
      </c>
      <c r="AB31" s="610">
        <f t="shared" si="11"/>
        <v>45657</v>
      </c>
      <c r="AC31" s="610">
        <f t="shared" si="1"/>
        <v>45653</v>
      </c>
    </row>
    <row r="32" spans="1:35" ht="13.5" thickBot="1">
      <c r="B32" s="542">
        <f t="shared" si="5"/>
        <v>45414</v>
      </c>
      <c r="C32" s="16">
        <f t="shared" si="8"/>
        <v>200</v>
      </c>
      <c r="D32" s="7" t="e">
        <f t="shared" si="9"/>
        <v>#REF!</v>
      </c>
      <c r="E32" s="205" t="e">
        <f t="shared" ref="E32" si="18">+(I26)*F31*(B32-B31)/360</f>
        <v>#REF!</v>
      </c>
      <c r="F32" s="7" t="e">
        <f t="shared" si="7"/>
        <v>#REF!</v>
      </c>
      <c r="G32" s="581">
        <v>3.2019899999999999</v>
      </c>
      <c r="H32" s="545">
        <v>9.5999999999999992E-3</v>
      </c>
      <c r="I32" s="572">
        <f t="shared" ref="I32" si="19">+H32+G32/100</f>
        <v>4.1619899999999994E-2</v>
      </c>
      <c r="J32" s="581">
        <v>0.95711162000000005</v>
      </c>
      <c r="K32" s="582">
        <f t="shared" si="10"/>
        <v>191.422324</v>
      </c>
      <c r="L32" s="582"/>
      <c r="Y32" s="609">
        <v>25</v>
      </c>
      <c r="Z32" s="61">
        <v>150</v>
      </c>
      <c r="AA32" s="610">
        <f t="shared" si="3"/>
        <v>45838</v>
      </c>
      <c r="AB32" s="610">
        <f t="shared" si="11"/>
        <v>45838</v>
      </c>
      <c r="AC32" s="610">
        <f t="shared" si="1"/>
        <v>45834</v>
      </c>
    </row>
    <row r="33" spans="2:29">
      <c r="B33" s="538">
        <f t="shared" si="5"/>
        <v>45445</v>
      </c>
      <c r="C33" s="16">
        <f t="shared" si="8"/>
        <v>200</v>
      </c>
      <c r="D33" s="7" t="e">
        <f t="shared" si="9"/>
        <v>#REF!</v>
      </c>
      <c r="E33" s="205" t="e">
        <f t="shared" ref="E33" si="20">+(I32)*F32*(B33-B32)/360</f>
        <v>#REF!</v>
      </c>
      <c r="F33" s="7" t="e">
        <f t="shared" si="7"/>
        <v>#REF!</v>
      </c>
      <c r="G33" s="581">
        <v>3.15334</v>
      </c>
      <c r="J33" s="581">
        <v>0.95482204999999998</v>
      </c>
      <c r="K33" s="582">
        <f t="shared" si="10"/>
        <v>190.96440999999999</v>
      </c>
      <c r="L33" s="582"/>
      <c r="Y33" s="609">
        <v>26</v>
      </c>
      <c r="Z33" s="61">
        <v>156</v>
      </c>
      <c r="AA33" s="610">
        <f t="shared" si="3"/>
        <v>46022</v>
      </c>
      <c r="AB33" s="610">
        <f t="shared" si="11"/>
        <v>46022</v>
      </c>
      <c r="AC33" s="610">
        <f t="shared" si="1"/>
        <v>46020</v>
      </c>
    </row>
    <row r="34" spans="2:29">
      <c r="B34" s="539">
        <f t="shared" si="5"/>
        <v>45475</v>
      </c>
      <c r="C34" s="16">
        <f t="shared" si="8"/>
        <v>200</v>
      </c>
      <c r="D34" s="7" t="e">
        <f t="shared" si="9"/>
        <v>#REF!</v>
      </c>
      <c r="E34" s="205" t="e">
        <f t="shared" ref="E34" si="21">+(I32)*F33*(B34-B33)/360</f>
        <v>#REF!</v>
      </c>
      <c r="F34" s="7" t="e">
        <f t="shared" si="7"/>
        <v>#REF!</v>
      </c>
      <c r="G34" s="581">
        <v>3.1093500000000001</v>
      </c>
      <c r="J34" s="581">
        <v>0.95222841999999996</v>
      </c>
      <c r="K34" s="582">
        <f t="shared" si="10"/>
        <v>190.445684</v>
      </c>
      <c r="L34" s="582"/>
      <c r="Y34" s="609">
        <v>27</v>
      </c>
      <c r="Z34" s="61">
        <v>162</v>
      </c>
      <c r="AA34" s="610">
        <f t="shared" si="3"/>
        <v>46203</v>
      </c>
      <c r="AB34" s="610">
        <f t="shared" si="11"/>
        <v>46203</v>
      </c>
      <c r="AC34" s="610">
        <f t="shared" si="1"/>
        <v>46199</v>
      </c>
    </row>
    <row r="35" spans="2:29">
      <c r="B35" s="539">
        <f t="shared" si="5"/>
        <v>45506</v>
      </c>
      <c r="C35" s="16">
        <f t="shared" si="8"/>
        <v>200</v>
      </c>
      <c r="D35" s="7" t="e">
        <f t="shared" si="9"/>
        <v>#REF!</v>
      </c>
      <c r="E35" s="205" t="e">
        <f t="shared" ref="E35" si="22">+(I32)*F34*(B35-B34)/360</f>
        <v>#REF!</v>
      </c>
      <c r="F35" s="7" t="e">
        <f t="shared" si="7"/>
        <v>#REF!</v>
      </c>
      <c r="G35" s="581">
        <v>3.07063</v>
      </c>
      <c r="J35" s="581">
        <v>0.94990056</v>
      </c>
      <c r="K35" s="582">
        <f t="shared" si="10"/>
        <v>189.98011199999999</v>
      </c>
      <c r="L35" s="582"/>
      <c r="P35" s="62">
        <f t="shared" ref="P35:P39" si="23">+R35-Q35</f>
        <v>136.80666666666664</v>
      </c>
      <c r="Q35" s="556">
        <f>+P14/6</f>
        <v>253.33333333333334</v>
      </c>
      <c r="R35" s="336">
        <v>390.14</v>
      </c>
      <c r="S35" s="586" t="s">
        <v>0</v>
      </c>
      <c r="Y35" s="609">
        <v>28</v>
      </c>
      <c r="Z35" s="61">
        <v>168</v>
      </c>
      <c r="AA35" s="610">
        <f t="shared" si="3"/>
        <v>46387</v>
      </c>
      <c r="AB35" s="610">
        <f t="shared" si="11"/>
        <v>46387</v>
      </c>
      <c r="AC35" s="610">
        <f t="shared" si="1"/>
        <v>46385</v>
      </c>
    </row>
    <row r="36" spans="2:29">
      <c r="B36" s="539">
        <f t="shared" si="5"/>
        <v>45537</v>
      </c>
      <c r="C36" s="16">
        <f t="shared" si="8"/>
        <v>200</v>
      </c>
      <c r="D36" s="7" t="e">
        <f t="shared" si="9"/>
        <v>#REF!</v>
      </c>
      <c r="E36" s="205" t="e">
        <f t="shared" ref="E36" si="24">+(I32)*F35*(B36-B35)/360</f>
        <v>#REF!</v>
      </c>
      <c r="F36" s="7" t="e">
        <f t="shared" si="7"/>
        <v>#REF!</v>
      </c>
      <c r="G36" s="581">
        <v>3.0293800000000002</v>
      </c>
      <c r="J36" s="581">
        <v>0.94750109000000005</v>
      </c>
      <c r="K36" s="582">
        <f t="shared" si="10"/>
        <v>189.50021800000002</v>
      </c>
      <c r="L36" s="582"/>
      <c r="P36" s="62">
        <f t="shared" si="23"/>
        <v>239.22333333333336</v>
      </c>
      <c r="Q36" s="556">
        <f>+P9/6</f>
        <v>551.99666666666667</v>
      </c>
      <c r="R36" s="336">
        <v>791.22</v>
      </c>
      <c r="S36" s="586" t="s">
        <v>1</v>
      </c>
      <c r="Y36" s="609">
        <v>29</v>
      </c>
      <c r="Z36" s="61">
        <v>174</v>
      </c>
      <c r="AA36" s="610">
        <f t="shared" si="3"/>
        <v>46568</v>
      </c>
      <c r="AB36" s="610">
        <f t="shared" si="11"/>
        <v>46568</v>
      </c>
      <c r="AC36" s="610">
        <f t="shared" si="1"/>
        <v>46566</v>
      </c>
    </row>
    <row r="37" spans="2:29">
      <c r="B37" s="539">
        <f t="shared" si="5"/>
        <v>45567</v>
      </c>
      <c r="C37" s="16">
        <f t="shared" si="8"/>
        <v>200</v>
      </c>
      <c r="D37" s="7" t="e">
        <f t="shared" si="9"/>
        <v>#REF!</v>
      </c>
      <c r="E37" s="205" t="e">
        <f t="shared" ref="E37" si="25">+(I32)*F36*(B37-B36)/360</f>
        <v>#REF!</v>
      </c>
      <c r="F37" s="7" t="e">
        <f t="shared" si="7"/>
        <v>#REF!</v>
      </c>
      <c r="G37" s="581">
        <v>2.9883299999999999</v>
      </c>
      <c r="J37" s="581">
        <v>0.94520442000000005</v>
      </c>
      <c r="K37" s="582">
        <f t="shared" si="10"/>
        <v>189.04088400000001</v>
      </c>
      <c r="L37" s="582"/>
      <c r="P37" s="62">
        <f t="shared" si="23"/>
        <v>70.741666666666674</v>
      </c>
      <c r="Q37" s="556">
        <f>+P4/6</f>
        <v>163.21833333333333</v>
      </c>
      <c r="R37" s="336">
        <v>233.96</v>
      </c>
      <c r="S37" s="586" t="s">
        <v>34</v>
      </c>
      <c r="Y37" s="609">
        <v>30</v>
      </c>
      <c r="Z37" s="61">
        <v>180</v>
      </c>
      <c r="AA37" s="610">
        <f t="shared" si="3"/>
        <v>46752</v>
      </c>
      <c r="AB37" s="610">
        <f t="shared" si="11"/>
        <v>46752</v>
      </c>
      <c r="AC37" s="610">
        <f t="shared" si="1"/>
        <v>46750</v>
      </c>
    </row>
    <row r="38" spans="2:29">
      <c r="B38" s="539">
        <f t="shared" si="5"/>
        <v>45598</v>
      </c>
      <c r="C38" s="16">
        <f t="shared" si="8"/>
        <v>200</v>
      </c>
      <c r="D38" s="7" t="e">
        <f t="shared" si="9"/>
        <v>#REF!</v>
      </c>
      <c r="E38" s="205" t="e">
        <f t="shared" ref="E38" si="26">+(I32)*F37*(B38-B37)/360</f>
        <v>#REF!</v>
      </c>
      <c r="F38" s="7" t="e">
        <f t="shared" si="7"/>
        <v>#REF!</v>
      </c>
      <c r="G38" s="581">
        <v>2.94882</v>
      </c>
      <c r="H38" s="545">
        <v>9.5999999999999992E-3</v>
      </c>
      <c r="I38" s="572">
        <f t="shared" ref="I38" si="27">+H38+G38/100</f>
        <v>3.9088199999999997E-2</v>
      </c>
      <c r="J38" s="581">
        <v>0.94308731000000001</v>
      </c>
      <c r="K38" s="582">
        <f t="shared" si="10"/>
        <v>188.61746199999999</v>
      </c>
      <c r="L38" s="582"/>
      <c r="P38" s="62">
        <f t="shared" si="23"/>
        <v>-231.80666666666664</v>
      </c>
      <c r="Q38" s="556">
        <f>+P19/6</f>
        <v>-158.33333333333334</v>
      </c>
      <c r="R38" s="366">
        <v>-390.14</v>
      </c>
      <c r="S38" s="587" t="s">
        <v>2</v>
      </c>
      <c r="Y38" s="609">
        <v>31</v>
      </c>
      <c r="Z38" s="61">
        <v>186</v>
      </c>
      <c r="AA38" s="610">
        <f t="shared" si="3"/>
        <v>46934</v>
      </c>
      <c r="AB38" s="610">
        <f t="shared" si="11"/>
        <v>46934</v>
      </c>
      <c r="AC38" s="610">
        <f t="shared" si="1"/>
        <v>46932</v>
      </c>
    </row>
    <row r="39" spans="2:29">
      <c r="B39" s="540">
        <f t="shared" si="5"/>
        <v>45628</v>
      </c>
      <c r="C39" s="16">
        <f t="shared" si="8"/>
        <v>200</v>
      </c>
      <c r="D39" s="7" t="e">
        <f t="shared" si="9"/>
        <v>#REF!</v>
      </c>
      <c r="E39" s="205" t="e">
        <f t="shared" ref="E39" si="28">+(I38)*F38*(B39-B38)/360</f>
        <v>#REF!</v>
      </c>
      <c r="F39" s="7" t="e">
        <f t="shared" si="7"/>
        <v>#REF!</v>
      </c>
      <c r="G39" s="581">
        <v>2.9065699999999999</v>
      </c>
      <c r="J39" s="581">
        <v>0.9407567</v>
      </c>
      <c r="K39" s="582">
        <f t="shared" si="10"/>
        <v>188.15134</v>
      </c>
      <c r="L39" s="582"/>
      <c r="P39" s="62">
        <f t="shared" si="23"/>
        <v>126.91999999999999</v>
      </c>
      <c r="Q39" s="556">
        <f>+P24/6</f>
        <v>57</v>
      </c>
      <c r="R39" s="64">
        <v>183.92</v>
      </c>
      <c r="S39" s="588" t="s">
        <v>3</v>
      </c>
      <c r="T39" s="16">
        <f>+S1</f>
        <v>59276.41</v>
      </c>
      <c r="Y39" s="609">
        <v>32</v>
      </c>
      <c r="Z39" s="61">
        <v>192</v>
      </c>
      <c r="AA39" s="610">
        <f t="shared" si="3"/>
        <v>47118</v>
      </c>
      <c r="AB39" s="610">
        <f t="shared" si="11"/>
        <v>47119</v>
      </c>
      <c r="AC39" s="610">
        <f t="shared" si="1"/>
        <v>47115</v>
      </c>
    </row>
    <row r="40" spans="2:29">
      <c r="B40" s="540">
        <f t="shared" si="5"/>
        <v>45659</v>
      </c>
      <c r="C40" s="16">
        <f t="shared" si="8"/>
        <v>200</v>
      </c>
      <c r="D40" s="7" t="e">
        <f t="shared" si="9"/>
        <v>#REF!</v>
      </c>
      <c r="E40" s="205" t="e">
        <f t="shared" ref="E40" si="29">+(I38)*F39*(B40-B39)/360</f>
        <v>#REF!</v>
      </c>
      <c r="F40" s="7" t="e">
        <f t="shared" si="7"/>
        <v>#REF!</v>
      </c>
      <c r="G40" s="581">
        <v>2.8985500000000002</v>
      </c>
      <c r="J40" s="581">
        <v>0.93862016999999998</v>
      </c>
      <c r="K40" s="582">
        <f t="shared" si="10"/>
        <v>187.72403399999999</v>
      </c>
      <c r="L40" s="582"/>
      <c r="P40" s="62">
        <f>+R40-Q40</f>
        <v>341.88500000000033</v>
      </c>
      <c r="Q40" s="62">
        <f>SUM(Q35:Q39)</f>
        <v>867.21500000000003</v>
      </c>
      <c r="R40" s="341">
        <v>1209.1000000000004</v>
      </c>
      <c r="S40" s="589" t="s">
        <v>4</v>
      </c>
      <c r="Y40" s="609">
        <v>33</v>
      </c>
      <c r="Z40" s="61">
        <v>198</v>
      </c>
      <c r="AA40" s="610">
        <f t="shared" si="3"/>
        <v>47299</v>
      </c>
      <c r="AB40" s="610">
        <f t="shared" si="11"/>
        <v>47301</v>
      </c>
      <c r="AC40" s="610">
        <f t="shared" si="1"/>
        <v>47297</v>
      </c>
    </row>
    <row r="41" spans="2:29">
      <c r="B41" s="540">
        <f t="shared" si="5"/>
        <v>45690</v>
      </c>
      <c r="C41" s="16">
        <f t="shared" si="8"/>
        <v>200</v>
      </c>
      <c r="D41" s="7" t="e">
        <f t="shared" si="9"/>
        <v>#REF!</v>
      </c>
      <c r="E41" s="205" t="e">
        <f t="shared" ref="E41" si="30">+(I38)*F40*(B41-B40)/360</f>
        <v>#REF!</v>
      </c>
      <c r="F41" s="7" t="e">
        <f t="shared" si="7"/>
        <v>#REF!</v>
      </c>
      <c r="G41" s="581">
        <v>2.89798</v>
      </c>
      <c r="J41" s="581">
        <v>0.93671961999999998</v>
      </c>
      <c r="K41" s="582">
        <f t="shared" si="10"/>
        <v>187.34392399999999</v>
      </c>
      <c r="L41" s="582"/>
      <c r="Y41" s="609">
        <v>34</v>
      </c>
      <c r="Z41" s="61">
        <v>204</v>
      </c>
      <c r="AA41" s="610">
        <f t="shared" si="3"/>
        <v>47483</v>
      </c>
      <c r="AB41" s="610">
        <f t="shared" si="11"/>
        <v>47483</v>
      </c>
      <c r="AC41" s="610">
        <f t="shared" si="1"/>
        <v>47479</v>
      </c>
    </row>
    <row r="42" spans="2:29">
      <c r="B42" s="540">
        <f t="shared" si="5"/>
        <v>45718</v>
      </c>
      <c r="C42" s="16">
        <f t="shared" si="8"/>
        <v>200</v>
      </c>
      <c r="D42" s="7" t="e">
        <f t="shared" si="9"/>
        <v>#REF!</v>
      </c>
      <c r="E42" s="205" t="e">
        <f t="shared" ref="E42" si="31">+(I38)*F41*(B42-B41)/360</f>
        <v>#REF!</v>
      </c>
      <c r="F42" s="7" t="e">
        <f t="shared" si="7"/>
        <v>#REF!</v>
      </c>
      <c r="G42" s="581">
        <v>2.8994300000000002</v>
      </c>
      <c r="J42" s="581">
        <v>0.93461992999999999</v>
      </c>
      <c r="K42" s="582">
        <f t="shared" si="10"/>
        <v>186.92398599999999</v>
      </c>
      <c r="L42" s="582"/>
      <c r="Y42" s="609">
        <v>35</v>
      </c>
      <c r="Z42" s="61">
        <v>210</v>
      </c>
      <c r="AA42" s="610">
        <f t="shared" si="3"/>
        <v>47664</v>
      </c>
      <c r="AB42" s="610">
        <f t="shared" si="11"/>
        <v>47665</v>
      </c>
      <c r="AC42" s="610">
        <f t="shared" si="1"/>
        <v>47661</v>
      </c>
    </row>
    <row r="43" spans="2:29">
      <c r="B43" s="540">
        <f t="shared" si="5"/>
        <v>45749</v>
      </c>
      <c r="C43" s="16">
        <f t="shared" si="8"/>
        <v>200</v>
      </c>
      <c r="D43" s="7" t="e">
        <f t="shared" si="9"/>
        <v>#REF!</v>
      </c>
      <c r="E43" s="205" t="e">
        <f t="shared" ref="E43" si="32">+(I38)*F42*(B43-B42)/360</f>
        <v>#REF!</v>
      </c>
      <c r="F43" s="7" t="e">
        <f t="shared" si="7"/>
        <v>#REF!</v>
      </c>
      <c r="G43" s="581">
        <v>2.89947</v>
      </c>
      <c r="J43" s="581">
        <v>0.93259245000000002</v>
      </c>
      <c r="K43" s="582">
        <f t="shared" si="10"/>
        <v>186.51849000000001</v>
      </c>
      <c r="L43" s="582"/>
      <c r="Y43" s="609">
        <v>36</v>
      </c>
      <c r="Z43" s="61">
        <v>216</v>
      </c>
      <c r="AA43" s="610">
        <f t="shared" si="3"/>
        <v>47848</v>
      </c>
      <c r="AB43" s="610">
        <f t="shared" si="11"/>
        <v>47848</v>
      </c>
      <c r="AC43" s="610">
        <f t="shared" si="1"/>
        <v>47844</v>
      </c>
    </row>
    <row r="44" spans="2:29" ht="13.5" thickBot="1">
      <c r="B44" s="542">
        <f t="shared" si="5"/>
        <v>45779</v>
      </c>
      <c r="C44" s="16">
        <f t="shared" si="8"/>
        <v>200</v>
      </c>
      <c r="D44" s="7" t="e">
        <f t="shared" si="9"/>
        <v>#REF!</v>
      </c>
      <c r="E44" s="205" t="e">
        <f t="shared" ref="E44" si="33">+(I38)*F43*(B44-B43)/360</f>
        <v>#REF!</v>
      </c>
      <c r="F44" s="7" t="e">
        <f t="shared" si="7"/>
        <v>#REF!</v>
      </c>
      <c r="G44" s="581">
        <v>2.89968</v>
      </c>
      <c r="H44" s="545">
        <v>9.5999999999999992E-3</v>
      </c>
      <c r="I44" s="572">
        <f t="shared" ref="I44" si="34">+H44+G44/100</f>
        <v>3.8596800000000001E-2</v>
      </c>
      <c r="J44" s="581">
        <v>0.93056936999999995</v>
      </c>
      <c r="K44" s="582">
        <f t="shared" si="10"/>
        <v>186.11387399999998</v>
      </c>
      <c r="L44" s="582"/>
      <c r="Y44" s="609">
        <v>37</v>
      </c>
      <c r="Z44" s="61">
        <v>222</v>
      </c>
      <c r="AA44" s="610">
        <f t="shared" si="3"/>
        <v>48029</v>
      </c>
      <c r="AB44" s="610">
        <f t="shared" si="11"/>
        <v>48029</v>
      </c>
      <c r="AC44" s="610">
        <f t="shared" si="1"/>
        <v>48025</v>
      </c>
    </row>
    <row r="45" spans="2:29">
      <c r="B45" s="538">
        <f t="shared" si="5"/>
        <v>45810</v>
      </c>
      <c r="C45" s="16">
        <f t="shared" si="8"/>
        <v>200</v>
      </c>
      <c r="D45" s="7" t="e">
        <f t="shared" si="9"/>
        <v>#REF!</v>
      </c>
      <c r="E45" s="205" t="e">
        <f t="shared" ref="E45" si="35">+(I44)*F44*(B45-B44)/360</f>
        <v>#REF!</v>
      </c>
      <c r="F45" s="7" t="e">
        <f t="shared" si="7"/>
        <v>#REF!</v>
      </c>
      <c r="G45" s="581">
        <v>2.9004500000000002</v>
      </c>
      <c r="J45" s="581">
        <v>0.92848346000000004</v>
      </c>
      <c r="K45" s="582">
        <f t="shared" si="10"/>
        <v>185.69669200000001</v>
      </c>
      <c r="L45" s="582"/>
      <c r="Y45" s="609">
        <v>38</v>
      </c>
      <c r="Z45" s="61">
        <v>228</v>
      </c>
      <c r="AA45" s="610">
        <f t="shared" si="3"/>
        <v>48213</v>
      </c>
      <c r="AB45" s="610">
        <f t="shared" si="11"/>
        <v>48213</v>
      </c>
      <c r="AC45" s="610">
        <f t="shared" si="1"/>
        <v>48211</v>
      </c>
    </row>
    <row r="46" spans="2:29">
      <c r="B46" s="539">
        <f t="shared" si="5"/>
        <v>45840</v>
      </c>
      <c r="C46" s="16">
        <f t="shared" si="8"/>
        <v>200</v>
      </c>
      <c r="D46" s="7" t="e">
        <f t="shared" si="9"/>
        <v>#REF!</v>
      </c>
      <c r="E46" s="205" t="e">
        <f t="shared" ref="E46" si="36">+(I44)*F45*(B46-B45)/360</f>
        <v>#REF!</v>
      </c>
      <c r="F46" s="7" t="e">
        <f t="shared" si="7"/>
        <v>#REF!</v>
      </c>
      <c r="G46" s="581">
        <v>2.8926400000000001</v>
      </c>
      <c r="J46" s="581">
        <v>0.92640222999999999</v>
      </c>
      <c r="K46" s="582">
        <f t="shared" si="10"/>
        <v>185.28044600000001</v>
      </c>
      <c r="L46" s="582"/>
      <c r="Y46" s="609">
        <v>39</v>
      </c>
      <c r="Z46" s="61">
        <v>234</v>
      </c>
      <c r="AA46" s="610">
        <f t="shared" si="3"/>
        <v>48395</v>
      </c>
      <c r="AB46" s="610">
        <f t="shared" si="11"/>
        <v>48395</v>
      </c>
      <c r="AC46" s="610">
        <f t="shared" si="1"/>
        <v>48393</v>
      </c>
    </row>
    <row r="47" spans="2:29">
      <c r="B47" s="539">
        <f t="shared" si="5"/>
        <v>45871</v>
      </c>
      <c r="C47" s="16">
        <f t="shared" si="8"/>
        <v>200</v>
      </c>
      <c r="D47" s="7" t="e">
        <f t="shared" si="9"/>
        <v>#REF!</v>
      </c>
      <c r="E47" s="205" t="e">
        <f t="shared" ref="E47" si="37">+(I44)*F46*(B47-B46)/360</f>
        <v>#REF!</v>
      </c>
      <c r="F47" s="7" t="e">
        <f t="shared" si="7"/>
        <v>#REF!</v>
      </c>
      <c r="G47" s="581">
        <v>2.8820600000000001</v>
      </c>
      <c r="J47" s="581">
        <v>0.92445949000000005</v>
      </c>
      <c r="K47" s="582">
        <f t="shared" si="10"/>
        <v>184.891898</v>
      </c>
      <c r="L47" s="582"/>
      <c r="Y47" s="609">
        <v>40</v>
      </c>
      <c r="Z47" s="61">
        <v>240</v>
      </c>
      <c r="AA47" s="610">
        <f t="shared" si="3"/>
        <v>48579</v>
      </c>
      <c r="AB47" s="610">
        <f t="shared" si="11"/>
        <v>48579</v>
      </c>
      <c r="AC47" s="610">
        <f t="shared" si="1"/>
        <v>48577</v>
      </c>
    </row>
    <row r="48" spans="2:29">
      <c r="B48" s="539">
        <f t="shared" si="5"/>
        <v>45902</v>
      </c>
      <c r="C48" s="16">
        <f t="shared" si="8"/>
        <v>200</v>
      </c>
      <c r="D48" s="7" t="e">
        <f t="shared" si="9"/>
        <v>#REF!</v>
      </c>
      <c r="E48" s="205" t="e">
        <f t="shared" ref="E48" si="38">+(I44)*F47*(B48-B47)/360</f>
        <v>#REF!</v>
      </c>
      <c r="F48" s="7" t="e">
        <f t="shared" si="7"/>
        <v>#REF!</v>
      </c>
      <c r="G48" s="581">
        <v>2.8721000000000001</v>
      </c>
      <c r="J48" s="581">
        <v>0.92232051999999998</v>
      </c>
      <c r="K48" s="582">
        <f t="shared" si="10"/>
        <v>184.46410399999999</v>
      </c>
      <c r="L48" s="582"/>
      <c r="Y48" s="609">
        <v>41</v>
      </c>
      <c r="Z48" s="61">
        <v>246</v>
      </c>
      <c r="AA48" s="610">
        <f t="shared" si="3"/>
        <v>48760</v>
      </c>
      <c r="AB48" s="610">
        <f t="shared" si="11"/>
        <v>48760</v>
      </c>
      <c r="AC48" s="610">
        <f t="shared" si="1"/>
        <v>48758</v>
      </c>
    </row>
    <row r="49" spans="2:29">
      <c r="B49" s="539">
        <f t="shared" si="5"/>
        <v>45932</v>
      </c>
      <c r="C49" s="16">
        <f t="shared" si="8"/>
        <v>200</v>
      </c>
      <c r="D49" s="7" t="e">
        <f t="shared" si="9"/>
        <v>#REF!</v>
      </c>
      <c r="E49" s="205" t="e">
        <f t="shared" ref="E49" si="39">+(I44)*F48*(B49-B48)/360</f>
        <v>#REF!</v>
      </c>
      <c r="F49" s="7" t="e">
        <f t="shared" si="7"/>
        <v>#REF!</v>
      </c>
      <c r="G49" s="581">
        <v>2.8609399999999998</v>
      </c>
      <c r="J49" s="581">
        <v>0.92025310000000005</v>
      </c>
      <c r="K49" s="582">
        <f t="shared" si="10"/>
        <v>184.05062000000001</v>
      </c>
      <c r="L49" s="582"/>
      <c r="Y49" s="609">
        <v>42</v>
      </c>
      <c r="Z49" s="61">
        <v>252</v>
      </c>
      <c r="AA49" s="610">
        <f t="shared" si="3"/>
        <v>48944</v>
      </c>
      <c r="AB49" s="610">
        <f t="shared" si="11"/>
        <v>48946</v>
      </c>
      <c r="AC49" s="610">
        <f t="shared" si="1"/>
        <v>48942</v>
      </c>
    </row>
    <row r="50" spans="2:29">
      <c r="B50" s="539">
        <f t="shared" si="5"/>
        <v>45963</v>
      </c>
      <c r="C50" s="16">
        <f t="shared" si="8"/>
        <v>200</v>
      </c>
      <c r="D50" s="7" t="e">
        <f t="shared" si="9"/>
        <v>#REF!</v>
      </c>
      <c r="E50" s="205" t="e">
        <f t="shared" ref="E50" si="40">+(I44)*F49*(B50-B49)/360</f>
        <v>#REF!</v>
      </c>
      <c r="F50" s="7" t="e">
        <f t="shared" si="7"/>
        <v>#REF!</v>
      </c>
      <c r="G50" s="581">
        <v>2.8500100000000002</v>
      </c>
      <c r="H50" s="545">
        <v>9.5999999999999992E-3</v>
      </c>
      <c r="I50" s="572">
        <f t="shared" ref="I50" si="41">+H50+G50/100</f>
        <v>3.8100099999999998E-2</v>
      </c>
      <c r="J50" s="581">
        <v>0.91838973999999995</v>
      </c>
      <c r="K50" s="582">
        <f t="shared" si="10"/>
        <v>183.67794799999999</v>
      </c>
      <c r="L50" s="582"/>
      <c r="Y50" s="609">
        <v>43</v>
      </c>
      <c r="Z50" s="61">
        <v>258</v>
      </c>
      <c r="AA50" s="610">
        <f t="shared" si="3"/>
        <v>49125</v>
      </c>
      <c r="AB50" s="610">
        <f t="shared" si="11"/>
        <v>49125</v>
      </c>
      <c r="AC50" s="610">
        <f t="shared" si="1"/>
        <v>49123</v>
      </c>
    </row>
    <row r="51" spans="2:29">
      <c r="B51" s="540">
        <f t="shared" si="5"/>
        <v>45993</v>
      </c>
      <c r="C51" s="16">
        <f t="shared" si="8"/>
        <v>200</v>
      </c>
      <c r="D51" s="7" t="e">
        <f t="shared" si="9"/>
        <v>#REF!</v>
      </c>
      <c r="E51" s="205" t="e">
        <f t="shared" ref="E51" si="42">+(I50)*F50*(B51-B50)/360</f>
        <v>#REF!</v>
      </c>
      <c r="F51" s="7" t="e">
        <f t="shared" si="7"/>
        <v>#REF!</v>
      </c>
      <c r="G51" s="581">
        <v>2.8404400000000001</v>
      </c>
      <c r="J51" s="581">
        <v>0.91619848000000004</v>
      </c>
      <c r="K51" s="582">
        <f t="shared" si="10"/>
        <v>183.23969600000001</v>
      </c>
      <c r="L51" s="582"/>
      <c r="Y51" s="609">
        <v>44</v>
      </c>
      <c r="Z51" s="61">
        <v>264</v>
      </c>
      <c r="AA51" s="610">
        <f t="shared" si="3"/>
        <v>49309</v>
      </c>
      <c r="AB51" s="610">
        <f t="shared" si="11"/>
        <v>49310</v>
      </c>
      <c r="AC51" s="610">
        <f t="shared" si="1"/>
        <v>49306</v>
      </c>
    </row>
    <row r="52" spans="2:29">
      <c r="B52" s="540">
        <f t="shared" si="5"/>
        <v>46024</v>
      </c>
      <c r="C52" s="16">
        <f t="shared" si="8"/>
        <v>200</v>
      </c>
      <c r="D52" s="7" t="e">
        <f t="shared" si="9"/>
        <v>#REF!</v>
      </c>
      <c r="E52" s="205" t="e">
        <f t="shared" ref="E52" si="43">+(I50)*F51*(B52-B51)/360</f>
        <v>#REF!</v>
      </c>
      <c r="F52" s="7" t="e">
        <f t="shared" si="7"/>
        <v>#REF!</v>
      </c>
      <c r="G52" s="581">
        <v>2.8370299999999999</v>
      </c>
      <c r="J52" s="581">
        <v>0.91425895000000001</v>
      </c>
      <c r="K52" s="582">
        <f t="shared" si="10"/>
        <v>182.85178999999999</v>
      </c>
      <c r="L52" s="582"/>
      <c r="Y52" s="609">
        <v>45</v>
      </c>
      <c r="Z52" s="61">
        <v>270</v>
      </c>
      <c r="AA52" s="610">
        <f t="shared" si="3"/>
        <v>49490</v>
      </c>
      <c r="AB52" s="610">
        <f t="shared" si="11"/>
        <v>49492</v>
      </c>
      <c r="AC52" s="610">
        <f t="shared" si="1"/>
        <v>49488</v>
      </c>
    </row>
    <row r="53" spans="2:29">
      <c r="B53" s="540">
        <f t="shared" si="5"/>
        <v>46055</v>
      </c>
      <c r="C53" s="16">
        <f t="shared" si="8"/>
        <v>200</v>
      </c>
      <c r="D53" s="7" t="e">
        <f t="shared" si="9"/>
        <v>#REF!</v>
      </c>
      <c r="E53" s="205" t="e">
        <f t="shared" ref="E53" si="44">+(I50)*F52*(B53-B52)/360</f>
        <v>#REF!</v>
      </c>
      <c r="F53" s="7" t="e">
        <f t="shared" si="7"/>
        <v>#REF!</v>
      </c>
      <c r="G53" s="581">
        <v>2.8364699999999998</v>
      </c>
      <c r="J53" s="581">
        <v>0.91246136</v>
      </c>
      <c r="K53" s="582">
        <f t="shared" si="10"/>
        <v>182.49227200000001</v>
      </c>
      <c r="L53" s="582"/>
      <c r="Y53" s="609">
        <v>46</v>
      </c>
      <c r="Z53" s="61">
        <v>276</v>
      </c>
      <c r="AA53" s="610">
        <f t="shared" si="3"/>
        <v>49674</v>
      </c>
      <c r="AB53" s="610">
        <f t="shared" si="11"/>
        <v>49674</v>
      </c>
      <c r="AC53" s="610">
        <f t="shared" si="1"/>
        <v>49670</v>
      </c>
    </row>
    <row r="54" spans="2:29">
      <c r="B54" s="540">
        <f t="shared" si="5"/>
        <v>46083</v>
      </c>
      <c r="C54" s="16">
        <f t="shared" si="8"/>
        <v>200</v>
      </c>
      <c r="D54" s="7" t="e">
        <f t="shared" si="9"/>
        <v>#REF!</v>
      </c>
      <c r="E54" s="205" t="e">
        <f t="shared" ref="E54" si="45">+(I50)*F53*(B54-B53)/360</f>
        <v>#REF!</v>
      </c>
      <c r="F54" s="7" t="e">
        <f t="shared" si="7"/>
        <v>#REF!</v>
      </c>
      <c r="G54" s="581">
        <v>2.8386499999999999</v>
      </c>
      <c r="J54" s="581">
        <v>0.91041130000000003</v>
      </c>
      <c r="K54" s="582">
        <f t="shared" si="10"/>
        <v>182.08226000000002</v>
      </c>
      <c r="L54" s="582"/>
      <c r="Y54" s="609">
        <v>47</v>
      </c>
      <c r="Z54" s="61">
        <v>282</v>
      </c>
      <c r="AA54" s="610">
        <f t="shared" si="3"/>
        <v>49856</v>
      </c>
      <c r="AB54" s="610">
        <f t="shared" si="11"/>
        <v>49856</v>
      </c>
      <c r="AC54" s="610">
        <f t="shared" si="1"/>
        <v>49852</v>
      </c>
    </row>
    <row r="55" spans="2:29">
      <c r="B55" s="540">
        <f t="shared" si="5"/>
        <v>46114</v>
      </c>
      <c r="C55" s="16">
        <f t="shared" si="8"/>
        <v>200</v>
      </c>
      <c r="D55" s="7" t="e">
        <f t="shared" si="9"/>
        <v>#REF!</v>
      </c>
      <c r="E55" s="205" t="e">
        <f t="shared" ref="E55" si="46">+(I50)*F54*(B55-B54)/360</f>
        <v>#REF!</v>
      </c>
      <c r="F55" s="7" t="e">
        <f t="shared" si="7"/>
        <v>#REF!</v>
      </c>
      <c r="G55" s="581">
        <v>2.8381099999999999</v>
      </c>
      <c r="J55" s="581">
        <v>0.90849354999999998</v>
      </c>
      <c r="K55" s="582">
        <f t="shared" si="10"/>
        <v>181.69871000000001</v>
      </c>
      <c r="L55" s="582"/>
      <c r="Y55" s="609">
        <v>48</v>
      </c>
      <c r="Z55" s="61">
        <v>288</v>
      </c>
      <c r="AA55" s="610">
        <f t="shared" si="3"/>
        <v>50040</v>
      </c>
      <c r="AB55" s="610">
        <f t="shared" si="11"/>
        <v>50040</v>
      </c>
      <c r="AC55" s="610">
        <f t="shared" si="1"/>
        <v>50038</v>
      </c>
    </row>
    <row r="56" spans="2:29" ht="13.5" thickBot="1">
      <c r="B56" s="542">
        <f t="shared" si="5"/>
        <v>46144</v>
      </c>
      <c r="C56" s="16">
        <f t="shared" si="8"/>
        <v>200</v>
      </c>
      <c r="D56" s="7" t="e">
        <f t="shared" si="9"/>
        <v>#REF!</v>
      </c>
      <c r="E56" s="205" t="e">
        <f t="shared" ref="E56" si="47">+(I50)*F55*(B56-B55)/360</f>
        <v>#REF!</v>
      </c>
      <c r="F56" s="7" t="e">
        <f t="shared" si="7"/>
        <v>#REF!</v>
      </c>
      <c r="G56" s="581">
        <v>2.8381599999999998</v>
      </c>
      <c r="H56" s="545">
        <v>9.5999999999999992E-3</v>
      </c>
      <c r="I56" s="572">
        <f t="shared" ref="I56" si="48">+H56+G56/100</f>
        <v>3.7981599999999997E-2</v>
      </c>
      <c r="J56" s="581">
        <v>0.90664356999999995</v>
      </c>
      <c r="K56" s="582">
        <f t="shared" si="10"/>
        <v>181.32871399999999</v>
      </c>
      <c r="L56" s="582"/>
      <c r="Y56" s="609">
        <v>49</v>
      </c>
      <c r="Z56" s="61">
        <v>294</v>
      </c>
      <c r="AA56" s="610">
        <f t="shared" si="3"/>
        <v>50221</v>
      </c>
      <c r="AB56" s="610">
        <f t="shared" si="11"/>
        <v>50221</v>
      </c>
      <c r="AC56" s="610">
        <f t="shared" si="1"/>
        <v>50217</v>
      </c>
    </row>
    <row r="57" spans="2:29">
      <c r="B57" s="538">
        <f t="shared" si="5"/>
        <v>46175</v>
      </c>
      <c r="C57" s="16">
        <f t="shared" si="8"/>
        <v>200</v>
      </c>
      <c r="D57" s="7" t="e">
        <f t="shared" si="9"/>
        <v>#REF!</v>
      </c>
      <c r="E57" s="205" t="e">
        <f t="shared" ref="E57" si="49">+(I56)*F56*(B57-B56)/360</f>
        <v>#REF!</v>
      </c>
      <c r="F57" s="7" t="e">
        <f t="shared" si="7"/>
        <v>#REF!</v>
      </c>
      <c r="G57" s="581">
        <v>2.8395600000000001</v>
      </c>
      <c r="J57" s="581">
        <v>0.90460658000000005</v>
      </c>
      <c r="K57" s="582">
        <f t="shared" si="10"/>
        <v>180.92131600000002</v>
      </c>
      <c r="L57" s="582"/>
      <c r="Y57" s="609">
        <v>50</v>
      </c>
      <c r="Z57" s="61">
        <v>300</v>
      </c>
      <c r="AA57" s="610">
        <f t="shared" si="3"/>
        <v>50405</v>
      </c>
      <c r="AB57" s="610">
        <f t="shared" si="11"/>
        <v>50405</v>
      </c>
      <c r="AC57" s="610">
        <f t="shared" si="1"/>
        <v>50403</v>
      </c>
    </row>
    <row r="58" spans="2:29">
      <c r="B58" s="539">
        <f t="shared" si="5"/>
        <v>46205</v>
      </c>
      <c r="C58" s="16">
        <f t="shared" si="8"/>
        <v>200</v>
      </c>
      <c r="D58" s="7" t="e">
        <f t="shared" si="9"/>
        <v>#REF!</v>
      </c>
      <c r="E58" s="205" t="e">
        <f t="shared" ref="E58" si="50">+(I56)*F57*(B58-B57)/360</f>
        <v>#REF!</v>
      </c>
      <c r="F58" s="7" t="e">
        <f t="shared" si="7"/>
        <v>#REF!</v>
      </c>
      <c r="G58" s="581">
        <v>2.8403100000000001</v>
      </c>
      <c r="J58" s="581">
        <v>0.90263760999999998</v>
      </c>
      <c r="K58" s="582">
        <f t="shared" si="10"/>
        <v>180.527522</v>
      </c>
      <c r="L58" s="582"/>
      <c r="Y58" s="609">
        <v>51</v>
      </c>
      <c r="Z58" s="61">
        <v>306</v>
      </c>
      <c r="AA58" s="610">
        <f t="shared" si="3"/>
        <v>50586</v>
      </c>
      <c r="AB58" s="610">
        <f t="shared" si="11"/>
        <v>50586</v>
      </c>
      <c r="AC58" s="610">
        <f t="shared" si="1"/>
        <v>50584</v>
      </c>
    </row>
    <row r="59" spans="2:29">
      <c r="B59" s="539">
        <f t="shared" si="5"/>
        <v>46236</v>
      </c>
      <c r="C59" s="16">
        <f t="shared" si="8"/>
        <v>200</v>
      </c>
      <c r="D59" s="7" t="e">
        <f t="shared" si="9"/>
        <v>#REF!</v>
      </c>
      <c r="E59" s="205" t="e">
        <f t="shared" ref="E59" si="51">+(I56)*F58*(B59-B58)/360</f>
        <v>#REF!</v>
      </c>
      <c r="F59" s="7" t="e">
        <f t="shared" si="7"/>
        <v>#REF!</v>
      </c>
      <c r="G59" s="581">
        <v>2.8414999999999999</v>
      </c>
      <c r="J59" s="581">
        <v>0.90067293000000004</v>
      </c>
      <c r="K59" s="582">
        <f t="shared" si="10"/>
        <v>180.13458600000001</v>
      </c>
      <c r="L59" s="582"/>
      <c r="Y59" s="609">
        <v>52</v>
      </c>
      <c r="Z59" s="61">
        <v>312</v>
      </c>
      <c r="AA59" s="610">
        <f t="shared" si="3"/>
        <v>50770</v>
      </c>
      <c r="AB59" s="610">
        <f t="shared" si="11"/>
        <v>50770</v>
      </c>
      <c r="AC59" s="610">
        <f t="shared" si="1"/>
        <v>50768</v>
      </c>
    </row>
    <row r="60" spans="2:29">
      <c r="B60" s="539">
        <f t="shared" si="5"/>
        <v>46267</v>
      </c>
      <c r="C60" s="16">
        <f t="shared" si="8"/>
        <v>200</v>
      </c>
      <c r="D60" s="7" t="e">
        <f t="shared" si="9"/>
        <v>#REF!</v>
      </c>
      <c r="E60" s="205" t="e">
        <f t="shared" ref="E60" si="52">+(I56)*F59*(B60-B59)/360</f>
        <v>#REF!</v>
      </c>
      <c r="F60" s="7" t="e">
        <f t="shared" si="7"/>
        <v>#REF!</v>
      </c>
      <c r="G60" s="581">
        <v>2.8429199999999999</v>
      </c>
      <c r="J60" s="581">
        <v>0.89877569999999996</v>
      </c>
      <c r="K60" s="582">
        <f t="shared" si="10"/>
        <v>179.75513999999998</v>
      </c>
      <c r="L60" s="582"/>
      <c r="Y60" s="609">
        <v>53</v>
      </c>
      <c r="Z60" s="61">
        <v>318</v>
      </c>
      <c r="AA60" s="610">
        <f t="shared" si="3"/>
        <v>50951</v>
      </c>
      <c r="AB60" s="610">
        <f t="shared" si="11"/>
        <v>50951</v>
      </c>
      <c r="AC60" s="610">
        <f t="shared" si="1"/>
        <v>50949</v>
      </c>
    </row>
    <row r="61" spans="2:29">
      <c r="B61" s="539">
        <f t="shared" si="5"/>
        <v>46297</v>
      </c>
      <c r="C61" s="16">
        <f t="shared" si="8"/>
        <v>200</v>
      </c>
      <c r="D61" s="7" t="e">
        <f t="shared" si="9"/>
        <v>#REF!</v>
      </c>
      <c r="E61" s="205" t="e">
        <f t="shared" ref="E61" si="53">+(I56)*F60*(B61-B60)/360</f>
        <v>#REF!</v>
      </c>
      <c r="F61" s="7" t="e">
        <f t="shared" si="7"/>
        <v>#REF!</v>
      </c>
      <c r="G61" s="581">
        <v>2.8446199999999999</v>
      </c>
      <c r="J61" s="581">
        <v>0.89688246000000005</v>
      </c>
      <c r="K61" s="582">
        <f t="shared" si="10"/>
        <v>179.37649200000001</v>
      </c>
      <c r="L61" s="582"/>
      <c r="Y61" s="609">
        <v>54</v>
      </c>
      <c r="Z61" s="61">
        <v>324</v>
      </c>
      <c r="AA61" s="610">
        <f t="shared" si="3"/>
        <v>51135</v>
      </c>
      <c r="AB61" s="610">
        <f t="shared" si="11"/>
        <v>51137</v>
      </c>
      <c r="AC61" s="610">
        <f t="shared" si="1"/>
        <v>51133</v>
      </c>
    </row>
    <row r="62" spans="2:29">
      <c r="B62" s="539">
        <f t="shared" si="5"/>
        <v>46328</v>
      </c>
      <c r="C62" s="16">
        <f t="shared" si="8"/>
        <v>200</v>
      </c>
      <c r="D62" s="7" t="e">
        <f t="shared" si="9"/>
        <v>#REF!</v>
      </c>
      <c r="E62" s="205" t="e">
        <f t="shared" ref="E62" si="54">+(I56)*F61*(B62-B61)/360</f>
        <v>#REF!</v>
      </c>
      <c r="F62" s="7" t="e">
        <f t="shared" si="7"/>
        <v>#REF!</v>
      </c>
      <c r="G62" s="581">
        <v>2.8467199999999999</v>
      </c>
      <c r="H62" s="545">
        <v>9.5999999999999992E-3</v>
      </c>
      <c r="I62" s="572">
        <f t="shared" ref="I62" si="55">+H62+G62/100</f>
        <v>3.8067199999999995E-2</v>
      </c>
      <c r="J62" s="581">
        <v>0.89493029999999996</v>
      </c>
      <c r="K62" s="582">
        <f t="shared" si="10"/>
        <v>178.98605999999998</v>
      </c>
      <c r="L62" s="582"/>
      <c r="Y62" s="609">
        <v>55</v>
      </c>
      <c r="Z62" s="61">
        <v>330</v>
      </c>
      <c r="AA62" s="610">
        <f t="shared" si="3"/>
        <v>51317</v>
      </c>
      <c r="AB62" s="610">
        <f t="shared" si="11"/>
        <v>51319</v>
      </c>
      <c r="AC62" s="610">
        <f t="shared" si="1"/>
        <v>51315</v>
      </c>
    </row>
    <row r="63" spans="2:29">
      <c r="B63" s="540">
        <f t="shared" si="5"/>
        <v>46358</v>
      </c>
      <c r="C63" s="16">
        <f t="shared" si="8"/>
        <v>200</v>
      </c>
      <c r="D63" s="7" t="e">
        <f t="shared" si="9"/>
        <v>#REF!</v>
      </c>
      <c r="E63" s="205" t="e">
        <f t="shared" ref="E63" si="56">+(I62)*F62*(B63-B62)/360</f>
        <v>#REF!</v>
      </c>
      <c r="F63" s="7" t="e">
        <f t="shared" si="7"/>
        <v>#REF!</v>
      </c>
      <c r="G63" s="581">
        <v>2.8482599999999998</v>
      </c>
      <c r="J63" s="581">
        <v>0.89298239999999995</v>
      </c>
      <c r="K63" s="582">
        <f t="shared" si="10"/>
        <v>178.59647999999999</v>
      </c>
      <c r="L63" s="582"/>
      <c r="Y63" s="609">
        <v>56</v>
      </c>
      <c r="Z63" s="61">
        <v>336</v>
      </c>
      <c r="AA63" s="610">
        <f t="shared" si="3"/>
        <v>51501</v>
      </c>
      <c r="AB63" s="610">
        <f t="shared" si="11"/>
        <v>51501</v>
      </c>
      <c r="AC63" s="610">
        <f t="shared" si="1"/>
        <v>51497</v>
      </c>
    </row>
    <row r="64" spans="2:29">
      <c r="B64" s="540">
        <f t="shared" si="5"/>
        <v>46389</v>
      </c>
      <c r="C64" s="16">
        <f t="shared" si="8"/>
        <v>200</v>
      </c>
      <c r="D64" s="7" t="e">
        <f t="shared" si="9"/>
        <v>#REF!</v>
      </c>
      <c r="E64" s="205" t="e">
        <f t="shared" ref="E64" si="57">+(I62)*F63*(B64-B63)/360</f>
        <v>#REF!</v>
      </c>
      <c r="F64" s="7" t="e">
        <f t="shared" si="7"/>
        <v>#REF!</v>
      </c>
      <c r="G64" s="581">
        <v>2.8477399999999999</v>
      </c>
      <c r="J64" s="581">
        <v>0.89115533999999996</v>
      </c>
      <c r="K64" s="582">
        <f t="shared" si="10"/>
        <v>178.23106799999999</v>
      </c>
      <c r="L64" s="582"/>
      <c r="Y64" s="609">
        <v>57</v>
      </c>
      <c r="Z64" s="61">
        <v>342</v>
      </c>
      <c r="AA64" s="610">
        <f t="shared" si="3"/>
        <v>51682</v>
      </c>
      <c r="AB64" s="610">
        <f t="shared" si="11"/>
        <v>51683</v>
      </c>
      <c r="AC64" s="610">
        <f t="shared" si="1"/>
        <v>51679</v>
      </c>
    </row>
    <row r="65" spans="2:30">
      <c r="B65" s="540">
        <f t="shared" si="5"/>
        <v>46420</v>
      </c>
      <c r="C65" s="16">
        <f t="shared" si="8"/>
        <v>200</v>
      </c>
      <c r="D65" s="7" t="e">
        <f t="shared" si="9"/>
        <v>#REF!</v>
      </c>
      <c r="E65" s="205" t="e">
        <f t="shared" ref="E65" si="58">+(I62)*F64*(B65-B64)/360</f>
        <v>#REF!</v>
      </c>
      <c r="F65" s="7" t="e">
        <f t="shared" si="7"/>
        <v>#REF!</v>
      </c>
      <c r="G65" s="581">
        <v>2.8474499999999998</v>
      </c>
      <c r="J65" s="581">
        <v>0.88939309</v>
      </c>
      <c r="K65" s="582">
        <f t="shared" si="10"/>
        <v>177.87861799999999</v>
      </c>
      <c r="L65" s="582"/>
      <c r="Y65" s="609">
        <v>58</v>
      </c>
      <c r="Z65" s="61">
        <v>348</v>
      </c>
      <c r="AA65" s="610">
        <f t="shared" si="3"/>
        <v>51866</v>
      </c>
      <c r="AB65" s="610">
        <f t="shared" si="11"/>
        <v>51866</v>
      </c>
      <c r="AC65" s="610">
        <f t="shared" si="1"/>
        <v>51862</v>
      </c>
    </row>
    <row r="66" spans="2:30">
      <c r="B66" s="540">
        <f t="shared" si="5"/>
        <v>46448</v>
      </c>
      <c r="C66" s="16">
        <f t="shared" si="8"/>
        <v>200</v>
      </c>
      <c r="D66" s="7" t="e">
        <f t="shared" si="9"/>
        <v>#REF!</v>
      </c>
      <c r="E66" s="205" t="e">
        <f t="shared" ref="E66" si="59">+(I62)*F65*(B66-B65)/360</f>
        <v>#REF!</v>
      </c>
      <c r="F66" s="7" t="e">
        <f t="shared" si="7"/>
        <v>#REF!</v>
      </c>
      <c r="G66" s="581">
        <v>2.8505600000000002</v>
      </c>
      <c r="J66" s="581">
        <v>0.88732063000000005</v>
      </c>
      <c r="K66" s="582">
        <f t="shared" si="10"/>
        <v>177.46412600000002</v>
      </c>
      <c r="L66" s="582"/>
      <c r="Y66" s="609">
        <v>59</v>
      </c>
      <c r="Z66" s="61">
        <v>354</v>
      </c>
      <c r="AA66" s="610">
        <f t="shared" si="3"/>
        <v>52047</v>
      </c>
      <c r="AB66" s="610">
        <f t="shared" si="11"/>
        <v>52047</v>
      </c>
      <c r="AC66" s="610">
        <f t="shared" si="1"/>
        <v>52043</v>
      </c>
    </row>
    <row r="67" spans="2:30">
      <c r="B67" s="540">
        <f t="shared" si="5"/>
        <v>46479</v>
      </c>
      <c r="C67" s="16">
        <f t="shared" si="8"/>
        <v>200</v>
      </c>
      <c r="D67" s="7" t="e">
        <f t="shared" si="9"/>
        <v>#REF!</v>
      </c>
      <c r="E67" s="205" t="e">
        <f t="shared" ref="E67" si="60">+(I62)*F66*(B67-B66)/360</f>
        <v>#REF!</v>
      </c>
      <c r="F67" s="7" t="e">
        <f t="shared" si="7"/>
        <v>#REF!</v>
      </c>
      <c r="G67" s="581">
        <v>2.8491300000000002</v>
      </c>
      <c r="J67" s="581">
        <v>0.88544076999999999</v>
      </c>
      <c r="K67" s="582">
        <f t="shared" si="10"/>
        <v>177.088154</v>
      </c>
      <c r="L67" s="582"/>
      <c r="Y67" s="609">
        <v>60</v>
      </c>
      <c r="Z67" s="61">
        <v>360</v>
      </c>
      <c r="AA67" s="610">
        <f t="shared" si="3"/>
        <v>52231</v>
      </c>
      <c r="AB67" s="610">
        <f t="shared" si="11"/>
        <v>52231</v>
      </c>
      <c r="AC67" s="610">
        <f t="shared" si="1"/>
        <v>52229</v>
      </c>
    </row>
    <row r="68" spans="2:30" ht="13.5" thickBot="1">
      <c r="B68" s="542">
        <f t="shared" si="5"/>
        <v>46509</v>
      </c>
      <c r="C68" s="16">
        <f t="shared" si="8"/>
        <v>200</v>
      </c>
      <c r="D68" s="7" t="e">
        <f t="shared" si="9"/>
        <v>#REF!</v>
      </c>
      <c r="E68" s="205" t="e">
        <f t="shared" ref="E68" si="61">+(I62)*F67*(B68-B67)/360</f>
        <v>#REF!</v>
      </c>
      <c r="F68" s="7" t="e">
        <f t="shared" si="7"/>
        <v>#REF!</v>
      </c>
      <c r="G68" s="581">
        <v>2.8500399999999999</v>
      </c>
      <c r="H68" s="545">
        <v>9.5999999999999992E-3</v>
      </c>
      <c r="I68" s="572">
        <f t="shared" ref="I68" si="62">+H68+G68/100</f>
        <v>3.81004E-2</v>
      </c>
      <c r="J68" s="581">
        <v>0.88350242000000001</v>
      </c>
      <c r="K68" s="582">
        <f t="shared" si="10"/>
        <v>176.70048399999999</v>
      </c>
      <c r="L68" s="582"/>
      <c r="Y68" s="609">
        <v>61</v>
      </c>
      <c r="Z68" s="61">
        <v>366</v>
      </c>
      <c r="AA68" s="610">
        <f t="shared" si="3"/>
        <v>52412</v>
      </c>
      <c r="AB68" s="610">
        <f t="shared" si="11"/>
        <v>52412</v>
      </c>
      <c r="AC68" s="610">
        <f t="shared" si="1"/>
        <v>52408</v>
      </c>
    </row>
    <row r="69" spans="2:30">
      <c r="B69" s="538">
        <f t="shared" si="5"/>
        <v>46540</v>
      </c>
      <c r="C69" s="16">
        <f t="shared" si="8"/>
        <v>200</v>
      </c>
      <c r="D69" s="7" t="e">
        <f t="shared" si="9"/>
        <v>#REF!</v>
      </c>
      <c r="E69" s="205" t="e">
        <f t="shared" ref="E69" si="63">+(I68)*F68*(B69-B68)/360</f>
        <v>#REF!</v>
      </c>
      <c r="F69" s="7" t="e">
        <f t="shared" si="7"/>
        <v>#REF!</v>
      </c>
      <c r="G69" s="581">
        <v>2.8497499999999998</v>
      </c>
      <c r="J69" s="581">
        <v>0.88163064999999996</v>
      </c>
      <c r="K69" s="582">
        <f t="shared" si="10"/>
        <v>176.32612999999998</v>
      </c>
      <c r="L69" s="582"/>
      <c r="Y69" s="609">
        <v>62</v>
      </c>
      <c r="Z69" s="61">
        <v>372</v>
      </c>
      <c r="AA69" s="610">
        <f t="shared" si="3"/>
        <v>52596</v>
      </c>
      <c r="AB69" s="610">
        <f t="shared" si="11"/>
        <v>52596</v>
      </c>
      <c r="AC69" s="610">
        <f t="shared" si="1"/>
        <v>52594</v>
      </c>
    </row>
    <row r="70" spans="2:30">
      <c r="B70" s="539">
        <f t="shared" si="5"/>
        <v>46570</v>
      </c>
      <c r="C70" s="16">
        <f t="shared" si="8"/>
        <v>200</v>
      </c>
      <c r="D70" s="7" t="e">
        <f t="shared" si="9"/>
        <v>#REF!</v>
      </c>
      <c r="E70" s="205" t="e">
        <f t="shared" ref="E70" si="64">+(I68)*F69*(B70-B69)/360</f>
        <v>#REF!</v>
      </c>
      <c r="F70" s="7" t="e">
        <f t="shared" si="7"/>
        <v>#REF!</v>
      </c>
      <c r="G70" s="581">
        <v>2.8463400000000001</v>
      </c>
      <c r="J70" s="581">
        <v>0.87976284000000005</v>
      </c>
      <c r="K70" s="582">
        <f t="shared" si="10"/>
        <v>175.95256800000001</v>
      </c>
      <c r="L70" s="582"/>
      <c r="Y70" s="609">
        <v>63</v>
      </c>
      <c r="Z70" s="61">
        <v>378</v>
      </c>
      <c r="AA70" s="610">
        <f t="shared" si="3"/>
        <v>52778</v>
      </c>
      <c r="AB70" s="610">
        <f t="shared" si="11"/>
        <v>52778</v>
      </c>
      <c r="AC70" s="610">
        <f t="shared" si="1"/>
        <v>52776</v>
      </c>
    </row>
    <row r="71" spans="2:30">
      <c r="B71" s="539">
        <f t="shared" si="5"/>
        <v>46601</v>
      </c>
      <c r="C71" s="16">
        <f t="shared" si="8"/>
        <v>200</v>
      </c>
      <c r="D71" s="7" t="e">
        <f t="shared" si="9"/>
        <v>#REF!</v>
      </c>
      <c r="E71" s="205" t="e">
        <f t="shared" ref="E71" si="65">+(I68)*F70*(B71-B70)/360</f>
        <v>#REF!</v>
      </c>
      <c r="F71" s="7" t="e">
        <f t="shared" si="7"/>
        <v>#REF!</v>
      </c>
      <c r="G71" s="581">
        <v>2.84294</v>
      </c>
      <c r="J71" s="581">
        <v>0.87777486999999998</v>
      </c>
      <c r="K71" s="582">
        <f t="shared" si="10"/>
        <v>175.55497399999999</v>
      </c>
      <c r="L71" s="582"/>
      <c r="Y71" s="609">
        <v>64</v>
      </c>
      <c r="Z71" s="61">
        <v>384</v>
      </c>
      <c r="AA71" s="610">
        <f t="shared" si="3"/>
        <v>52962</v>
      </c>
      <c r="AB71" s="610">
        <f t="shared" si="11"/>
        <v>52964</v>
      </c>
      <c r="AC71" s="610">
        <f t="shared" ref="AC71:AC82" si="66">+IF(WEEKDAY(AB71)=2,AB71-4,IF(WEEKDAY(AB71)=3,AB71-4,AB71-2))</f>
        <v>52960</v>
      </c>
    </row>
    <row r="72" spans="2:30">
      <c r="B72" s="539">
        <f t="shared" si="5"/>
        <v>46632</v>
      </c>
      <c r="C72" s="16">
        <f t="shared" si="8"/>
        <v>200</v>
      </c>
      <c r="D72" s="7" t="e">
        <f t="shared" si="9"/>
        <v>#REF!</v>
      </c>
      <c r="E72" s="205" t="e">
        <f t="shared" ref="E72" si="67">+(I68)*F71*(B72-B71)/360</f>
        <v>#REF!</v>
      </c>
      <c r="F72" s="7" t="e">
        <f t="shared" si="7"/>
        <v>#REF!</v>
      </c>
      <c r="G72" s="581">
        <v>2.8374999999999999</v>
      </c>
      <c r="J72" s="581">
        <v>0.87591523000000004</v>
      </c>
      <c r="K72" s="582">
        <f t="shared" si="10"/>
        <v>175.18304600000002</v>
      </c>
      <c r="L72" s="582"/>
      <c r="Y72" s="609">
        <v>65</v>
      </c>
      <c r="Z72" s="61">
        <v>390</v>
      </c>
      <c r="AA72" s="610">
        <f t="shared" si="3"/>
        <v>53143</v>
      </c>
      <c r="AB72" s="610">
        <f t="shared" si="11"/>
        <v>53143</v>
      </c>
      <c r="AC72" s="610">
        <f t="shared" si="66"/>
        <v>53141</v>
      </c>
    </row>
    <row r="73" spans="2:30">
      <c r="B73" s="539">
        <f t="shared" si="5"/>
        <v>46662</v>
      </c>
      <c r="C73" s="16">
        <f t="shared" si="8"/>
        <v>200</v>
      </c>
      <c r="D73" s="7" t="e">
        <f t="shared" ref="D73:D136" si="68">+C73-E73</f>
        <v>#REF!</v>
      </c>
      <c r="E73" s="205" t="e">
        <f t="shared" ref="E73" si="69">+(I68)*F72*(B73-B72)/360</f>
        <v>#REF!</v>
      </c>
      <c r="F73" s="7" t="e">
        <f t="shared" si="7"/>
        <v>#REF!</v>
      </c>
      <c r="G73" s="581">
        <v>2.8327499999999999</v>
      </c>
      <c r="J73" s="581">
        <v>0.87412131999999998</v>
      </c>
      <c r="K73" s="582">
        <f t="shared" si="10"/>
        <v>174.824264</v>
      </c>
      <c r="L73" s="582"/>
      <c r="Y73" s="609">
        <v>66</v>
      </c>
      <c r="Z73" s="61">
        <v>396</v>
      </c>
      <c r="AA73" s="610">
        <f t="shared" ref="AA73:AA82" si="70">+EDATE($AA$7,Z73)</f>
        <v>53327</v>
      </c>
      <c r="AB73" s="610">
        <f t="shared" si="11"/>
        <v>53328</v>
      </c>
      <c r="AC73" s="610">
        <f t="shared" si="66"/>
        <v>53324</v>
      </c>
    </row>
    <row r="74" spans="2:30">
      <c r="B74" s="539">
        <f t="shared" ref="B74:B137" si="71">+EDATE(B73,1)</f>
        <v>46693</v>
      </c>
      <c r="C74" s="16">
        <f t="shared" ref="C74:C137" si="72">+$C$8</f>
        <v>200</v>
      </c>
      <c r="D74" s="7" t="e">
        <f t="shared" si="68"/>
        <v>#REF!</v>
      </c>
      <c r="E74" s="205" t="e">
        <f t="shared" ref="E74" si="73">+(I68)*F73*(B74-B73)/360</f>
        <v>#REF!</v>
      </c>
      <c r="F74" s="7" t="e">
        <f t="shared" si="7"/>
        <v>#REF!</v>
      </c>
      <c r="G74" s="581">
        <v>2.82992</v>
      </c>
      <c r="H74" s="545">
        <v>9.5999999999999992E-3</v>
      </c>
      <c r="I74" s="572">
        <f t="shared" ref="I74" si="74">+H74+G74/100</f>
        <v>3.7899200000000001E-2</v>
      </c>
      <c r="J74" s="581">
        <v>0.87214610000000004</v>
      </c>
      <c r="K74" s="582">
        <f t="shared" si="10"/>
        <v>174.42922000000002</v>
      </c>
      <c r="L74" s="582"/>
      <c r="Y74" s="609">
        <v>67</v>
      </c>
      <c r="Z74" s="61">
        <v>402</v>
      </c>
      <c r="AA74" s="610">
        <f t="shared" si="70"/>
        <v>53508</v>
      </c>
      <c r="AB74" s="610">
        <f t="shared" si="11"/>
        <v>53510</v>
      </c>
      <c r="AC74" s="610">
        <f t="shared" si="66"/>
        <v>53506</v>
      </c>
    </row>
    <row r="75" spans="2:30">
      <c r="B75" s="540">
        <f t="shared" si="71"/>
        <v>46723</v>
      </c>
      <c r="C75" s="16">
        <f t="shared" si="72"/>
        <v>200</v>
      </c>
      <c r="D75" s="7" t="e">
        <f t="shared" si="68"/>
        <v>#REF!</v>
      </c>
      <c r="E75" s="205" t="e">
        <f t="shared" ref="E75" si="75">+(I74)*F74*(B75-B74)/360</f>
        <v>#REF!</v>
      </c>
      <c r="F75" s="7" t="e">
        <f t="shared" si="7"/>
        <v>#REF!</v>
      </c>
      <c r="G75" s="581">
        <v>2.8248899999999999</v>
      </c>
      <c r="J75" s="581">
        <v>0.87023686</v>
      </c>
      <c r="K75" s="582">
        <f t="shared" si="10"/>
        <v>174.047372</v>
      </c>
      <c r="L75" s="582"/>
      <c r="Y75" s="609">
        <v>68</v>
      </c>
      <c r="Z75" s="61">
        <v>408</v>
      </c>
      <c r="AA75" s="610">
        <f t="shared" si="70"/>
        <v>53692</v>
      </c>
      <c r="AB75" s="610">
        <f t="shared" si="11"/>
        <v>53692</v>
      </c>
      <c r="AC75" s="610">
        <f t="shared" si="66"/>
        <v>53688</v>
      </c>
    </row>
    <row r="76" spans="2:30">
      <c r="B76" s="540">
        <f t="shared" si="71"/>
        <v>46754</v>
      </c>
      <c r="C76" s="16">
        <f t="shared" si="72"/>
        <v>200</v>
      </c>
      <c r="D76" s="7" t="e">
        <f t="shared" si="68"/>
        <v>#REF!</v>
      </c>
      <c r="E76" s="205" t="e">
        <f t="shared" ref="E76" si="76">+(I74)*F75*(B76-B75)/360</f>
        <v>#REF!</v>
      </c>
      <c r="F76" s="7" t="e">
        <f t="shared" si="7"/>
        <v>#REF!</v>
      </c>
      <c r="G76" s="581">
        <v>2.8243399999999999</v>
      </c>
      <c r="J76" s="581">
        <v>0.86834975999999997</v>
      </c>
      <c r="K76" s="582">
        <f t="shared" si="10"/>
        <v>173.66995199999999</v>
      </c>
      <c r="L76" s="582"/>
      <c r="Y76" s="609">
        <v>69</v>
      </c>
      <c r="Z76" s="61">
        <v>414</v>
      </c>
      <c r="AA76" s="610">
        <f t="shared" si="70"/>
        <v>53873</v>
      </c>
      <c r="AB76" s="610">
        <f t="shared" si="11"/>
        <v>53874</v>
      </c>
      <c r="AC76" s="610">
        <f t="shared" si="66"/>
        <v>53870</v>
      </c>
    </row>
    <row r="77" spans="2:30" ht="17.25">
      <c r="B77" s="540">
        <f t="shared" si="71"/>
        <v>46785</v>
      </c>
      <c r="C77" s="16">
        <f t="shared" si="72"/>
        <v>200</v>
      </c>
      <c r="D77" s="7" t="e">
        <f t="shared" si="68"/>
        <v>#REF!</v>
      </c>
      <c r="E77" s="205" t="e">
        <f t="shared" ref="E77" si="77">+(I74)*F76*(B77-B76)/360</f>
        <v>#REF!</v>
      </c>
      <c r="F77" s="7" t="e">
        <f t="shared" si="7"/>
        <v>#REF!</v>
      </c>
      <c r="G77" s="581">
        <v>2.8233100000000002</v>
      </c>
      <c r="J77" s="581">
        <v>0.86659134999999998</v>
      </c>
      <c r="K77" s="582">
        <f t="shared" si="10"/>
        <v>173.31826999999998</v>
      </c>
      <c r="L77" s="582"/>
      <c r="Y77" s="609">
        <v>70</v>
      </c>
      <c r="Z77" s="61">
        <v>420</v>
      </c>
      <c r="AA77" s="610">
        <f t="shared" si="70"/>
        <v>54057</v>
      </c>
      <c r="AB77" s="627">
        <f t="shared" si="11"/>
        <v>54057</v>
      </c>
      <c r="AC77" s="610">
        <f t="shared" si="66"/>
        <v>54053</v>
      </c>
      <c r="AD77" s="634"/>
    </row>
    <row r="78" spans="2:30">
      <c r="B78" s="540">
        <f t="shared" si="71"/>
        <v>46814</v>
      </c>
      <c r="C78" s="16">
        <f t="shared" si="72"/>
        <v>200</v>
      </c>
      <c r="D78" s="7" t="e">
        <f t="shared" si="68"/>
        <v>#REF!</v>
      </c>
      <c r="E78" s="205" t="e">
        <f t="shared" ref="E78" si="78">+(I74)*F77*(B78-B77)/360</f>
        <v>#REF!</v>
      </c>
      <c r="F78" s="7" t="e">
        <f t="shared" si="7"/>
        <v>#REF!</v>
      </c>
      <c r="G78" s="581">
        <v>2.82477</v>
      </c>
      <c r="J78" s="581">
        <v>0.86471560000000003</v>
      </c>
      <c r="K78" s="582">
        <f t="shared" si="10"/>
        <v>172.94311999999999</v>
      </c>
      <c r="L78" s="582"/>
      <c r="Y78" s="609">
        <v>71</v>
      </c>
      <c r="Z78" s="61">
        <v>426</v>
      </c>
      <c r="AA78" s="610">
        <f t="shared" si="70"/>
        <v>54239</v>
      </c>
      <c r="AB78" s="610">
        <f t="shared" si="11"/>
        <v>54239</v>
      </c>
      <c r="AC78" s="610">
        <f t="shared" si="66"/>
        <v>54235</v>
      </c>
    </row>
    <row r="79" spans="2:30">
      <c r="B79" s="540">
        <f t="shared" si="71"/>
        <v>46845</v>
      </c>
      <c r="C79" s="16">
        <f t="shared" si="72"/>
        <v>200</v>
      </c>
      <c r="D79" s="7" t="e">
        <f t="shared" si="68"/>
        <v>#REF!</v>
      </c>
      <c r="E79" s="205" t="e">
        <f t="shared" ref="E79" si="79">+(I74)*F78*(B79-B78)/360</f>
        <v>#REF!</v>
      </c>
      <c r="F79" s="7" t="e">
        <f t="shared" si="7"/>
        <v>#REF!</v>
      </c>
      <c r="G79" s="581">
        <v>2.8233999999999999</v>
      </c>
      <c r="J79" s="581">
        <v>0.86302487000000006</v>
      </c>
      <c r="K79" s="582">
        <f t="shared" si="10"/>
        <v>172.604974</v>
      </c>
      <c r="L79" s="582"/>
      <c r="Y79" s="609">
        <v>72</v>
      </c>
      <c r="Z79" s="61">
        <v>432</v>
      </c>
      <c r="AA79" s="610">
        <f t="shared" si="70"/>
        <v>54423</v>
      </c>
      <c r="AB79" s="610">
        <f t="shared" si="11"/>
        <v>54423</v>
      </c>
      <c r="AC79" s="610">
        <f t="shared" si="66"/>
        <v>54421</v>
      </c>
    </row>
    <row r="80" spans="2:30" ht="13.5" thickBot="1">
      <c r="B80" s="542">
        <f t="shared" si="71"/>
        <v>46875</v>
      </c>
      <c r="C80" s="16">
        <f t="shared" si="72"/>
        <v>200</v>
      </c>
      <c r="D80" s="7" t="e">
        <f t="shared" si="68"/>
        <v>#REF!</v>
      </c>
      <c r="E80" s="205" t="e">
        <f t="shared" ref="E80" si="80">+(I74)*F79*(B80-B79)/360</f>
        <v>#REF!</v>
      </c>
      <c r="F80" s="7" t="e">
        <f t="shared" ref="F80:F127" si="81">+F79-D80</f>
        <v>#REF!</v>
      </c>
      <c r="G80" s="581">
        <v>2.8265600000000002</v>
      </c>
      <c r="H80" s="545">
        <v>9.5999999999999992E-3</v>
      </c>
      <c r="I80" s="572">
        <f t="shared" ref="I80" si="82">+H80+G80/100</f>
        <v>3.7865599999999999E-2</v>
      </c>
      <c r="J80" s="581">
        <v>0.86103646</v>
      </c>
      <c r="K80" s="582">
        <f t="shared" si="10"/>
        <v>172.207292</v>
      </c>
      <c r="L80" s="582"/>
      <c r="Y80" s="609">
        <v>73</v>
      </c>
      <c r="Z80" s="61">
        <v>438</v>
      </c>
      <c r="AA80" s="610">
        <f t="shared" si="70"/>
        <v>54604</v>
      </c>
      <c r="AB80" s="635">
        <f t="shared" si="11"/>
        <v>54604</v>
      </c>
      <c r="AC80" s="610">
        <f t="shared" si="66"/>
        <v>54602</v>
      </c>
    </row>
    <row r="81" spans="2:29">
      <c r="B81" s="538">
        <f t="shared" si="71"/>
        <v>46906</v>
      </c>
      <c r="C81" s="16">
        <f t="shared" si="72"/>
        <v>200</v>
      </c>
      <c r="D81" s="7" t="e">
        <f t="shared" si="68"/>
        <v>#REF!</v>
      </c>
      <c r="E81" s="205" t="e">
        <f t="shared" ref="E81" si="83">+(I80)*F80*(B81-B80)/360</f>
        <v>#REF!</v>
      </c>
      <c r="F81" s="7" t="e">
        <f t="shared" si="81"/>
        <v>#REF!</v>
      </c>
      <c r="G81" s="581">
        <v>2.8247300000000002</v>
      </c>
      <c r="J81" s="581">
        <v>0.85923278999999997</v>
      </c>
      <c r="K81" s="582">
        <f t="shared" ref="K81:K144" si="84">+C81*J81</f>
        <v>171.84655799999999</v>
      </c>
      <c r="L81" s="582"/>
      <c r="Y81" s="609">
        <v>74</v>
      </c>
      <c r="Z81" s="61">
        <v>444</v>
      </c>
      <c r="AA81" s="610">
        <f t="shared" si="70"/>
        <v>54788</v>
      </c>
      <c r="AB81" s="610">
        <f t="shared" si="11"/>
        <v>54788</v>
      </c>
      <c r="AC81" s="610">
        <f t="shared" si="66"/>
        <v>54786</v>
      </c>
    </row>
    <row r="82" spans="2:29">
      <c r="B82" s="539">
        <f t="shared" si="71"/>
        <v>46936</v>
      </c>
      <c r="C82" s="16">
        <f t="shared" si="72"/>
        <v>200</v>
      </c>
      <c r="D82" s="7" t="e">
        <f t="shared" si="68"/>
        <v>#REF!</v>
      </c>
      <c r="E82" s="205" t="e">
        <f t="shared" ref="E82" si="85">+(I80)*F81*(B82-B81)/360</f>
        <v>#REF!</v>
      </c>
      <c r="F82" s="7" t="e">
        <f t="shared" si="81"/>
        <v>#REF!</v>
      </c>
      <c r="G82" s="581">
        <v>2.82559</v>
      </c>
      <c r="J82" s="581">
        <v>0.85737297000000001</v>
      </c>
      <c r="K82" s="582">
        <f t="shared" si="84"/>
        <v>171.474594</v>
      </c>
      <c r="L82" s="582"/>
      <c r="Y82" s="609">
        <v>75</v>
      </c>
      <c r="Z82" s="61">
        <v>450</v>
      </c>
      <c r="AA82" s="610">
        <f t="shared" si="70"/>
        <v>54969</v>
      </c>
      <c r="AB82" s="627">
        <f t="shared" si="11"/>
        <v>54969</v>
      </c>
      <c r="AC82" s="610">
        <f t="shared" si="66"/>
        <v>54967</v>
      </c>
    </row>
    <row r="83" spans="2:29">
      <c r="B83" s="539">
        <f t="shared" si="71"/>
        <v>46967</v>
      </c>
      <c r="C83" s="16">
        <f t="shared" si="72"/>
        <v>200</v>
      </c>
      <c r="D83" s="7" t="e">
        <f t="shared" si="68"/>
        <v>#REF!</v>
      </c>
      <c r="E83" s="205" t="e">
        <f t="shared" ref="E83" si="86">+(I80)*F82*(B83-B82)/360</f>
        <v>#REF!</v>
      </c>
      <c r="F83" s="7" t="e">
        <f t="shared" si="81"/>
        <v>#REF!</v>
      </c>
      <c r="G83" s="581">
        <v>2.8252600000000001</v>
      </c>
      <c r="J83" s="581">
        <v>0.85551717999999999</v>
      </c>
      <c r="K83" s="582">
        <f t="shared" si="84"/>
        <v>171.10343599999999</v>
      </c>
      <c r="L83" s="582"/>
      <c r="Y83" s="609"/>
      <c r="AA83" s="610"/>
      <c r="AB83" s="627"/>
      <c r="AC83" s="610"/>
    </row>
    <row r="84" spans="2:29">
      <c r="B84" s="539">
        <f t="shared" si="71"/>
        <v>46998</v>
      </c>
      <c r="C84" s="16">
        <f t="shared" si="72"/>
        <v>200</v>
      </c>
      <c r="D84" s="7" t="e">
        <f t="shared" si="68"/>
        <v>#REF!</v>
      </c>
      <c r="E84" s="205" t="e">
        <f t="shared" ref="E84" si="87">+(I80)*F83*(B84-B83)/360</f>
        <v>#REF!</v>
      </c>
      <c r="F84" s="7" t="e">
        <f t="shared" si="81"/>
        <v>#REF!</v>
      </c>
      <c r="G84" s="581">
        <v>2.8239100000000001</v>
      </c>
      <c r="J84" s="581">
        <v>0.85378474999999998</v>
      </c>
      <c r="K84" s="582">
        <f t="shared" si="84"/>
        <v>170.75694999999999</v>
      </c>
      <c r="L84" s="582"/>
      <c r="Y84" s="609"/>
      <c r="AA84" s="601"/>
    </row>
    <row r="85" spans="2:29">
      <c r="B85" s="539">
        <f t="shared" si="71"/>
        <v>47028</v>
      </c>
      <c r="C85" s="16">
        <f t="shared" si="72"/>
        <v>200</v>
      </c>
      <c r="D85" s="7" t="e">
        <f t="shared" si="68"/>
        <v>#REF!</v>
      </c>
      <c r="E85" s="205" t="e">
        <f t="shared" ref="E85" si="88">+(I80)*F84*(B85-B84)/360</f>
        <v>#REF!</v>
      </c>
      <c r="F85" s="7" t="e">
        <f t="shared" si="81"/>
        <v>#REF!</v>
      </c>
      <c r="G85" s="581">
        <v>2.8258399999999999</v>
      </c>
      <c r="J85" s="581">
        <v>0.85187716999999996</v>
      </c>
      <c r="K85" s="582">
        <f t="shared" si="84"/>
        <v>170.37543399999998</v>
      </c>
      <c r="L85" s="582"/>
      <c r="Y85" s="609"/>
      <c r="AA85" s="601"/>
    </row>
    <row r="86" spans="2:29">
      <c r="B86" s="539">
        <f t="shared" si="71"/>
        <v>47059</v>
      </c>
      <c r="C86" s="16">
        <f t="shared" si="72"/>
        <v>200</v>
      </c>
      <c r="D86" s="7" t="e">
        <f t="shared" si="68"/>
        <v>#REF!</v>
      </c>
      <c r="E86" s="205" t="e">
        <f t="shared" ref="E86" si="89">+(I80)*F85*(B86-B85)/360</f>
        <v>#REF!</v>
      </c>
      <c r="F86" s="7" t="e">
        <f t="shared" si="81"/>
        <v>#REF!</v>
      </c>
      <c r="G86" s="581">
        <v>2.8244799999999999</v>
      </c>
      <c r="H86" s="545">
        <v>9.5999999999999992E-3</v>
      </c>
      <c r="I86" s="572">
        <f t="shared" ref="I86" si="90">+H86+G86/100</f>
        <v>3.7844799999999998E-2</v>
      </c>
      <c r="J86" s="581">
        <v>0.85009268999999998</v>
      </c>
      <c r="K86" s="582">
        <f t="shared" si="84"/>
        <v>170.01853800000001</v>
      </c>
      <c r="L86" s="582"/>
      <c r="Y86" s="609"/>
      <c r="AA86" s="601"/>
    </row>
    <row r="87" spans="2:29">
      <c r="B87" s="540">
        <f t="shared" si="71"/>
        <v>47089</v>
      </c>
      <c r="C87" s="16">
        <f t="shared" si="72"/>
        <v>200</v>
      </c>
      <c r="D87" s="7" t="e">
        <f t="shared" si="68"/>
        <v>#REF!</v>
      </c>
      <c r="E87" s="205" t="e">
        <f t="shared" ref="E87" si="91">+(I86)*F86*(B87-B86)/360</f>
        <v>#REF!</v>
      </c>
      <c r="F87" s="7" t="e">
        <f t="shared" si="81"/>
        <v>#REF!</v>
      </c>
      <c r="G87" s="581">
        <v>2.8238599999999998</v>
      </c>
      <c r="J87" s="581">
        <v>0.84837125000000002</v>
      </c>
      <c r="K87" s="582">
        <f t="shared" si="84"/>
        <v>169.67425</v>
      </c>
      <c r="L87" s="582"/>
      <c r="Y87" s="609"/>
      <c r="AA87" s="601"/>
    </row>
    <row r="88" spans="2:29">
      <c r="B88" s="540">
        <f t="shared" si="71"/>
        <v>47120</v>
      </c>
      <c r="C88" s="16">
        <f t="shared" si="72"/>
        <v>200</v>
      </c>
      <c r="D88" s="7" t="e">
        <f t="shared" si="68"/>
        <v>#REF!</v>
      </c>
      <c r="E88" s="205" t="e">
        <f t="shared" ref="E88" si="92">+(I86)*F87*(B88-B87)/360</f>
        <v>#REF!</v>
      </c>
      <c r="F88" s="7" t="e">
        <f t="shared" si="81"/>
        <v>#REF!</v>
      </c>
      <c r="G88" s="581">
        <v>2.8266200000000001</v>
      </c>
      <c r="J88" s="581">
        <v>0.84641133999999996</v>
      </c>
      <c r="K88" s="582">
        <f t="shared" si="84"/>
        <v>169.28226799999999</v>
      </c>
      <c r="L88" s="582"/>
      <c r="Y88" s="609"/>
      <c r="AA88" s="601"/>
    </row>
    <row r="89" spans="2:29">
      <c r="B89" s="540">
        <f t="shared" si="71"/>
        <v>47151</v>
      </c>
      <c r="C89" s="16">
        <f t="shared" si="72"/>
        <v>200</v>
      </c>
      <c r="D89" s="7" t="e">
        <f t="shared" si="68"/>
        <v>#REF!</v>
      </c>
      <c r="E89" s="205" t="e">
        <f t="shared" ref="E89" si="93">+(I86)*F88*(B89-B88)/360</f>
        <v>#REF!</v>
      </c>
      <c r="F89" s="7" t="e">
        <f t="shared" si="81"/>
        <v>#REF!</v>
      </c>
      <c r="G89" s="581">
        <v>2.82334</v>
      </c>
      <c r="J89" s="581">
        <v>0.84475074000000006</v>
      </c>
      <c r="K89" s="582">
        <f t="shared" si="84"/>
        <v>168.95014800000001</v>
      </c>
      <c r="L89" s="582"/>
      <c r="Y89" s="609"/>
      <c r="AA89" s="601"/>
    </row>
    <row r="90" spans="2:29">
      <c r="B90" s="540">
        <f t="shared" si="71"/>
        <v>47179</v>
      </c>
      <c r="C90" s="16">
        <f t="shared" si="72"/>
        <v>200</v>
      </c>
      <c r="D90" s="7" t="e">
        <f t="shared" si="68"/>
        <v>#REF!</v>
      </c>
      <c r="E90" s="205" t="e">
        <f t="shared" ref="E90" si="94">+(I86)*F89*(B90-B89)/360</f>
        <v>#REF!</v>
      </c>
      <c r="F90" s="7" t="e">
        <f t="shared" si="81"/>
        <v>#REF!</v>
      </c>
      <c r="G90" s="581">
        <v>2.8244099999999999</v>
      </c>
      <c r="J90" s="581">
        <v>0.84303426999999997</v>
      </c>
      <c r="K90" s="582">
        <f t="shared" si="84"/>
        <v>168.606854</v>
      </c>
      <c r="L90" s="582"/>
      <c r="Y90" s="609"/>
      <c r="AA90" s="601"/>
    </row>
    <row r="91" spans="2:29">
      <c r="B91" s="540">
        <f t="shared" si="71"/>
        <v>47210</v>
      </c>
      <c r="C91" s="16">
        <f t="shared" si="72"/>
        <v>200</v>
      </c>
      <c r="D91" s="7" t="e">
        <f t="shared" si="68"/>
        <v>#REF!</v>
      </c>
      <c r="E91" s="205" t="e">
        <f t="shared" ref="E91" si="95">+(I86)*F90*(B91-B90)/360</f>
        <v>#REF!</v>
      </c>
      <c r="F91" s="7" t="e">
        <f t="shared" si="81"/>
        <v>#REF!</v>
      </c>
      <c r="G91" s="581">
        <v>2.82667</v>
      </c>
      <c r="J91" s="581">
        <v>0.84114427999999997</v>
      </c>
      <c r="K91" s="582">
        <f t="shared" si="84"/>
        <v>168.22885600000001</v>
      </c>
      <c r="L91" s="582"/>
      <c r="Y91" s="609"/>
      <c r="AA91" s="601"/>
    </row>
    <row r="92" spans="2:29" ht="13.5" thickBot="1">
      <c r="B92" s="542">
        <f t="shared" si="71"/>
        <v>47240</v>
      </c>
      <c r="C92" s="16">
        <f t="shared" si="72"/>
        <v>200</v>
      </c>
      <c r="D92" s="7" t="e">
        <f t="shared" si="68"/>
        <v>#REF!</v>
      </c>
      <c r="E92" s="205" t="e">
        <f t="shared" ref="E92" si="96">+(I86)*F91*(B92-B91)/360</f>
        <v>#REF!</v>
      </c>
      <c r="F92" s="7" t="e">
        <f t="shared" si="81"/>
        <v>#REF!</v>
      </c>
      <c r="G92" s="581">
        <v>2.8261500000000002</v>
      </c>
      <c r="H92" s="545">
        <v>9.5999999999999992E-3</v>
      </c>
      <c r="I92" s="572">
        <f t="shared" ref="I92" si="97">+H92+G92/100</f>
        <v>3.7861499999999999E-2</v>
      </c>
      <c r="J92" s="581">
        <v>0.83931739000000005</v>
      </c>
      <c r="K92" s="582">
        <f t="shared" si="84"/>
        <v>167.86347800000001</v>
      </c>
      <c r="L92" s="582"/>
      <c r="Y92" s="609"/>
      <c r="AA92" s="601"/>
    </row>
    <row r="93" spans="2:29">
      <c r="B93" s="538">
        <f t="shared" si="71"/>
        <v>47271</v>
      </c>
      <c r="C93" s="16">
        <f t="shared" si="72"/>
        <v>200</v>
      </c>
      <c r="D93" s="7" t="e">
        <f t="shared" si="68"/>
        <v>#REF!</v>
      </c>
      <c r="E93" s="205" t="e">
        <f t="shared" ref="E93" si="98">+(I92)*F92*(B93-B92)/360</f>
        <v>#REF!</v>
      </c>
      <c r="F93" s="7" t="e">
        <f t="shared" si="81"/>
        <v>#REF!</v>
      </c>
      <c r="G93" s="581">
        <v>2.8250999999999999</v>
      </c>
      <c r="J93" s="581">
        <v>0.83761196000000004</v>
      </c>
      <c r="K93" s="582">
        <f t="shared" si="84"/>
        <v>167.522392</v>
      </c>
      <c r="L93" s="582"/>
      <c r="Y93" s="609"/>
      <c r="AA93" s="601"/>
    </row>
    <row r="94" spans="2:29">
      <c r="B94" s="539">
        <f t="shared" si="71"/>
        <v>47301</v>
      </c>
      <c r="C94" s="16">
        <f t="shared" si="72"/>
        <v>200</v>
      </c>
      <c r="D94" s="7" t="e">
        <f t="shared" si="68"/>
        <v>#REF!</v>
      </c>
      <c r="E94" s="205" t="e">
        <f t="shared" ref="E94" si="99">+(I92)*F93*(B94-B93)/360</f>
        <v>#REF!</v>
      </c>
      <c r="F94" s="7" t="e">
        <f t="shared" si="81"/>
        <v>#REF!</v>
      </c>
      <c r="G94" s="581">
        <v>2.8359200000000002</v>
      </c>
      <c r="J94" s="581">
        <v>0.83573412000000002</v>
      </c>
      <c r="K94" s="582">
        <f t="shared" si="84"/>
        <v>167.14682400000001</v>
      </c>
      <c r="L94" s="582"/>
      <c r="Y94" s="609"/>
      <c r="AA94" s="601"/>
    </row>
    <row r="95" spans="2:29">
      <c r="B95" s="539">
        <f t="shared" si="71"/>
        <v>47332</v>
      </c>
      <c r="C95" s="16">
        <f t="shared" si="72"/>
        <v>200</v>
      </c>
      <c r="D95" s="7" t="e">
        <f t="shared" si="68"/>
        <v>#REF!</v>
      </c>
      <c r="E95" s="205" t="e">
        <f t="shared" ref="E95" si="100">+(I92)*F94*(B95-B94)/360</f>
        <v>#REF!</v>
      </c>
      <c r="F95" s="7" t="e">
        <f t="shared" si="81"/>
        <v>#REF!</v>
      </c>
      <c r="G95" s="581">
        <v>2.8454100000000002</v>
      </c>
      <c r="J95" s="581">
        <v>0.83391899000000003</v>
      </c>
      <c r="K95" s="582">
        <f t="shared" si="84"/>
        <v>166.78379800000002</v>
      </c>
      <c r="L95" s="582"/>
      <c r="Y95" s="609"/>
      <c r="AA95" s="601"/>
    </row>
    <row r="96" spans="2:29">
      <c r="B96" s="539">
        <f t="shared" si="71"/>
        <v>47363</v>
      </c>
      <c r="C96" s="16">
        <f t="shared" si="72"/>
        <v>200</v>
      </c>
      <c r="D96" s="7" t="e">
        <f t="shared" si="68"/>
        <v>#REF!</v>
      </c>
      <c r="E96" s="205" t="e">
        <f t="shared" ref="E96" si="101">+(I92)*F95*(B96-B95)/360</f>
        <v>#REF!</v>
      </c>
      <c r="F96" s="7" t="e">
        <f t="shared" si="81"/>
        <v>#REF!</v>
      </c>
      <c r="G96" s="581">
        <v>2.85358</v>
      </c>
      <c r="J96" s="581">
        <v>0.83228289</v>
      </c>
      <c r="K96" s="582">
        <f t="shared" si="84"/>
        <v>166.45657800000001</v>
      </c>
      <c r="L96" s="582"/>
      <c r="Y96" s="609"/>
      <c r="AA96" s="601"/>
    </row>
    <row r="97" spans="2:27">
      <c r="B97" s="539">
        <f t="shared" si="71"/>
        <v>47393</v>
      </c>
      <c r="C97" s="16">
        <f t="shared" si="72"/>
        <v>200</v>
      </c>
      <c r="D97" s="7" t="e">
        <f t="shared" si="68"/>
        <v>#REF!</v>
      </c>
      <c r="E97" s="205" t="e">
        <f t="shared" ref="E97" si="102">+(I92)*F96*(B97-B96)/360</f>
        <v>#REF!</v>
      </c>
      <c r="F97" s="7" t="e">
        <f t="shared" si="81"/>
        <v>#REF!</v>
      </c>
      <c r="G97" s="581">
        <v>2.8694999999999999</v>
      </c>
      <c r="J97" s="581">
        <v>0.83035877000000002</v>
      </c>
      <c r="K97" s="582">
        <f t="shared" si="84"/>
        <v>166.071754</v>
      </c>
      <c r="L97" s="582"/>
      <c r="Y97" s="609"/>
      <c r="AA97" s="601"/>
    </row>
    <row r="98" spans="2:27">
      <c r="B98" s="539">
        <f t="shared" si="71"/>
        <v>47424</v>
      </c>
      <c r="C98" s="16">
        <f t="shared" si="72"/>
        <v>200</v>
      </c>
      <c r="D98" s="7" t="e">
        <f t="shared" si="68"/>
        <v>#REF!</v>
      </c>
      <c r="E98" s="205" t="e">
        <f t="shared" ref="E98" si="103">+(I92)*F97*(B98-B97)/360</f>
        <v>#REF!</v>
      </c>
      <c r="F98" s="7" t="e">
        <f t="shared" si="81"/>
        <v>#REF!</v>
      </c>
      <c r="G98" s="581">
        <v>2.8783699999999999</v>
      </c>
      <c r="H98" s="545">
        <v>9.5999999999999992E-3</v>
      </c>
      <c r="I98" s="572">
        <f t="shared" ref="I98" si="104">+H98+G98/100</f>
        <v>3.83837E-2</v>
      </c>
      <c r="J98" s="581">
        <v>0.82861342000000004</v>
      </c>
      <c r="K98" s="582">
        <f t="shared" si="84"/>
        <v>165.72268400000002</v>
      </c>
      <c r="L98" s="582"/>
      <c r="Y98" s="609"/>
      <c r="AA98" s="601"/>
    </row>
    <row r="99" spans="2:27">
      <c r="B99" s="540">
        <f t="shared" si="71"/>
        <v>47454</v>
      </c>
      <c r="C99" s="16">
        <f t="shared" si="72"/>
        <v>200</v>
      </c>
      <c r="D99" s="7" t="e">
        <f t="shared" si="68"/>
        <v>#REF!</v>
      </c>
      <c r="E99" s="205" t="e">
        <f t="shared" ref="E99" si="105">+(I98)*F98*(B99-B98)/360</f>
        <v>#REF!</v>
      </c>
      <c r="F99" s="7" t="e">
        <f t="shared" si="81"/>
        <v>#REF!</v>
      </c>
      <c r="G99" s="581">
        <v>2.8903400000000001</v>
      </c>
      <c r="J99" s="581">
        <v>0.82681373999999996</v>
      </c>
      <c r="K99" s="582">
        <f t="shared" si="84"/>
        <v>165.36274799999998</v>
      </c>
      <c r="L99" s="582"/>
      <c r="Y99" s="609"/>
      <c r="AA99" s="601"/>
    </row>
    <row r="100" spans="2:27">
      <c r="B100" s="540">
        <f t="shared" si="71"/>
        <v>47485</v>
      </c>
      <c r="C100" s="16">
        <f t="shared" si="72"/>
        <v>200</v>
      </c>
      <c r="D100" s="7" t="e">
        <f t="shared" si="68"/>
        <v>#REF!</v>
      </c>
      <c r="E100" s="205" t="e">
        <f t="shared" ref="E100" si="106">+(I98)*F99*(B100-B99)/360</f>
        <v>#REF!</v>
      </c>
      <c r="F100" s="7" t="e">
        <f t="shared" si="81"/>
        <v>#REF!</v>
      </c>
      <c r="G100" s="581">
        <v>2.8933499999999999</v>
      </c>
      <c r="J100" s="581">
        <v>0.82497381999999997</v>
      </c>
      <c r="K100" s="582">
        <f t="shared" si="84"/>
        <v>164.994764</v>
      </c>
      <c r="L100" s="582"/>
      <c r="Y100" s="609"/>
      <c r="AA100" s="601"/>
    </row>
    <row r="101" spans="2:27">
      <c r="B101" s="540">
        <f t="shared" si="71"/>
        <v>47516</v>
      </c>
      <c r="C101" s="16">
        <f t="shared" si="72"/>
        <v>200</v>
      </c>
      <c r="D101" s="7" t="e">
        <f t="shared" si="68"/>
        <v>#REF!</v>
      </c>
      <c r="E101" s="205" t="e">
        <f t="shared" ref="E101" si="107">+(I98)*F100*(B101-B100)/360</f>
        <v>#REF!</v>
      </c>
      <c r="F101" s="7" t="e">
        <f t="shared" si="81"/>
        <v>#REF!</v>
      </c>
      <c r="G101" s="581">
        <v>2.8912100000000001</v>
      </c>
      <c r="J101" s="581">
        <v>0.82330387000000005</v>
      </c>
      <c r="K101" s="582">
        <f t="shared" si="84"/>
        <v>164.660774</v>
      </c>
      <c r="L101" s="582"/>
      <c r="Y101" s="609"/>
      <c r="AA101" s="601"/>
    </row>
    <row r="102" spans="2:27">
      <c r="B102" s="540">
        <f t="shared" si="71"/>
        <v>47544</v>
      </c>
      <c r="C102" s="16">
        <f t="shared" si="72"/>
        <v>200</v>
      </c>
      <c r="D102" s="7" t="e">
        <f t="shared" si="68"/>
        <v>#REF!</v>
      </c>
      <c r="E102" s="205" t="e">
        <f t="shared" ref="E102" si="108">+(I98)*F101*(B102-B101)/360</f>
        <v>#REF!</v>
      </c>
      <c r="F102" s="7" t="e">
        <f t="shared" si="81"/>
        <v>#REF!</v>
      </c>
      <c r="G102" s="581">
        <v>2.8926099999999999</v>
      </c>
      <c r="J102" s="581">
        <v>0.82157784</v>
      </c>
      <c r="K102" s="582">
        <f t="shared" si="84"/>
        <v>164.31556800000001</v>
      </c>
      <c r="L102" s="582"/>
      <c r="Y102" s="609"/>
      <c r="AA102" s="601"/>
    </row>
    <row r="103" spans="2:27">
      <c r="B103" s="540">
        <f t="shared" si="71"/>
        <v>47575</v>
      </c>
      <c r="C103" s="16">
        <f t="shared" si="72"/>
        <v>200</v>
      </c>
      <c r="D103" s="7" t="e">
        <f t="shared" si="68"/>
        <v>#REF!</v>
      </c>
      <c r="E103" s="205" t="e">
        <f t="shared" ref="E103" si="109">+(I98)*F102*(B103-B102)/360</f>
        <v>#REF!</v>
      </c>
      <c r="F103" s="7" t="e">
        <f t="shared" si="81"/>
        <v>#REF!</v>
      </c>
      <c r="G103" s="581">
        <v>2.8948999999999998</v>
      </c>
      <c r="J103" s="581">
        <v>0.81967745000000003</v>
      </c>
      <c r="K103" s="582">
        <f t="shared" si="84"/>
        <v>163.93549000000002</v>
      </c>
      <c r="L103" s="582"/>
      <c r="Y103" s="609"/>
      <c r="AA103" s="601"/>
    </row>
    <row r="104" spans="2:27" ht="13.5" thickBot="1">
      <c r="B104" s="542">
        <f t="shared" si="71"/>
        <v>47605</v>
      </c>
      <c r="C104" s="16">
        <f t="shared" si="72"/>
        <v>200</v>
      </c>
      <c r="D104" s="7" t="e">
        <f t="shared" si="68"/>
        <v>#REF!</v>
      </c>
      <c r="E104" s="205" t="e">
        <f t="shared" ref="E104" si="110">+(I98)*F103*(B104-B103)/360</f>
        <v>#REF!</v>
      </c>
      <c r="F104" s="7" t="e">
        <f t="shared" si="81"/>
        <v>#REF!</v>
      </c>
      <c r="G104" s="581">
        <v>2.8942000000000001</v>
      </c>
      <c r="H104" s="545">
        <v>9.5999999999999992E-3</v>
      </c>
      <c r="I104" s="572">
        <f t="shared" ref="I104" si="111">+H104+G104/100</f>
        <v>3.8542E-2</v>
      </c>
      <c r="J104" s="581">
        <v>0.81784064000000001</v>
      </c>
      <c r="K104" s="582">
        <f t="shared" si="84"/>
        <v>163.568128</v>
      </c>
      <c r="L104" s="582"/>
      <c r="Y104" s="609"/>
      <c r="AA104" s="601"/>
    </row>
    <row r="105" spans="2:27">
      <c r="B105" s="538">
        <f t="shared" si="71"/>
        <v>47636</v>
      </c>
      <c r="C105" s="16">
        <f t="shared" si="72"/>
        <v>200</v>
      </c>
      <c r="D105" s="7" t="e">
        <f t="shared" si="68"/>
        <v>#REF!</v>
      </c>
      <c r="E105" s="205" t="e">
        <f t="shared" ref="E105" si="112">+(I104)*F104*(B105-B104)/360</f>
        <v>#REF!</v>
      </c>
      <c r="F105" s="7" t="e">
        <f t="shared" si="81"/>
        <v>#REF!</v>
      </c>
      <c r="G105" s="581">
        <v>2.8923199999999998</v>
      </c>
      <c r="J105" s="581">
        <v>0.81618513000000004</v>
      </c>
      <c r="K105" s="582">
        <f t="shared" si="84"/>
        <v>163.23702600000001</v>
      </c>
      <c r="L105" s="582"/>
      <c r="Y105" s="609"/>
      <c r="AA105" s="601"/>
    </row>
    <row r="106" spans="2:27">
      <c r="B106" s="539">
        <f t="shared" si="71"/>
        <v>47666</v>
      </c>
      <c r="C106" s="16">
        <f t="shared" si="72"/>
        <v>200</v>
      </c>
      <c r="D106" s="7" t="e">
        <f t="shared" si="68"/>
        <v>#REF!</v>
      </c>
      <c r="E106" s="205" t="e">
        <f t="shared" ref="E106" si="113">+(I104)*F105*(B106-B105)/360</f>
        <v>#REF!</v>
      </c>
      <c r="F106" s="7" t="e">
        <f t="shared" si="81"/>
        <v>#REF!</v>
      </c>
      <c r="G106" s="581">
        <v>2.90171</v>
      </c>
      <c r="J106" s="581">
        <v>0.81423827999999998</v>
      </c>
      <c r="K106" s="582">
        <f t="shared" si="84"/>
        <v>162.847656</v>
      </c>
      <c r="L106" s="582"/>
      <c r="Y106" s="609"/>
      <c r="AA106" s="601"/>
    </row>
    <row r="107" spans="2:27">
      <c r="B107" s="539">
        <f t="shared" si="71"/>
        <v>47697</v>
      </c>
      <c r="C107" s="16">
        <f t="shared" si="72"/>
        <v>200</v>
      </c>
      <c r="D107" s="7" t="e">
        <f t="shared" si="68"/>
        <v>#REF!</v>
      </c>
      <c r="E107" s="205" t="e">
        <f t="shared" ref="E107" si="114">+(I104)*F106*(B107-B106)/360</f>
        <v>#REF!</v>
      </c>
      <c r="F107" s="7" t="e">
        <f t="shared" si="81"/>
        <v>#REF!</v>
      </c>
      <c r="G107" s="581">
        <v>2.9053100000000001</v>
      </c>
      <c r="J107" s="581">
        <v>0.81247245999999995</v>
      </c>
      <c r="K107" s="582">
        <f t="shared" si="84"/>
        <v>162.49449199999998</v>
      </c>
      <c r="L107" s="582"/>
      <c r="Y107" s="609"/>
      <c r="AA107" s="601"/>
    </row>
    <row r="108" spans="2:27">
      <c r="B108" s="539">
        <f t="shared" si="71"/>
        <v>47728</v>
      </c>
      <c r="C108" s="16">
        <f t="shared" si="72"/>
        <v>200</v>
      </c>
      <c r="D108" s="7" t="e">
        <f t="shared" si="68"/>
        <v>#REF!</v>
      </c>
      <c r="E108" s="205" t="e">
        <f t="shared" ref="E108" si="115">+(I104)*F107*(B108-B107)/360</f>
        <v>#REF!</v>
      </c>
      <c r="F108" s="7" t="e">
        <f t="shared" si="81"/>
        <v>#REF!</v>
      </c>
      <c r="G108" s="581">
        <v>2.91296</v>
      </c>
      <c r="J108" s="581">
        <v>0.81065180000000003</v>
      </c>
      <c r="K108" s="582">
        <f t="shared" si="84"/>
        <v>162.13036</v>
      </c>
      <c r="L108" s="582"/>
      <c r="Y108" s="609"/>
      <c r="AA108" s="601"/>
    </row>
    <row r="109" spans="2:27">
      <c r="B109" s="539">
        <f t="shared" si="71"/>
        <v>47758</v>
      </c>
      <c r="C109" s="16">
        <f t="shared" si="72"/>
        <v>200</v>
      </c>
      <c r="D109" s="7" t="e">
        <f t="shared" si="68"/>
        <v>#REF!</v>
      </c>
      <c r="E109" s="205" t="e">
        <f t="shared" ref="E109" si="116">+(I104)*F108*(B109-B108)/360</f>
        <v>#REF!</v>
      </c>
      <c r="F109" s="7" t="e">
        <f t="shared" si="81"/>
        <v>#REF!</v>
      </c>
      <c r="G109" s="581">
        <v>2.91961</v>
      </c>
      <c r="J109" s="581">
        <v>0.80883521000000003</v>
      </c>
      <c r="K109" s="582">
        <f t="shared" si="84"/>
        <v>161.767042</v>
      </c>
      <c r="L109" s="582"/>
      <c r="Y109" s="609"/>
      <c r="AA109" s="601"/>
    </row>
    <row r="110" spans="2:27">
      <c r="B110" s="539">
        <f t="shared" si="71"/>
        <v>47789</v>
      </c>
      <c r="C110" s="16">
        <f t="shared" si="72"/>
        <v>200</v>
      </c>
      <c r="D110" s="7" t="e">
        <f t="shared" si="68"/>
        <v>#REF!</v>
      </c>
      <c r="E110" s="205" t="e">
        <f t="shared" ref="E110" si="117">+(I104)*F109*(B110-B109)/360</f>
        <v>#REF!</v>
      </c>
      <c r="F110" s="7" t="e">
        <f t="shared" si="81"/>
        <v>#REF!</v>
      </c>
      <c r="G110" s="581">
        <v>2.9243800000000002</v>
      </c>
      <c r="H110" s="545">
        <v>9.5999999999999992E-3</v>
      </c>
      <c r="I110" s="572">
        <f t="shared" ref="I110" si="118">+H110+G110/100</f>
        <v>3.8843799999999998E-2</v>
      </c>
      <c r="J110" s="581">
        <v>0.80713950999999995</v>
      </c>
      <c r="K110" s="582">
        <f t="shared" si="84"/>
        <v>161.42790199999999</v>
      </c>
      <c r="L110" s="582"/>
      <c r="Y110" s="609"/>
      <c r="AA110" s="601"/>
    </row>
    <row r="111" spans="2:27">
      <c r="B111" s="540">
        <f t="shared" si="71"/>
        <v>47819</v>
      </c>
      <c r="C111" s="16">
        <f t="shared" si="72"/>
        <v>200</v>
      </c>
      <c r="D111" s="7" t="e">
        <f t="shared" si="68"/>
        <v>#REF!</v>
      </c>
      <c r="E111" s="205" t="e">
        <f t="shared" ref="E111" si="119">+(I110)*F110*(B111-B110)/360</f>
        <v>#REF!</v>
      </c>
      <c r="F111" s="7" t="e">
        <f t="shared" si="81"/>
        <v>#REF!</v>
      </c>
      <c r="G111" s="581">
        <v>2.93397</v>
      </c>
      <c r="J111" s="581">
        <v>0.80527252000000005</v>
      </c>
      <c r="K111" s="582">
        <f t="shared" si="84"/>
        <v>161.05450400000001</v>
      </c>
      <c r="L111" s="582"/>
      <c r="Y111" s="609"/>
      <c r="AA111" s="601"/>
    </row>
    <row r="112" spans="2:27">
      <c r="B112" s="540">
        <f t="shared" si="71"/>
        <v>47850</v>
      </c>
      <c r="C112" s="16">
        <f t="shared" si="72"/>
        <v>200</v>
      </c>
      <c r="D112" s="7" t="e">
        <f t="shared" si="68"/>
        <v>#REF!</v>
      </c>
      <c r="E112" s="205" t="e">
        <f t="shared" ref="E112" si="120">+(I110)*F111*(B112-B111)/360</f>
        <v>#REF!</v>
      </c>
      <c r="F112" s="7" t="e">
        <f t="shared" si="81"/>
        <v>#REF!</v>
      </c>
      <c r="G112" s="581">
        <v>2.9346100000000002</v>
      </c>
      <c r="J112" s="581">
        <v>0.80340915999999996</v>
      </c>
      <c r="K112" s="582">
        <f t="shared" si="84"/>
        <v>160.68183199999999</v>
      </c>
      <c r="L112" s="582"/>
      <c r="Y112" s="609"/>
      <c r="AA112" s="601"/>
    </row>
    <row r="113" spans="2:27">
      <c r="B113" s="540">
        <f t="shared" si="71"/>
        <v>47881</v>
      </c>
      <c r="C113" s="16">
        <f t="shared" si="72"/>
        <v>200</v>
      </c>
      <c r="D113" s="7" t="e">
        <f t="shared" si="68"/>
        <v>#REF!</v>
      </c>
      <c r="E113" s="205" t="e">
        <f t="shared" ref="E113" si="121">+(I110)*F112*(B113-B112)/360</f>
        <v>#REF!</v>
      </c>
      <c r="F113" s="7" t="e">
        <f t="shared" si="81"/>
        <v>#REF!</v>
      </c>
      <c r="G113" s="581">
        <v>2.93222</v>
      </c>
      <c r="J113" s="581">
        <v>0.80171711000000001</v>
      </c>
      <c r="K113" s="582">
        <f t="shared" si="84"/>
        <v>160.343422</v>
      </c>
      <c r="L113" s="582"/>
      <c r="Y113" s="609"/>
      <c r="AA113" s="601"/>
    </row>
    <row r="114" spans="2:27">
      <c r="B114" s="540">
        <f t="shared" si="71"/>
        <v>47909</v>
      </c>
      <c r="C114" s="16">
        <f t="shared" si="72"/>
        <v>200</v>
      </c>
      <c r="D114" s="7" t="e">
        <f t="shared" si="68"/>
        <v>#REF!</v>
      </c>
      <c r="E114" s="205" t="e">
        <f t="shared" ref="E114" si="122">+(I110)*F113*(B114-B113)/360</f>
        <v>#REF!</v>
      </c>
      <c r="F114" s="7" t="e">
        <f t="shared" si="81"/>
        <v>#REF!</v>
      </c>
      <c r="G114" s="581">
        <v>2.9351600000000002</v>
      </c>
      <c r="J114" s="581">
        <v>0.79984792000000005</v>
      </c>
      <c r="K114" s="582">
        <f t="shared" si="84"/>
        <v>159.969584</v>
      </c>
      <c r="L114" s="582"/>
      <c r="Y114" s="609"/>
      <c r="AA114" s="601"/>
    </row>
    <row r="115" spans="2:27">
      <c r="B115" s="540">
        <f t="shared" si="71"/>
        <v>47940</v>
      </c>
      <c r="C115" s="16">
        <f t="shared" si="72"/>
        <v>200</v>
      </c>
      <c r="D115" s="7" t="e">
        <f t="shared" si="68"/>
        <v>#REF!</v>
      </c>
      <c r="E115" s="205" t="e">
        <f t="shared" ref="E115" si="123">+(I110)*F114*(B115-B114)/360</f>
        <v>#REF!</v>
      </c>
      <c r="F115" s="7" t="e">
        <f t="shared" si="81"/>
        <v>#REF!</v>
      </c>
      <c r="G115" s="581">
        <v>2.9344700000000001</v>
      </c>
      <c r="J115" s="581">
        <v>0.79804317999999996</v>
      </c>
      <c r="K115" s="582">
        <f t="shared" si="84"/>
        <v>159.60863599999999</v>
      </c>
      <c r="L115" s="582"/>
      <c r="Y115" s="609"/>
      <c r="AA115" s="601"/>
    </row>
    <row r="116" spans="2:27" ht="13.5" thickBot="1">
      <c r="B116" s="542">
        <f t="shared" si="71"/>
        <v>47970</v>
      </c>
      <c r="C116" s="16">
        <f t="shared" si="72"/>
        <v>200</v>
      </c>
      <c r="D116" s="7" t="e">
        <f t="shared" si="68"/>
        <v>#REF!</v>
      </c>
      <c r="E116" s="205" t="e">
        <f t="shared" ref="E116" si="124">+(I110)*F115*(B116-B115)/360</f>
        <v>#REF!</v>
      </c>
      <c r="F116" s="7" t="e">
        <f t="shared" si="81"/>
        <v>#REF!</v>
      </c>
      <c r="G116" s="581">
        <v>2.93451</v>
      </c>
      <c r="H116" s="545">
        <v>9.5999999999999992E-3</v>
      </c>
      <c r="I116" s="572">
        <f t="shared" ref="I116" si="125">+H116+G116/100</f>
        <v>3.8945099999999996E-2</v>
      </c>
      <c r="J116" s="581">
        <v>0.79624251000000001</v>
      </c>
      <c r="K116" s="582">
        <f t="shared" si="84"/>
        <v>159.248502</v>
      </c>
      <c r="L116" s="582"/>
      <c r="Y116" s="609"/>
      <c r="AA116" s="601"/>
    </row>
    <row r="117" spans="2:27">
      <c r="B117" s="538">
        <f t="shared" si="71"/>
        <v>48001</v>
      </c>
      <c r="C117" s="16">
        <f t="shared" si="72"/>
        <v>200</v>
      </c>
      <c r="D117" s="7" t="e">
        <f t="shared" si="68"/>
        <v>#REF!</v>
      </c>
      <c r="E117" s="205" t="e">
        <f t="shared" ref="E117" si="126">+(I116)*F116*(B117-B116)/360</f>
        <v>#REF!</v>
      </c>
      <c r="F117" s="7" t="e">
        <f t="shared" si="81"/>
        <v>#REF!</v>
      </c>
      <c r="G117" s="581">
        <v>2.9356499999999999</v>
      </c>
      <c r="J117" s="581">
        <v>0.79438609000000004</v>
      </c>
      <c r="K117" s="582">
        <f t="shared" si="84"/>
        <v>158.877218</v>
      </c>
      <c r="L117" s="582"/>
      <c r="Y117" s="609"/>
      <c r="AA117" s="601"/>
    </row>
    <row r="118" spans="2:27">
      <c r="B118" s="539">
        <f t="shared" si="71"/>
        <v>48031</v>
      </c>
      <c r="C118" s="16">
        <f t="shared" si="72"/>
        <v>200</v>
      </c>
      <c r="D118" s="7" t="e">
        <f t="shared" si="68"/>
        <v>#REF!</v>
      </c>
      <c r="E118" s="205" t="e">
        <f t="shared" ref="E118" si="127">+(I116)*F117*(B118-B117)/360</f>
        <v>#REF!</v>
      </c>
      <c r="F118" s="7" t="e">
        <f t="shared" si="81"/>
        <v>#REF!</v>
      </c>
      <c r="G118" s="581">
        <v>2.9384000000000001</v>
      </c>
      <c r="J118" s="581">
        <v>0.79253399000000002</v>
      </c>
      <c r="K118" s="582">
        <f t="shared" si="84"/>
        <v>158.506798</v>
      </c>
      <c r="L118" s="582"/>
      <c r="Y118" s="609"/>
      <c r="AA118" s="601"/>
    </row>
    <row r="119" spans="2:27">
      <c r="B119" s="539">
        <f t="shared" si="71"/>
        <v>48062</v>
      </c>
      <c r="C119" s="16">
        <f t="shared" si="72"/>
        <v>200</v>
      </c>
      <c r="D119" s="7" t="e">
        <f t="shared" si="68"/>
        <v>#REF!</v>
      </c>
      <c r="E119" s="205" t="e">
        <f t="shared" ref="E119" si="128">+(I116)*F118*(B119-B118)/360</f>
        <v>#REF!</v>
      </c>
      <c r="F119" s="7" t="e">
        <f t="shared" si="81"/>
        <v>#REF!</v>
      </c>
      <c r="G119" s="581">
        <v>2.9398300000000002</v>
      </c>
      <c r="J119" s="581">
        <v>0.79080528999999999</v>
      </c>
      <c r="K119" s="582">
        <f t="shared" si="84"/>
        <v>158.161058</v>
      </c>
      <c r="L119" s="582"/>
      <c r="Y119" s="609"/>
      <c r="AA119" s="601"/>
    </row>
    <row r="120" spans="2:27">
      <c r="B120" s="539">
        <f t="shared" si="71"/>
        <v>48093</v>
      </c>
      <c r="C120" s="16">
        <f t="shared" si="72"/>
        <v>200</v>
      </c>
      <c r="D120" s="7" t="e">
        <f t="shared" si="68"/>
        <v>#REF!</v>
      </c>
      <c r="E120" s="205" t="e">
        <f t="shared" ref="E120" si="129">+(I116)*F119*(B120-B119)/360</f>
        <v>#REF!</v>
      </c>
      <c r="F120" s="7" t="e">
        <f t="shared" si="81"/>
        <v>#REF!</v>
      </c>
      <c r="G120" s="581">
        <v>2.94624</v>
      </c>
      <c r="J120" s="581">
        <v>0.78890214000000003</v>
      </c>
      <c r="K120" s="582">
        <f t="shared" si="84"/>
        <v>157.780428</v>
      </c>
      <c r="L120" s="582"/>
      <c r="Y120" s="609"/>
      <c r="AA120" s="601"/>
    </row>
    <row r="121" spans="2:27">
      <c r="B121" s="539">
        <f t="shared" si="71"/>
        <v>48123</v>
      </c>
      <c r="C121" s="16">
        <f t="shared" si="72"/>
        <v>200</v>
      </c>
      <c r="D121" s="7" t="e">
        <f t="shared" si="68"/>
        <v>#REF!</v>
      </c>
      <c r="E121" s="205" t="e">
        <f t="shared" ref="E121" si="130">+(I116)*F120*(B121-B120)/360</f>
        <v>#REF!</v>
      </c>
      <c r="F121" s="7" t="e">
        <f t="shared" si="81"/>
        <v>#REF!</v>
      </c>
      <c r="G121" s="581">
        <v>2.9490099999999999</v>
      </c>
      <c r="J121" s="581">
        <v>0.78706282999999999</v>
      </c>
      <c r="K121" s="582">
        <f t="shared" si="84"/>
        <v>157.412566</v>
      </c>
      <c r="L121" s="582"/>
      <c r="Y121" s="609"/>
      <c r="AA121" s="601"/>
    </row>
    <row r="122" spans="2:27">
      <c r="B122" s="539">
        <f t="shared" si="71"/>
        <v>48154</v>
      </c>
      <c r="C122" s="16">
        <f t="shared" si="72"/>
        <v>200</v>
      </c>
      <c r="D122" s="7" t="e">
        <f t="shared" si="68"/>
        <v>#REF!</v>
      </c>
      <c r="E122" s="205" t="e">
        <f t="shared" ref="E122" si="131">+(I116)*F121*(B122-B121)/360</f>
        <v>#REF!</v>
      </c>
      <c r="F122" s="7" t="e">
        <f t="shared" si="81"/>
        <v>#REF!</v>
      </c>
      <c r="G122" s="581">
        <v>2.9496000000000002</v>
      </c>
      <c r="H122" s="545">
        <v>9.5999999999999992E-3</v>
      </c>
      <c r="I122" s="572">
        <f t="shared" ref="I122" si="132">+H122+G122/100</f>
        <v>3.9095999999999999E-2</v>
      </c>
      <c r="J122" s="581">
        <v>0.78540520000000003</v>
      </c>
      <c r="K122" s="582">
        <f t="shared" si="84"/>
        <v>157.08104</v>
      </c>
      <c r="L122" s="582"/>
      <c r="Y122" s="609"/>
      <c r="AA122" s="601"/>
    </row>
    <row r="123" spans="2:27">
      <c r="B123" s="540">
        <f t="shared" si="71"/>
        <v>48184</v>
      </c>
      <c r="C123" s="16">
        <f t="shared" si="72"/>
        <v>200</v>
      </c>
      <c r="D123" s="7" t="e">
        <f t="shared" si="68"/>
        <v>#REF!</v>
      </c>
      <c r="E123" s="205" t="e">
        <f t="shared" ref="E123:E183" si="133">+(I122)*F122*(B123-B122)/360</f>
        <v>#REF!</v>
      </c>
      <c r="F123" s="7" t="e">
        <f t="shared" si="81"/>
        <v>#REF!</v>
      </c>
      <c r="G123" s="581">
        <v>2.9580000000000002</v>
      </c>
      <c r="J123" s="581">
        <v>0.78345604999999996</v>
      </c>
      <c r="K123" s="582">
        <f t="shared" si="84"/>
        <v>156.69120999999998</v>
      </c>
      <c r="L123" s="582"/>
      <c r="Y123" s="609"/>
      <c r="AA123" s="601"/>
    </row>
    <row r="124" spans="2:27">
      <c r="B124" s="540">
        <f t="shared" si="71"/>
        <v>48215</v>
      </c>
      <c r="C124" s="16">
        <f t="shared" si="72"/>
        <v>200</v>
      </c>
      <c r="D124" s="7" t="e">
        <f t="shared" si="68"/>
        <v>#REF!</v>
      </c>
      <c r="E124" s="205" t="e">
        <f t="shared" ref="E124" si="134">+(I122)*F123*(B124-B123)/360</f>
        <v>#REF!</v>
      </c>
      <c r="F124" s="7" t="e">
        <f t="shared" si="81"/>
        <v>#REF!</v>
      </c>
      <c r="G124" s="581">
        <v>2.95621</v>
      </c>
      <c r="J124" s="581">
        <v>0.78163718000000004</v>
      </c>
      <c r="K124" s="582">
        <f t="shared" si="84"/>
        <v>156.32743600000001</v>
      </c>
      <c r="L124" s="582"/>
      <c r="Y124" s="609"/>
      <c r="AA124" s="601"/>
    </row>
    <row r="125" spans="2:27">
      <c r="B125" s="540">
        <f t="shared" si="71"/>
        <v>48246</v>
      </c>
      <c r="C125" s="16">
        <f t="shared" si="72"/>
        <v>200</v>
      </c>
      <c r="D125" s="7" t="e">
        <f t="shared" si="68"/>
        <v>#REF!</v>
      </c>
      <c r="E125" s="205" t="e">
        <f t="shared" ref="E125" si="135">+(I122)*F124*(B125-B124)/360</f>
        <v>#REF!</v>
      </c>
      <c r="F125" s="7" t="e">
        <f t="shared" si="81"/>
        <v>#REF!</v>
      </c>
      <c r="G125" s="581">
        <v>2.95451</v>
      </c>
      <c r="J125" s="581">
        <v>0.77993385999999998</v>
      </c>
      <c r="K125" s="582">
        <f t="shared" si="84"/>
        <v>155.986772</v>
      </c>
      <c r="L125" s="582"/>
      <c r="Y125" s="609"/>
      <c r="AA125" s="601"/>
    </row>
    <row r="126" spans="2:27">
      <c r="B126" s="540">
        <f t="shared" si="71"/>
        <v>48275</v>
      </c>
      <c r="C126" s="16">
        <f t="shared" si="72"/>
        <v>200</v>
      </c>
      <c r="D126" s="7" t="e">
        <f t="shared" si="68"/>
        <v>#REF!</v>
      </c>
      <c r="E126" s="205" t="e">
        <f t="shared" ref="E126" si="136">+(I122)*F125*(B126-B125)/360</f>
        <v>#REF!</v>
      </c>
      <c r="F126" s="7" t="e">
        <f t="shared" si="81"/>
        <v>#REF!</v>
      </c>
      <c r="G126" s="581">
        <v>2.9593600000000002</v>
      </c>
      <c r="J126" s="581">
        <v>0.77793113999999997</v>
      </c>
      <c r="K126" s="582">
        <f t="shared" si="84"/>
        <v>155.58622800000001</v>
      </c>
      <c r="L126" s="582"/>
      <c r="Y126" s="609"/>
      <c r="AA126" s="601"/>
    </row>
    <row r="127" spans="2:27">
      <c r="B127" s="540">
        <f t="shared" si="71"/>
        <v>48306</v>
      </c>
      <c r="C127" s="16">
        <f t="shared" si="72"/>
        <v>200</v>
      </c>
      <c r="D127" s="7" t="e">
        <f t="shared" si="68"/>
        <v>#REF!</v>
      </c>
      <c r="E127" s="205" t="e">
        <f t="shared" ref="E127" si="137">+(I122)*F126*(B127-B126)/360</f>
        <v>#REF!</v>
      </c>
      <c r="F127" s="7" t="e">
        <f t="shared" si="81"/>
        <v>#REF!</v>
      </c>
      <c r="G127" s="581">
        <v>2.9566300000000001</v>
      </c>
      <c r="J127" s="581">
        <v>0.77611494000000003</v>
      </c>
      <c r="K127" s="582">
        <f t="shared" si="84"/>
        <v>155.22298800000002</v>
      </c>
      <c r="L127" s="582"/>
      <c r="Y127" s="609"/>
      <c r="AA127" s="601"/>
    </row>
    <row r="128" spans="2:27" ht="13.5" thickBot="1">
      <c r="B128" s="584">
        <f t="shared" si="71"/>
        <v>48336</v>
      </c>
      <c r="C128" s="16">
        <f t="shared" si="72"/>
        <v>200</v>
      </c>
      <c r="D128" s="7" t="e">
        <f t="shared" si="68"/>
        <v>#REF!</v>
      </c>
      <c r="E128" s="205" t="e">
        <f>+(I122)*F127*(B128-B127)/360</f>
        <v>#REF!</v>
      </c>
      <c r="F128" s="7" t="e">
        <f t="shared" ref="F128:F191" si="138">+F127-D128</f>
        <v>#REF!</v>
      </c>
      <c r="G128" s="581">
        <v>2.9578099999999998</v>
      </c>
      <c r="H128" s="545">
        <v>9.5999999999999992E-3</v>
      </c>
      <c r="I128" s="572">
        <f t="shared" ref="I128" si="139">+H128+G128/100</f>
        <v>3.91781E-2</v>
      </c>
      <c r="J128" s="581">
        <v>0.77424267000000002</v>
      </c>
      <c r="K128" s="582">
        <f t="shared" si="84"/>
        <v>154.848534</v>
      </c>
      <c r="L128" s="582"/>
      <c r="Y128" s="609"/>
      <c r="AA128" s="601"/>
    </row>
    <row r="129" spans="2:27">
      <c r="B129" s="538">
        <f t="shared" si="71"/>
        <v>48367</v>
      </c>
      <c r="C129" s="16">
        <f t="shared" si="72"/>
        <v>200</v>
      </c>
      <c r="D129" s="7" t="e">
        <f t="shared" si="68"/>
        <v>#REF!</v>
      </c>
      <c r="E129" s="205" t="e">
        <f>+(I128)*F128*(B129-B128)/360</f>
        <v>#REF!</v>
      </c>
      <c r="F129" s="7" t="e">
        <f t="shared" si="138"/>
        <v>#REF!</v>
      </c>
      <c r="G129" s="581">
        <v>2.95702</v>
      </c>
      <c r="J129">
        <v>0.77243508000000005</v>
      </c>
      <c r="K129" s="582">
        <f t="shared" si="84"/>
        <v>154.48701600000001</v>
      </c>
      <c r="Y129" s="609"/>
      <c r="AA129" s="601"/>
    </row>
    <row r="130" spans="2:27">
      <c r="B130" s="539">
        <f t="shared" si="71"/>
        <v>48397</v>
      </c>
      <c r="C130" s="16">
        <f t="shared" si="72"/>
        <v>200</v>
      </c>
      <c r="D130" s="7" t="e">
        <f t="shared" si="68"/>
        <v>#REF!</v>
      </c>
      <c r="E130" s="205" t="e">
        <f t="shared" ref="E130:E190" si="140">+(I128)*F129*(B130-B129)/360</f>
        <v>#REF!</v>
      </c>
      <c r="F130" s="7" t="e">
        <f t="shared" si="138"/>
        <v>#REF!</v>
      </c>
      <c r="G130" s="581">
        <v>2.9573700000000001</v>
      </c>
      <c r="J130">
        <v>0.77063172000000002</v>
      </c>
      <c r="K130" s="582">
        <f t="shared" si="84"/>
        <v>154.12634400000002</v>
      </c>
      <c r="Y130" s="609"/>
      <c r="AA130" s="601"/>
    </row>
    <row r="131" spans="2:27">
      <c r="B131" s="539">
        <f t="shared" si="71"/>
        <v>48428</v>
      </c>
      <c r="C131" s="16">
        <f t="shared" si="72"/>
        <v>200</v>
      </c>
      <c r="D131" s="7" t="e">
        <f t="shared" si="68"/>
        <v>#REF!</v>
      </c>
      <c r="E131" s="205" t="e">
        <f t="shared" ref="E131:E191" si="141">+(I128)*F130*(B131-B130)/360</f>
        <v>#REF!</v>
      </c>
      <c r="F131" s="7" t="e">
        <f t="shared" si="138"/>
        <v>#REF!</v>
      </c>
      <c r="G131" s="581">
        <v>2.9588899999999998</v>
      </c>
      <c r="J131">
        <v>0.76871277000000005</v>
      </c>
      <c r="K131" s="582">
        <f t="shared" si="84"/>
        <v>153.74255400000001</v>
      </c>
      <c r="Y131" s="609"/>
      <c r="AA131" s="601"/>
    </row>
    <row r="132" spans="2:27">
      <c r="B132" s="539">
        <f t="shared" si="71"/>
        <v>48459</v>
      </c>
      <c r="C132" s="16">
        <f t="shared" si="72"/>
        <v>200</v>
      </c>
      <c r="D132" s="7" t="e">
        <f t="shared" si="68"/>
        <v>#REF!</v>
      </c>
      <c r="E132" s="205" t="e">
        <f t="shared" ref="E132:E192" si="142">+(I128)*F131*(B132-B131)/360</f>
        <v>#REF!</v>
      </c>
      <c r="F132" s="7" t="e">
        <f t="shared" si="138"/>
        <v>#REF!</v>
      </c>
      <c r="G132" s="581">
        <v>2.9571200000000002</v>
      </c>
      <c r="J132">
        <v>0.76691810000000005</v>
      </c>
      <c r="K132" s="582">
        <f t="shared" si="84"/>
        <v>153.38362000000001</v>
      </c>
      <c r="Y132" s="609"/>
      <c r="AA132" s="601"/>
    </row>
    <row r="133" spans="2:27">
      <c r="B133" s="539">
        <f t="shared" si="71"/>
        <v>48489</v>
      </c>
      <c r="C133" s="16">
        <f t="shared" si="72"/>
        <v>200</v>
      </c>
      <c r="D133" s="7" t="e">
        <f t="shared" si="68"/>
        <v>#REF!</v>
      </c>
      <c r="E133" s="205" t="e">
        <f t="shared" ref="E133:E193" si="143">+(I128)*F132*(B133-B132)/360</f>
        <v>#REF!</v>
      </c>
      <c r="F133" s="7" t="e">
        <f t="shared" si="138"/>
        <v>#REF!</v>
      </c>
      <c r="G133" s="581">
        <v>2.9563899999999999</v>
      </c>
      <c r="J133">
        <v>0.76518724000000005</v>
      </c>
      <c r="K133" s="582">
        <f t="shared" si="84"/>
        <v>153.03744800000001</v>
      </c>
      <c r="Y133" s="609"/>
      <c r="AA133" s="601"/>
    </row>
    <row r="134" spans="2:27">
      <c r="B134" s="539">
        <f t="shared" si="71"/>
        <v>48520</v>
      </c>
      <c r="C134" s="16">
        <f t="shared" si="72"/>
        <v>200</v>
      </c>
      <c r="D134" s="7" t="e">
        <f t="shared" si="68"/>
        <v>#REF!</v>
      </c>
      <c r="E134" s="205" t="e">
        <f t="shared" ref="E134" si="144">+(I128)*F133*(B134-B133)/360</f>
        <v>#REF!</v>
      </c>
      <c r="F134" s="7" t="e">
        <f t="shared" si="138"/>
        <v>#REF!</v>
      </c>
      <c r="G134" s="581">
        <v>2.9592399999999999</v>
      </c>
      <c r="H134" s="545">
        <v>9.5999999999999992E-3</v>
      </c>
      <c r="I134" s="572">
        <f t="shared" ref="I134" si="145">+H134+G134/100</f>
        <v>3.9192399999999995E-2</v>
      </c>
      <c r="J134">
        <v>0.76328185000000004</v>
      </c>
      <c r="K134" s="582">
        <f t="shared" si="84"/>
        <v>152.65637000000001</v>
      </c>
      <c r="Y134" s="609"/>
      <c r="AA134" s="601"/>
    </row>
    <row r="135" spans="2:27">
      <c r="B135" s="540">
        <f t="shared" si="71"/>
        <v>48550</v>
      </c>
      <c r="C135" s="16">
        <f t="shared" si="72"/>
        <v>200</v>
      </c>
      <c r="D135" s="7" t="e">
        <f t="shared" si="68"/>
        <v>#REF!</v>
      </c>
      <c r="E135" s="205" t="e">
        <f t="shared" si="133"/>
        <v>#REF!</v>
      </c>
      <c r="F135" s="7" t="e">
        <f t="shared" si="138"/>
        <v>#REF!</v>
      </c>
      <c r="G135" s="581">
        <v>2.9584000000000001</v>
      </c>
      <c r="J135">
        <v>0.76144053</v>
      </c>
      <c r="K135" s="582">
        <f t="shared" si="84"/>
        <v>152.288106</v>
      </c>
      <c r="Y135" s="609"/>
      <c r="AA135" s="601"/>
    </row>
    <row r="136" spans="2:27">
      <c r="B136" s="540">
        <f t="shared" si="71"/>
        <v>48581</v>
      </c>
      <c r="C136" s="16">
        <f t="shared" si="72"/>
        <v>200</v>
      </c>
      <c r="D136" s="7" t="e">
        <f t="shared" si="68"/>
        <v>#REF!</v>
      </c>
      <c r="E136" s="205" t="e">
        <f t="shared" si="140"/>
        <v>#REF!</v>
      </c>
      <c r="F136" s="7" t="e">
        <f t="shared" si="138"/>
        <v>#REF!</v>
      </c>
      <c r="G136" s="581">
        <v>2.9584100000000002</v>
      </c>
      <c r="J136">
        <v>0.75959765000000001</v>
      </c>
      <c r="K136" s="582">
        <f t="shared" si="84"/>
        <v>151.91953000000001</v>
      </c>
      <c r="Y136" s="609"/>
      <c r="AA136" s="601"/>
    </row>
    <row r="137" spans="2:27">
      <c r="B137" s="540">
        <f t="shared" si="71"/>
        <v>48612</v>
      </c>
      <c r="C137" s="16">
        <f t="shared" si="72"/>
        <v>200</v>
      </c>
      <c r="D137" s="7" t="e">
        <f t="shared" ref="D137:D200" si="146">+C137-E137</f>
        <v>#REF!</v>
      </c>
      <c r="E137" s="205" t="e">
        <f t="shared" si="141"/>
        <v>#REF!</v>
      </c>
      <c r="F137" s="7" t="e">
        <f t="shared" si="138"/>
        <v>#REF!</v>
      </c>
      <c r="G137" s="581">
        <v>2.9561099999999998</v>
      </c>
      <c r="J137">
        <v>0.75793591000000005</v>
      </c>
      <c r="K137" s="582">
        <f t="shared" si="84"/>
        <v>151.58718200000001</v>
      </c>
      <c r="Y137" s="609"/>
      <c r="AA137" s="601"/>
    </row>
    <row r="138" spans="2:27">
      <c r="B138" s="540">
        <f t="shared" ref="B138:B201" si="147">+EDATE(B137,1)</f>
        <v>48640</v>
      </c>
      <c r="C138" s="16">
        <f t="shared" ref="C138:C201" si="148">+$C$8</f>
        <v>200</v>
      </c>
      <c r="D138" s="7" t="e">
        <f t="shared" si="146"/>
        <v>#REF!</v>
      </c>
      <c r="E138" s="205" t="e">
        <f t="shared" si="142"/>
        <v>#REF!</v>
      </c>
      <c r="F138" s="7" t="e">
        <f t="shared" si="138"/>
        <v>#REF!</v>
      </c>
      <c r="G138" s="581">
        <v>2.9594800000000001</v>
      </c>
      <c r="J138">
        <v>0.75610036000000003</v>
      </c>
      <c r="K138" s="582">
        <f t="shared" si="84"/>
        <v>151.22007200000002</v>
      </c>
      <c r="Y138" s="609"/>
      <c r="AA138" s="601"/>
    </row>
    <row r="139" spans="2:27">
      <c r="B139" s="540">
        <f t="shared" si="147"/>
        <v>48671</v>
      </c>
      <c r="C139" s="16">
        <f t="shared" si="148"/>
        <v>200</v>
      </c>
      <c r="D139" s="7" t="e">
        <f t="shared" si="146"/>
        <v>#REF!</v>
      </c>
      <c r="E139" s="205" t="e">
        <f t="shared" si="143"/>
        <v>#REF!</v>
      </c>
      <c r="F139" s="7" t="e">
        <f t="shared" si="138"/>
        <v>#REF!</v>
      </c>
      <c r="G139" s="581">
        <v>2.9580000000000002</v>
      </c>
      <c r="J139">
        <v>0.75438726</v>
      </c>
      <c r="K139" s="582">
        <f t="shared" si="84"/>
        <v>150.87745200000001</v>
      </c>
      <c r="Y139" s="609"/>
      <c r="AA139" s="601"/>
    </row>
    <row r="140" spans="2:27" ht="13.5" thickBot="1">
      <c r="B140" s="584">
        <f t="shared" si="147"/>
        <v>48701</v>
      </c>
      <c r="C140" s="16">
        <f t="shared" si="148"/>
        <v>200</v>
      </c>
      <c r="D140" s="7" t="e">
        <f t="shared" si="146"/>
        <v>#REF!</v>
      </c>
      <c r="E140" s="205" t="e">
        <f t="shared" ref="E140" si="149">+(I134)*F139*(B140-B139)/360</f>
        <v>#REF!</v>
      </c>
      <c r="F140" s="7" t="e">
        <f t="shared" si="138"/>
        <v>#REF!</v>
      </c>
      <c r="G140" s="581">
        <v>2.9610500000000002</v>
      </c>
      <c r="H140" s="545">
        <v>9.5999999999999992E-3</v>
      </c>
      <c r="I140" s="572">
        <f t="shared" ref="I140" si="150">+H140+G140/100</f>
        <v>3.9210500000000002E-2</v>
      </c>
      <c r="J140">
        <v>0.75250145000000002</v>
      </c>
      <c r="K140" s="582">
        <f t="shared" si="84"/>
        <v>150.50029000000001</v>
      </c>
      <c r="Y140" s="609"/>
      <c r="AA140" s="601"/>
    </row>
    <row r="141" spans="2:27">
      <c r="B141" s="538">
        <f t="shared" si="147"/>
        <v>48732</v>
      </c>
      <c r="C141" s="16">
        <f t="shared" si="148"/>
        <v>200</v>
      </c>
      <c r="D141" s="7" t="e">
        <f t="shared" si="146"/>
        <v>#REF!</v>
      </c>
      <c r="E141" s="205" t="e">
        <f t="shared" si="133"/>
        <v>#REF!</v>
      </c>
      <c r="F141" s="7" t="e">
        <f t="shared" si="138"/>
        <v>#REF!</v>
      </c>
      <c r="G141" s="581">
        <v>2.9593400000000001</v>
      </c>
      <c r="J141">
        <v>0.75073778999999996</v>
      </c>
      <c r="K141" s="582">
        <f t="shared" si="84"/>
        <v>150.147558</v>
      </c>
      <c r="Y141" s="609"/>
      <c r="AA141" s="601"/>
    </row>
    <row r="142" spans="2:27">
      <c r="B142" s="539">
        <f t="shared" si="147"/>
        <v>48762</v>
      </c>
      <c r="C142" s="16">
        <f t="shared" si="148"/>
        <v>200</v>
      </c>
      <c r="D142" s="7" t="e">
        <f t="shared" si="146"/>
        <v>#REF!</v>
      </c>
      <c r="E142" s="205" t="e">
        <f t="shared" si="140"/>
        <v>#REF!</v>
      </c>
      <c r="F142" s="7" t="e">
        <f t="shared" si="138"/>
        <v>#REF!</v>
      </c>
      <c r="G142" s="581">
        <v>2.9479799999999998</v>
      </c>
      <c r="J142">
        <v>0.74903684000000004</v>
      </c>
      <c r="K142" s="582">
        <f t="shared" si="84"/>
        <v>149.807368</v>
      </c>
      <c r="Y142" s="609"/>
      <c r="AA142" s="601"/>
    </row>
    <row r="143" spans="2:27">
      <c r="B143" s="539">
        <f t="shared" si="147"/>
        <v>48793</v>
      </c>
      <c r="C143" s="16">
        <f t="shared" si="148"/>
        <v>200</v>
      </c>
      <c r="D143" s="7" t="e">
        <f t="shared" si="146"/>
        <v>#REF!</v>
      </c>
      <c r="E143" s="205" t="e">
        <f t="shared" si="141"/>
        <v>#REF!</v>
      </c>
      <c r="F143" s="7" t="e">
        <f t="shared" si="138"/>
        <v>#REF!</v>
      </c>
      <c r="G143" s="581">
        <v>2.9388299999999998</v>
      </c>
      <c r="J143">
        <v>0.74710595999999996</v>
      </c>
      <c r="K143" s="582">
        <f t="shared" si="84"/>
        <v>149.42119199999999</v>
      </c>
      <c r="Y143" s="609"/>
      <c r="AA143" s="601"/>
    </row>
    <row r="144" spans="2:27">
      <c r="B144" s="539">
        <f t="shared" si="147"/>
        <v>48824</v>
      </c>
      <c r="C144" s="16">
        <f t="shared" si="148"/>
        <v>200</v>
      </c>
      <c r="D144" s="7" t="e">
        <f t="shared" si="146"/>
        <v>#REF!</v>
      </c>
      <c r="E144" s="205" t="e">
        <f t="shared" si="142"/>
        <v>#REF!</v>
      </c>
      <c r="F144" s="7" t="e">
        <f t="shared" si="138"/>
        <v>#REF!</v>
      </c>
      <c r="G144" s="581">
        <v>2.9227300000000001</v>
      </c>
      <c r="J144">
        <v>0.74535494000000002</v>
      </c>
      <c r="K144" s="582">
        <f t="shared" si="84"/>
        <v>149.070988</v>
      </c>
      <c r="Y144" s="609"/>
      <c r="AA144" s="601"/>
    </row>
    <row r="145" spans="2:27">
      <c r="B145" s="539">
        <f t="shared" si="147"/>
        <v>48854</v>
      </c>
      <c r="C145" s="16">
        <f t="shared" si="148"/>
        <v>200</v>
      </c>
      <c r="D145" s="7" t="e">
        <f t="shared" si="146"/>
        <v>#REF!</v>
      </c>
      <c r="E145" s="205" t="e">
        <f t="shared" si="143"/>
        <v>#REF!</v>
      </c>
      <c r="F145" s="7" t="e">
        <f t="shared" si="138"/>
        <v>#REF!</v>
      </c>
      <c r="G145" s="581">
        <v>2.9104000000000001</v>
      </c>
      <c r="J145">
        <v>0.74354986999999995</v>
      </c>
      <c r="K145" s="582">
        <f t="shared" ref="K145:K208" si="151">+C145*J145</f>
        <v>148.70997399999999</v>
      </c>
      <c r="Y145" s="609"/>
      <c r="AA145" s="601"/>
    </row>
    <row r="146" spans="2:27">
      <c r="B146" s="539">
        <f t="shared" si="147"/>
        <v>48885</v>
      </c>
      <c r="C146" s="16">
        <f t="shared" si="148"/>
        <v>200</v>
      </c>
      <c r="D146" s="7" t="e">
        <f t="shared" si="146"/>
        <v>#REF!</v>
      </c>
      <c r="E146" s="205" t="e">
        <f t="shared" ref="E146" si="152">+(I140)*F145*(B146-B145)/360</f>
        <v>#REF!</v>
      </c>
      <c r="F146" s="7" t="e">
        <f t="shared" si="138"/>
        <v>#REF!</v>
      </c>
      <c r="G146" s="581">
        <v>2.8962699999999999</v>
      </c>
      <c r="H146" s="545">
        <v>9.5999999999999992E-3</v>
      </c>
      <c r="I146" s="572">
        <f t="shared" ref="I146" si="153">+H146+G146/100</f>
        <v>3.8562699999999998E-2</v>
      </c>
      <c r="J146">
        <v>0.74180718000000001</v>
      </c>
      <c r="K146" s="582">
        <f t="shared" si="151"/>
        <v>148.361436</v>
      </c>
      <c r="Y146" s="609"/>
      <c r="AA146" s="601"/>
    </row>
    <row r="147" spans="2:27">
      <c r="B147" s="540">
        <f t="shared" si="147"/>
        <v>48915</v>
      </c>
      <c r="C147" s="16">
        <f t="shared" si="148"/>
        <v>200</v>
      </c>
      <c r="D147" s="7" t="e">
        <f t="shared" si="146"/>
        <v>#REF!</v>
      </c>
      <c r="E147" s="205" t="e">
        <f t="shared" si="133"/>
        <v>#REF!</v>
      </c>
      <c r="F147" s="7" t="e">
        <f t="shared" si="138"/>
        <v>#REF!</v>
      </c>
      <c r="G147" s="581">
        <v>2.8833500000000001</v>
      </c>
      <c r="J147">
        <v>0.74006857999999998</v>
      </c>
      <c r="K147" s="582">
        <f t="shared" si="151"/>
        <v>148.01371599999999</v>
      </c>
      <c r="Y147" s="609"/>
      <c r="AA147" s="601"/>
    </row>
    <row r="148" spans="2:27">
      <c r="B148" s="540">
        <f t="shared" si="147"/>
        <v>48946</v>
      </c>
      <c r="C148" s="16">
        <f t="shared" si="148"/>
        <v>200</v>
      </c>
      <c r="D148" s="7" t="e">
        <f t="shared" si="146"/>
        <v>#REF!</v>
      </c>
      <c r="E148" s="205" t="e">
        <f t="shared" si="140"/>
        <v>#REF!</v>
      </c>
      <c r="F148" s="7" t="e">
        <f t="shared" si="138"/>
        <v>#REF!</v>
      </c>
      <c r="G148" s="581">
        <v>2.8829699999999998</v>
      </c>
      <c r="J148">
        <v>0.73821855999999997</v>
      </c>
      <c r="K148" s="582">
        <f t="shared" si="151"/>
        <v>147.64371199999999</v>
      </c>
      <c r="Y148" s="609"/>
      <c r="AA148" s="601"/>
    </row>
    <row r="149" spans="2:27">
      <c r="B149" s="540">
        <f t="shared" si="147"/>
        <v>48977</v>
      </c>
      <c r="C149" s="16">
        <f t="shared" si="148"/>
        <v>200</v>
      </c>
      <c r="D149" s="7" t="e">
        <f t="shared" si="146"/>
        <v>#REF!</v>
      </c>
      <c r="E149" s="205" t="e">
        <f t="shared" si="141"/>
        <v>#REF!</v>
      </c>
      <c r="F149" s="7" t="e">
        <f t="shared" si="138"/>
        <v>#REF!</v>
      </c>
      <c r="G149" s="581">
        <v>2.879</v>
      </c>
      <c r="J149">
        <v>0.73660358999999997</v>
      </c>
      <c r="K149" s="582">
        <f t="shared" si="151"/>
        <v>147.320718</v>
      </c>
      <c r="Y149" s="609"/>
      <c r="AA149" s="601"/>
    </row>
    <row r="150" spans="2:27">
      <c r="B150" s="540">
        <f t="shared" si="147"/>
        <v>49005</v>
      </c>
      <c r="C150" s="16">
        <f t="shared" si="148"/>
        <v>200</v>
      </c>
      <c r="D150" s="7" t="e">
        <f t="shared" si="146"/>
        <v>#REF!</v>
      </c>
      <c r="E150" s="205" t="e">
        <f t="shared" si="142"/>
        <v>#REF!</v>
      </c>
      <c r="F150" s="7" t="e">
        <f t="shared" si="138"/>
        <v>#REF!</v>
      </c>
      <c r="G150" s="581">
        <v>2.8826200000000002</v>
      </c>
      <c r="J150">
        <v>0.73481971000000001</v>
      </c>
      <c r="K150" s="582">
        <f t="shared" si="151"/>
        <v>146.963942</v>
      </c>
      <c r="Y150" s="609"/>
      <c r="AA150" s="601"/>
    </row>
    <row r="151" spans="2:27">
      <c r="B151" s="540">
        <f t="shared" si="147"/>
        <v>49036</v>
      </c>
      <c r="C151" s="16">
        <f t="shared" si="148"/>
        <v>200</v>
      </c>
      <c r="D151" s="7" t="e">
        <f t="shared" si="146"/>
        <v>#REF!</v>
      </c>
      <c r="E151" s="205" t="e">
        <f t="shared" si="143"/>
        <v>#REF!</v>
      </c>
      <c r="F151" s="7" t="e">
        <f t="shared" si="138"/>
        <v>#REF!</v>
      </c>
      <c r="G151" s="581">
        <v>2.8799899999999998</v>
      </c>
      <c r="J151">
        <v>0.73321217000000005</v>
      </c>
      <c r="K151" s="582">
        <f t="shared" si="151"/>
        <v>146.64243400000001</v>
      </c>
      <c r="Y151" s="609"/>
      <c r="AA151" s="601"/>
    </row>
    <row r="152" spans="2:27" ht="13.5" thickBot="1">
      <c r="B152" s="584">
        <f t="shared" si="147"/>
        <v>49066</v>
      </c>
      <c r="C152" s="16">
        <f t="shared" si="148"/>
        <v>200</v>
      </c>
      <c r="D152" s="7" t="e">
        <f t="shared" si="146"/>
        <v>#REF!</v>
      </c>
      <c r="E152" s="205" t="e">
        <f t="shared" ref="E152" si="154">+(I146)*F151*(B152-B151)/360</f>
        <v>#REF!</v>
      </c>
      <c r="F152" s="7" t="e">
        <f t="shared" si="138"/>
        <v>#REF!</v>
      </c>
      <c r="G152" s="581">
        <v>2.8855</v>
      </c>
      <c r="H152" s="545">
        <v>9.5999999999999992E-3</v>
      </c>
      <c r="I152" s="572">
        <f t="shared" ref="I152" si="155">+H152+G152/100</f>
        <v>3.8454999999999996E-2</v>
      </c>
      <c r="J152">
        <v>0.73132209000000004</v>
      </c>
      <c r="K152" s="582">
        <f t="shared" si="151"/>
        <v>146.26441800000001</v>
      </c>
      <c r="Y152" s="609"/>
      <c r="AA152" s="601"/>
    </row>
    <row r="153" spans="2:27">
      <c r="B153" s="538">
        <f t="shared" si="147"/>
        <v>49097</v>
      </c>
      <c r="C153" s="16">
        <f t="shared" si="148"/>
        <v>200</v>
      </c>
      <c r="D153" s="7" t="e">
        <f t="shared" si="146"/>
        <v>#REF!</v>
      </c>
      <c r="E153" s="205" t="e">
        <f t="shared" si="133"/>
        <v>#REF!</v>
      </c>
      <c r="F153" s="7" t="e">
        <f t="shared" si="138"/>
        <v>#REF!</v>
      </c>
      <c r="G153" s="581">
        <v>2.8824000000000001</v>
      </c>
      <c r="J153">
        <v>0.72960807000000005</v>
      </c>
      <c r="K153" s="582">
        <f t="shared" si="151"/>
        <v>145.92161400000001</v>
      </c>
      <c r="Y153" s="609"/>
      <c r="AA153" s="601"/>
    </row>
    <row r="154" spans="2:27">
      <c r="B154" s="539">
        <f t="shared" si="147"/>
        <v>49127</v>
      </c>
      <c r="C154" s="16">
        <f t="shared" si="148"/>
        <v>200</v>
      </c>
      <c r="D154" s="7" t="e">
        <f t="shared" si="146"/>
        <v>#REF!</v>
      </c>
      <c r="E154" s="205" t="e">
        <f t="shared" si="140"/>
        <v>#REF!</v>
      </c>
      <c r="F154" s="7" t="e">
        <f t="shared" si="138"/>
        <v>#REF!</v>
      </c>
      <c r="G154" s="581">
        <v>2.8704700000000001</v>
      </c>
      <c r="J154">
        <v>0.72784112000000001</v>
      </c>
      <c r="K154" s="582">
        <f t="shared" si="151"/>
        <v>145.56822400000001</v>
      </c>
      <c r="Y154" s="609"/>
      <c r="AA154" s="601"/>
    </row>
    <row r="155" spans="2:27">
      <c r="B155" s="539">
        <f t="shared" si="147"/>
        <v>49158</v>
      </c>
      <c r="C155" s="16">
        <f t="shared" si="148"/>
        <v>200</v>
      </c>
      <c r="D155" s="7" t="e">
        <f t="shared" si="146"/>
        <v>#REF!</v>
      </c>
      <c r="E155" s="205" t="e">
        <f t="shared" si="141"/>
        <v>#REF!</v>
      </c>
      <c r="F155" s="7" t="e">
        <f t="shared" si="138"/>
        <v>#REF!</v>
      </c>
      <c r="G155" s="581">
        <v>2.8554200000000001</v>
      </c>
      <c r="J155">
        <v>0.72607845999999998</v>
      </c>
      <c r="K155" s="582">
        <f t="shared" si="151"/>
        <v>145.21569199999999</v>
      </c>
      <c r="Y155" s="609"/>
      <c r="AA155" s="601"/>
    </row>
    <row r="156" spans="2:27">
      <c r="B156" s="539">
        <f t="shared" si="147"/>
        <v>49189</v>
      </c>
      <c r="C156" s="16">
        <f t="shared" si="148"/>
        <v>200</v>
      </c>
      <c r="D156" s="7" t="e">
        <f t="shared" si="146"/>
        <v>#REF!</v>
      </c>
      <c r="E156" s="205" t="e">
        <f t="shared" si="142"/>
        <v>#REF!</v>
      </c>
      <c r="F156" s="7" t="e">
        <f t="shared" si="138"/>
        <v>#REF!</v>
      </c>
      <c r="G156" s="581">
        <v>2.83813</v>
      </c>
      <c r="J156">
        <v>0.72443338000000002</v>
      </c>
      <c r="K156" s="582">
        <f t="shared" si="151"/>
        <v>144.88667599999999</v>
      </c>
      <c r="Y156" s="609"/>
      <c r="AA156" s="601"/>
    </row>
    <row r="157" spans="2:27">
      <c r="B157" s="539">
        <f t="shared" si="147"/>
        <v>49219</v>
      </c>
      <c r="C157" s="16">
        <f t="shared" si="148"/>
        <v>200</v>
      </c>
      <c r="D157" s="7" t="e">
        <f t="shared" si="146"/>
        <v>#REF!</v>
      </c>
      <c r="E157" s="205" t="e">
        <f t="shared" si="143"/>
        <v>#REF!</v>
      </c>
      <c r="F157" s="7" t="e">
        <f t="shared" si="138"/>
        <v>#REF!</v>
      </c>
      <c r="G157">
        <v>2.8248199999999999</v>
      </c>
      <c r="J157">
        <v>0.72262245000000003</v>
      </c>
      <c r="K157" s="582">
        <f t="shared" si="151"/>
        <v>144.52449000000001</v>
      </c>
      <c r="Y157" s="609"/>
      <c r="AA157" s="601"/>
    </row>
    <row r="158" spans="2:27">
      <c r="B158" s="539">
        <f t="shared" si="147"/>
        <v>49250</v>
      </c>
      <c r="C158" s="16">
        <f t="shared" si="148"/>
        <v>200</v>
      </c>
      <c r="D158" s="7" t="e">
        <f t="shared" si="146"/>
        <v>#REF!</v>
      </c>
      <c r="E158" s="205" t="e">
        <f t="shared" ref="E158" si="156">+(I152)*F157*(B158-B157)/360</f>
        <v>#REF!</v>
      </c>
      <c r="F158" s="7" t="e">
        <f t="shared" si="138"/>
        <v>#REF!</v>
      </c>
      <c r="G158">
        <v>2.8070200000000001</v>
      </c>
      <c r="H158" s="545">
        <v>9.5999999999999992E-3</v>
      </c>
      <c r="I158" s="572">
        <f t="shared" ref="I158" si="157">+H158+G158/100</f>
        <v>3.7670200000000001E-2</v>
      </c>
      <c r="J158">
        <v>0.72092880999999998</v>
      </c>
      <c r="K158" s="582">
        <f t="shared" si="151"/>
        <v>144.18576199999998</v>
      </c>
      <c r="Y158" s="609"/>
      <c r="AA158" s="601"/>
    </row>
    <row r="159" spans="2:27">
      <c r="B159" s="540">
        <f t="shared" si="147"/>
        <v>49280</v>
      </c>
      <c r="C159" s="16">
        <f t="shared" si="148"/>
        <v>200</v>
      </c>
      <c r="D159" s="7" t="e">
        <f t="shared" si="146"/>
        <v>#REF!</v>
      </c>
      <c r="E159" s="205" t="e">
        <f t="shared" si="133"/>
        <v>#REF!</v>
      </c>
      <c r="F159" s="7" t="e">
        <f t="shared" si="138"/>
        <v>#REF!</v>
      </c>
      <c r="G159">
        <v>2.7909199999999998</v>
      </c>
      <c r="J159">
        <v>0.71929540999999997</v>
      </c>
      <c r="K159" s="582">
        <f t="shared" si="151"/>
        <v>143.859082</v>
      </c>
      <c r="Y159" s="609"/>
      <c r="AA159" s="601"/>
    </row>
    <row r="160" spans="2:27">
      <c r="B160" s="540">
        <f t="shared" si="147"/>
        <v>49311</v>
      </c>
      <c r="C160" s="16">
        <f t="shared" si="148"/>
        <v>200</v>
      </c>
      <c r="D160" s="7" t="e">
        <f t="shared" si="146"/>
        <v>#REF!</v>
      </c>
      <c r="E160" s="205" t="e">
        <f t="shared" si="140"/>
        <v>#REF!</v>
      </c>
      <c r="F160" s="7" t="e">
        <f t="shared" si="138"/>
        <v>#REF!</v>
      </c>
      <c r="G160">
        <v>2.7919499999999999</v>
      </c>
      <c r="J160">
        <v>0.71754558999999996</v>
      </c>
      <c r="K160" s="582">
        <f t="shared" si="151"/>
        <v>143.509118</v>
      </c>
      <c r="Y160" s="609"/>
      <c r="AA160" s="601"/>
    </row>
    <row r="161" spans="2:27">
      <c r="B161" s="540">
        <f t="shared" si="147"/>
        <v>49342</v>
      </c>
      <c r="C161" s="16">
        <f t="shared" si="148"/>
        <v>200</v>
      </c>
      <c r="D161" s="7" t="e">
        <f t="shared" si="146"/>
        <v>#REF!</v>
      </c>
      <c r="E161" s="205" t="e">
        <f t="shared" si="141"/>
        <v>#REF!</v>
      </c>
      <c r="F161" s="7" t="e">
        <f t="shared" si="138"/>
        <v>#REF!</v>
      </c>
      <c r="G161">
        <v>2.78654</v>
      </c>
      <c r="J161">
        <v>0.71608802999999999</v>
      </c>
      <c r="K161" s="582">
        <f t="shared" si="151"/>
        <v>143.21760599999999</v>
      </c>
      <c r="Y161" s="609"/>
      <c r="AA161" s="601"/>
    </row>
    <row r="162" spans="2:27">
      <c r="B162" s="540">
        <f t="shared" si="147"/>
        <v>49370</v>
      </c>
      <c r="C162" s="16">
        <f t="shared" si="148"/>
        <v>200</v>
      </c>
      <c r="D162" s="7" t="e">
        <f t="shared" si="146"/>
        <v>#REF!</v>
      </c>
      <c r="E162" s="205" t="e">
        <f t="shared" si="142"/>
        <v>#REF!</v>
      </c>
      <c r="F162" s="7" t="e">
        <f t="shared" si="138"/>
        <v>#REF!</v>
      </c>
      <c r="G162">
        <v>2.7892000000000001</v>
      </c>
      <c r="J162">
        <v>0.71452965000000002</v>
      </c>
      <c r="K162" s="582">
        <f t="shared" si="151"/>
        <v>142.90593000000001</v>
      </c>
      <c r="Y162" s="609"/>
      <c r="AA162" s="601"/>
    </row>
    <row r="163" spans="2:27">
      <c r="B163" s="540">
        <f t="shared" si="147"/>
        <v>49401</v>
      </c>
      <c r="C163" s="16">
        <f t="shared" si="148"/>
        <v>200</v>
      </c>
      <c r="D163" s="7" t="e">
        <f t="shared" si="146"/>
        <v>#REF!</v>
      </c>
      <c r="E163" s="205" t="e">
        <f t="shared" si="143"/>
        <v>#REF!</v>
      </c>
      <c r="F163" s="7" t="e">
        <f t="shared" si="138"/>
        <v>#REF!</v>
      </c>
      <c r="G163">
        <v>2.79074</v>
      </c>
      <c r="J163">
        <v>0.71292288999999998</v>
      </c>
      <c r="K163" s="582">
        <f t="shared" si="151"/>
        <v>142.58457799999999</v>
      </c>
      <c r="Y163" s="609"/>
      <c r="AA163" s="601"/>
    </row>
    <row r="164" spans="2:27" ht="13.5" thickBot="1">
      <c r="B164" s="584">
        <f t="shared" si="147"/>
        <v>49431</v>
      </c>
      <c r="C164" s="16">
        <f t="shared" si="148"/>
        <v>200</v>
      </c>
      <c r="D164" s="7" t="e">
        <f t="shared" si="146"/>
        <v>#REF!</v>
      </c>
      <c r="E164" s="205" t="e">
        <f t="shared" ref="E164" si="158">+(I158)*F163*(B164-B163)/360</f>
        <v>#REF!</v>
      </c>
      <c r="F164" s="7" t="e">
        <f t="shared" si="138"/>
        <v>#REF!</v>
      </c>
      <c r="G164">
        <v>2.7910499999999998</v>
      </c>
      <c r="H164" s="545">
        <v>9.5999999999999992E-3</v>
      </c>
      <c r="I164" s="572">
        <f t="shared" ref="I164" si="159">+H164+G164/100</f>
        <v>3.7510499999999995E-2</v>
      </c>
      <c r="J164">
        <v>0.71131973000000004</v>
      </c>
      <c r="K164" s="582">
        <f t="shared" si="151"/>
        <v>142.263946</v>
      </c>
      <c r="Y164" s="609"/>
      <c r="AA164" s="601"/>
    </row>
    <row r="165" spans="2:27">
      <c r="B165" s="538">
        <f t="shared" si="147"/>
        <v>49462</v>
      </c>
      <c r="C165" s="16">
        <f t="shared" si="148"/>
        <v>200</v>
      </c>
      <c r="D165" s="7" t="e">
        <f t="shared" si="146"/>
        <v>#REF!</v>
      </c>
      <c r="E165" s="205" t="e">
        <f t="shared" si="133"/>
        <v>#REF!</v>
      </c>
      <c r="F165" s="7" t="e">
        <f t="shared" si="138"/>
        <v>#REF!</v>
      </c>
      <c r="G165">
        <v>2.7891900000000001</v>
      </c>
      <c r="J165">
        <v>0.70982327000000001</v>
      </c>
      <c r="K165" s="582">
        <f t="shared" si="151"/>
        <v>141.964654</v>
      </c>
      <c r="Y165" s="609"/>
      <c r="AA165" s="601"/>
    </row>
    <row r="166" spans="2:27">
      <c r="B166" s="539">
        <f t="shared" si="147"/>
        <v>49492</v>
      </c>
      <c r="C166" s="16">
        <f t="shared" si="148"/>
        <v>200</v>
      </c>
      <c r="D166" s="7" t="e">
        <f t="shared" si="146"/>
        <v>#REF!</v>
      </c>
      <c r="E166" s="205" t="e">
        <f t="shared" si="140"/>
        <v>#REF!</v>
      </c>
      <c r="F166" s="7" t="e">
        <f t="shared" si="138"/>
        <v>#REF!</v>
      </c>
      <c r="G166">
        <v>2.7749600000000001</v>
      </c>
      <c r="J166">
        <v>0.70817565999999998</v>
      </c>
      <c r="K166" s="582">
        <f t="shared" si="151"/>
        <v>141.635132</v>
      </c>
      <c r="Y166" s="609"/>
      <c r="AA166" s="601"/>
    </row>
    <row r="167" spans="2:27">
      <c r="B167" s="539">
        <f t="shared" si="147"/>
        <v>49523</v>
      </c>
      <c r="C167" s="16">
        <f t="shared" si="148"/>
        <v>200</v>
      </c>
      <c r="D167" s="7" t="e">
        <f t="shared" si="146"/>
        <v>#REF!</v>
      </c>
      <c r="E167" s="205" t="e">
        <f t="shared" si="141"/>
        <v>#REF!</v>
      </c>
      <c r="F167" s="7" t="e">
        <f t="shared" si="138"/>
        <v>#REF!</v>
      </c>
      <c r="G167">
        <v>2.75177</v>
      </c>
      <c r="J167">
        <v>0.70658319000000003</v>
      </c>
      <c r="K167" s="582">
        <f t="shared" si="151"/>
        <v>141.31663800000001</v>
      </c>
      <c r="Y167" s="609"/>
      <c r="AA167" s="601"/>
    </row>
    <row r="168" spans="2:27">
      <c r="B168" s="539">
        <f t="shared" si="147"/>
        <v>49554</v>
      </c>
      <c r="C168" s="16">
        <f t="shared" si="148"/>
        <v>200</v>
      </c>
      <c r="D168" s="7" t="e">
        <f t="shared" si="146"/>
        <v>#REF!</v>
      </c>
      <c r="E168" s="205" t="e">
        <f t="shared" si="142"/>
        <v>#REF!</v>
      </c>
      <c r="F168" s="7" t="e">
        <f t="shared" si="138"/>
        <v>#REF!</v>
      </c>
      <c r="G168">
        <v>2.7273399999999999</v>
      </c>
      <c r="J168">
        <v>0.70514790000000005</v>
      </c>
      <c r="K168" s="582">
        <f t="shared" si="151"/>
        <v>141.02958000000001</v>
      </c>
      <c r="Y168" s="609"/>
      <c r="AA168" s="601"/>
    </row>
    <row r="169" spans="2:27">
      <c r="B169" s="539">
        <f t="shared" si="147"/>
        <v>49584</v>
      </c>
      <c r="C169" s="16">
        <f t="shared" si="148"/>
        <v>200</v>
      </c>
      <c r="D169" s="7" t="e">
        <f t="shared" si="146"/>
        <v>#REF!</v>
      </c>
      <c r="E169" s="205" t="e">
        <f t="shared" si="143"/>
        <v>#REF!</v>
      </c>
      <c r="F169" s="7" t="e">
        <f t="shared" si="138"/>
        <v>#REF!</v>
      </c>
      <c r="G169">
        <v>2.7086000000000001</v>
      </c>
      <c r="J169">
        <v>0.70346005</v>
      </c>
      <c r="K169" s="582">
        <f t="shared" si="151"/>
        <v>140.69201000000001</v>
      </c>
      <c r="Y169" s="609"/>
      <c r="AA169" s="601"/>
    </row>
    <row r="170" spans="2:27">
      <c r="B170" s="539">
        <f t="shared" si="147"/>
        <v>49615</v>
      </c>
      <c r="C170" s="16">
        <f t="shared" si="148"/>
        <v>200</v>
      </c>
      <c r="D170" s="7" t="e">
        <f t="shared" si="146"/>
        <v>#REF!</v>
      </c>
      <c r="E170" s="205" t="e">
        <f t="shared" ref="E170" si="160">+(I164)*F169*(B170-B169)/360</f>
        <v>#REF!</v>
      </c>
      <c r="F170" s="7" t="e">
        <f t="shared" si="138"/>
        <v>#REF!</v>
      </c>
      <c r="G170">
        <v>2.6826699999999999</v>
      </c>
      <c r="H170" s="545">
        <v>9.5999999999999992E-3</v>
      </c>
      <c r="I170" s="572">
        <f t="shared" ref="I170" si="161">+H170+G170/100</f>
        <v>3.6426699999999999E-2</v>
      </c>
      <c r="J170">
        <v>0.70192915</v>
      </c>
      <c r="K170" s="582">
        <f t="shared" si="151"/>
        <v>140.38583</v>
      </c>
      <c r="Y170" s="609"/>
      <c r="AA170" s="601"/>
    </row>
    <row r="171" spans="2:27">
      <c r="B171" s="540">
        <f t="shared" si="147"/>
        <v>49645</v>
      </c>
      <c r="C171" s="16">
        <f t="shared" si="148"/>
        <v>200</v>
      </c>
      <c r="D171" s="7" t="e">
        <f t="shared" si="146"/>
        <v>#REF!</v>
      </c>
      <c r="E171" s="205" t="e">
        <f t="shared" si="133"/>
        <v>#REF!</v>
      </c>
      <c r="F171" s="7" t="e">
        <f t="shared" si="138"/>
        <v>#REF!</v>
      </c>
      <c r="G171">
        <v>2.6606900000000002</v>
      </c>
      <c r="J171">
        <v>0.70035071999999998</v>
      </c>
      <c r="K171" s="582">
        <f t="shared" si="151"/>
        <v>140.070144</v>
      </c>
      <c r="Y171" s="609"/>
      <c r="AA171" s="601"/>
    </row>
    <row r="172" spans="2:27">
      <c r="B172" s="540">
        <f t="shared" si="147"/>
        <v>49676</v>
      </c>
      <c r="C172" s="16">
        <f t="shared" si="148"/>
        <v>200</v>
      </c>
      <c r="D172" s="7" t="e">
        <f t="shared" si="146"/>
        <v>#REF!</v>
      </c>
      <c r="E172" s="205" t="e">
        <f t="shared" si="140"/>
        <v>#REF!</v>
      </c>
      <c r="F172" s="7" t="e">
        <f t="shared" si="138"/>
        <v>#REF!</v>
      </c>
      <c r="G172">
        <v>2.6556999999999999</v>
      </c>
      <c r="J172">
        <v>0.69877584000000004</v>
      </c>
      <c r="K172" s="582">
        <f t="shared" si="151"/>
        <v>139.755168</v>
      </c>
      <c r="Y172" s="609"/>
      <c r="AA172" s="601"/>
    </row>
    <row r="173" spans="2:27">
      <c r="B173" s="540">
        <f t="shared" si="147"/>
        <v>49707</v>
      </c>
      <c r="C173" s="16">
        <f t="shared" si="148"/>
        <v>200</v>
      </c>
      <c r="D173" s="7" t="e">
        <f t="shared" si="146"/>
        <v>#REF!</v>
      </c>
      <c r="E173" s="205" t="e">
        <f t="shared" si="141"/>
        <v>#REF!</v>
      </c>
      <c r="F173" s="7" t="e">
        <f t="shared" si="138"/>
        <v>#REF!</v>
      </c>
      <c r="G173">
        <v>2.6535899999999999</v>
      </c>
      <c r="J173">
        <v>0.69730577000000005</v>
      </c>
      <c r="K173" s="582">
        <f t="shared" si="151"/>
        <v>139.46115400000002</v>
      </c>
      <c r="Y173" s="609"/>
      <c r="AA173" s="601"/>
    </row>
    <row r="174" spans="2:27">
      <c r="B174" s="540">
        <f t="shared" si="147"/>
        <v>49736</v>
      </c>
      <c r="C174" s="16">
        <f t="shared" si="148"/>
        <v>200</v>
      </c>
      <c r="D174" s="7" t="e">
        <f t="shared" si="146"/>
        <v>#REF!</v>
      </c>
      <c r="E174" s="205" t="e">
        <f t="shared" si="142"/>
        <v>#REF!</v>
      </c>
      <c r="F174" s="7" t="e">
        <f t="shared" si="138"/>
        <v>#REF!</v>
      </c>
      <c r="G174">
        <v>2.6563400000000001</v>
      </c>
      <c r="J174">
        <v>0.69573773999999999</v>
      </c>
      <c r="K174" s="582">
        <f t="shared" si="151"/>
        <v>139.147548</v>
      </c>
      <c r="Y174" s="609"/>
      <c r="AA174" s="601"/>
    </row>
    <row r="175" spans="2:27">
      <c r="B175" s="540">
        <f t="shared" si="147"/>
        <v>49767</v>
      </c>
      <c r="C175" s="16">
        <f t="shared" si="148"/>
        <v>200</v>
      </c>
      <c r="D175" s="7" t="e">
        <f t="shared" si="146"/>
        <v>#REF!</v>
      </c>
      <c r="E175" s="205" t="e">
        <f t="shared" si="143"/>
        <v>#REF!</v>
      </c>
      <c r="F175" s="7" t="e">
        <f t="shared" si="138"/>
        <v>#REF!</v>
      </c>
      <c r="G175">
        <v>2.65543</v>
      </c>
      <c r="J175">
        <v>0.69422364000000003</v>
      </c>
      <c r="K175" s="582">
        <f t="shared" si="151"/>
        <v>138.844728</v>
      </c>
      <c r="Y175" s="609"/>
      <c r="AA175" s="601"/>
    </row>
    <row r="176" spans="2:27" ht="13.5" thickBot="1">
      <c r="B176" s="584">
        <f t="shared" si="147"/>
        <v>49797</v>
      </c>
      <c r="C176" s="16">
        <f t="shared" si="148"/>
        <v>200</v>
      </c>
      <c r="D176" s="7" t="e">
        <f t="shared" si="146"/>
        <v>#REF!</v>
      </c>
      <c r="E176" s="205" t="e">
        <f t="shared" ref="E176" si="162">+(I170)*F175*(B176-B175)/360</f>
        <v>#REF!</v>
      </c>
      <c r="F176" s="7" t="e">
        <f t="shared" si="138"/>
        <v>#REF!</v>
      </c>
      <c r="G176">
        <v>2.6556099999999998</v>
      </c>
      <c r="H176" s="545">
        <v>9.5999999999999992E-3</v>
      </c>
      <c r="I176" s="572">
        <f t="shared" ref="I176" si="163">+H176+G176/100</f>
        <v>3.6156099999999997E-2</v>
      </c>
      <c r="J176">
        <v>0.69271284</v>
      </c>
      <c r="K176" s="582">
        <f t="shared" si="151"/>
        <v>138.54256799999999</v>
      </c>
      <c r="Y176" s="609"/>
      <c r="AA176" s="601"/>
    </row>
    <row r="177" spans="2:27">
      <c r="B177" s="538">
        <f t="shared" si="147"/>
        <v>49828</v>
      </c>
      <c r="C177" s="16">
        <f t="shared" si="148"/>
        <v>200</v>
      </c>
      <c r="D177" s="7" t="e">
        <f t="shared" si="146"/>
        <v>#REF!</v>
      </c>
      <c r="E177" s="205" t="e">
        <f t="shared" si="133"/>
        <v>#REF!</v>
      </c>
      <c r="F177" s="7" t="e">
        <f t="shared" si="138"/>
        <v>#REF!</v>
      </c>
      <c r="G177">
        <v>2.6572</v>
      </c>
      <c r="J177">
        <v>0.69115514</v>
      </c>
      <c r="K177" s="582">
        <f t="shared" si="151"/>
        <v>138.23102800000001</v>
      </c>
      <c r="Y177" s="609"/>
      <c r="AA177" s="601"/>
    </row>
    <row r="178" spans="2:27">
      <c r="B178" s="539">
        <f t="shared" si="147"/>
        <v>49858</v>
      </c>
      <c r="C178" s="16">
        <f t="shared" si="148"/>
        <v>200</v>
      </c>
      <c r="D178" s="7" t="e">
        <f t="shared" si="146"/>
        <v>#REF!</v>
      </c>
      <c r="E178" s="205" t="e">
        <f t="shared" si="140"/>
        <v>#REF!</v>
      </c>
      <c r="F178" s="7" t="e">
        <f t="shared" si="138"/>
        <v>#REF!</v>
      </c>
      <c r="G178">
        <v>2.6331699999999998</v>
      </c>
      <c r="J178">
        <v>0.68960094000000005</v>
      </c>
      <c r="K178" s="582">
        <f t="shared" si="151"/>
        <v>137.920188</v>
      </c>
      <c r="Y178" s="609"/>
      <c r="AA178" s="601"/>
    </row>
    <row r="179" spans="2:27">
      <c r="B179" s="539">
        <f t="shared" si="147"/>
        <v>49889</v>
      </c>
      <c r="C179" s="16">
        <f t="shared" si="148"/>
        <v>200</v>
      </c>
      <c r="D179" s="7" t="e">
        <f t="shared" si="146"/>
        <v>#REF!</v>
      </c>
      <c r="E179" s="205" t="e">
        <f t="shared" si="141"/>
        <v>#REF!</v>
      </c>
      <c r="F179" s="7" t="e">
        <f t="shared" si="138"/>
        <v>#REF!</v>
      </c>
      <c r="G179">
        <v>2.6009699999999998</v>
      </c>
      <c r="J179">
        <v>0.68815017000000001</v>
      </c>
      <c r="K179" s="582">
        <f t="shared" si="151"/>
        <v>137.63003399999999</v>
      </c>
      <c r="Y179" s="609"/>
      <c r="AA179" s="601"/>
    </row>
    <row r="180" spans="2:27">
      <c r="B180" s="539">
        <f t="shared" si="147"/>
        <v>49920</v>
      </c>
      <c r="C180" s="16">
        <f t="shared" si="148"/>
        <v>200</v>
      </c>
      <c r="D180" s="7" t="e">
        <f t="shared" si="146"/>
        <v>#REF!</v>
      </c>
      <c r="E180" s="205" t="e">
        <f t="shared" si="142"/>
        <v>#REF!</v>
      </c>
      <c r="F180" s="7" t="e">
        <f t="shared" si="138"/>
        <v>#REF!</v>
      </c>
      <c r="G180">
        <v>2.5713400000000002</v>
      </c>
      <c r="J180">
        <v>0.68655286000000004</v>
      </c>
      <c r="K180" s="582">
        <f t="shared" si="151"/>
        <v>137.31057200000001</v>
      </c>
      <c r="Y180" s="609"/>
      <c r="AA180" s="601"/>
    </row>
    <row r="181" spans="2:27">
      <c r="B181" s="539">
        <f t="shared" si="147"/>
        <v>49950</v>
      </c>
      <c r="C181" s="16">
        <f t="shared" si="148"/>
        <v>200</v>
      </c>
      <c r="D181" s="7" t="e">
        <f t="shared" si="146"/>
        <v>#REF!</v>
      </c>
      <c r="E181" s="205" t="e">
        <f t="shared" si="143"/>
        <v>#REF!</v>
      </c>
      <c r="F181" s="7" t="e">
        <f t="shared" si="138"/>
        <v>#REF!</v>
      </c>
      <c r="G181">
        <v>2.5372599999999998</v>
      </c>
      <c r="J181">
        <v>0.68500901000000003</v>
      </c>
      <c r="K181" s="582">
        <f t="shared" si="151"/>
        <v>137.001802</v>
      </c>
      <c r="Y181" s="609"/>
      <c r="AA181" s="601"/>
    </row>
    <row r="182" spans="2:27">
      <c r="B182" s="539">
        <f t="shared" si="147"/>
        <v>49981</v>
      </c>
      <c r="C182" s="16">
        <f t="shared" si="148"/>
        <v>200</v>
      </c>
      <c r="D182" s="7" t="e">
        <f t="shared" si="146"/>
        <v>#REF!</v>
      </c>
      <c r="E182" s="205" t="e">
        <f t="shared" ref="E182" si="164">+(I176)*F181*(B182-B181)/360</f>
        <v>#REF!</v>
      </c>
      <c r="F182" s="7" t="e">
        <f t="shared" si="138"/>
        <v>#REF!</v>
      </c>
      <c r="G182">
        <v>2.5039600000000002</v>
      </c>
      <c r="H182" s="545">
        <v>9.5999999999999992E-3</v>
      </c>
      <c r="I182" s="572">
        <f t="shared" ref="I182" si="165">+H182+G182/100</f>
        <v>3.46396E-2</v>
      </c>
      <c r="J182">
        <v>0.68361755000000002</v>
      </c>
      <c r="K182" s="582">
        <f t="shared" si="151"/>
        <v>136.72351</v>
      </c>
      <c r="Y182" s="609"/>
      <c r="AA182" s="601"/>
    </row>
    <row r="183" spans="2:27">
      <c r="B183" s="540">
        <f t="shared" si="147"/>
        <v>50011</v>
      </c>
      <c r="C183" s="16">
        <f t="shared" si="148"/>
        <v>200</v>
      </c>
      <c r="D183" s="7" t="e">
        <f t="shared" si="146"/>
        <v>#REF!</v>
      </c>
      <c r="E183" s="205" t="e">
        <f t="shared" si="133"/>
        <v>#REF!</v>
      </c>
      <c r="F183" s="7" t="e">
        <f t="shared" si="138"/>
        <v>#REF!</v>
      </c>
      <c r="G183">
        <v>2.4749400000000001</v>
      </c>
      <c r="J183">
        <v>0.68198122999999999</v>
      </c>
      <c r="K183" s="582">
        <f t="shared" si="151"/>
        <v>136.39624599999999</v>
      </c>
      <c r="Y183" s="609"/>
      <c r="AA183" s="601"/>
    </row>
    <row r="184" spans="2:27">
      <c r="B184" s="540">
        <f t="shared" si="147"/>
        <v>50042</v>
      </c>
      <c r="C184" s="16">
        <f t="shared" si="148"/>
        <v>200</v>
      </c>
      <c r="D184" s="7" t="e">
        <f t="shared" si="146"/>
        <v>#REF!</v>
      </c>
      <c r="E184" s="205" t="e">
        <f t="shared" si="140"/>
        <v>#REF!</v>
      </c>
      <c r="F184" s="7" t="e">
        <f t="shared" si="138"/>
        <v>#REF!</v>
      </c>
      <c r="G184">
        <v>2.4641299999999999</v>
      </c>
      <c r="J184">
        <v>0.68049707999999998</v>
      </c>
      <c r="K184" s="582">
        <f t="shared" si="151"/>
        <v>136.09941599999999</v>
      </c>
      <c r="Y184" s="609"/>
      <c r="AA184" s="601"/>
    </row>
    <row r="185" spans="2:27">
      <c r="B185" s="540">
        <f t="shared" si="147"/>
        <v>50073</v>
      </c>
      <c r="C185" s="16">
        <f t="shared" si="148"/>
        <v>200</v>
      </c>
      <c r="D185" s="7" t="e">
        <f t="shared" si="146"/>
        <v>#REF!</v>
      </c>
      <c r="E185" s="205" t="e">
        <f t="shared" si="141"/>
        <v>#REF!</v>
      </c>
      <c r="F185" s="7" t="e">
        <f t="shared" si="138"/>
        <v>#REF!</v>
      </c>
      <c r="G185">
        <v>2.4619599999999999</v>
      </c>
      <c r="J185">
        <v>0.67911478000000003</v>
      </c>
      <c r="K185" s="582">
        <f t="shared" si="151"/>
        <v>135.822956</v>
      </c>
      <c r="Y185" s="609"/>
      <c r="AA185" s="601"/>
    </row>
    <row r="186" spans="2:27">
      <c r="B186" s="540">
        <f t="shared" si="147"/>
        <v>50101</v>
      </c>
      <c r="C186" s="16">
        <f t="shared" si="148"/>
        <v>200</v>
      </c>
      <c r="D186" s="7" t="e">
        <f t="shared" si="146"/>
        <v>#REF!</v>
      </c>
      <c r="E186" s="205" t="e">
        <f t="shared" si="142"/>
        <v>#REF!</v>
      </c>
      <c r="F186" s="7" t="e">
        <f t="shared" si="138"/>
        <v>#REF!</v>
      </c>
      <c r="G186">
        <v>2.4672299999999998</v>
      </c>
      <c r="J186">
        <v>0.67753845000000001</v>
      </c>
      <c r="K186" s="582">
        <f t="shared" si="151"/>
        <v>135.50769</v>
      </c>
      <c r="Y186" s="609"/>
      <c r="AA186" s="601"/>
    </row>
    <row r="187" spans="2:27">
      <c r="B187" s="540">
        <f t="shared" si="147"/>
        <v>50132</v>
      </c>
      <c r="C187" s="16">
        <f t="shared" si="148"/>
        <v>200</v>
      </c>
      <c r="D187" s="7" t="e">
        <f t="shared" si="146"/>
        <v>#REF!</v>
      </c>
      <c r="E187" s="205" t="e">
        <f t="shared" si="143"/>
        <v>#REF!</v>
      </c>
      <c r="F187" s="7" t="e">
        <f t="shared" si="138"/>
        <v>#REF!</v>
      </c>
      <c r="G187">
        <v>2.4650799999999999</v>
      </c>
      <c r="J187">
        <v>0.67606396000000002</v>
      </c>
      <c r="K187" s="582">
        <f t="shared" si="151"/>
        <v>135.21279200000001</v>
      </c>
      <c r="Y187" s="609"/>
      <c r="AA187" s="601"/>
    </row>
    <row r="188" spans="2:27" ht="13.5" thickBot="1">
      <c r="B188" s="584">
        <f t="shared" si="147"/>
        <v>50162</v>
      </c>
      <c r="C188" s="16">
        <f t="shared" si="148"/>
        <v>200</v>
      </c>
      <c r="D188" s="7" t="e">
        <f t="shared" si="146"/>
        <v>#REF!</v>
      </c>
      <c r="E188" s="205" t="e">
        <f t="shared" ref="E188" si="166">+(I182)*F187*(B188-B187)/360</f>
        <v>#REF!</v>
      </c>
      <c r="F188" s="7" t="e">
        <f t="shared" si="138"/>
        <v>#REF!</v>
      </c>
      <c r="G188">
        <v>2.4642599999999999</v>
      </c>
      <c r="H188" s="545">
        <v>9.5999999999999992E-3</v>
      </c>
      <c r="I188" s="572">
        <f t="shared" ref="I188" si="167">+H188+G188/100</f>
        <v>3.4242599999999998E-2</v>
      </c>
      <c r="J188">
        <v>0.67464166999999997</v>
      </c>
      <c r="K188" s="582">
        <f t="shared" si="151"/>
        <v>134.92833400000001</v>
      </c>
      <c r="Y188" s="609"/>
      <c r="AA188" s="601"/>
    </row>
    <row r="189" spans="2:27">
      <c r="B189" s="538">
        <f t="shared" si="147"/>
        <v>50193</v>
      </c>
      <c r="C189" s="16">
        <f t="shared" si="148"/>
        <v>200</v>
      </c>
      <c r="D189" s="7" t="e">
        <f t="shared" si="146"/>
        <v>#REF!</v>
      </c>
      <c r="E189" s="205" t="e">
        <f t="shared" ref="E189:E243" si="168">+(I188)*F188*(B189-B188)/360</f>
        <v>#REF!</v>
      </c>
      <c r="F189" s="7" t="e">
        <f t="shared" si="138"/>
        <v>#REF!</v>
      </c>
      <c r="G189">
        <v>2.46807</v>
      </c>
      <c r="J189">
        <v>0.67307572000000004</v>
      </c>
      <c r="K189" s="582">
        <f t="shared" si="151"/>
        <v>134.61514400000002</v>
      </c>
      <c r="Y189" s="609"/>
      <c r="AA189" s="601"/>
    </row>
    <row r="190" spans="2:27">
      <c r="B190" s="539">
        <f t="shared" si="147"/>
        <v>50223</v>
      </c>
      <c r="C190" s="16">
        <f t="shared" si="148"/>
        <v>200</v>
      </c>
      <c r="D190" s="7" t="e">
        <f t="shared" si="146"/>
        <v>#REF!</v>
      </c>
      <c r="E190" s="205" t="e">
        <f t="shared" si="140"/>
        <v>#REF!</v>
      </c>
      <c r="F190" s="7" t="e">
        <f t="shared" si="138"/>
        <v>#REF!</v>
      </c>
      <c r="G190">
        <v>2.4428000000000001</v>
      </c>
      <c r="J190">
        <v>0.67156216999999996</v>
      </c>
      <c r="K190" s="582">
        <f t="shared" si="151"/>
        <v>134.312434</v>
      </c>
      <c r="Y190" s="609"/>
      <c r="AA190" s="601"/>
    </row>
    <row r="191" spans="2:27">
      <c r="B191" s="539">
        <f t="shared" si="147"/>
        <v>50254</v>
      </c>
      <c r="C191" s="16">
        <f t="shared" si="148"/>
        <v>200</v>
      </c>
      <c r="D191" s="7" t="e">
        <f t="shared" si="146"/>
        <v>#REF!</v>
      </c>
      <c r="E191" s="205" t="e">
        <f t="shared" si="141"/>
        <v>#REF!</v>
      </c>
      <c r="F191" s="7" t="e">
        <f t="shared" si="138"/>
        <v>#REF!</v>
      </c>
      <c r="G191">
        <v>2.4123999999999999</v>
      </c>
      <c r="J191">
        <v>0.67005203000000002</v>
      </c>
      <c r="K191" s="582">
        <f t="shared" si="151"/>
        <v>134.01040600000002</v>
      </c>
      <c r="Y191" s="609"/>
      <c r="AA191" s="601"/>
    </row>
    <row r="192" spans="2:27">
      <c r="B192" s="539">
        <f t="shared" si="147"/>
        <v>50285</v>
      </c>
      <c r="C192" s="16">
        <f t="shared" si="148"/>
        <v>200</v>
      </c>
      <c r="D192" s="7" t="e">
        <f t="shared" si="146"/>
        <v>#REF!</v>
      </c>
      <c r="E192" s="205" t="e">
        <f t="shared" si="142"/>
        <v>#REF!</v>
      </c>
      <c r="F192" s="7" t="e">
        <f t="shared" ref="F192:F248" si="169">+F191-D192</f>
        <v>#REF!</v>
      </c>
      <c r="G192">
        <v>2.3783099999999999</v>
      </c>
      <c r="J192">
        <v>0.66859382999999994</v>
      </c>
      <c r="K192" s="582">
        <f t="shared" si="151"/>
        <v>133.71876599999999</v>
      </c>
      <c r="Y192" s="609"/>
      <c r="AA192" s="601"/>
    </row>
    <row r="193" spans="2:27">
      <c r="B193" s="539">
        <f t="shared" si="147"/>
        <v>50315</v>
      </c>
      <c r="C193" s="16">
        <f t="shared" si="148"/>
        <v>200</v>
      </c>
      <c r="D193" s="7" t="e">
        <f t="shared" si="146"/>
        <v>#REF!</v>
      </c>
      <c r="E193" s="205" t="e">
        <f t="shared" si="143"/>
        <v>#REF!</v>
      </c>
      <c r="F193" s="7" t="e">
        <f t="shared" si="169"/>
        <v>#REF!</v>
      </c>
      <c r="G193">
        <v>2.34646</v>
      </c>
      <c r="J193">
        <v>0.66713880999999997</v>
      </c>
      <c r="K193" s="582">
        <f t="shared" si="151"/>
        <v>133.427762</v>
      </c>
      <c r="Y193" s="609"/>
      <c r="AA193" s="601"/>
    </row>
    <row r="194" spans="2:27">
      <c r="B194" s="539">
        <f t="shared" si="147"/>
        <v>50346</v>
      </c>
      <c r="C194" s="16">
        <f t="shared" si="148"/>
        <v>200</v>
      </c>
      <c r="D194" s="7" t="e">
        <f t="shared" si="146"/>
        <v>#REF!</v>
      </c>
      <c r="E194" s="205" t="e">
        <f t="shared" ref="E194" si="170">+(I188)*F193*(B194-B193)/360</f>
        <v>#REF!</v>
      </c>
      <c r="F194" s="7" t="e">
        <f t="shared" si="169"/>
        <v>#REF!</v>
      </c>
      <c r="G194">
        <v>2.3152499999999998</v>
      </c>
      <c r="H194" s="545">
        <v>9.5999999999999992E-3</v>
      </c>
      <c r="I194" s="572">
        <f t="shared" ref="I194" si="171">+H194+G194/100</f>
        <v>3.2752499999999997E-2</v>
      </c>
      <c r="J194">
        <v>0.66563861000000002</v>
      </c>
      <c r="K194" s="582">
        <f t="shared" si="151"/>
        <v>133.12772200000001</v>
      </c>
      <c r="Y194" s="609"/>
      <c r="AA194" s="601"/>
    </row>
    <row r="195" spans="2:27">
      <c r="B195" s="540">
        <f t="shared" si="147"/>
        <v>50376</v>
      </c>
      <c r="C195" s="16">
        <f t="shared" si="148"/>
        <v>200</v>
      </c>
      <c r="D195" s="7" t="e">
        <f t="shared" si="146"/>
        <v>#REF!</v>
      </c>
      <c r="E195" s="205" t="e">
        <f t="shared" si="168"/>
        <v>#REF!</v>
      </c>
      <c r="F195" s="7" t="e">
        <f t="shared" si="169"/>
        <v>#REF!</v>
      </c>
      <c r="G195">
        <v>2.2828300000000001</v>
      </c>
      <c r="J195">
        <v>0.66414178999999995</v>
      </c>
      <c r="K195" s="582">
        <f t="shared" si="151"/>
        <v>132.82835799999998</v>
      </c>
      <c r="Y195" s="609"/>
      <c r="AA195" s="601"/>
    </row>
    <row r="196" spans="2:27">
      <c r="B196" s="540">
        <f t="shared" si="147"/>
        <v>50407</v>
      </c>
      <c r="C196" s="16">
        <f t="shared" si="148"/>
        <v>200</v>
      </c>
      <c r="D196" s="7" t="e">
        <f t="shared" si="146"/>
        <v>#REF!</v>
      </c>
      <c r="E196" s="205" t="e">
        <f t="shared" ref="E196:E244" si="172">+(I194)*F195*(B196-B195)/360</f>
        <v>#REF!</v>
      </c>
      <c r="F196" s="7" t="e">
        <f t="shared" si="169"/>
        <v>#REF!</v>
      </c>
      <c r="G196">
        <v>2.2743600000000002</v>
      </c>
      <c r="J196">
        <v>0.66301593000000003</v>
      </c>
      <c r="K196" s="582">
        <f t="shared" si="151"/>
        <v>132.60318599999999</v>
      </c>
      <c r="Y196" s="609"/>
      <c r="AA196" s="601"/>
    </row>
    <row r="197" spans="2:27">
      <c r="B197" s="540">
        <f t="shared" si="147"/>
        <v>50438</v>
      </c>
      <c r="C197" s="16">
        <f t="shared" si="148"/>
        <v>200</v>
      </c>
      <c r="D197" s="7" t="e">
        <f t="shared" si="146"/>
        <v>#REF!</v>
      </c>
      <c r="E197" s="205" t="e">
        <f t="shared" ref="E197:E245" si="173">+(I194)*F196*(B197-B196)/360</f>
        <v>#REF!</v>
      </c>
      <c r="F197" s="7" t="e">
        <f t="shared" si="169"/>
        <v>#REF!</v>
      </c>
      <c r="G197">
        <v>2.2734200000000002</v>
      </c>
      <c r="J197">
        <v>0.66198520000000005</v>
      </c>
      <c r="K197" s="582">
        <f t="shared" si="151"/>
        <v>132.39704</v>
      </c>
      <c r="Y197" s="609"/>
      <c r="AA197" s="601"/>
    </row>
    <row r="198" spans="2:27">
      <c r="B198" s="540">
        <f t="shared" si="147"/>
        <v>50466</v>
      </c>
      <c r="C198" s="16">
        <f t="shared" si="148"/>
        <v>200</v>
      </c>
      <c r="D198" s="7" t="e">
        <f t="shared" si="146"/>
        <v>#REF!</v>
      </c>
      <c r="E198" s="205" t="e">
        <f t="shared" ref="E198:E246" si="174">+(I194)*F197*(B198-B197)/360</f>
        <v>#REF!</v>
      </c>
      <c r="F198" s="7" t="e">
        <f t="shared" si="169"/>
        <v>#REF!</v>
      </c>
      <c r="G198">
        <v>2.2799999999999998</v>
      </c>
      <c r="J198">
        <v>0.66077248</v>
      </c>
      <c r="K198" s="582">
        <f t="shared" si="151"/>
        <v>132.15449599999999</v>
      </c>
      <c r="Y198" s="609"/>
      <c r="AA198" s="601"/>
    </row>
    <row r="199" spans="2:27">
      <c r="B199" s="540">
        <f t="shared" si="147"/>
        <v>50497</v>
      </c>
      <c r="C199" s="16">
        <f t="shared" si="148"/>
        <v>200</v>
      </c>
      <c r="D199" s="7" t="e">
        <f t="shared" si="146"/>
        <v>#REF!</v>
      </c>
      <c r="E199" s="205" t="e">
        <f t="shared" ref="E199:E247" si="175">+(I194)*F198*(B199-B198)/360</f>
        <v>#REF!</v>
      </c>
      <c r="F199" s="7" t="e">
        <f t="shared" si="169"/>
        <v>#REF!</v>
      </c>
      <c r="G199">
        <v>2.2765599999999999</v>
      </c>
      <c r="J199">
        <v>0.65967193000000002</v>
      </c>
      <c r="K199" s="582">
        <f t="shared" si="151"/>
        <v>131.93438600000002</v>
      </c>
      <c r="Y199" s="609"/>
      <c r="AA199" s="601"/>
    </row>
    <row r="200" spans="2:27" ht="13.5" thickBot="1">
      <c r="B200" s="584">
        <f t="shared" si="147"/>
        <v>50527</v>
      </c>
      <c r="C200" s="16">
        <f t="shared" si="148"/>
        <v>200</v>
      </c>
      <c r="D200" s="7" t="e">
        <f t="shared" si="146"/>
        <v>#REF!</v>
      </c>
      <c r="E200" s="205" t="e">
        <f t="shared" ref="E200" si="176">+(I194)*F199*(B200-B199)/360</f>
        <v>#REF!</v>
      </c>
      <c r="F200" s="7" t="e">
        <f t="shared" si="169"/>
        <v>#REF!</v>
      </c>
      <c r="G200">
        <v>2.2781699999999998</v>
      </c>
      <c r="H200" s="545">
        <v>9.5999999999999992E-3</v>
      </c>
      <c r="I200" s="572">
        <f t="shared" ref="I200" si="177">+H200+G200/100</f>
        <v>3.2381699999999999E-2</v>
      </c>
      <c r="J200">
        <v>0.65853662999999996</v>
      </c>
      <c r="K200" s="582">
        <f t="shared" si="151"/>
        <v>131.70732599999999</v>
      </c>
      <c r="Y200" s="609"/>
      <c r="AA200" s="601"/>
    </row>
    <row r="201" spans="2:27">
      <c r="B201" s="538">
        <f t="shared" si="147"/>
        <v>50558</v>
      </c>
      <c r="C201" s="16">
        <f t="shared" si="148"/>
        <v>200</v>
      </c>
      <c r="D201" s="7" t="e">
        <f t="shared" ref="D201:D248" si="178">+C201-E201</f>
        <v>#REF!</v>
      </c>
      <c r="E201" s="205" t="e">
        <f t="shared" si="168"/>
        <v>#REF!</v>
      </c>
      <c r="F201" s="7" t="e">
        <f t="shared" si="169"/>
        <v>#REF!</v>
      </c>
      <c r="G201">
        <v>2.27725</v>
      </c>
      <c r="J201">
        <v>0.65743980000000002</v>
      </c>
      <c r="K201" s="582">
        <f t="shared" si="151"/>
        <v>131.48796000000002</v>
      </c>
      <c r="Y201" s="609"/>
      <c r="AA201" s="601"/>
    </row>
    <row r="202" spans="2:27">
      <c r="B202" s="539">
        <f t="shared" ref="B202:B248" si="179">+EDATE(B201,1)</f>
        <v>50588</v>
      </c>
      <c r="C202" s="16">
        <f t="shared" ref="C202:C248" si="180">+$C$8</f>
        <v>200</v>
      </c>
      <c r="D202" s="7" t="e">
        <f t="shared" si="178"/>
        <v>#REF!</v>
      </c>
      <c r="E202" s="205" t="e">
        <f t="shared" si="172"/>
        <v>#REF!</v>
      </c>
      <c r="F202" s="7" t="e">
        <f t="shared" si="169"/>
        <v>#REF!</v>
      </c>
      <c r="G202">
        <v>2.2475900000000002</v>
      </c>
      <c r="J202">
        <v>0.65634481</v>
      </c>
      <c r="K202" s="582">
        <f t="shared" si="151"/>
        <v>131.26896199999999</v>
      </c>
      <c r="Y202" s="609"/>
      <c r="AA202" s="601"/>
    </row>
    <row r="203" spans="2:27">
      <c r="B203" s="539">
        <f t="shared" si="179"/>
        <v>50619</v>
      </c>
      <c r="C203" s="16">
        <f t="shared" si="180"/>
        <v>200</v>
      </c>
      <c r="D203" s="7" t="e">
        <f t="shared" si="178"/>
        <v>#REF!</v>
      </c>
      <c r="E203" s="205" t="e">
        <f t="shared" si="173"/>
        <v>#REF!</v>
      </c>
      <c r="F203" s="7" t="e">
        <f t="shared" si="169"/>
        <v>#REF!</v>
      </c>
      <c r="G203">
        <v>2.21631</v>
      </c>
      <c r="J203">
        <v>0.65517882000000005</v>
      </c>
      <c r="K203" s="582">
        <f t="shared" si="151"/>
        <v>131.035764</v>
      </c>
      <c r="Y203" s="609"/>
      <c r="AA203" s="601"/>
    </row>
    <row r="204" spans="2:27">
      <c r="B204" s="539">
        <f t="shared" si="179"/>
        <v>50650</v>
      </c>
      <c r="C204" s="16">
        <f t="shared" si="180"/>
        <v>200</v>
      </c>
      <c r="D204" s="7" t="e">
        <f t="shared" si="178"/>
        <v>#REF!</v>
      </c>
      <c r="E204" s="205" t="e">
        <f t="shared" si="174"/>
        <v>#REF!</v>
      </c>
      <c r="F204" s="7" t="e">
        <f t="shared" si="169"/>
        <v>#REF!</v>
      </c>
      <c r="G204">
        <v>2.1786500000000002</v>
      </c>
      <c r="J204">
        <v>0.65408759000000005</v>
      </c>
      <c r="K204" s="582">
        <f t="shared" si="151"/>
        <v>130.81751800000001</v>
      </c>
      <c r="Y204" s="609"/>
      <c r="AA204" s="601"/>
    </row>
    <row r="205" spans="2:27">
      <c r="B205" s="539">
        <f t="shared" si="179"/>
        <v>50680</v>
      </c>
      <c r="C205" s="16">
        <f t="shared" si="180"/>
        <v>200</v>
      </c>
      <c r="D205" s="7" t="e">
        <f t="shared" si="178"/>
        <v>#REF!</v>
      </c>
      <c r="E205" s="205" t="e">
        <f t="shared" si="175"/>
        <v>#REF!</v>
      </c>
      <c r="F205" s="7" t="e">
        <f t="shared" si="169"/>
        <v>#REF!</v>
      </c>
      <c r="G205">
        <v>2.14303</v>
      </c>
      <c r="J205">
        <v>0.65303445999999998</v>
      </c>
      <c r="K205" s="582">
        <f t="shared" si="151"/>
        <v>130.60689199999999</v>
      </c>
      <c r="Y205" s="609"/>
      <c r="AA205" s="601"/>
    </row>
    <row r="206" spans="2:27">
      <c r="B206" s="539">
        <f t="shared" si="179"/>
        <v>50711</v>
      </c>
      <c r="C206" s="16">
        <f t="shared" si="180"/>
        <v>200</v>
      </c>
      <c r="D206" s="7" t="e">
        <f t="shared" si="178"/>
        <v>#REF!</v>
      </c>
      <c r="E206" s="205" t="e">
        <f t="shared" ref="E206" si="181">+(I200)*F205*(B206-B205)/360</f>
        <v>#REF!</v>
      </c>
      <c r="F206" s="7" t="e">
        <f t="shared" si="169"/>
        <v>#REF!</v>
      </c>
      <c r="G206">
        <v>2.1094900000000001</v>
      </c>
      <c r="H206" s="545">
        <v>9.5999999999999992E-3</v>
      </c>
      <c r="I206" s="572">
        <f t="shared" ref="I206" si="182">+H206+G206/100</f>
        <v>3.0694899999999997E-2</v>
      </c>
      <c r="J206">
        <v>0.65187435000000005</v>
      </c>
      <c r="K206" s="582">
        <f t="shared" si="151"/>
        <v>130.37487000000002</v>
      </c>
      <c r="Y206" s="609"/>
      <c r="AA206" s="601"/>
    </row>
    <row r="207" spans="2:27">
      <c r="B207" s="540">
        <f t="shared" si="179"/>
        <v>50741</v>
      </c>
      <c r="C207" s="16">
        <f t="shared" si="180"/>
        <v>200</v>
      </c>
      <c r="D207" s="7" t="e">
        <f t="shared" si="178"/>
        <v>#REF!</v>
      </c>
      <c r="E207" s="205" t="e">
        <f t="shared" si="168"/>
        <v>#REF!</v>
      </c>
      <c r="F207" s="7" t="e">
        <f t="shared" si="169"/>
        <v>#REF!</v>
      </c>
      <c r="G207">
        <v>2.0719099999999999</v>
      </c>
      <c r="J207">
        <v>0.65075247000000003</v>
      </c>
      <c r="K207" s="582">
        <f t="shared" si="151"/>
        <v>130.15049400000001</v>
      </c>
      <c r="Y207" s="609"/>
      <c r="AA207" s="601"/>
    </row>
    <row r="208" spans="2:27">
      <c r="B208" s="540">
        <f t="shared" si="179"/>
        <v>50772</v>
      </c>
      <c r="C208" s="16">
        <f t="shared" si="180"/>
        <v>200</v>
      </c>
      <c r="D208" s="7" t="e">
        <f t="shared" si="178"/>
        <v>#REF!</v>
      </c>
      <c r="E208" s="205" t="e">
        <f t="shared" si="172"/>
        <v>#REF!</v>
      </c>
      <c r="F208" s="7" t="e">
        <f t="shared" si="169"/>
        <v>#REF!</v>
      </c>
      <c r="G208">
        <v>2.06616</v>
      </c>
      <c r="J208">
        <v>0.64963251</v>
      </c>
      <c r="K208" s="582">
        <f t="shared" si="151"/>
        <v>129.926502</v>
      </c>
      <c r="Y208" s="609"/>
      <c r="AA208" s="601"/>
    </row>
    <row r="209" spans="2:27">
      <c r="B209" s="540">
        <f t="shared" si="179"/>
        <v>50803</v>
      </c>
      <c r="C209" s="16">
        <f t="shared" si="180"/>
        <v>200</v>
      </c>
      <c r="D209" s="7" t="e">
        <f t="shared" si="178"/>
        <v>#REF!</v>
      </c>
      <c r="E209" s="205" t="e">
        <f t="shared" si="173"/>
        <v>#REF!</v>
      </c>
      <c r="F209" s="7" t="e">
        <f t="shared" si="169"/>
        <v>#REF!</v>
      </c>
      <c r="G209">
        <v>2.06297</v>
      </c>
      <c r="J209">
        <v>0.64862260000000005</v>
      </c>
      <c r="K209" s="582">
        <f t="shared" ref="K209:K247" si="183">+C209*J209</f>
        <v>129.72452000000001</v>
      </c>
      <c r="Y209" s="609"/>
      <c r="AA209" s="601"/>
    </row>
    <row r="210" spans="2:27">
      <c r="B210" s="540">
        <f t="shared" si="179"/>
        <v>50831</v>
      </c>
      <c r="C210" s="16">
        <f t="shared" si="180"/>
        <v>200</v>
      </c>
      <c r="D210" s="7" t="e">
        <f t="shared" si="178"/>
        <v>#REF!</v>
      </c>
      <c r="E210" s="205" t="e">
        <f t="shared" si="174"/>
        <v>#REF!</v>
      </c>
      <c r="F210" s="7" t="e">
        <f t="shared" si="169"/>
        <v>#REF!</v>
      </c>
      <c r="G210">
        <v>2.0670000000000002</v>
      </c>
      <c r="J210">
        <v>0.64750629999999998</v>
      </c>
      <c r="K210" s="582">
        <f t="shared" si="183"/>
        <v>129.50126</v>
      </c>
      <c r="Y210" s="609"/>
      <c r="AA210" s="601"/>
    </row>
    <row r="211" spans="2:27">
      <c r="B211" s="540">
        <f t="shared" si="179"/>
        <v>50862</v>
      </c>
      <c r="C211" s="16">
        <f t="shared" si="180"/>
        <v>200</v>
      </c>
      <c r="D211" s="7" t="e">
        <f t="shared" si="178"/>
        <v>#REF!</v>
      </c>
      <c r="E211" s="205" t="e">
        <f t="shared" si="175"/>
        <v>#REF!</v>
      </c>
      <c r="F211" s="7" t="e">
        <f t="shared" si="169"/>
        <v>#REF!</v>
      </c>
      <c r="G211">
        <v>2.06494</v>
      </c>
      <c r="J211">
        <v>0.64646376999999999</v>
      </c>
      <c r="K211" s="582">
        <f t="shared" si="183"/>
        <v>129.292754</v>
      </c>
      <c r="Y211" s="609"/>
      <c r="AA211" s="601"/>
    </row>
    <row r="212" spans="2:27" ht="13.5" thickBot="1">
      <c r="B212" s="584">
        <f t="shared" si="179"/>
        <v>50892</v>
      </c>
      <c r="C212" s="16">
        <f t="shared" si="180"/>
        <v>200</v>
      </c>
      <c r="D212" s="7" t="e">
        <f t="shared" si="178"/>
        <v>#REF!</v>
      </c>
      <c r="E212" s="205" t="e">
        <f t="shared" ref="E212" si="184">+(I206)*F211*(B212-B211)/360</f>
        <v>#REF!</v>
      </c>
      <c r="F212" s="7" t="e">
        <f t="shared" si="169"/>
        <v>#REF!</v>
      </c>
      <c r="G212">
        <v>2.0688300000000002</v>
      </c>
      <c r="H212" s="545">
        <v>9.5999999999999992E-3</v>
      </c>
      <c r="I212" s="572">
        <f t="shared" ref="I212" si="185">+H212+G212/100</f>
        <v>3.0288300000000004E-2</v>
      </c>
      <c r="J212">
        <v>0.64531534000000002</v>
      </c>
      <c r="K212" s="582">
        <f t="shared" si="183"/>
        <v>129.06306800000002</v>
      </c>
      <c r="Y212" s="609"/>
      <c r="AA212" s="601"/>
    </row>
    <row r="213" spans="2:27">
      <c r="B213" s="538">
        <f t="shared" si="179"/>
        <v>50923</v>
      </c>
      <c r="C213" s="16">
        <f t="shared" si="180"/>
        <v>200</v>
      </c>
      <c r="D213" s="7" t="e">
        <f t="shared" si="178"/>
        <v>#REF!</v>
      </c>
      <c r="E213" s="205" t="e">
        <f t="shared" si="168"/>
        <v>#REF!</v>
      </c>
      <c r="F213" s="7" t="e">
        <f t="shared" si="169"/>
        <v>#REF!</v>
      </c>
      <c r="G213">
        <v>2.0666600000000002</v>
      </c>
      <c r="J213">
        <v>0.64424053999999997</v>
      </c>
      <c r="K213" s="582">
        <f t="shared" si="183"/>
        <v>128.848108</v>
      </c>
      <c r="Y213" s="609"/>
      <c r="AA213" s="601"/>
    </row>
    <row r="214" spans="2:27">
      <c r="B214" s="539">
        <f t="shared" si="179"/>
        <v>50953</v>
      </c>
      <c r="C214" s="16">
        <f t="shared" si="180"/>
        <v>200</v>
      </c>
      <c r="D214" s="7" t="e">
        <f t="shared" si="178"/>
        <v>#REF!</v>
      </c>
      <c r="E214" s="205" t="e">
        <f t="shared" si="172"/>
        <v>#REF!</v>
      </c>
      <c r="F214" s="7" t="e">
        <f t="shared" si="169"/>
        <v>#REF!</v>
      </c>
      <c r="G214">
        <v>2.0409899999999999</v>
      </c>
      <c r="J214">
        <v>0.64320326000000005</v>
      </c>
      <c r="K214" s="582">
        <f t="shared" si="183"/>
        <v>128.64065200000002</v>
      </c>
      <c r="Y214" s="609"/>
      <c r="AA214" s="601"/>
    </row>
    <row r="215" spans="2:27">
      <c r="B215" s="539">
        <f t="shared" si="179"/>
        <v>50984</v>
      </c>
      <c r="C215" s="16">
        <f t="shared" si="180"/>
        <v>200</v>
      </c>
      <c r="D215" s="7" t="e">
        <f t="shared" si="178"/>
        <v>#REF!</v>
      </c>
      <c r="E215" s="205" t="e">
        <f t="shared" si="173"/>
        <v>#REF!</v>
      </c>
      <c r="F215" s="7" t="e">
        <f t="shared" si="169"/>
        <v>#REF!</v>
      </c>
      <c r="G215">
        <v>2.01545</v>
      </c>
      <c r="J215">
        <v>0.64202495000000004</v>
      </c>
      <c r="K215" s="582">
        <f t="shared" si="183"/>
        <v>128.40499</v>
      </c>
      <c r="Y215" s="609"/>
      <c r="AA215" s="601"/>
    </row>
    <row r="216" spans="2:27">
      <c r="B216" s="539">
        <f t="shared" si="179"/>
        <v>51015</v>
      </c>
      <c r="C216" s="16">
        <f t="shared" si="180"/>
        <v>200</v>
      </c>
      <c r="D216" s="7" t="e">
        <f t="shared" si="178"/>
        <v>#REF!</v>
      </c>
      <c r="E216" s="205" t="e">
        <f t="shared" si="174"/>
        <v>#REF!</v>
      </c>
      <c r="F216" s="7" t="e">
        <f t="shared" si="169"/>
        <v>#REF!</v>
      </c>
      <c r="G216">
        <v>1.98224</v>
      </c>
      <c r="J216">
        <v>0.64095561999999995</v>
      </c>
      <c r="K216" s="582">
        <f t="shared" si="183"/>
        <v>128.191124</v>
      </c>
      <c r="Y216" s="609"/>
      <c r="AA216" s="601"/>
    </row>
    <row r="217" spans="2:27">
      <c r="B217" s="539">
        <f t="shared" si="179"/>
        <v>51045</v>
      </c>
      <c r="C217" s="16">
        <f t="shared" si="180"/>
        <v>200</v>
      </c>
      <c r="D217" s="7" t="e">
        <f t="shared" si="178"/>
        <v>#REF!</v>
      </c>
      <c r="E217" s="205" t="e">
        <f t="shared" si="175"/>
        <v>#REF!</v>
      </c>
      <c r="F217" s="7" t="e">
        <f t="shared" si="169"/>
        <v>#REF!</v>
      </c>
      <c r="G217">
        <v>1.95198</v>
      </c>
      <c r="J217">
        <v>0.63985252999999997</v>
      </c>
      <c r="K217" s="582">
        <f t="shared" si="183"/>
        <v>127.970506</v>
      </c>
      <c r="Y217" s="609"/>
      <c r="AA217" s="601"/>
    </row>
    <row r="218" spans="2:27">
      <c r="B218" s="539">
        <f t="shared" si="179"/>
        <v>51076</v>
      </c>
      <c r="C218" s="16">
        <f t="shared" si="180"/>
        <v>200</v>
      </c>
      <c r="D218" s="7" t="e">
        <f t="shared" si="178"/>
        <v>#REF!</v>
      </c>
      <c r="E218" s="205" t="e">
        <f t="shared" ref="E218" si="186">+(I212)*F217*(B218-B217)/360</f>
        <v>#REF!</v>
      </c>
      <c r="F218" s="7" t="e">
        <f t="shared" si="169"/>
        <v>#REF!</v>
      </c>
      <c r="G218">
        <v>1.9208000000000001</v>
      </c>
      <c r="H218" s="545">
        <v>9.5999999999999992E-3</v>
      </c>
      <c r="I218" s="572">
        <f t="shared" ref="I218" si="187">+H218+G218/100</f>
        <v>2.8808E-2</v>
      </c>
      <c r="J218">
        <v>0.63878681999999998</v>
      </c>
      <c r="K218" s="582">
        <f t="shared" si="183"/>
        <v>127.757364</v>
      </c>
      <c r="Y218" s="609"/>
      <c r="AA218" s="601"/>
    </row>
    <row r="219" spans="2:27">
      <c r="B219" s="540">
        <f t="shared" si="179"/>
        <v>51106</v>
      </c>
      <c r="C219" s="16">
        <f t="shared" si="180"/>
        <v>200</v>
      </c>
      <c r="D219" s="7" t="e">
        <f t="shared" si="178"/>
        <v>#REF!</v>
      </c>
      <c r="E219" s="205" t="e">
        <f t="shared" si="168"/>
        <v>#REF!</v>
      </c>
      <c r="F219" s="7" t="e">
        <f t="shared" si="169"/>
        <v>#REF!</v>
      </c>
      <c r="G219">
        <v>1.8908199999999999</v>
      </c>
      <c r="J219">
        <v>0.63772289000000004</v>
      </c>
      <c r="K219" s="582">
        <f t="shared" si="183"/>
        <v>127.544578</v>
      </c>
      <c r="Y219" s="609"/>
      <c r="AA219" s="601"/>
    </row>
    <row r="220" spans="2:27">
      <c r="B220" s="540">
        <f t="shared" si="179"/>
        <v>51137</v>
      </c>
      <c r="C220" s="16">
        <f t="shared" si="180"/>
        <v>200</v>
      </c>
      <c r="D220" s="7" t="e">
        <f t="shared" si="178"/>
        <v>#REF!</v>
      </c>
      <c r="E220" s="205" t="e">
        <f t="shared" si="172"/>
        <v>#REF!</v>
      </c>
      <c r="F220" s="7" t="e">
        <f t="shared" si="169"/>
        <v>#REF!</v>
      </c>
      <c r="G220">
        <v>1.8874599999999999</v>
      </c>
      <c r="J220">
        <v>0.63658999000000005</v>
      </c>
      <c r="K220" s="582">
        <f t="shared" si="183"/>
        <v>127.31799800000002</v>
      </c>
      <c r="Y220" s="609"/>
      <c r="AA220" s="601"/>
    </row>
    <row r="221" spans="2:27">
      <c r="B221" s="540">
        <f t="shared" si="179"/>
        <v>51168</v>
      </c>
      <c r="C221" s="16">
        <f t="shared" si="180"/>
        <v>200</v>
      </c>
      <c r="D221" s="7" t="e">
        <f t="shared" si="178"/>
        <v>#REF!</v>
      </c>
      <c r="E221" s="205" t="e">
        <f t="shared" si="173"/>
        <v>#REF!</v>
      </c>
      <c r="F221" s="7" t="e">
        <f t="shared" si="169"/>
        <v>#REF!</v>
      </c>
      <c r="G221">
        <v>1.88411</v>
      </c>
      <c r="J221">
        <v>0.63556502999999998</v>
      </c>
      <c r="K221" s="582">
        <f t="shared" si="183"/>
        <v>127.113006</v>
      </c>
      <c r="Y221" s="609"/>
      <c r="AA221" s="601"/>
    </row>
    <row r="222" spans="2:27">
      <c r="B222" s="540">
        <f t="shared" si="179"/>
        <v>51197</v>
      </c>
      <c r="C222" s="16">
        <f t="shared" si="180"/>
        <v>200</v>
      </c>
      <c r="D222" s="7" t="e">
        <f t="shared" si="178"/>
        <v>#REF!</v>
      </c>
      <c r="E222" s="205" t="e">
        <f t="shared" si="174"/>
        <v>#REF!</v>
      </c>
      <c r="F222" s="7" t="e">
        <f t="shared" si="169"/>
        <v>#REF!</v>
      </c>
      <c r="G222">
        <v>1.88442</v>
      </c>
      <c r="J222">
        <v>0.63454173000000003</v>
      </c>
      <c r="K222" s="582">
        <f t="shared" si="183"/>
        <v>126.90834600000001</v>
      </c>
      <c r="Y222" s="609"/>
      <c r="AA222" s="601"/>
    </row>
    <row r="223" spans="2:27">
      <c r="B223" s="540">
        <f t="shared" si="179"/>
        <v>51228</v>
      </c>
      <c r="C223" s="16">
        <f t="shared" si="180"/>
        <v>200</v>
      </c>
      <c r="D223" s="7" t="e">
        <f t="shared" si="178"/>
        <v>#REF!</v>
      </c>
      <c r="E223" s="205" t="e">
        <f t="shared" si="175"/>
        <v>#REF!</v>
      </c>
      <c r="F223" s="7" t="e">
        <f t="shared" si="169"/>
        <v>#REF!</v>
      </c>
      <c r="G223">
        <v>1.88839</v>
      </c>
      <c r="J223">
        <v>0.63341446999999995</v>
      </c>
      <c r="K223" s="582">
        <f t="shared" si="183"/>
        <v>126.68289399999999</v>
      </c>
      <c r="Y223" s="609"/>
      <c r="AA223" s="601"/>
    </row>
    <row r="224" spans="2:27" ht="13.5" thickBot="1">
      <c r="B224" s="584">
        <f t="shared" si="179"/>
        <v>51258</v>
      </c>
      <c r="C224" s="16">
        <f t="shared" si="180"/>
        <v>200</v>
      </c>
      <c r="D224" s="7" t="e">
        <f t="shared" si="178"/>
        <v>#REF!</v>
      </c>
      <c r="E224" s="205" t="e">
        <f t="shared" ref="E224" si="188">+(I218)*F223*(B224-B223)/360</f>
        <v>#REF!</v>
      </c>
      <c r="F224" s="7" t="e">
        <f t="shared" si="169"/>
        <v>#REF!</v>
      </c>
      <c r="G224">
        <v>1.88747</v>
      </c>
      <c r="H224" s="545">
        <v>9.5999999999999992E-3</v>
      </c>
      <c r="I224" s="572">
        <f t="shared" ref="I224" si="189">+H224+G224/100</f>
        <v>2.8474699999999999E-2</v>
      </c>
      <c r="J224">
        <v>0.63232436000000003</v>
      </c>
      <c r="K224" s="582">
        <f t="shared" si="183"/>
        <v>126.464872</v>
      </c>
      <c r="Y224" s="609"/>
      <c r="AA224" s="601"/>
    </row>
    <row r="225" spans="2:27">
      <c r="B225" s="538">
        <f t="shared" si="179"/>
        <v>51289</v>
      </c>
      <c r="C225" s="16">
        <f t="shared" si="180"/>
        <v>200</v>
      </c>
      <c r="D225" s="7" t="e">
        <f t="shared" si="178"/>
        <v>#REF!</v>
      </c>
      <c r="E225" s="205" t="e">
        <f t="shared" si="168"/>
        <v>#REF!</v>
      </c>
      <c r="F225" s="7" t="e">
        <f t="shared" si="169"/>
        <v>#REF!</v>
      </c>
      <c r="G225">
        <v>1.88534</v>
      </c>
      <c r="J225">
        <v>0.63130626999999995</v>
      </c>
      <c r="K225" s="582">
        <f t="shared" si="183"/>
        <v>126.26125399999999</v>
      </c>
      <c r="Y225" s="609"/>
      <c r="AA225" s="601"/>
    </row>
    <row r="226" spans="2:27">
      <c r="B226" s="539">
        <f t="shared" si="179"/>
        <v>51319</v>
      </c>
      <c r="C226" s="16">
        <f t="shared" si="180"/>
        <v>200</v>
      </c>
      <c r="D226" s="7" t="e">
        <f t="shared" si="178"/>
        <v>#REF!</v>
      </c>
      <c r="E226" s="205" t="e">
        <f t="shared" si="172"/>
        <v>#REF!</v>
      </c>
      <c r="F226" s="7" t="e">
        <f t="shared" si="169"/>
        <v>#REF!</v>
      </c>
      <c r="G226">
        <v>1.86717</v>
      </c>
      <c r="J226">
        <v>0.63018476000000001</v>
      </c>
      <c r="K226" s="582">
        <f t="shared" si="183"/>
        <v>126.036952</v>
      </c>
      <c r="Y226" s="609"/>
      <c r="AA226" s="601"/>
    </row>
    <row r="227" spans="2:27">
      <c r="B227" s="539">
        <f t="shared" si="179"/>
        <v>51350</v>
      </c>
      <c r="C227" s="16">
        <f t="shared" si="180"/>
        <v>200</v>
      </c>
      <c r="D227" s="7" t="e">
        <f t="shared" si="178"/>
        <v>#REF!</v>
      </c>
      <c r="E227" s="205" t="e">
        <f t="shared" si="173"/>
        <v>#REF!</v>
      </c>
      <c r="F227" s="7" t="e">
        <f t="shared" si="169"/>
        <v>#REF!</v>
      </c>
      <c r="G227">
        <v>1.83944</v>
      </c>
      <c r="J227">
        <v>0.6291002</v>
      </c>
      <c r="K227" s="582">
        <f t="shared" si="183"/>
        <v>125.82004000000001</v>
      </c>
      <c r="Y227" s="609"/>
      <c r="AA227" s="601"/>
    </row>
    <row r="228" spans="2:27">
      <c r="B228" s="539">
        <f t="shared" si="179"/>
        <v>51381</v>
      </c>
      <c r="C228" s="16">
        <f t="shared" si="180"/>
        <v>200</v>
      </c>
      <c r="D228" s="7" t="e">
        <f t="shared" si="178"/>
        <v>#REF!</v>
      </c>
      <c r="E228" s="205" t="e">
        <f t="shared" si="174"/>
        <v>#REF!</v>
      </c>
      <c r="F228" s="7" t="e">
        <f t="shared" si="169"/>
        <v>#REF!</v>
      </c>
      <c r="G228">
        <v>1.80972</v>
      </c>
      <c r="J228">
        <v>0.62812221000000001</v>
      </c>
      <c r="K228" s="582">
        <f t="shared" si="183"/>
        <v>125.624442</v>
      </c>
      <c r="Y228" s="609"/>
      <c r="AA228" s="601"/>
    </row>
    <row r="229" spans="2:27">
      <c r="B229" s="539">
        <f t="shared" si="179"/>
        <v>51411</v>
      </c>
      <c r="C229" s="16">
        <f t="shared" si="180"/>
        <v>200</v>
      </c>
      <c r="D229" s="7" t="e">
        <f t="shared" si="178"/>
        <v>#REF!</v>
      </c>
      <c r="E229" s="205" t="e">
        <f t="shared" si="175"/>
        <v>#REF!</v>
      </c>
      <c r="F229" s="7" t="e">
        <f t="shared" si="169"/>
        <v>#REF!</v>
      </c>
      <c r="G229">
        <v>1.78518</v>
      </c>
      <c r="J229">
        <v>0.62697152</v>
      </c>
      <c r="K229" s="582">
        <f t="shared" si="183"/>
        <v>125.39430400000001</v>
      </c>
      <c r="Y229" s="609"/>
      <c r="AA229" s="601"/>
    </row>
    <row r="230" spans="2:27">
      <c r="B230" s="539">
        <f t="shared" si="179"/>
        <v>51442</v>
      </c>
      <c r="C230" s="16">
        <f t="shared" si="180"/>
        <v>200</v>
      </c>
      <c r="D230" s="7" t="e">
        <f t="shared" si="178"/>
        <v>#REF!</v>
      </c>
      <c r="E230" s="205" t="e">
        <f t="shared" ref="E230" si="190">+(I224)*F229*(B230-B229)/360</f>
        <v>#REF!</v>
      </c>
      <c r="F230" s="7" t="e">
        <f t="shared" si="169"/>
        <v>#REF!</v>
      </c>
      <c r="G230">
        <v>1.7536400000000001</v>
      </c>
      <c r="H230" s="545">
        <v>9.5999999999999992E-3</v>
      </c>
      <c r="I230" s="572">
        <f t="shared" ref="I230" si="191">+H230+G230/100</f>
        <v>2.7136399999999998E-2</v>
      </c>
      <c r="J230">
        <v>0.62592727000000004</v>
      </c>
      <c r="K230" s="582">
        <f t="shared" si="183"/>
        <v>125.18545400000001</v>
      </c>
      <c r="Y230" s="609"/>
      <c r="AA230" s="601"/>
    </row>
    <row r="231" spans="2:27">
      <c r="B231" s="540">
        <f t="shared" si="179"/>
        <v>51472</v>
      </c>
      <c r="C231" s="16">
        <f t="shared" si="180"/>
        <v>200</v>
      </c>
      <c r="D231" s="7" t="e">
        <f t="shared" si="178"/>
        <v>#REF!</v>
      </c>
      <c r="E231" s="205" t="e">
        <f t="shared" si="168"/>
        <v>#REF!</v>
      </c>
      <c r="F231" s="7" t="e">
        <f t="shared" si="169"/>
        <v>#REF!</v>
      </c>
      <c r="G231">
        <v>1.726</v>
      </c>
      <c r="J231">
        <v>0.62485004</v>
      </c>
      <c r="K231" s="582">
        <f t="shared" si="183"/>
        <v>124.97000799999999</v>
      </c>
      <c r="Y231" s="609"/>
      <c r="AA231" s="601"/>
    </row>
    <row r="232" spans="2:27">
      <c r="B232" s="540">
        <f t="shared" si="179"/>
        <v>51503</v>
      </c>
      <c r="C232" s="16">
        <f t="shared" si="180"/>
        <v>200</v>
      </c>
      <c r="D232" s="7" t="e">
        <f t="shared" si="178"/>
        <v>#REF!</v>
      </c>
      <c r="E232" s="205" t="e">
        <f t="shared" si="172"/>
        <v>#REF!</v>
      </c>
      <c r="F232" s="7" t="e">
        <f t="shared" si="169"/>
        <v>#REF!</v>
      </c>
      <c r="G232">
        <v>1.71973</v>
      </c>
      <c r="J232">
        <v>0.62377466000000004</v>
      </c>
      <c r="K232" s="582">
        <f t="shared" si="183"/>
        <v>124.75493200000001</v>
      </c>
      <c r="Y232" s="609"/>
      <c r="AA232" s="601"/>
    </row>
    <row r="233" spans="2:27">
      <c r="B233" s="540">
        <f t="shared" si="179"/>
        <v>51534</v>
      </c>
      <c r="C233" s="16">
        <f t="shared" si="180"/>
        <v>200</v>
      </c>
      <c r="D233" s="7" t="e">
        <f t="shared" si="178"/>
        <v>#REF!</v>
      </c>
      <c r="E233" s="205" t="e">
        <f t="shared" si="173"/>
        <v>#REF!</v>
      </c>
      <c r="F233" s="7" t="e">
        <f t="shared" si="169"/>
        <v>#REF!</v>
      </c>
      <c r="G233">
        <v>1.71635</v>
      </c>
      <c r="J233">
        <v>0.62280493999999997</v>
      </c>
      <c r="K233" s="582">
        <f t="shared" si="183"/>
        <v>124.56098799999999</v>
      </c>
      <c r="Y233" s="609"/>
      <c r="AA233" s="601"/>
    </row>
    <row r="234" spans="2:27">
      <c r="B234" s="540">
        <f t="shared" si="179"/>
        <v>51562</v>
      </c>
      <c r="C234" s="16">
        <f t="shared" si="180"/>
        <v>200</v>
      </c>
      <c r="D234" s="7" t="e">
        <f t="shared" si="178"/>
        <v>#REF!</v>
      </c>
      <c r="E234" s="205" t="e">
        <f t="shared" si="174"/>
        <v>#REF!</v>
      </c>
      <c r="F234" s="7" t="e">
        <f t="shared" si="169"/>
        <v>#REF!</v>
      </c>
      <c r="G234">
        <v>1.71797</v>
      </c>
      <c r="J234">
        <v>0.62180217999999998</v>
      </c>
      <c r="K234" s="582">
        <f t="shared" si="183"/>
        <v>124.36043599999999</v>
      </c>
      <c r="Y234" s="609"/>
      <c r="AA234" s="601"/>
    </row>
    <row r="235" spans="2:27">
      <c r="B235" s="540">
        <f t="shared" si="179"/>
        <v>51593</v>
      </c>
      <c r="C235" s="16">
        <f t="shared" si="180"/>
        <v>200</v>
      </c>
      <c r="D235" s="7" t="e">
        <f t="shared" si="178"/>
        <v>#REF!</v>
      </c>
      <c r="E235" s="205" t="e">
        <f t="shared" si="175"/>
        <v>#REF!</v>
      </c>
      <c r="F235" s="7" t="e">
        <f t="shared" si="169"/>
        <v>#REF!</v>
      </c>
      <c r="G235">
        <v>1.72183</v>
      </c>
      <c r="J235">
        <v>0.62069755999999998</v>
      </c>
      <c r="K235" s="582">
        <f t="shared" si="183"/>
        <v>124.139512</v>
      </c>
      <c r="Y235" s="609"/>
      <c r="AA235" s="601"/>
    </row>
    <row r="236" spans="2:27" ht="13.5" thickBot="1">
      <c r="B236" s="584">
        <f t="shared" si="179"/>
        <v>51623</v>
      </c>
      <c r="C236" s="16">
        <f t="shared" si="180"/>
        <v>200</v>
      </c>
      <c r="D236" s="7" t="e">
        <f t="shared" si="178"/>
        <v>#REF!</v>
      </c>
      <c r="E236" s="205" t="e">
        <f t="shared" ref="E236" si="192">+(I230)*F235*(B236-B235)/360</f>
        <v>#REF!</v>
      </c>
      <c r="F236" s="7" t="e">
        <f t="shared" si="169"/>
        <v>#REF!</v>
      </c>
      <c r="G236">
        <v>1.7208600000000001</v>
      </c>
      <c r="H236" s="545">
        <v>9.5999999999999992E-3</v>
      </c>
      <c r="I236" s="572">
        <f t="shared" ref="I236" si="193">+H236+G236/100</f>
        <v>2.6808600000000002E-2</v>
      </c>
      <c r="J236">
        <v>0.61962932000000004</v>
      </c>
      <c r="K236" s="582">
        <f t="shared" si="183"/>
        <v>123.925864</v>
      </c>
      <c r="Y236" s="609"/>
      <c r="AA236" s="601"/>
    </row>
    <row r="237" spans="2:27">
      <c r="B237" s="538">
        <f t="shared" si="179"/>
        <v>51654</v>
      </c>
      <c r="C237" s="16">
        <f t="shared" si="180"/>
        <v>200</v>
      </c>
      <c r="D237" s="7" t="e">
        <f t="shared" si="178"/>
        <v>#REF!</v>
      </c>
      <c r="E237" s="205" t="e">
        <f t="shared" si="168"/>
        <v>#REF!</v>
      </c>
      <c r="F237" s="7" t="e">
        <f t="shared" si="169"/>
        <v>#REF!</v>
      </c>
      <c r="G237">
        <v>1.7175</v>
      </c>
      <c r="J237">
        <v>0.61866604999999997</v>
      </c>
      <c r="K237" s="582">
        <f t="shared" si="183"/>
        <v>123.73321</v>
      </c>
      <c r="Y237" s="609"/>
      <c r="AA237" s="601"/>
    </row>
    <row r="238" spans="2:27">
      <c r="B238" s="539">
        <f t="shared" si="179"/>
        <v>51684</v>
      </c>
      <c r="C238" s="16">
        <f t="shared" si="180"/>
        <v>200</v>
      </c>
      <c r="D238" s="7" t="e">
        <f t="shared" si="178"/>
        <v>#REF!</v>
      </c>
      <c r="E238" s="205" t="e">
        <f t="shared" si="172"/>
        <v>#REF!</v>
      </c>
      <c r="F238" s="7" t="e">
        <f t="shared" si="169"/>
        <v>#REF!</v>
      </c>
      <c r="G238">
        <v>1.70411</v>
      </c>
      <c r="J238">
        <v>0.61753269</v>
      </c>
      <c r="K238" s="582">
        <f t="shared" si="183"/>
        <v>123.50653800000001</v>
      </c>
      <c r="Y238" s="609"/>
      <c r="AA238" s="601"/>
    </row>
    <row r="239" spans="2:27">
      <c r="B239" s="539">
        <f t="shared" si="179"/>
        <v>51715</v>
      </c>
      <c r="C239" s="16">
        <f t="shared" si="180"/>
        <v>200</v>
      </c>
      <c r="D239" s="7" t="e">
        <f t="shared" si="178"/>
        <v>#REF!</v>
      </c>
      <c r="E239" s="205" t="e">
        <f t="shared" si="173"/>
        <v>#REF!</v>
      </c>
      <c r="F239" s="7" t="e">
        <f t="shared" si="169"/>
        <v>#REF!</v>
      </c>
      <c r="G239">
        <v>1.67788</v>
      </c>
      <c r="J239">
        <v>0.61650415999999997</v>
      </c>
      <c r="K239" s="582">
        <f t="shared" si="183"/>
        <v>123.300832</v>
      </c>
      <c r="Y239" s="609"/>
      <c r="AA239" s="601"/>
    </row>
    <row r="240" spans="2:27">
      <c r="B240" s="539">
        <f t="shared" si="179"/>
        <v>51746</v>
      </c>
      <c r="C240" s="16">
        <f t="shared" si="180"/>
        <v>200</v>
      </c>
      <c r="D240" s="7" t="e">
        <f t="shared" si="178"/>
        <v>#REF!</v>
      </c>
      <c r="E240" s="205" t="e">
        <f t="shared" si="174"/>
        <v>#REF!</v>
      </c>
      <c r="F240" s="7" t="e">
        <f t="shared" si="169"/>
        <v>#REF!</v>
      </c>
      <c r="G240">
        <v>1.65446</v>
      </c>
      <c r="J240">
        <v>0.61544314</v>
      </c>
      <c r="K240" s="582">
        <f t="shared" si="183"/>
        <v>123.088628</v>
      </c>
      <c r="Y240" s="609"/>
      <c r="AA240" s="601"/>
    </row>
    <row r="241" spans="2:27">
      <c r="B241" s="539">
        <f t="shared" si="179"/>
        <v>51776</v>
      </c>
      <c r="C241" s="16">
        <f t="shared" si="180"/>
        <v>200</v>
      </c>
      <c r="D241" s="7" t="e">
        <f t="shared" si="178"/>
        <v>#REF!</v>
      </c>
      <c r="E241" s="205" t="e">
        <f t="shared" si="175"/>
        <v>#REF!</v>
      </c>
      <c r="F241" s="7" t="e">
        <f t="shared" si="169"/>
        <v>#REF!</v>
      </c>
      <c r="G241">
        <v>1.6301099999999999</v>
      </c>
      <c r="J241">
        <v>0.61438395000000001</v>
      </c>
      <c r="K241" s="582">
        <f t="shared" si="183"/>
        <v>122.87679</v>
      </c>
      <c r="Y241" s="609"/>
      <c r="AA241" s="601"/>
    </row>
    <row r="242" spans="2:27">
      <c r="B242" s="539">
        <f t="shared" si="179"/>
        <v>51807</v>
      </c>
      <c r="C242" s="16">
        <f t="shared" si="180"/>
        <v>200</v>
      </c>
      <c r="D242" s="7" t="e">
        <f t="shared" si="178"/>
        <v>#REF!</v>
      </c>
      <c r="E242" s="205" t="e">
        <f t="shared" ref="E242" si="194">+(I236)*F241*(B242-B241)/360</f>
        <v>#REF!</v>
      </c>
      <c r="F242" s="7" t="e">
        <f t="shared" si="169"/>
        <v>#REF!</v>
      </c>
      <c r="G242">
        <v>1.60453</v>
      </c>
      <c r="H242" s="545">
        <v>9.5999999999999992E-3</v>
      </c>
      <c r="I242" s="572">
        <f t="shared" ref="I242" si="195">+H242+G242/100</f>
        <v>2.5645299999999996E-2</v>
      </c>
      <c r="J242">
        <v>0.61339474999999999</v>
      </c>
      <c r="K242" s="582">
        <f t="shared" si="183"/>
        <v>122.67895</v>
      </c>
      <c r="Y242" s="609"/>
      <c r="AA242" s="601"/>
    </row>
    <row r="243" spans="2:27">
      <c r="B243" s="540">
        <f t="shared" si="179"/>
        <v>51837</v>
      </c>
      <c r="C243" s="16">
        <f t="shared" si="180"/>
        <v>200</v>
      </c>
      <c r="D243" s="7" t="e">
        <f t="shared" si="178"/>
        <v>#REF!</v>
      </c>
      <c r="E243" s="205" t="e">
        <f t="shared" si="168"/>
        <v>#REF!</v>
      </c>
      <c r="F243" s="7" t="e">
        <f t="shared" si="169"/>
        <v>#REF!</v>
      </c>
      <c r="G243">
        <v>1.5825400000000001</v>
      </c>
      <c r="J243">
        <v>0.61230505999999996</v>
      </c>
      <c r="K243" s="582">
        <f t="shared" si="183"/>
        <v>122.461012</v>
      </c>
      <c r="Y243" s="609"/>
      <c r="AA243" s="601"/>
    </row>
    <row r="244" spans="2:27">
      <c r="B244" s="540">
        <f t="shared" si="179"/>
        <v>51868</v>
      </c>
      <c r="C244" s="16">
        <f t="shared" si="180"/>
        <v>200</v>
      </c>
      <c r="D244" s="7" t="e">
        <f t="shared" si="178"/>
        <v>#REF!</v>
      </c>
      <c r="E244" s="205" t="e">
        <f t="shared" si="172"/>
        <v>#REF!</v>
      </c>
      <c r="F244" s="7" t="e">
        <f t="shared" si="169"/>
        <v>#REF!</v>
      </c>
      <c r="G244">
        <v>1.5767800000000001</v>
      </c>
      <c r="J244">
        <v>0.61125127999999995</v>
      </c>
      <c r="K244" s="582">
        <f t="shared" si="183"/>
        <v>122.25025599999999</v>
      </c>
      <c r="Y244" s="609"/>
      <c r="AA244" s="601"/>
    </row>
    <row r="245" spans="2:27">
      <c r="B245" s="540">
        <f t="shared" si="179"/>
        <v>51899</v>
      </c>
      <c r="C245" s="16">
        <f t="shared" si="180"/>
        <v>200</v>
      </c>
      <c r="D245" s="7" t="e">
        <f t="shared" si="178"/>
        <v>#REF!</v>
      </c>
      <c r="E245" s="205" t="e">
        <f t="shared" si="173"/>
        <v>#REF!</v>
      </c>
      <c r="F245" s="7" t="e">
        <f t="shared" si="169"/>
        <v>#REF!</v>
      </c>
      <c r="G245">
        <v>1.5733999999999999</v>
      </c>
      <c r="J245">
        <v>0.61030103000000002</v>
      </c>
      <c r="K245" s="582">
        <f t="shared" si="183"/>
        <v>122.06020600000001</v>
      </c>
      <c r="Y245" s="609"/>
      <c r="AA245" s="601"/>
    </row>
    <row r="246" spans="2:27">
      <c r="B246" s="540">
        <f t="shared" si="179"/>
        <v>51927</v>
      </c>
      <c r="C246" s="16">
        <f t="shared" si="180"/>
        <v>200</v>
      </c>
      <c r="D246" s="7" t="e">
        <f t="shared" si="178"/>
        <v>#REF!</v>
      </c>
      <c r="E246" s="205" t="e">
        <f t="shared" si="174"/>
        <v>#REF!</v>
      </c>
      <c r="F246" s="7" t="e">
        <f t="shared" si="169"/>
        <v>#REF!</v>
      </c>
      <c r="G246">
        <v>1.57734</v>
      </c>
      <c r="J246">
        <v>0.60925068999999998</v>
      </c>
      <c r="K246" s="582">
        <f t="shared" si="183"/>
        <v>121.850138</v>
      </c>
      <c r="Y246" s="609"/>
      <c r="AA246" s="601"/>
    </row>
    <row r="247" spans="2:27">
      <c r="B247" s="540">
        <f t="shared" si="179"/>
        <v>51958</v>
      </c>
      <c r="C247" s="16">
        <f t="shared" si="180"/>
        <v>200</v>
      </c>
      <c r="D247" s="7" t="e">
        <f t="shared" si="178"/>
        <v>#REF!</v>
      </c>
      <c r="E247" s="205" t="e">
        <f t="shared" si="175"/>
        <v>#REF!</v>
      </c>
      <c r="F247" s="7" t="e">
        <f t="shared" si="169"/>
        <v>#REF!</v>
      </c>
      <c r="G247">
        <v>1.5764</v>
      </c>
      <c r="J247">
        <v>0.60823594999999997</v>
      </c>
      <c r="K247" s="582">
        <f t="shared" si="183"/>
        <v>121.64718999999999</v>
      </c>
      <c r="Y247" s="609"/>
      <c r="AA247" s="601"/>
    </row>
    <row r="248" spans="2:27" ht="13.5" thickBot="1">
      <c r="B248" s="584">
        <f t="shared" si="179"/>
        <v>51988</v>
      </c>
      <c r="C248" s="16">
        <f t="shared" si="180"/>
        <v>200</v>
      </c>
      <c r="D248" s="7" t="e">
        <f t="shared" si="178"/>
        <v>#REF!</v>
      </c>
      <c r="E248" s="205" t="e">
        <f t="shared" ref="E248" si="196">+(I242)*F247*(B248-B247)/360</f>
        <v>#REF!</v>
      </c>
      <c r="F248" s="7" t="e">
        <f t="shared" si="169"/>
        <v>#REF!</v>
      </c>
      <c r="H248" s="545">
        <v>9.5999999999999992E-3</v>
      </c>
      <c r="I248" s="572">
        <f t="shared" ref="I248" si="197">+H248+G248/100</f>
        <v>9.5999999999999992E-3</v>
      </c>
      <c r="J248">
        <v>0.60823594999999997</v>
      </c>
      <c r="K248" s="582" t="e">
        <f>+(C248+F248)*J248</f>
        <v>#REF!</v>
      </c>
      <c r="Y248" s="609"/>
      <c r="AA248" s="601"/>
    </row>
    <row r="249" spans="2:27">
      <c r="B249" s="538"/>
      <c r="Y249" s="609"/>
      <c r="AA249" s="601"/>
    </row>
    <row r="250" spans="2:27">
      <c r="B250" s="539"/>
      <c r="Y250" s="609"/>
      <c r="AA250" s="601"/>
    </row>
    <row r="251" spans="2:27">
      <c r="B251" s="539"/>
      <c r="Y251" s="609"/>
      <c r="AA251" s="601"/>
    </row>
    <row r="252" spans="2:27">
      <c r="B252" s="539"/>
      <c r="Y252" s="609"/>
      <c r="AA252" s="601"/>
    </row>
    <row r="253" spans="2:27">
      <c r="B253" s="539"/>
      <c r="Y253" s="609"/>
      <c r="AA253" s="601"/>
    </row>
    <row r="254" spans="2:27">
      <c r="B254" s="539"/>
      <c r="Y254" s="609"/>
      <c r="AA254" s="601"/>
    </row>
    <row r="255" spans="2:27">
      <c r="B255" s="540"/>
      <c r="Y255" s="609"/>
      <c r="AA255" s="601"/>
    </row>
    <row r="256" spans="2:27">
      <c r="B256" s="540"/>
      <c r="Y256" s="609"/>
      <c r="AA256" s="601"/>
    </row>
    <row r="257" spans="2:27">
      <c r="B257" s="540"/>
      <c r="Y257" s="609"/>
      <c r="AA257" s="601"/>
    </row>
    <row r="258" spans="2:27">
      <c r="B258" s="540"/>
      <c r="Y258" s="609"/>
      <c r="AA258" s="601"/>
    </row>
    <row r="259" spans="2:27">
      <c r="B259" s="540"/>
      <c r="Y259" s="609"/>
      <c r="AA259" s="601"/>
    </row>
    <row r="260" spans="2:27" ht="13.5" thickBot="1">
      <c r="B260" s="584"/>
      <c r="Y260" s="609"/>
      <c r="AA260" s="601"/>
    </row>
    <row r="261" spans="2:27">
      <c r="B261" s="538"/>
      <c r="Y261" s="609"/>
      <c r="AA261" s="601"/>
    </row>
    <row r="262" spans="2:27">
      <c r="B262" s="539"/>
      <c r="Y262" s="609"/>
      <c r="AA262" s="601"/>
    </row>
    <row r="263" spans="2:27">
      <c r="B263" s="539"/>
      <c r="Y263" s="609"/>
      <c r="AA263" s="601"/>
    </row>
    <row r="264" spans="2:27">
      <c r="B264" s="539"/>
      <c r="Y264" s="609"/>
      <c r="AA264" s="601"/>
    </row>
    <row r="265" spans="2:27">
      <c r="B265" s="539"/>
      <c r="Y265" s="609"/>
      <c r="AA265" s="601"/>
    </row>
    <row r="266" spans="2:27">
      <c r="B266" s="539"/>
      <c r="Y266" s="609"/>
      <c r="AA266" s="601"/>
    </row>
    <row r="267" spans="2:27">
      <c r="B267" s="540"/>
      <c r="Y267" s="609"/>
      <c r="AA267" s="601"/>
    </row>
    <row r="268" spans="2:27">
      <c r="B268" s="540"/>
      <c r="Y268" s="609"/>
      <c r="AA268" s="601"/>
    </row>
    <row r="269" spans="2:27">
      <c r="B269" s="540"/>
      <c r="Y269" s="609"/>
      <c r="AA269" s="601"/>
    </row>
    <row r="270" spans="2:27">
      <c r="B270" s="540"/>
      <c r="Y270" s="609"/>
      <c r="AA270" s="601"/>
    </row>
    <row r="271" spans="2:27">
      <c r="B271" s="540"/>
      <c r="Y271" s="609"/>
      <c r="AA271" s="601"/>
    </row>
    <row r="272" spans="2:27" ht="13.5" thickBot="1">
      <c r="B272" s="584"/>
      <c r="Y272" s="609"/>
      <c r="AA272" s="601"/>
    </row>
    <row r="273" spans="2:27">
      <c r="B273" s="538"/>
      <c r="Y273" s="609"/>
      <c r="AA273" s="601"/>
    </row>
    <row r="274" spans="2:27">
      <c r="B274" s="539"/>
      <c r="Y274" s="609"/>
      <c r="AA274" s="601"/>
    </row>
    <row r="275" spans="2:27">
      <c r="B275" s="539"/>
      <c r="Y275" s="609"/>
      <c r="AA275" s="601"/>
    </row>
    <row r="276" spans="2:27">
      <c r="B276" s="539"/>
      <c r="Y276" s="609"/>
      <c r="AA276" s="601"/>
    </row>
    <row r="277" spans="2:27">
      <c r="B277" s="539"/>
      <c r="Y277" s="609"/>
      <c r="AA277" s="601"/>
    </row>
    <row r="278" spans="2:27">
      <c r="B278" s="539"/>
      <c r="Y278" s="609"/>
      <c r="AA278" s="601"/>
    </row>
    <row r="279" spans="2:27">
      <c r="B279" s="540"/>
      <c r="Y279" s="609"/>
      <c r="AA279" s="601"/>
    </row>
    <row r="280" spans="2:27">
      <c r="B280" s="540"/>
      <c r="Y280" s="609"/>
      <c r="AA280" s="601"/>
    </row>
    <row r="281" spans="2:27">
      <c r="B281" s="540"/>
      <c r="Y281" s="609"/>
      <c r="AA281" s="601"/>
    </row>
    <row r="282" spans="2:27">
      <c r="B282" s="540"/>
      <c r="Y282" s="609"/>
      <c r="AA282" s="601"/>
    </row>
    <row r="283" spans="2:27">
      <c r="B283" s="540"/>
      <c r="Y283" s="609"/>
      <c r="AA283" s="601"/>
    </row>
    <row r="284" spans="2:27" ht="13.5" thickBot="1">
      <c r="B284" s="584"/>
      <c r="Y284" s="609"/>
      <c r="AA284" s="601"/>
    </row>
    <row r="285" spans="2:27">
      <c r="B285" s="538"/>
      <c r="Y285" s="609"/>
      <c r="AA285" s="601"/>
    </row>
    <row r="286" spans="2:27">
      <c r="B286" s="539"/>
      <c r="Y286" s="609"/>
      <c r="AA286" s="601"/>
    </row>
    <row r="287" spans="2:27">
      <c r="B287" s="539"/>
      <c r="Y287" s="609"/>
      <c r="AA287" s="601"/>
    </row>
    <row r="288" spans="2:27">
      <c r="B288" s="539"/>
      <c r="Y288" s="609"/>
      <c r="AA288" s="601"/>
    </row>
    <row r="289" spans="2:27">
      <c r="B289" s="539"/>
      <c r="Y289" s="609"/>
      <c r="AA289" s="601"/>
    </row>
    <row r="290" spans="2:27">
      <c r="B290" s="539"/>
      <c r="Y290" s="609"/>
      <c r="AA290" s="601"/>
    </row>
    <row r="291" spans="2:27">
      <c r="B291" s="540"/>
      <c r="Y291" s="609"/>
      <c r="AA291" s="601"/>
    </row>
    <row r="292" spans="2:27">
      <c r="B292" s="540"/>
      <c r="Y292" s="609"/>
      <c r="AA292" s="601"/>
    </row>
    <row r="293" spans="2:27">
      <c r="B293" s="540"/>
      <c r="Y293" s="609"/>
      <c r="AA293" s="601"/>
    </row>
    <row r="294" spans="2:27">
      <c r="B294" s="540"/>
      <c r="Y294" s="609"/>
      <c r="AA294" s="601"/>
    </row>
    <row r="295" spans="2:27">
      <c r="B295" s="540"/>
      <c r="Y295" s="609"/>
      <c r="AA295" s="601"/>
    </row>
    <row r="296" spans="2:27" ht="13.5" thickBot="1">
      <c r="B296" s="584"/>
      <c r="Y296" s="609"/>
      <c r="AA296" s="601"/>
    </row>
    <row r="297" spans="2:27">
      <c r="B297" s="538"/>
      <c r="Y297" s="609"/>
      <c r="AA297" s="601"/>
    </row>
    <row r="298" spans="2:27">
      <c r="B298" s="539"/>
      <c r="Y298" s="609"/>
      <c r="AA298" s="601"/>
    </row>
    <row r="299" spans="2:27">
      <c r="B299" s="539"/>
      <c r="Y299" s="609"/>
      <c r="AA299" s="601"/>
    </row>
    <row r="300" spans="2:27">
      <c r="B300" s="539"/>
      <c r="Y300" s="609"/>
      <c r="AA300" s="601"/>
    </row>
    <row r="301" spans="2:27">
      <c r="B301" s="539"/>
      <c r="Y301" s="609"/>
      <c r="AA301" s="601"/>
    </row>
    <row r="302" spans="2:27">
      <c r="B302" s="539"/>
      <c r="Y302" s="609"/>
      <c r="AA302" s="601"/>
    </row>
    <row r="303" spans="2:27">
      <c r="B303" s="540"/>
      <c r="Y303" s="609"/>
      <c r="AA303" s="601"/>
    </row>
    <row r="304" spans="2:27">
      <c r="B304" s="540"/>
      <c r="Y304" s="609"/>
      <c r="AA304" s="601"/>
    </row>
    <row r="305" spans="2:27">
      <c r="B305" s="540"/>
      <c r="Y305" s="609"/>
      <c r="AA305" s="601"/>
    </row>
    <row r="306" spans="2:27">
      <c r="B306" s="540"/>
      <c r="Y306" s="609"/>
      <c r="AA306" s="601"/>
    </row>
    <row r="307" spans="2:27">
      <c r="B307" s="540"/>
      <c r="Y307" s="609"/>
      <c r="AA307" s="601"/>
    </row>
    <row r="308" spans="2:27" ht="13.5" thickBot="1">
      <c r="B308" s="584"/>
      <c r="Y308" s="609"/>
      <c r="AA308" s="601"/>
    </row>
    <row r="309" spans="2:27">
      <c r="B309" s="538"/>
      <c r="Y309" s="609"/>
      <c r="AA309" s="601"/>
    </row>
    <row r="310" spans="2:27">
      <c r="B310" s="539"/>
      <c r="Y310" s="609"/>
      <c r="AA310" s="601"/>
    </row>
    <row r="311" spans="2:27">
      <c r="B311" s="539"/>
      <c r="Y311" s="609"/>
      <c r="AA311" s="601"/>
    </row>
    <row r="312" spans="2:27">
      <c r="B312" s="539"/>
      <c r="Y312" s="609"/>
      <c r="AA312" s="601"/>
    </row>
    <row r="313" spans="2:27">
      <c r="B313" s="539"/>
      <c r="Y313" s="609"/>
      <c r="AA313" s="601"/>
    </row>
    <row r="314" spans="2:27">
      <c r="B314" s="539"/>
      <c r="Y314" s="609"/>
      <c r="AA314" s="601"/>
    </row>
    <row r="315" spans="2:27">
      <c r="B315" s="540"/>
      <c r="Y315" s="609"/>
      <c r="AA315" s="601"/>
    </row>
    <row r="316" spans="2:27">
      <c r="B316" s="540"/>
      <c r="Y316" s="609"/>
      <c r="AA316" s="601"/>
    </row>
    <row r="317" spans="2:27">
      <c r="B317" s="540"/>
      <c r="Y317" s="609"/>
      <c r="AA317" s="601"/>
    </row>
    <row r="318" spans="2:27">
      <c r="B318" s="540"/>
      <c r="Y318" s="609"/>
      <c r="AA318" s="601"/>
    </row>
    <row r="319" spans="2:27">
      <c r="B319" s="540"/>
      <c r="Y319" s="609"/>
      <c r="AA319" s="601"/>
    </row>
    <row r="320" spans="2:27" ht="13.5" thickBot="1">
      <c r="B320" s="584"/>
      <c r="Y320" s="609"/>
      <c r="AA320" s="601"/>
    </row>
    <row r="321" spans="2:27">
      <c r="B321" s="538"/>
      <c r="Y321" s="609"/>
      <c r="AA321" s="601"/>
    </row>
    <row r="322" spans="2:27">
      <c r="B322" s="539"/>
      <c r="Y322" s="609"/>
      <c r="AA322" s="601"/>
    </row>
    <row r="323" spans="2:27">
      <c r="B323" s="539"/>
      <c r="Y323" s="609"/>
      <c r="AA323" s="601"/>
    </row>
    <row r="324" spans="2:27">
      <c r="B324" s="539"/>
      <c r="Y324" s="609"/>
      <c r="AA324" s="601"/>
    </row>
    <row r="325" spans="2:27">
      <c r="B325" s="539"/>
      <c r="Y325" s="609"/>
      <c r="AA325" s="601"/>
    </row>
    <row r="326" spans="2:27">
      <c r="B326" s="539"/>
      <c r="Y326" s="609"/>
      <c r="AA326" s="601"/>
    </row>
    <row r="327" spans="2:27">
      <c r="B327" s="540"/>
      <c r="Y327" s="609"/>
      <c r="AA327" s="601"/>
    </row>
    <row r="328" spans="2:27">
      <c r="B328" s="540"/>
      <c r="Y328" s="609"/>
      <c r="AA328" s="601"/>
    </row>
    <row r="329" spans="2:27">
      <c r="B329" s="540"/>
      <c r="Y329" s="609"/>
      <c r="AA329" s="601"/>
    </row>
    <row r="330" spans="2:27">
      <c r="B330" s="540"/>
      <c r="Y330" s="609"/>
      <c r="AA330" s="601"/>
    </row>
    <row r="331" spans="2:27">
      <c r="B331" s="540"/>
      <c r="Y331" s="609"/>
      <c r="AA331" s="601"/>
    </row>
    <row r="332" spans="2:27" ht="13.5" thickBot="1">
      <c r="B332" s="584"/>
      <c r="Y332" s="609"/>
      <c r="AA332" s="601"/>
    </row>
    <row r="333" spans="2:27">
      <c r="B333" s="538"/>
      <c r="Y333" s="609"/>
      <c r="AA333" s="601"/>
    </row>
    <row r="334" spans="2:27">
      <c r="B334" s="539"/>
      <c r="Y334" s="609"/>
      <c r="AA334" s="601"/>
    </row>
    <row r="335" spans="2:27">
      <c r="B335" s="539"/>
      <c r="Y335" s="609"/>
      <c r="AA335" s="601"/>
    </row>
    <row r="336" spans="2:27">
      <c r="B336" s="539"/>
      <c r="Y336" s="609"/>
      <c r="AA336" s="601"/>
    </row>
    <row r="337" spans="2:27">
      <c r="B337" s="539"/>
      <c r="Y337" s="609"/>
      <c r="AA337" s="601"/>
    </row>
    <row r="338" spans="2:27">
      <c r="B338" s="539"/>
      <c r="Y338" s="609"/>
      <c r="AA338" s="601"/>
    </row>
    <row r="339" spans="2:27">
      <c r="B339" s="540"/>
      <c r="Y339" s="609"/>
      <c r="AA339" s="601"/>
    </row>
    <row r="340" spans="2:27">
      <c r="B340" s="540"/>
      <c r="Y340" s="609"/>
      <c r="AA340" s="601"/>
    </row>
    <row r="341" spans="2:27">
      <c r="B341" s="540"/>
      <c r="Y341" s="609"/>
      <c r="AA341" s="601"/>
    </row>
    <row r="342" spans="2:27">
      <c r="B342" s="540"/>
      <c r="Y342" s="609"/>
      <c r="AA342" s="601"/>
    </row>
    <row r="343" spans="2:27">
      <c r="B343" s="540"/>
      <c r="Y343" s="609"/>
      <c r="AA343" s="601"/>
    </row>
    <row r="344" spans="2:27" ht="13.5" thickBot="1">
      <c r="B344" s="584"/>
      <c r="Y344" s="609"/>
      <c r="AA344" s="601"/>
    </row>
    <row r="345" spans="2:27">
      <c r="B345" s="538"/>
      <c r="Y345" s="609"/>
      <c r="AA345" s="601"/>
    </row>
    <row r="346" spans="2:27">
      <c r="B346" s="539"/>
      <c r="Y346" s="609"/>
      <c r="AA346" s="601"/>
    </row>
    <row r="347" spans="2:27">
      <c r="B347" s="539"/>
      <c r="Y347" s="609"/>
      <c r="AA347" s="601"/>
    </row>
    <row r="348" spans="2:27">
      <c r="B348" s="539"/>
      <c r="Y348" s="609"/>
      <c r="AA348" s="601"/>
    </row>
    <row r="349" spans="2:27">
      <c r="B349" s="539"/>
      <c r="Y349" s="609"/>
      <c r="AA349" s="601"/>
    </row>
    <row r="350" spans="2:27">
      <c r="B350" s="539"/>
      <c r="Y350" s="609"/>
      <c r="AA350" s="601"/>
    </row>
    <row r="351" spans="2:27">
      <c r="B351" s="540"/>
      <c r="Y351" s="609"/>
      <c r="AA351" s="601"/>
    </row>
    <row r="352" spans="2:27">
      <c r="B352" s="540"/>
      <c r="Y352" s="609"/>
      <c r="AA352" s="601"/>
    </row>
    <row r="353" spans="2:27">
      <c r="B353" s="540"/>
      <c r="Y353" s="609"/>
      <c r="AA353" s="601"/>
    </row>
    <row r="354" spans="2:27">
      <c r="B354" s="540"/>
      <c r="Y354" s="609"/>
      <c r="AA354" s="601"/>
    </row>
    <row r="355" spans="2:27">
      <c r="B355" s="540"/>
      <c r="Y355" s="609"/>
      <c r="AA355" s="601"/>
    </row>
    <row r="356" spans="2:27" ht="13.5" thickBot="1">
      <c r="B356" s="584"/>
      <c r="Y356" s="609"/>
      <c r="AA356" s="601"/>
    </row>
    <row r="357" spans="2:27">
      <c r="B357" s="538"/>
      <c r="Y357" s="609"/>
      <c r="AA357" s="601"/>
    </row>
    <row r="358" spans="2:27">
      <c r="B358" s="539"/>
      <c r="Y358" s="609"/>
      <c r="AA358" s="601"/>
    </row>
    <row r="359" spans="2:27">
      <c r="B359" s="539"/>
      <c r="Y359" s="609"/>
      <c r="AA359" s="601"/>
    </row>
    <row r="360" spans="2:27">
      <c r="B360" s="539"/>
      <c r="Y360" s="609"/>
      <c r="AA360" s="601"/>
    </row>
    <row r="361" spans="2:27">
      <c r="B361" s="539"/>
      <c r="Y361" s="609"/>
      <c r="AA361" s="601"/>
    </row>
    <row r="362" spans="2:27">
      <c r="B362" s="539"/>
      <c r="Y362" s="609"/>
      <c r="AA362" s="601"/>
    </row>
    <row r="363" spans="2:27">
      <c r="B363" s="540"/>
      <c r="Y363" s="609"/>
      <c r="AA363" s="601"/>
    </row>
    <row r="364" spans="2:27">
      <c r="B364" s="540"/>
      <c r="Y364" s="609"/>
      <c r="AA364" s="601"/>
    </row>
    <row r="365" spans="2:27">
      <c r="B365" s="540"/>
      <c r="Y365" s="609"/>
      <c r="AA365" s="601"/>
    </row>
    <row r="366" spans="2:27">
      <c r="B366" s="540"/>
      <c r="Y366" s="609"/>
      <c r="AA366" s="601"/>
    </row>
    <row r="367" spans="2:27">
      <c r="B367" s="540"/>
      <c r="Y367" s="609"/>
      <c r="AA367" s="601"/>
    </row>
    <row r="368" spans="2:27" ht="13.5" thickBot="1">
      <c r="B368" s="584"/>
      <c r="Y368" s="609"/>
      <c r="AA368" s="601"/>
    </row>
    <row r="369" spans="2:27">
      <c r="B369" s="538"/>
      <c r="Y369" s="609"/>
      <c r="AA369" s="601"/>
    </row>
    <row r="370" spans="2:27">
      <c r="B370" s="539"/>
      <c r="Y370" s="609"/>
      <c r="AA370" s="601"/>
    </row>
    <row r="371" spans="2:27">
      <c r="B371" s="539"/>
      <c r="Y371" s="609"/>
      <c r="AA371" s="601"/>
    </row>
    <row r="372" spans="2:27">
      <c r="B372" s="539"/>
      <c r="Y372" s="609"/>
      <c r="AA372" s="601"/>
    </row>
    <row r="373" spans="2:27">
      <c r="B373" s="539"/>
      <c r="Y373" s="609"/>
      <c r="AA373" s="601"/>
    </row>
    <row r="374" spans="2:27">
      <c r="B374" s="539"/>
      <c r="Y374" s="609"/>
      <c r="AA374" s="601"/>
    </row>
    <row r="375" spans="2:27">
      <c r="B375" s="540"/>
      <c r="Y375" s="609"/>
      <c r="AA375" s="601"/>
    </row>
    <row r="376" spans="2:27">
      <c r="B376" s="540"/>
      <c r="Y376" s="609"/>
      <c r="AA376" s="601"/>
    </row>
    <row r="377" spans="2:27">
      <c r="B377" s="540"/>
      <c r="Y377" s="609"/>
      <c r="AA377" s="601"/>
    </row>
    <row r="378" spans="2:27">
      <c r="B378" s="540"/>
      <c r="Y378" s="609"/>
      <c r="AA378" s="601"/>
    </row>
    <row r="379" spans="2:27">
      <c r="B379" s="540"/>
      <c r="Y379" s="609"/>
      <c r="AA379" s="601"/>
    </row>
    <row r="380" spans="2:27" ht="13.5" thickBot="1">
      <c r="B380" s="584"/>
      <c r="Y380" s="609"/>
      <c r="AA380" s="601"/>
    </row>
    <row r="381" spans="2:27">
      <c r="B381" s="538"/>
      <c r="Y381" s="609"/>
      <c r="AA381" s="601"/>
    </row>
    <row r="382" spans="2:27">
      <c r="B382" s="539"/>
      <c r="Y382" s="609"/>
      <c r="AA382" s="601"/>
    </row>
    <row r="383" spans="2:27">
      <c r="B383" s="539"/>
      <c r="Y383" s="609"/>
      <c r="AA383" s="601"/>
    </row>
    <row r="384" spans="2:27">
      <c r="B384" s="539"/>
      <c r="Y384" s="609"/>
      <c r="AA384" s="601"/>
    </row>
    <row r="385" spans="2:27">
      <c r="B385" s="539"/>
      <c r="Y385" s="609"/>
      <c r="AA385" s="601"/>
    </row>
    <row r="386" spans="2:27">
      <c r="B386" s="539"/>
      <c r="Y386" s="609"/>
      <c r="AA386" s="601"/>
    </row>
    <row r="387" spans="2:27">
      <c r="B387" s="540"/>
      <c r="Y387" s="609"/>
      <c r="AA387" s="601"/>
    </row>
    <row r="388" spans="2:27">
      <c r="B388" s="540"/>
      <c r="Y388" s="609"/>
      <c r="AA388" s="601"/>
    </row>
    <row r="389" spans="2:27">
      <c r="B389" s="540"/>
      <c r="Y389" s="609"/>
      <c r="AA389" s="601"/>
    </row>
    <row r="390" spans="2:27">
      <c r="B390" s="540"/>
      <c r="Y390" s="609"/>
      <c r="AA390" s="601"/>
    </row>
    <row r="391" spans="2:27">
      <c r="B391" s="540"/>
      <c r="Y391" s="609"/>
      <c r="AA391" s="601"/>
    </row>
    <row r="392" spans="2:27" ht="13.5" thickBot="1">
      <c r="B392" s="584"/>
      <c r="Y392" s="609"/>
      <c r="AA392" s="601"/>
    </row>
    <row r="393" spans="2:27">
      <c r="B393" s="538"/>
      <c r="Y393" s="609"/>
      <c r="AA393" s="601"/>
    </row>
    <row r="394" spans="2:27">
      <c r="B394" s="539"/>
      <c r="Y394" s="609"/>
      <c r="AA394" s="601"/>
    </row>
    <row r="395" spans="2:27">
      <c r="B395" s="539"/>
      <c r="Y395" s="609"/>
      <c r="AA395" s="601"/>
    </row>
    <row r="396" spans="2:27">
      <c r="B396" s="539"/>
      <c r="Y396" s="609"/>
      <c r="AA396" s="601"/>
    </row>
    <row r="397" spans="2:27">
      <c r="B397" s="539"/>
      <c r="Y397" s="609"/>
      <c r="AA397" s="601"/>
    </row>
    <row r="398" spans="2:27">
      <c r="B398" s="539"/>
      <c r="Y398" s="609"/>
      <c r="AA398" s="601"/>
    </row>
    <row r="399" spans="2:27">
      <c r="B399" s="540"/>
      <c r="Y399" s="609"/>
      <c r="AA399" s="601"/>
    </row>
    <row r="400" spans="2:27">
      <c r="B400" s="540"/>
      <c r="Y400" s="609"/>
      <c r="AA400" s="601"/>
    </row>
    <row r="401" spans="2:27">
      <c r="B401" s="540"/>
      <c r="Y401" s="609"/>
      <c r="AA401" s="601"/>
    </row>
    <row r="402" spans="2:27">
      <c r="B402" s="540"/>
      <c r="Y402" s="609"/>
      <c r="AA402" s="601"/>
    </row>
    <row r="403" spans="2:27">
      <c r="B403" s="540"/>
      <c r="Y403" s="609"/>
      <c r="AA403" s="601"/>
    </row>
    <row r="404" spans="2:27" ht="13.5" thickBot="1">
      <c r="B404" s="584"/>
      <c r="Y404" s="609"/>
      <c r="AA404" s="601"/>
    </row>
    <row r="405" spans="2:27">
      <c r="B405" s="538"/>
      <c r="Y405" s="609"/>
      <c r="AA405" s="601"/>
    </row>
    <row r="406" spans="2:27">
      <c r="B406" s="539"/>
      <c r="Y406" s="609"/>
      <c r="AA406" s="601"/>
    </row>
    <row r="407" spans="2:27">
      <c r="B407" s="539"/>
      <c r="Y407" s="609"/>
      <c r="AA407" s="601"/>
    </row>
    <row r="408" spans="2:27">
      <c r="B408" s="539"/>
      <c r="Y408" s="609"/>
      <c r="AA408" s="601"/>
    </row>
    <row r="409" spans="2:27">
      <c r="B409" s="539"/>
      <c r="Y409" s="609"/>
      <c r="AA409" s="601"/>
    </row>
    <row r="410" spans="2:27">
      <c r="B410" s="539"/>
      <c r="Y410" s="609"/>
      <c r="AA410" s="601"/>
    </row>
    <row r="411" spans="2:27">
      <c r="B411" s="540"/>
      <c r="Y411" s="609"/>
      <c r="AA411" s="601"/>
    </row>
    <row r="412" spans="2:27">
      <c r="B412" s="540"/>
      <c r="Y412" s="609"/>
      <c r="AA412" s="601"/>
    </row>
    <row r="413" spans="2:27">
      <c r="B413" s="540"/>
      <c r="AA413" s="601"/>
    </row>
    <row r="414" spans="2:27">
      <c r="B414" s="540"/>
      <c r="AA414" s="601"/>
    </row>
    <row r="415" spans="2:27">
      <c r="B415" s="540"/>
      <c r="AA415" s="601"/>
    </row>
    <row r="416" spans="2:27" ht="13.5" thickBot="1">
      <c r="B416" s="584"/>
      <c r="AA416" s="601"/>
    </row>
    <row r="417" spans="2:2">
      <c r="B417" s="538"/>
    </row>
    <row r="418" spans="2:2">
      <c r="B418" s="539"/>
    </row>
    <row r="419" spans="2:2">
      <c r="B419" s="539"/>
    </row>
    <row r="420" spans="2:2">
      <c r="B420" s="539"/>
    </row>
    <row r="421" spans="2:2">
      <c r="B421" s="539"/>
    </row>
    <row r="422" spans="2:2">
      <c r="B422" s="539"/>
    </row>
    <row r="423" spans="2:2">
      <c r="B423" s="540"/>
    </row>
    <row r="424" spans="2:2">
      <c r="B424" s="540"/>
    </row>
    <row r="425" spans="2:2">
      <c r="B425" s="540"/>
    </row>
    <row r="426" spans="2:2">
      <c r="B426" s="540"/>
    </row>
    <row r="427" spans="2:2">
      <c r="B427" s="540"/>
    </row>
    <row r="428" spans="2:2" ht="13.5" thickBot="1">
      <c r="B428" s="584"/>
    </row>
    <row r="429" spans="2:2">
      <c r="B429" s="538"/>
    </row>
    <row r="430" spans="2:2">
      <c r="B430" s="539"/>
    </row>
    <row r="431" spans="2:2">
      <c r="B431" s="539"/>
    </row>
    <row r="432" spans="2:2">
      <c r="B432" s="539"/>
    </row>
    <row r="433" spans="2:2">
      <c r="B433" s="539"/>
    </row>
    <row r="434" spans="2:2">
      <c r="B434" s="539"/>
    </row>
    <row r="435" spans="2:2">
      <c r="B435" s="540"/>
    </row>
    <row r="436" spans="2:2">
      <c r="B436" s="540"/>
    </row>
    <row r="437" spans="2:2">
      <c r="B437" s="540"/>
    </row>
    <row r="438" spans="2:2">
      <c r="B438" s="540"/>
    </row>
    <row r="439" spans="2:2">
      <c r="B439" s="540"/>
    </row>
    <row r="440" spans="2:2" ht="13.5" thickBot="1">
      <c r="B440" s="584"/>
    </row>
    <row r="441" spans="2:2">
      <c r="B441" s="538"/>
    </row>
    <row r="442" spans="2:2">
      <c r="B442" s="539"/>
    </row>
    <row r="443" spans="2:2">
      <c r="B443" s="539"/>
    </row>
    <row r="444" spans="2:2">
      <c r="B444" s="539"/>
    </row>
    <row r="445" spans="2:2">
      <c r="B445" s="539"/>
    </row>
    <row r="446" spans="2:2">
      <c r="B446" s="539"/>
    </row>
    <row r="447" spans="2:2">
      <c r="B447" s="540"/>
    </row>
    <row r="448" spans="2:2">
      <c r="B448" s="540"/>
    </row>
    <row r="449" spans="2:2">
      <c r="B449" s="540"/>
    </row>
    <row r="450" spans="2:2">
      <c r="B450" s="540"/>
    </row>
    <row r="451" spans="2:2">
      <c r="B451" s="540"/>
    </row>
    <row r="452" spans="2:2" ht="13.5" thickBot="1">
      <c r="B452" s="584"/>
    </row>
    <row r="453" spans="2:2">
      <c r="B453" s="538"/>
    </row>
    <row r="454" spans="2:2">
      <c r="B454" s="539"/>
    </row>
    <row r="455" spans="2:2">
      <c r="B455" s="539"/>
    </row>
    <row r="456" spans="2:2">
      <c r="B456" s="539"/>
    </row>
    <row r="457" spans="2:2">
      <c r="B457" s="539"/>
    </row>
    <row r="458" spans="2:2">
      <c r="B458" s="539"/>
    </row>
    <row r="459" spans="2:2">
      <c r="B459" s="540"/>
    </row>
    <row r="460" spans="2:2">
      <c r="B460" s="540"/>
    </row>
    <row r="461" spans="2:2">
      <c r="B461" s="540"/>
    </row>
    <row r="462" spans="2:2">
      <c r="B462" s="540"/>
    </row>
    <row r="463" spans="2:2">
      <c r="B463" s="540"/>
    </row>
    <row r="464" spans="2:2" ht="13.5" thickBot="1">
      <c r="B464" s="584"/>
    </row>
    <row r="465" spans="2:2">
      <c r="B465" s="538"/>
    </row>
    <row r="466" spans="2:2">
      <c r="B466" s="539"/>
    </row>
    <row r="467" spans="2:2">
      <c r="B467" s="539"/>
    </row>
    <row r="468" spans="2:2">
      <c r="B468" s="539"/>
    </row>
    <row r="469" spans="2:2">
      <c r="B469" s="539"/>
    </row>
    <row r="470" spans="2:2">
      <c r="B470" s="539"/>
    </row>
    <row r="471" spans="2:2">
      <c r="B471" s="540"/>
    </row>
    <row r="472" spans="2:2">
      <c r="B472" s="540"/>
    </row>
    <row r="473" spans="2:2">
      <c r="B473" s="540"/>
    </row>
    <row r="474" spans="2:2">
      <c r="B474" s="540"/>
    </row>
    <row r="475" spans="2:2">
      <c r="B475" s="540"/>
    </row>
    <row r="476" spans="2:2" ht="13.5" thickBot="1">
      <c r="B476" s="584"/>
    </row>
    <row r="477" spans="2:2">
      <c r="B477" s="538"/>
    </row>
    <row r="478" spans="2:2">
      <c r="B478" s="539"/>
    </row>
    <row r="479" spans="2:2">
      <c r="B479" s="539"/>
    </row>
    <row r="480" spans="2:2">
      <c r="B480" s="539"/>
    </row>
    <row r="481" spans="2:2">
      <c r="B481" s="539"/>
    </row>
    <row r="482" spans="2:2">
      <c r="B482" s="539"/>
    </row>
    <row r="483" spans="2:2">
      <c r="B483" s="540"/>
    </row>
    <row r="484" spans="2:2">
      <c r="B484" s="540"/>
    </row>
    <row r="485" spans="2:2">
      <c r="B485" s="540"/>
    </row>
    <row r="486" spans="2:2">
      <c r="B486" s="540"/>
    </row>
    <row r="487" spans="2:2">
      <c r="B487" s="540"/>
    </row>
    <row r="488" spans="2:2" ht="13.5" thickBot="1">
      <c r="B488" s="584"/>
    </row>
    <row r="489" spans="2:2">
      <c r="B489" s="538"/>
    </row>
    <row r="490" spans="2:2">
      <c r="B490" s="539"/>
    </row>
    <row r="491" spans="2:2">
      <c r="B491" s="539"/>
    </row>
    <row r="492" spans="2:2">
      <c r="B492" s="539"/>
    </row>
    <row r="493" spans="2:2">
      <c r="B493" s="539"/>
    </row>
    <row r="494" spans="2:2">
      <c r="B494" s="539"/>
    </row>
    <row r="495" spans="2:2">
      <c r="B495" s="540"/>
    </row>
    <row r="496" spans="2:2">
      <c r="B496" s="540"/>
    </row>
    <row r="497" spans="2:2">
      <c r="B497" s="540"/>
    </row>
    <row r="498" spans="2:2">
      <c r="B498" s="540"/>
    </row>
    <row r="499" spans="2:2">
      <c r="B499" s="540"/>
    </row>
    <row r="500" spans="2:2" ht="13.5" thickBot="1">
      <c r="B500" s="584"/>
    </row>
    <row r="501" spans="2:2">
      <c r="B501" s="538"/>
    </row>
    <row r="502" spans="2:2">
      <c r="B502" s="539"/>
    </row>
    <row r="503" spans="2:2">
      <c r="B503" s="539"/>
    </row>
    <row r="504" spans="2:2">
      <c r="B504" s="539"/>
    </row>
    <row r="505" spans="2:2">
      <c r="B505" s="539"/>
    </row>
    <row r="506" spans="2:2">
      <c r="B506" s="539"/>
    </row>
    <row r="507" spans="2:2">
      <c r="B507" s="540"/>
    </row>
    <row r="508" spans="2:2">
      <c r="B508" s="540"/>
    </row>
    <row r="509" spans="2:2">
      <c r="B509" s="540"/>
    </row>
    <row r="510" spans="2:2">
      <c r="B510" s="540"/>
    </row>
    <row r="511" spans="2:2">
      <c r="B511" s="540"/>
    </row>
    <row r="512" spans="2:2" ht="13.5" thickBot="1">
      <c r="B512" s="584"/>
    </row>
    <row r="513" spans="2:2">
      <c r="B513" s="538"/>
    </row>
    <row r="514" spans="2:2">
      <c r="B514" s="539"/>
    </row>
    <row r="515" spans="2:2">
      <c r="B515" s="539"/>
    </row>
    <row r="516" spans="2:2">
      <c r="B516" s="539"/>
    </row>
    <row r="517" spans="2:2">
      <c r="B517" s="539"/>
    </row>
    <row r="518" spans="2:2">
      <c r="B518" s="539"/>
    </row>
    <row r="519" spans="2:2">
      <c r="B519" s="540"/>
    </row>
    <row r="520" spans="2:2">
      <c r="B520" s="540"/>
    </row>
    <row r="521" spans="2:2">
      <c r="B521" s="540"/>
    </row>
    <row r="522" spans="2:2">
      <c r="B522" s="540"/>
    </row>
    <row r="523" spans="2:2">
      <c r="B523" s="540"/>
    </row>
    <row r="524" spans="2:2" ht="13.5" thickBot="1">
      <c r="B524" s="584"/>
    </row>
    <row r="525" spans="2:2">
      <c r="B525" s="538"/>
    </row>
    <row r="526" spans="2:2">
      <c r="B526" s="539"/>
    </row>
    <row r="527" spans="2:2">
      <c r="B527" s="539"/>
    </row>
    <row r="528" spans="2:2">
      <c r="B528" s="539"/>
    </row>
    <row r="529" spans="2:2">
      <c r="B529" s="539"/>
    </row>
    <row r="530" spans="2:2">
      <c r="B530" s="539"/>
    </row>
    <row r="531" spans="2:2">
      <c r="B531" s="540"/>
    </row>
    <row r="532" spans="2:2">
      <c r="B532" s="540"/>
    </row>
    <row r="533" spans="2:2">
      <c r="B533" s="540"/>
    </row>
    <row r="534" spans="2:2">
      <c r="B534" s="540"/>
    </row>
    <row r="535" spans="2:2">
      <c r="B535" s="540"/>
    </row>
    <row r="536" spans="2:2" ht="13.5" thickBot="1">
      <c r="B536" s="584"/>
    </row>
    <row r="537" spans="2:2">
      <c r="B537" s="538"/>
    </row>
    <row r="538" spans="2:2">
      <c r="B538" s="539"/>
    </row>
    <row r="539" spans="2:2">
      <c r="B539" s="539"/>
    </row>
    <row r="540" spans="2:2">
      <c r="B540" s="539"/>
    </row>
    <row r="541" spans="2:2">
      <c r="B541" s="539"/>
    </row>
    <row r="542" spans="2:2">
      <c r="B542" s="539"/>
    </row>
    <row r="543" spans="2:2">
      <c r="B543" s="540"/>
    </row>
    <row r="544" spans="2:2">
      <c r="B544" s="540"/>
    </row>
    <row r="545" spans="2:2">
      <c r="B545" s="540"/>
    </row>
    <row r="546" spans="2:2">
      <c r="B546" s="540"/>
    </row>
    <row r="547" spans="2:2">
      <c r="B547" s="540"/>
    </row>
    <row r="548" spans="2:2" ht="13.5" thickBot="1">
      <c r="B548" s="584"/>
    </row>
    <row r="549" spans="2:2">
      <c r="B549" s="538"/>
    </row>
    <row r="550" spans="2:2">
      <c r="B550" s="539"/>
    </row>
    <row r="551" spans="2:2">
      <c r="B551" s="539"/>
    </row>
    <row r="552" spans="2:2">
      <c r="B552" s="539"/>
    </row>
    <row r="553" spans="2:2">
      <c r="B553" s="539"/>
    </row>
    <row r="554" spans="2:2">
      <c r="B554" s="539"/>
    </row>
    <row r="555" spans="2:2">
      <c r="B555" s="540"/>
    </row>
    <row r="556" spans="2:2">
      <c r="B556" s="540"/>
    </row>
    <row r="557" spans="2:2">
      <c r="B557" s="540"/>
    </row>
    <row r="558" spans="2:2">
      <c r="B558" s="540"/>
    </row>
    <row r="559" spans="2:2">
      <c r="B559" s="540"/>
    </row>
    <row r="560" spans="2:2" ht="13.5" thickBot="1">
      <c r="B560" s="584"/>
    </row>
    <row r="561" spans="2:2">
      <c r="B561" s="538"/>
    </row>
    <row r="562" spans="2:2">
      <c r="B562" s="539"/>
    </row>
    <row r="563" spans="2:2">
      <c r="B563" s="539"/>
    </row>
    <row r="564" spans="2:2">
      <c r="B564" s="539"/>
    </row>
    <row r="565" spans="2:2">
      <c r="B565" s="539"/>
    </row>
    <row r="566" spans="2:2">
      <c r="B566" s="539"/>
    </row>
    <row r="567" spans="2:2">
      <c r="B567" s="540"/>
    </row>
    <row r="568" spans="2:2">
      <c r="B568" s="540"/>
    </row>
    <row r="569" spans="2:2">
      <c r="B569" s="540"/>
    </row>
    <row r="570" spans="2:2">
      <c r="B570" s="540"/>
    </row>
    <row r="571" spans="2:2">
      <c r="B571" s="540"/>
    </row>
    <row r="572" spans="2:2" ht="13.5" thickBot="1">
      <c r="B572" s="584"/>
    </row>
    <row r="573" spans="2:2">
      <c r="B573" s="538"/>
    </row>
    <row r="574" spans="2:2">
      <c r="B574" s="539"/>
    </row>
    <row r="575" spans="2:2">
      <c r="B575" s="539"/>
    </row>
    <row r="576" spans="2:2">
      <c r="B576" s="539"/>
    </row>
    <row r="577" spans="2:2">
      <c r="B577" s="539"/>
    </row>
    <row r="578" spans="2:2">
      <c r="B578" s="539"/>
    </row>
    <row r="579" spans="2:2">
      <c r="B579" s="540"/>
    </row>
    <row r="580" spans="2:2">
      <c r="B580" s="540"/>
    </row>
    <row r="581" spans="2:2">
      <c r="B581" s="540"/>
    </row>
    <row r="582" spans="2:2">
      <c r="B582" s="540"/>
    </row>
    <row r="583" spans="2:2">
      <c r="B583" s="540"/>
    </row>
    <row r="584" spans="2:2" ht="13.5" thickBot="1">
      <c r="B584" s="584"/>
    </row>
    <row r="585" spans="2:2">
      <c r="B585" s="538"/>
    </row>
    <row r="586" spans="2:2">
      <c r="B586" s="539"/>
    </row>
    <row r="587" spans="2:2">
      <c r="B587" s="539"/>
    </row>
    <row r="588" spans="2:2">
      <c r="B588" s="539"/>
    </row>
    <row r="589" spans="2:2">
      <c r="B589" s="539"/>
    </row>
    <row r="590" spans="2:2">
      <c r="B590" s="539"/>
    </row>
    <row r="591" spans="2:2">
      <c r="B591" s="540"/>
    </row>
    <row r="592" spans="2:2">
      <c r="B592" s="540"/>
    </row>
    <row r="593" spans="2:2">
      <c r="B593" s="540"/>
    </row>
    <row r="594" spans="2:2">
      <c r="B594" s="540"/>
    </row>
    <row r="595" spans="2:2">
      <c r="B595" s="540"/>
    </row>
    <row r="596" spans="2:2" ht="13.5" thickBot="1">
      <c r="B596" s="584"/>
    </row>
    <row r="597" spans="2:2">
      <c r="B597" s="538"/>
    </row>
    <row r="598" spans="2:2">
      <c r="B598" s="539"/>
    </row>
    <row r="599" spans="2:2">
      <c r="B599" s="539"/>
    </row>
    <row r="600" spans="2:2">
      <c r="B600" s="539"/>
    </row>
    <row r="601" spans="2:2">
      <c r="B601" s="539"/>
    </row>
    <row r="602" spans="2:2">
      <c r="B602" s="539"/>
    </row>
    <row r="603" spans="2:2">
      <c r="B603" s="540"/>
    </row>
    <row r="604" spans="2:2">
      <c r="B604" s="540"/>
    </row>
    <row r="605" spans="2:2">
      <c r="B605" s="540"/>
    </row>
    <row r="606" spans="2:2">
      <c r="B606" s="540"/>
    </row>
    <row r="607" spans="2:2">
      <c r="B607" s="540"/>
    </row>
    <row r="608" spans="2:2" ht="13.5" thickBot="1">
      <c r="B608" s="584"/>
    </row>
    <row r="609" spans="2:2">
      <c r="B609" s="538"/>
    </row>
    <row r="610" spans="2:2">
      <c r="B610" s="539"/>
    </row>
    <row r="611" spans="2:2">
      <c r="B611" s="539"/>
    </row>
    <row r="612" spans="2:2">
      <c r="B612" s="539"/>
    </row>
    <row r="613" spans="2:2">
      <c r="B613" s="539"/>
    </row>
    <row r="614" spans="2:2">
      <c r="B614" s="539"/>
    </row>
    <row r="615" spans="2:2">
      <c r="B615" s="540"/>
    </row>
    <row r="616" spans="2:2">
      <c r="B616" s="540"/>
    </row>
    <row r="617" spans="2:2">
      <c r="B617" s="540"/>
    </row>
    <row r="618" spans="2:2">
      <c r="B618" s="540"/>
    </row>
    <row r="619" spans="2:2">
      <c r="B619" s="540"/>
    </row>
    <row r="620" spans="2:2" ht="13.5" thickBot="1">
      <c r="B620" s="584"/>
    </row>
    <row r="621" spans="2:2">
      <c r="B621" s="538"/>
    </row>
    <row r="622" spans="2:2">
      <c r="B622" s="539"/>
    </row>
    <row r="623" spans="2:2">
      <c r="B623" s="539"/>
    </row>
    <row r="624" spans="2:2">
      <c r="B624" s="539"/>
    </row>
    <row r="625" spans="2:2">
      <c r="B625" s="539"/>
    </row>
    <row r="626" spans="2:2">
      <c r="B626" s="539"/>
    </row>
    <row r="627" spans="2:2">
      <c r="B627" s="540"/>
    </row>
    <row r="628" spans="2:2">
      <c r="B628" s="540"/>
    </row>
    <row r="629" spans="2:2">
      <c r="B629" s="540"/>
    </row>
    <row r="630" spans="2:2">
      <c r="B630" s="540"/>
    </row>
    <row r="631" spans="2:2">
      <c r="B631" s="540"/>
    </row>
    <row r="632" spans="2:2" ht="13.5" thickBot="1">
      <c r="B632" s="584"/>
    </row>
    <row r="633" spans="2:2">
      <c r="B633" s="538"/>
    </row>
    <row r="634" spans="2:2">
      <c r="B634" s="539"/>
    </row>
    <row r="635" spans="2:2">
      <c r="B635" s="539"/>
    </row>
    <row r="636" spans="2:2">
      <c r="B636" s="539"/>
    </row>
    <row r="637" spans="2:2">
      <c r="B637" s="539"/>
    </row>
    <row r="638" spans="2:2">
      <c r="B638" s="539"/>
    </row>
    <row r="639" spans="2:2">
      <c r="B639" s="540"/>
    </row>
    <row r="640" spans="2:2">
      <c r="B640" s="540"/>
    </row>
    <row r="641" spans="2:2">
      <c r="B641" s="540"/>
    </row>
    <row r="642" spans="2:2">
      <c r="B642" s="540"/>
    </row>
    <row r="643" spans="2:2">
      <c r="B643" s="540"/>
    </row>
    <row r="644" spans="2:2" ht="13.5" thickBot="1">
      <c r="B644" s="584"/>
    </row>
    <row r="645" spans="2:2">
      <c r="B645" s="538"/>
    </row>
    <row r="646" spans="2:2">
      <c r="B646" s="539"/>
    </row>
    <row r="647" spans="2:2">
      <c r="B647" s="539"/>
    </row>
    <row r="648" spans="2:2">
      <c r="B648" s="539"/>
    </row>
    <row r="649" spans="2:2">
      <c r="B649" s="539"/>
    </row>
    <row r="650" spans="2:2">
      <c r="B650" s="539"/>
    </row>
    <row r="651" spans="2:2">
      <c r="B651" s="540"/>
    </row>
    <row r="652" spans="2:2">
      <c r="B652" s="540"/>
    </row>
    <row r="653" spans="2:2">
      <c r="B653" s="540"/>
    </row>
    <row r="654" spans="2:2">
      <c r="B654" s="540"/>
    </row>
    <row r="655" spans="2:2">
      <c r="B655" s="540"/>
    </row>
    <row r="656" spans="2:2" ht="13.5" thickBot="1">
      <c r="B656" s="584"/>
    </row>
    <row r="657" spans="2:2">
      <c r="B657" s="538"/>
    </row>
    <row r="658" spans="2:2">
      <c r="B658" s="539"/>
    </row>
    <row r="659" spans="2:2">
      <c r="B659" s="539"/>
    </row>
    <row r="660" spans="2:2">
      <c r="B660" s="539"/>
    </row>
    <row r="661" spans="2:2">
      <c r="B661" s="539"/>
    </row>
    <row r="662" spans="2:2">
      <c r="B662" s="539"/>
    </row>
    <row r="663" spans="2:2">
      <c r="B663" s="540"/>
    </row>
    <row r="664" spans="2:2">
      <c r="B664" s="540"/>
    </row>
    <row r="665" spans="2:2">
      <c r="B665" s="540"/>
    </row>
    <row r="666" spans="2:2">
      <c r="B666" s="540"/>
    </row>
    <row r="667" spans="2:2">
      <c r="B667" s="540"/>
    </row>
    <row r="668" spans="2:2" ht="13.5" thickBot="1">
      <c r="B668" s="584"/>
    </row>
    <row r="669" spans="2:2">
      <c r="B669" s="538"/>
    </row>
    <row r="670" spans="2:2">
      <c r="B670" s="539"/>
    </row>
    <row r="671" spans="2:2">
      <c r="B671" s="539"/>
    </row>
    <row r="672" spans="2:2">
      <c r="B672" s="539"/>
    </row>
    <row r="673" spans="2:2">
      <c r="B673" s="539"/>
    </row>
    <row r="674" spans="2:2">
      <c r="B674" s="539"/>
    </row>
    <row r="675" spans="2:2">
      <c r="B675" s="540"/>
    </row>
    <row r="676" spans="2:2">
      <c r="B676" s="540"/>
    </row>
    <row r="677" spans="2:2">
      <c r="B677" s="540"/>
    </row>
    <row r="678" spans="2:2">
      <c r="B678" s="540"/>
    </row>
    <row r="679" spans="2:2">
      <c r="B679" s="540"/>
    </row>
    <row r="680" spans="2:2" ht="13.5" thickBot="1">
      <c r="B680" s="584"/>
    </row>
    <row r="681" spans="2:2">
      <c r="B681" s="538"/>
    </row>
    <row r="682" spans="2:2">
      <c r="B682" s="539"/>
    </row>
    <row r="683" spans="2:2">
      <c r="B683" s="539"/>
    </row>
    <row r="684" spans="2:2">
      <c r="B684" s="539"/>
    </row>
    <row r="685" spans="2:2">
      <c r="B685" s="539"/>
    </row>
    <row r="686" spans="2:2">
      <c r="B686" s="539"/>
    </row>
    <row r="687" spans="2:2">
      <c r="B687" s="540"/>
    </row>
    <row r="688" spans="2:2">
      <c r="B688" s="540"/>
    </row>
    <row r="689" spans="2:2">
      <c r="B689" s="540"/>
    </row>
    <row r="690" spans="2:2">
      <c r="B690" s="540"/>
    </row>
    <row r="691" spans="2:2">
      <c r="B691" s="540"/>
    </row>
    <row r="692" spans="2:2" ht="13.5" thickBot="1">
      <c r="B692" s="584"/>
    </row>
    <row r="693" spans="2:2">
      <c r="B693" s="538"/>
    </row>
    <row r="694" spans="2:2">
      <c r="B694" s="539"/>
    </row>
    <row r="695" spans="2:2">
      <c r="B695" s="539"/>
    </row>
    <row r="696" spans="2:2">
      <c r="B696" s="539"/>
    </row>
    <row r="697" spans="2:2">
      <c r="B697" s="539"/>
    </row>
    <row r="698" spans="2:2">
      <c r="B698" s="539"/>
    </row>
    <row r="699" spans="2:2">
      <c r="B699" s="540"/>
    </row>
    <row r="700" spans="2:2">
      <c r="B700" s="540"/>
    </row>
    <row r="701" spans="2:2">
      <c r="B701" s="540"/>
    </row>
    <row r="702" spans="2:2">
      <c r="B702" s="540"/>
    </row>
    <row r="703" spans="2:2">
      <c r="B703" s="540"/>
    </row>
    <row r="704" spans="2:2" ht="13.5" thickBot="1">
      <c r="B704" s="584"/>
    </row>
    <row r="705" spans="2:2">
      <c r="B705" s="538"/>
    </row>
    <row r="706" spans="2:2">
      <c r="B706" s="539"/>
    </row>
    <row r="707" spans="2:2">
      <c r="B707" s="539"/>
    </row>
    <row r="708" spans="2:2">
      <c r="B708" s="539"/>
    </row>
    <row r="709" spans="2:2">
      <c r="B709" s="539"/>
    </row>
    <row r="710" spans="2:2">
      <c r="B710" s="539"/>
    </row>
    <row r="711" spans="2:2">
      <c r="B711" s="540"/>
    </row>
    <row r="712" spans="2:2">
      <c r="B712" s="540"/>
    </row>
    <row r="713" spans="2:2">
      <c r="B713" s="540"/>
    </row>
    <row r="714" spans="2:2">
      <c r="B714" s="540"/>
    </row>
    <row r="715" spans="2:2">
      <c r="B715" s="540"/>
    </row>
    <row r="716" spans="2:2" ht="13.5" thickBot="1">
      <c r="B716" s="584"/>
    </row>
    <row r="717" spans="2:2">
      <c r="B717" s="538"/>
    </row>
    <row r="718" spans="2:2">
      <c r="B718" s="539"/>
    </row>
    <row r="719" spans="2:2">
      <c r="B719" s="539"/>
    </row>
    <row r="720" spans="2:2">
      <c r="B720" s="539"/>
    </row>
    <row r="721" spans="2:2">
      <c r="B721" s="539"/>
    </row>
    <row r="722" spans="2:2">
      <c r="B722" s="539"/>
    </row>
    <row r="723" spans="2:2">
      <c r="B723" s="540"/>
    </row>
    <row r="724" spans="2:2">
      <c r="B724" s="540"/>
    </row>
    <row r="725" spans="2:2">
      <c r="B725" s="540"/>
    </row>
    <row r="726" spans="2:2">
      <c r="B726" s="540"/>
    </row>
    <row r="727" spans="2:2">
      <c r="B727" s="540"/>
    </row>
    <row r="728" spans="2:2" ht="13.5" thickBot="1">
      <c r="B728" s="584"/>
    </row>
    <row r="729" spans="2:2">
      <c r="B729" s="538"/>
    </row>
    <row r="730" spans="2:2">
      <c r="B730" s="539"/>
    </row>
    <row r="731" spans="2:2">
      <c r="B731" s="539"/>
    </row>
    <row r="732" spans="2:2">
      <c r="B732" s="539"/>
    </row>
    <row r="733" spans="2:2">
      <c r="B733" s="539"/>
    </row>
    <row r="734" spans="2:2">
      <c r="B734" s="539"/>
    </row>
    <row r="735" spans="2:2">
      <c r="B735" s="540"/>
    </row>
    <row r="736" spans="2:2">
      <c r="B736" s="540"/>
    </row>
    <row r="737" spans="2:2">
      <c r="B737" s="540"/>
    </row>
    <row r="738" spans="2:2">
      <c r="B738" s="540"/>
    </row>
    <row r="739" spans="2:2">
      <c r="B739" s="540"/>
    </row>
    <row r="740" spans="2:2" ht="13.5" thickBot="1">
      <c r="B740" s="584"/>
    </row>
    <row r="741" spans="2:2">
      <c r="B741" s="538"/>
    </row>
    <row r="742" spans="2:2">
      <c r="B742" s="539"/>
    </row>
    <row r="743" spans="2:2">
      <c r="B743" s="539"/>
    </row>
    <row r="744" spans="2:2">
      <c r="B744" s="539"/>
    </row>
    <row r="745" spans="2:2">
      <c r="B745" s="539"/>
    </row>
    <row r="746" spans="2:2">
      <c r="B746" s="539"/>
    </row>
    <row r="747" spans="2:2">
      <c r="B747" s="540"/>
    </row>
    <row r="748" spans="2:2">
      <c r="B748" s="540"/>
    </row>
    <row r="749" spans="2:2">
      <c r="B749" s="540"/>
    </row>
    <row r="750" spans="2:2">
      <c r="B750" s="540"/>
    </row>
    <row r="751" spans="2:2">
      <c r="B751" s="540"/>
    </row>
    <row r="752" spans="2:2" ht="13.5" thickBot="1">
      <c r="B752" s="584"/>
    </row>
    <row r="753" spans="2:2">
      <c r="B753" s="538"/>
    </row>
    <row r="754" spans="2:2">
      <c r="B754" s="539"/>
    </row>
    <row r="755" spans="2:2">
      <c r="B755" s="539"/>
    </row>
    <row r="756" spans="2:2">
      <c r="B756" s="539"/>
    </row>
    <row r="757" spans="2:2">
      <c r="B757" s="539"/>
    </row>
    <row r="758" spans="2:2">
      <c r="B758" s="539"/>
    </row>
    <row r="759" spans="2:2">
      <c r="B759" s="540"/>
    </row>
    <row r="760" spans="2:2">
      <c r="B760" s="540"/>
    </row>
    <row r="761" spans="2:2">
      <c r="B761" s="444"/>
    </row>
    <row r="762" spans="2:2">
      <c r="B762" s="444"/>
    </row>
    <row r="763" spans="2:2">
      <c r="B763" s="444"/>
    </row>
    <row r="764" spans="2:2">
      <c r="B764" s="444"/>
    </row>
    <row r="765" spans="2:2">
      <c r="B765" s="444"/>
    </row>
    <row r="766" spans="2:2">
      <c r="B766" s="444"/>
    </row>
    <row r="767" spans="2:2">
      <c r="B767" s="444"/>
    </row>
    <row r="768" spans="2:2">
      <c r="B768" s="444"/>
    </row>
    <row r="769" spans="2:2">
      <c r="B769" s="444"/>
    </row>
    <row r="770" spans="2:2">
      <c r="B770" s="444"/>
    </row>
    <row r="771" spans="2:2">
      <c r="B771" s="444"/>
    </row>
    <row r="772" spans="2:2">
      <c r="B772" s="444"/>
    </row>
    <row r="773" spans="2:2">
      <c r="B773" s="444"/>
    </row>
    <row r="774" spans="2:2">
      <c r="B774" s="444"/>
    </row>
    <row r="775" spans="2:2">
      <c r="B775" s="444"/>
    </row>
    <row r="776" spans="2:2">
      <c r="B776" s="444"/>
    </row>
    <row r="777" spans="2:2">
      <c r="B777" s="444"/>
    </row>
    <row r="778" spans="2:2">
      <c r="B778" s="444"/>
    </row>
    <row r="779" spans="2:2">
      <c r="B779" s="444"/>
    </row>
    <row r="780" spans="2:2">
      <c r="B780" s="444"/>
    </row>
    <row r="781" spans="2:2">
      <c r="B781" s="444"/>
    </row>
    <row r="782" spans="2:2">
      <c r="B782" s="444"/>
    </row>
    <row r="783" spans="2:2">
      <c r="B783" s="444"/>
    </row>
    <row r="784" spans="2:2">
      <c r="B784" s="444"/>
    </row>
    <row r="785" spans="2:2">
      <c r="B785" s="444"/>
    </row>
    <row r="786" spans="2:2">
      <c r="B786" s="444"/>
    </row>
    <row r="787" spans="2:2">
      <c r="B787" s="444"/>
    </row>
    <row r="788" spans="2:2">
      <c r="B788" s="444"/>
    </row>
    <row r="789" spans="2:2">
      <c r="B789" s="444"/>
    </row>
    <row r="790" spans="2:2">
      <c r="B790" s="444"/>
    </row>
    <row r="791" spans="2:2">
      <c r="B791" s="444"/>
    </row>
    <row r="792" spans="2:2">
      <c r="B792" s="444"/>
    </row>
    <row r="793" spans="2:2">
      <c r="B793" s="444"/>
    </row>
    <row r="794" spans="2:2">
      <c r="B794" s="444"/>
    </row>
    <row r="795" spans="2:2">
      <c r="B795" s="444"/>
    </row>
    <row r="796" spans="2:2">
      <c r="B796" s="444"/>
    </row>
    <row r="797" spans="2:2">
      <c r="B797" s="444"/>
    </row>
    <row r="798" spans="2:2">
      <c r="B798" s="444"/>
    </row>
    <row r="799" spans="2:2">
      <c r="B799" s="444"/>
    </row>
    <row r="800" spans="2:2">
      <c r="B800" s="444"/>
    </row>
    <row r="801" spans="2:2">
      <c r="B801" s="444"/>
    </row>
    <row r="802" spans="2:2">
      <c r="B802" s="444"/>
    </row>
    <row r="803" spans="2:2">
      <c r="B803" s="444"/>
    </row>
    <row r="804" spans="2:2">
      <c r="B804" s="444"/>
    </row>
    <row r="805" spans="2:2">
      <c r="B805" s="444"/>
    </row>
    <row r="806" spans="2:2">
      <c r="B806" s="444"/>
    </row>
    <row r="807" spans="2:2">
      <c r="B807" s="444"/>
    </row>
    <row r="808" spans="2:2">
      <c r="B808" s="444"/>
    </row>
    <row r="809" spans="2:2">
      <c r="B809" s="444"/>
    </row>
    <row r="810" spans="2:2">
      <c r="B810" s="444"/>
    </row>
    <row r="811" spans="2:2">
      <c r="B811" s="444"/>
    </row>
    <row r="812" spans="2:2">
      <c r="B812" s="444"/>
    </row>
    <row r="813" spans="2:2">
      <c r="B813" s="444"/>
    </row>
    <row r="814" spans="2:2">
      <c r="B814" s="444"/>
    </row>
    <row r="815" spans="2:2">
      <c r="B815" s="444"/>
    </row>
    <row r="816" spans="2:2">
      <c r="B816" s="444"/>
    </row>
    <row r="817" spans="2:2">
      <c r="B817" s="444"/>
    </row>
    <row r="818" spans="2:2">
      <c r="B818" s="444"/>
    </row>
    <row r="819" spans="2:2">
      <c r="B819" s="444"/>
    </row>
    <row r="820" spans="2:2">
      <c r="B820" s="444"/>
    </row>
    <row r="821" spans="2:2">
      <c r="B821" s="444"/>
    </row>
    <row r="822" spans="2:2">
      <c r="B822" s="444"/>
    </row>
    <row r="823" spans="2:2">
      <c r="B823" s="444"/>
    </row>
    <row r="824" spans="2:2">
      <c r="B824" s="444"/>
    </row>
    <row r="825" spans="2:2">
      <c r="B825" s="444"/>
    </row>
    <row r="826" spans="2:2">
      <c r="B826" s="444"/>
    </row>
    <row r="827" spans="2:2">
      <c r="B827" s="444"/>
    </row>
    <row r="828" spans="2:2">
      <c r="B828" s="444"/>
    </row>
    <row r="829" spans="2:2">
      <c r="B829" s="444"/>
    </row>
    <row r="830" spans="2:2">
      <c r="B830" s="444"/>
    </row>
    <row r="831" spans="2:2">
      <c r="B831" s="444"/>
    </row>
    <row r="832" spans="2:2">
      <c r="B832" s="444"/>
    </row>
    <row r="833" spans="2:2">
      <c r="B833" s="444"/>
    </row>
    <row r="834" spans="2:2">
      <c r="B834" s="444"/>
    </row>
    <row r="835" spans="2:2">
      <c r="B835" s="444"/>
    </row>
    <row r="836" spans="2:2">
      <c r="B836" s="444"/>
    </row>
    <row r="837" spans="2:2">
      <c r="B837" s="444"/>
    </row>
    <row r="838" spans="2:2">
      <c r="B838" s="444"/>
    </row>
    <row r="839" spans="2:2">
      <c r="B839" s="444"/>
    </row>
    <row r="840" spans="2:2">
      <c r="B840" s="444"/>
    </row>
    <row r="841" spans="2:2">
      <c r="B841" s="444"/>
    </row>
    <row r="842" spans="2:2">
      <c r="B842" s="444"/>
    </row>
    <row r="843" spans="2:2">
      <c r="B843" s="444"/>
    </row>
    <row r="844" spans="2:2">
      <c r="B844" s="444"/>
    </row>
    <row r="845" spans="2:2">
      <c r="B845" s="444"/>
    </row>
    <row r="846" spans="2:2">
      <c r="B846" s="444"/>
    </row>
    <row r="847" spans="2:2">
      <c r="B847" s="444"/>
    </row>
    <row r="848" spans="2:2">
      <c r="B848" s="444"/>
    </row>
    <row r="849" spans="2:2">
      <c r="B849" s="444"/>
    </row>
    <row r="850" spans="2:2">
      <c r="B850" s="444"/>
    </row>
    <row r="851" spans="2:2">
      <c r="B851" s="444"/>
    </row>
    <row r="852" spans="2:2">
      <c r="B852" s="444"/>
    </row>
    <row r="853" spans="2:2">
      <c r="B853" s="444"/>
    </row>
    <row r="854" spans="2:2">
      <c r="B854" s="444"/>
    </row>
    <row r="855" spans="2:2">
      <c r="B855" s="444"/>
    </row>
    <row r="856" spans="2:2">
      <c r="B856" s="444"/>
    </row>
    <row r="857" spans="2:2">
      <c r="B857" s="444"/>
    </row>
    <row r="858" spans="2:2">
      <c r="B858" s="444"/>
    </row>
    <row r="859" spans="2:2">
      <c r="B859" s="444"/>
    </row>
    <row r="860" spans="2:2">
      <c r="B860" s="444"/>
    </row>
    <row r="861" spans="2:2">
      <c r="B861" s="444"/>
    </row>
    <row r="862" spans="2:2">
      <c r="B862" s="444"/>
    </row>
    <row r="863" spans="2:2">
      <c r="B863" s="444"/>
    </row>
    <row r="864" spans="2:2">
      <c r="B864" s="444"/>
    </row>
    <row r="865" spans="2:2">
      <c r="B865" s="444"/>
    </row>
    <row r="866" spans="2:2">
      <c r="B866" s="444"/>
    </row>
    <row r="867" spans="2:2">
      <c r="B867" s="444"/>
    </row>
    <row r="868" spans="2:2">
      <c r="B868" s="444"/>
    </row>
    <row r="869" spans="2:2">
      <c r="B869" s="444"/>
    </row>
    <row r="870" spans="2:2">
      <c r="B870" s="444"/>
    </row>
    <row r="871" spans="2:2">
      <c r="B871" s="444"/>
    </row>
    <row r="872" spans="2:2">
      <c r="B872" s="444"/>
    </row>
    <row r="873" spans="2:2">
      <c r="B873" s="444"/>
    </row>
    <row r="874" spans="2:2">
      <c r="B874" s="444"/>
    </row>
    <row r="875" spans="2:2">
      <c r="B875" s="444"/>
    </row>
    <row r="876" spans="2:2">
      <c r="B876" s="444"/>
    </row>
    <row r="877" spans="2:2">
      <c r="B877" s="444"/>
    </row>
    <row r="878" spans="2:2">
      <c r="B878" s="444"/>
    </row>
    <row r="879" spans="2:2">
      <c r="B879" s="444"/>
    </row>
    <row r="880" spans="2:2">
      <c r="B880" s="444"/>
    </row>
    <row r="881" spans="2:2">
      <c r="B881" s="444"/>
    </row>
    <row r="882" spans="2:2">
      <c r="B882" s="444"/>
    </row>
    <row r="883" spans="2:2">
      <c r="B883" s="444"/>
    </row>
    <row r="884" spans="2:2">
      <c r="B884" s="444"/>
    </row>
    <row r="885" spans="2:2">
      <c r="B885" s="444"/>
    </row>
    <row r="886" spans="2:2">
      <c r="B886" s="444"/>
    </row>
    <row r="887" spans="2:2">
      <c r="B887" s="444"/>
    </row>
    <row r="888" spans="2:2">
      <c r="B888" s="444"/>
    </row>
    <row r="889" spans="2:2">
      <c r="B889" s="444"/>
    </row>
    <row r="890" spans="2:2">
      <c r="B890" s="444"/>
    </row>
    <row r="891" spans="2:2">
      <c r="B891" s="444"/>
    </row>
    <row r="892" spans="2:2">
      <c r="B892" s="444"/>
    </row>
    <row r="893" spans="2:2">
      <c r="B893" s="444"/>
    </row>
    <row r="894" spans="2:2">
      <c r="B894" s="444"/>
    </row>
    <row r="895" spans="2:2">
      <c r="B895" s="444"/>
    </row>
    <row r="896" spans="2:2">
      <c r="B896" s="444"/>
    </row>
    <row r="897" spans="2:2">
      <c r="B897" s="444"/>
    </row>
    <row r="898" spans="2:2">
      <c r="B898" s="444"/>
    </row>
    <row r="899" spans="2:2">
      <c r="B899" s="444"/>
    </row>
    <row r="900" spans="2:2">
      <c r="B900" s="444"/>
    </row>
    <row r="901" spans="2:2">
      <c r="B901" s="444"/>
    </row>
    <row r="902" spans="2:2">
      <c r="B902" s="444"/>
    </row>
    <row r="903" spans="2:2">
      <c r="B903" s="444"/>
    </row>
    <row r="904" spans="2:2">
      <c r="B904" s="444"/>
    </row>
    <row r="905" spans="2:2">
      <c r="B905" s="444"/>
    </row>
    <row r="906" spans="2:2">
      <c r="B906" s="444"/>
    </row>
    <row r="907" spans="2:2">
      <c r="B907" s="444"/>
    </row>
    <row r="908" spans="2:2">
      <c r="B908" s="444"/>
    </row>
    <row r="909" spans="2:2">
      <c r="B909" s="444"/>
    </row>
    <row r="910" spans="2:2">
      <c r="B910" s="444"/>
    </row>
    <row r="911" spans="2:2">
      <c r="B911" s="444"/>
    </row>
    <row r="912" spans="2:2">
      <c r="B912" s="444"/>
    </row>
    <row r="913" spans="2:2">
      <c r="B913" s="444"/>
    </row>
    <row r="914" spans="2:2">
      <c r="B914" s="444"/>
    </row>
    <row r="915" spans="2:2">
      <c r="B915" s="444"/>
    </row>
    <row r="916" spans="2:2">
      <c r="B916" s="444"/>
    </row>
    <row r="917" spans="2:2">
      <c r="B917" s="444"/>
    </row>
    <row r="918" spans="2:2">
      <c r="B918" s="444"/>
    </row>
    <row r="919" spans="2:2">
      <c r="B919" s="444"/>
    </row>
    <row r="920" spans="2:2">
      <c r="B920" s="444"/>
    </row>
    <row r="921" spans="2:2">
      <c r="B921" s="444"/>
    </row>
    <row r="922" spans="2:2">
      <c r="B922" s="444"/>
    </row>
    <row r="923" spans="2:2">
      <c r="B923" s="444"/>
    </row>
    <row r="924" spans="2:2">
      <c r="B924" s="444"/>
    </row>
    <row r="925" spans="2:2">
      <c r="B925" s="444"/>
    </row>
    <row r="926" spans="2:2">
      <c r="B926" s="444"/>
    </row>
    <row r="927" spans="2:2">
      <c r="B927" s="444"/>
    </row>
    <row r="928" spans="2:2">
      <c r="B928" s="444"/>
    </row>
    <row r="929" spans="2:2">
      <c r="B929" s="444"/>
    </row>
    <row r="930" spans="2:2">
      <c r="B930" s="444"/>
    </row>
    <row r="931" spans="2:2">
      <c r="B931" s="444"/>
    </row>
    <row r="932" spans="2:2">
      <c r="B932" s="444"/>
    </row>
    <row r="933" spans="2:2">
      <c r="B933" s="444"/>
    </row>
    <row r="934" spans="2:2">
      <c r="B934" s="444"/>
    </row>
    <row r="935" spans="2:2">
      <c r="B935" s="444"/>
    </row>
    <row r="936" spans="2:2">
      <c r="B936" s="444"/>
    </row>
    <row r="937" spans="2:2">
      <c r="B937" s="444"/>
    </row>
    <row r="938" spans="2:2">
      <c r="B938" s="444"/>
    </row>
    <row r="939" spans="2:2">
      <c r="B939" s="444"/>
    </row>
    <row r="940" spans="2:2">
      <c r="B940" s="444"/>
    </row>
    <row r="941" spans="2:2">
      <c r="B941" s="444"/>
    </row>
    <row r="942" spans="2:2">
      <c r="B942" s="444"/>
    </row>
    <row r="943" spans="2:2">
      <c r="B943" s="444"/>
    </row>
    <row r="944" spans="2:2">
      <c r="B944" s="444"/>
    </row>
    <row r="945" spans="2:2">
      <c r="B945" s="444"/>
    </row>
    <row r="946" spans="2:2">
      <c r="B946" s="444"/>
    </row>
    <row r="947" spans="2:2">
      <c r="B947" s="444"/>
    </row>
    <row r="948" spans="2:2">
      <c r="B948" s="444"/>
    </row>
    <row r="949" spans="2:2">
      <c r="B949" s="444"/>
    </row>
    <row r="950" spans="2:2">
      <c r="B950" s="444"/>
    </row>
    <row r="951" spans="2:2">
      <c r="B951" s="444"/>
    </row>
    <row r="952" spans="2:2">
      <c r="B952" s="444"/>
    </row>
    <row r="953" spans="2:2">
      <c r="B953" s="444"/>
    </row>
    <row r="954" spans="2:2">
      <c r="B954" s="444"/>
    </row>
    <row r="955" spans="2:2">
      <c r="B955" s="444"/>
    </row>
    <row r="956" spans="2:2">
      <c r="B956" s="444"/>
    </row>
    <row r="957" spans="2:2">
      <c r="B957" s="444"/>
    </row>
    <row r="958" spans="2:2">
      <c r="B958" s="444"/>
    </row>
    <row r="959" spans="2:2">
      <c r="B959" s="444"/>
    </row>
    <row r="960" spans="2:2">
      <c r="B960" s="444"/>
    </row>
    <row r="961" spans="2:2">
      <c r="B961" s="444"/>
    </row>
    <row r="962" spans="2:2">
      <c r="B962" s="444"/>
    </row>
    <row r="963" spans="2:2">
      <c r="B963" s="444"/>
    </row>
    <row r="964" spans="2:2">
      <c r="B964" s="444"/>
    </row>
    <row r="965" spans="2:2">
      <c r="B965" s="444"/>
    </row>
    <row r="966" spans="2:2">
      <c r="B966" s="444"/>
    </row>
    <row r="967" spans="2:2">
      <c r="B967" s="444"/>
    </row>
    <row r="968" spans="2:2">
      <c r="B968" s="444"/>
    </row>
    <row r="969" spans="2:2">
      <c r="B969" s="444"/>
    </row>
    <row r="970" spans="2:2">
      <c r="B970" s="444"/>
    </row>
    <row r="971" spans="2:2">
      <c r="B971" s="444"/>
    </row>
    <row r="972" spans="2:2">
      <c r="B972" s="444"/>
    </row>
    <row r="973" spans="2:2">
      <c r="B973" s="444"/>
    </row>
    <row r="974" spans="2:2">
      <c r="B974" s="444"/>
    </row>
    <row r="975" spans="2:2">
      <c r="B975" s="444"/>
    </row>
    <row r="976" spans="2:2">
      <c r="B976" s="444"/>
    </row>
    <row r="977" spans="2:2">
      <c r="B977" s="444"/>
    </row>
    <row r="978" spans="2:2">
      <c r="B978" s="444"/>
    </row>
    <row r="979" spans="2:2">
      <c r="B979" s="444"/>
    </row>
    <row r="980" spans="2:2">
      <c r="B980" s="444"/>
    </row>
    <row r="981" spans="2:2">
      <c r="B981" s="444"/>
    </row>
    <row r="982" spans="2:2">
      <c r="B982" s="444"/>
    </row>
    <row r="983" spans="2:2">
      <c r="B983" s="444"/>
    </row>
    <row r="984" spans="2:2">
      <c r="B984" s="444"/>
    </row>
    <row r="985" spans="2:2">
      <c r="B985" s="444"/>
    </row>
    <row r="986" spans="2:2">
      <c r="B986" s="444"/>
    </row>
    <row r="987" spans="2:2">
      <c r="B987" s="444"/>
    </row>
    <row r="988" spans="2:2">
      <c r="B988" s="444"/>
    </row>
    <row r="989" spans="2:2">
      <c r="B989" s="444"/>
    </row>
    <row r="990" spans="2:2">
      <c r="B990" s="444"/>
    </row>
    <row r="991" spans="2:2">
      <c r="B991" s="444"/>
    </row>
    <row r="992" spans="2:2">
      <c r="B992" s="444"/>
    </row>
    <row r="993" spans="2:2">
      <c r="B993" s="444"/>
    </row>
    <row r="994" spans="2:2">
      <c r="B994" s="444"/>
    </row>
    <row r="995" spans="2:2">
      <c r="B995" s="444"/>
    </row>
    <row r="996" spans="2:2">
      <c r="B996" s="444"/>
    </row>
    <row r="997" spans="2:2">
      <c r="B997" s="444"/>
    </row>
    <row r="998" spans="2:2">
      <c r="B998" s="444"/>
    </row>
    <row r="999" spans="2:2">
      <c r="B999" s="444"/>
    </row>
    <row r="1000" spans="2:2">
      <c r="B1000" s="444"/>
    </row>
    <row r="1001" spans="2:2">
      <c r="B1001" s="444"/>
    </row>
    <row r="1002" spans="2:2">
      <c r="B1002" s="444"/>
    </row>
    <row r="1003" spans="2:2">
      <c r="B1003" s="444"/>
    </row>
    <row r="1004" spans="2:2">
      <c r="B1004" s="444"/>
    </row>
    <row r="1005" spans="2:2">
      <c r="B1005" s="444"/>
    </row>
    <row r="1006" spans="2:2">
      <c r="B1006" s="444"/>
    </row>
    <row r="1007" spans="2:2">
      <c r="B1007" s="444"/>
    </row>
    <row r="1008" spans="2:2">
      <c r="B1008" s="444"/>
    </row>
    <row r="1009" spans="2:2">
      <c r="B1009" s="444"/>
    </row>
    <row r="1010" spans="2:2">
      <c r="B1010" s="444"/>
    </row>
    <row r="1011" spans="2:2">
      <c r="B1011" s="444"/>
    </row>
    <row r="1012" spans="2:2">
      <c r="B1012" s="444"/>
    </row>
    <row r="1013" spans="2:2">
      <c r="B1013" s="444"/>
    </row>
    <row r="1014" spans="2:2">
      <c r="B1014" s="444"/>
    </row>
    <row r="1015" spans="2:2">
      <c r="B1015" s="444"/>
    </row>
    <row r="1016" spans="2:2">
      <c r="B1016" s="444"/>
    </row>
    <row r="1017" spans="2:2">
      <c r="B1017" s="444"/>
    </row>
    <row r="1018" spans="2:2">
      <c r="B1018" s="444"/>
    </row>
    <row r="1019" spans="2:2">
      <c r="B1019" s="444"/>
    </row>
    <row r="1020" spans="2:2">
      <c r="B1020" s="444"/>
    </row>
    <row r="1021" spans="2:2">
      <c r="B1021" s="444"/>
    </row>
    <row r="1022" spans="2:2">
      <c r="B1022" s="444"/>
    </row>
    <row r="1023" spans="2:2">
      <c r="B1023" s="444"/>
    </row>
    <row r="1024" spans="2:2">
      <c r="B1024" s="444"/>
    </row>
    <row r="1025" spans="2:2">
      <c r="B1025" s="444"/>
    </row>
    <row r="1026" spans="2:2">
      <c r="B1026" s="444"/>
    </row>
    <row r="1027" spans="2:2">
      <c r="B1027" s="444"/>
    </row>
    <row r="1028" spans="2:2">
      <c r="B1028" s="444"/>
    </row>
    <row r="1029" spans="2:2">
      <c r="B1029" s="444"/>
    </row>
    <row r="1030" spans="2:2">
      <c r="B1030" s="444"/>
    </row>
    <row r="1031" spans="2:2">
      <c r="B1031" s="444"/>
    </row>
    <row r="1032" spans="2:2">
      <c r="B1032" s="444"/>
    </row>
    <row r="1033" spans="2:2">
      <c r="B1033" s="444"/>
    </row>
    <row r="1034" spans="2:2">
      <c r="B1034" s="444"/>
    </row>
    <row r="1035" spans="2:2">
      <c r="B1035" s="444"/>
    </row>
    <row r="1036" spans="2:2">
      <c r="B1036" s="444"/>
    </row>
    <row r="1037" spans="2:2">
      <c r="B1037" s="444"/>
    </row>
    <row r="1038" spans="2:2">
      <c r="B1038" s="444"/>
    </row>
    <row r="1039" spans="2:2">
      <c r="B1039" s="444"/>
    </row>
    <row r="1040" spans="2:2">
      <c r="B1040" s="444"/>
    </row>
    <row r="1041" spans="2:2">
      <c r="B1041" s="444"/>
    </row>
    <row r="1042" spans="2:2">
      <c r="B1042" s="444"/>
    </row>
    <row r="1043" spans="2:2">
      <c r="B1043" s="444"/>
    </row>
    <row r="1044" spans="2:2">
      <c r="B1044" s="444"/>
    </row>
    <row r="1045" spans="2:2">
      <c r="B1045" s="444"/>
    </row>
    <row r="1046" spans="2:2">
      <c r="B1046" s="444"/>
    </row>
    <row r="1047" spans="2:2">
      <c r="B1047" s="444"/>
    </row>
    <row r="1048" spans="2:2">
      <c r="B1048" s="444"/>
    </row>
    <row r="1049" spans="2:2">
      <c r="B1049" s="444"/>
    </row>
    <row r="1050" spans="2:2">
      <c r="B1050" s="444"/>
    </row>
    <row r="1051" spans="2:2">
      <c r="B1051" s="444"/>
    </row>
    <row r="1052" spans="2:2">
      <c r="B1052" s="444"/>
    </row>
    <row r="1053" spans="2:2">
      <c r="B1053" s="444"/>
    </row>
    <row r="1054" spans="2:2">
      <c r="B1054" s="444"/>
    </row>
    <row r="1055" spans="2:2">
      <c r="B1055" s="444"/>
    </row>
    <row r="1056" spans="2:2">
      <c r="B1056" s="444"/>
    </row>
    <row r="1057" spans="2:2">
      <c r="B1057" s="444"/>
    </row>
    <row r="1058" spans="2:2">
      <c r="B1058" s="444"/>
    </row>
    <row r="1059" spans="2:2">
      <c r="B1059" s="444"/>
    </row>
    <row r="1060" spans="2:2">
      <c r="B1060" s="444"/>
    </row>
    <row r="1061" spans="2:2">
      <c r="B1061" s="444"/>
    </row>
    <row r="1062" spans="2:2">
      <c r="B1062" s="444"/>
    </row>
    <row r="1063" spans="2:2">
      <c r="B1063" s="444"/>
    </row>
    <row r="1064" spans="2:2">
      <c r="B1064" s="444"/>
    </row>
    <row r="1065" spans="2:2">
      <c r="B1065" s="444"/>
    </row>
    <row r="1066" spans="2:2">
      <c r="B1066" s="444"/>
    </row>
    <row r="1067" spans="2:2">
      <c r="B1067" s="444"/>
    </row>
    <row r="1068" spans="2:2">
      <c r="B1068" s="444"/>
    </row>
    <row r="1069" spans="2:2">
      <c r="B1069" s="444"/>
    </row>
    <row r="1070" spans="2:2">
      <c r="B1070" s="444"/>
    </row>
    <row r="1071" spans="2:2">
      <c r="B1071" s="444"/>
    </row>
    <row r="1072" spans="2:2">
      <c r="B1072" s="444"/>
    </row>
    <row r="1073" spans="2:2">
      <c r="B1073" s="444"/>
    </row>
    <row r="1074" spans="2:2">
      <c r="B1074" s="444"/>
    </row>
    <row r="1075" spans="2:2">
      <c r="B1075" s="444"/>
    </row>
    <row r="1076" spans="2:2">
      <c r="B1076" s="444"/>
    </row>
    <row r="1077" spans="2:2">
      <c r="B1077" s="444"/>
    </row>
    <row r="1078" spans="2:2">
      <c r="B1078" s="444"/>
    </row>
    <row r="1079" spans="2:2">
      <c r="B1079" s="444"/>
    </row>
    <row r="1080" spans="2:2">
      <c r="B1080" s="444"/>
    </row>
    <row r="1081" spans="2:2">
      <c r="B1081" s="444"/>
    </row>
    <row r="1082" spans="2:2">
      <c r="B1082" s="444"/>
    </row>
    <row r="1083" spans="2:2">
      <c r="B1083" s="444"/>
    </row>
    <row r="1084" spans="2:2">
      <c r="B1084" s="444"/>
    </row>
    <row r="1085" spans="2:2">
      <c r="B1085" s="444"/>
    </row>
    <row r="1086" spans="2:2">
      <c r="B1086" s="444"/>
    </row>
    <row r="1087" spans="2:2">
      <c r="B1087" s="444"/>
    </row>
    <row r="1088" spans="2:2">
      <c r="B1088" s="444"/>
    </row>
    <row r="1089" spans="2:2">
      <c r="B1089" s="444"/>
    </row>
    <row r="1090" spans="2:2">
      <c r="B1090" s="444"/>
    </row>
    <row r="1091" spans="2:2">
      <c r="B1091" s="444"/>
    </row>
    <row r="1092" spans="2:2">
      <c r="B1092" s="444"/>
    </row>
    <row r="1093" spans="2:2">
      <c r="B1093" s="444"/>
    </row>
    <row r="1094" spans="2:2">
      <c r="B1094" s="444"/>
    </row>
    <row r="1095" spans="2:2">
      <c r="B1095" s="444"/>
    </row>
    <row r="1096" spans="2:2">
      <c r="B1096" s="444"/>
    </row>
    <row r="1097" spans="2:2">
      <c r="B1097" s="444"/>
    </row>
    <row r="1098" spans="2:2">
      <c r="B1098" s="444"/>
    </row>
    <row r="1099" spans="2:2">
      <c r="B1099" s="444"/>
    </row>
    <row r="1100" spans="2:2">
      <c r="B1100" s="444"/>
    </row>
    <row r="1101" spans="2:2">
      <c r="B1101" s="444"/>
    </row>
    <row r="1102" spans="2:2">
      <c r="B1102" s="444"/>
    </row>
    <row r="1103" spans="2:2">
      <c r="B1103" s="444"/>
    </row>
    <row r="1104" spans="2:2">
      <c r="B1104" s="444"/>
    </row>
    <row r="1105" spans="2:2">
      <c r="B1105" s="444"/>
    </row>
    <row r="1106" spans="2:2">
      <c r="B1106" s="444"/>
    </row>
    <row r="1107" spans="2:2">
      <c r="B1107" s="444"/>
    </row>
    <row r="1108" spans="2:2">
      <c r="B1108" s="444"/>
    </row>
    <row r="1109" spans="2:2">
      <c r="B1109" s="444"/>
    </row>
    <row r="1110" spans="2:2">
      <c r="B1110" s="444"/>
    </row>
    <row r="1111" spans="2:2">
      <c r="B1111" s="444"/>
    </row>
    <row r="1112" spans="2:2">
      <c r="B1112" s="444"/>
    </row>
    <row r="1113" spans="2:2">
      <c r="B1113" s="444"/>
    </row>
    <row r="1114" spans="2:2">
      <c r="B1114" s="444"/>
    </row>
    <row r="1115" spans="2:2">
      <c r="B1115" s="444"/>
    </row>
    <row r="1116" spans="2:2">
      <c r="B1116" s="444"/>
    </row>
    <row r="1117" spans="2:2">
      <c r="B1117" s="444"/>
    </row>
    <row r="1118" spans="2:2">
      <c r="B1118" s="444"/>
    </row>
    <row r="1119" spans="2:2">
      <c r="B1119" s="444"/>
    </row>
    <row r="1120" spans="2:2">
      <c r="B1120" s="444"/>
    </row>
    <row r="1121" spans="2:2">
      <c r="B1121" s="444"/>
    </row>
    <row r="1122" spans="2:2">
      <c r="B1122" s="444"/>
    </row>
    <row r="1123" spans="2:2">
      <c r="B1123" s="444"/>
    </row>
    <row r="1124" spans="2:2">
      <c r="B1124" s="444"/>
    </row>
    <row r="1125" spans="2:2">
      <c r="B1125" s="444"/>
    </row>
    <row r="1126" spans="2:2">
      <c r="B1126" s="444"/>
    </row>
    <row r="1127" spans="2:2">
      <c r="B1127" s="444"/>
    </row>
    <row r="1128" spans="2:2">
      <c r="B1128" s="444"/>
    </row>
    <row r="1129" spans="2:2">
      <c r="B1129" s="444"/>
    </row>
    <row r="1130" spans="2:2">
      <c r="B1130" s="444"/>
    </row>
    <row r="1131" spans="2:2">
      <c r="B1131" s="444"/>
    </row>
    <row r="1132" spans="2:2">
      <c r="B1132" s="444"/>
    </row>
    <row r="1133" spans="2:2">
      <c r="B1133" s="444"/>
    </row>
    <row r="1134" spans="2:2">
      <c r="B1134" s="444"/>
    </row>
    <row r="1135" spans="2:2">
      <c r="B1135" s="444"/>
    </row>
    <row r="1136" spans="2:2">
      <c r="B1136" s="444"/>
    </row>
    <row r="1137" spans="2:2">
      <c r="B1137" s="444"/>
    </row>
    <row r="1138" spans="2:2">
      <c r="B1138" s="444"/>
    </row>
    <row r="1139" spans="2:2">
      <c r="B1139" s="444"/>
    </row>
    <row r="1140" spans="2:2">
      <c r="B1140" s="444"/>
    </row>
    <row r="1141" spans="2:2">
      <c r="B1141" s="444"/>
    </row>
    <row r="1142" spans="2:2">
      <c r="B1142" s="444"/>
    </row>
    <row r="1143" spans="2:2">
      <c r="B1143" s="444"/>
    </row>
    <row r="1144" spans="2:2">
      <c r="B1144" s="444"/>
    </row>
    <row r="1145" spans="2:2">
      <c r="B1145" s="444"/>
    </row>
    <row r="1146" spans="2:2">
      <c r="B1146" s="444"/>
    </row>
    <row r="1147" spans="2:2">
      <c r="B1147" s="444"/>
    </row>
    <row r="1148" spans="2:2">
      <c r="B1148" s="444"/>
    </row>
    <row r="1149" spans="2:2">
      <c r="B1149" s="444"/>
    </row>
    <row r="1150" spans="2:2">
      <c r="B1150" s="444"/>
    </row>
    <row r="1151" spans="2:2">
      <c r="B1151" s="444"/>
    </row>
    <row r="1152" spans="2:2">
      <c r="B1152" s="444"/>
    </row>
    <row r="1153" spans="2:2">
      <c r="B1153" s="444"/>
    </row>
    <row r="1154" spans="2:2">
      <c r="B1154" s="444"/>
    </row>
    <row r="1155" spans="2:2">
      <c r="B1155" s="444"/>
    </row>
    <row r="1156" spans="2:2">
      <c r="B1156" s="444"/>
    </row>
    <row r="1157" spans="2:2">
      <c r="B1157" s="444"/>
    </row>
    <row r="1158" spans="2:2">
      <c r="B1158" s="444"/>
    </row>
    <row r="1159" spans="2:2">
      <c r="B1159" s="444"/>
    </row>
    <row r="1160" spans="2:2">
      <c r="B1160" s="444"/>
    </row>
    <row r="1161" spans="2:2">
      <c r="B1161" s="444"/>
    </row>
    <row r="1162" spans="2:2">
      <c r="B1162" s="444"/>
    </row>
    <row r="1163" spans="2:2">
      <c r="B1163" s="444"/>
    </row>
    <row r="1164" spans="2:2">
      <c r="B1164" s="444"/>
    </row>
    <row r="1165" spans="2:2">
      <c r="B1165" s="444"/>
    </row>
    <row r="1166" spans="2:2">
      <c r="B1166" s="444"/>
    </row>
    <row r="1167" spans="2:2">
      <c r="B1167" s="444"/>
    </row>
    <row r="1168" spans="2:2">
      <c r="B1168" s="444"/>
    </row>
    <row r="1169" spans="2:2">
      <c r="B1169" s="444"/>
    </row>
    <row r="1170" spans="2:2">
      <c r="B1170" s="444"/>
    </row>
    <row r="1171" spans="2:2">
      <c r="B1171" s="444"/>
    </row>
    <row r="1172" spans="2:2">
      <c r="B1172" s="444"/>
    </row>
    <row r="1173" spans="2:2">
      <c r="B1173" s="444"/>
    </row>
    <row r="1174" spans="2:2">
      <c r="B1174" s="444"/>
    </row>
    <row r="1175" spans="2:2">
      <c r="B1175" s="444"/>
    </row>
    <row r="1176" spans="2:2">
      <c r="B1176" s="444"/>
    </row>
    <row r="1177" spans="2:2">
      <c r="B1177" s="444"/>
    </row>
    <row r="1178" spans="2:2">
      <c r="B1178" s="444"/>
    </row>
    <row r="1179" spans="2:2">
      <c r="B1179" s="444"/>
    </row>
    <row r="1180" spans="2:2">
      <c r="B1180" s="444"/>
    </row>
    <row r="1181" spans="2:2">
      <c r="B1181" s="444"/>
    </row>
    <row r="1182" spans="2:2">
      <c r="B1182" s="444"/>
    </row>
    <row r="1183" spans="2:2">
      <c r="B1183" s="444"/>
    </row>
    <row r="1184" spans="2:2">
      <c r="B1184" s="444"/>
    </row>
    <row r="1185" spans="2:2">
      <c r="B1185" s="444"/>
    </row>
    <row r="1186" spans="2:2">
      <c r="B1186" s="444"/>
    </row>
    <row r="1187" spans="2:2">
      <c r="B1187" s="444"/>
    </row>
    <row r="1188" spans="2:2">
      <c r="B1188" s="444"/>
    </row>
    <row r="1189" spans="2:2">
      <c r="B1189" s="444"/>
    </row>
    <row r="1190" spans="2:2">
      <c r="B1190" s="444"/>
    </row>
    <row r="1191" spans="2:2">
      <c r="B1191" s="444"/>
    </row>
    <row r="1192" spans="2:2">
      <c r="B1192" s="444"/>
    </row>
    <row r="1193" spans="2:2">
      <c r="B1193" s="444"/>
    </row>
    <row r="1194" spans="2:2">
      <c r="B1194" s="444"/>
    </row>
    <row r="1195" spans="2:2">
      <c r="B1195" s="444"/>
    </row>
    <row r="1196" spans="2:2">
      <c r="B1196" s="444"/>
    </row>
    <row r="1197" spans="2:2">
      <c r="B1197" s="444"/>
    </row>
    <row r="1198" spans="2:2">
      <c r="B1198" s="444"/>
    </row>
    <row r="1199" spans="2:2">
      <c r="B1199" s="444"/>
    </row>
    <row r="1200" spans="2:2">
      <c r="B1200" s="444"/>
    </row>
    <row r="1201" spans="2:2">
      <c r="B1201" s="444"/>
    </row>
    <row r="1202" spans="2:2">
      <c r="B1202" s="444"/>
    </row>
    <row r="1203" spans="2:2">
      <c r="B1203" s="444"/>
    </row>
    <row r="1204" spans="2:2">
      <c r="B1204" s="444"/>
    </row>
    <row r="1205" spans="2:2">
      <c r="B1205" s="444"/>
    </row>
    <row r="1206" spans="2:2">
      <c r="B1206" s="444"/>
    </row>
    <row r="1207" spans="2:2">
      <c r="B1207" s="444"/>
    </row>
    <row r="1208" spans="2:2">
      <c r="B1208" s="444"/>
    </row>
    <row r="1209" spans="2:2">
      <c r="B1209" s="444"/>
    </row>
    <row r="1210" spans="2:2">
      <c r="B1210" s="444"/>
    </row>
    <row r="1211" spans="2:2">
      <c r="B1211" s="444"/>
    </row>
    <row r="1212" spans="2:2">
      <c r="B1212" s="444"/>
    </row>
    <row r="1213" spans="2:2">
      <c r="B1213" s="444"/>
    </row>
    <row r="1214" spans="2:2">
      <c r="B1214" s="444"/>
    </row>
    <row r="1215" spans="2:2">
      <c r="B1215" s="444"/>
    </row>
    <row r="1216" spans="2:2">
      <c r="B1216" s="444"/>
    </row>
    <row r="1217" spans="2:2">
      <c r="B1217" s="444"/>
    </row>
    <row r="1218" spans="2:2">
      <c r="B1218" s="444"/>
    </row>
    <row r="1219" spans="2:2">
      <c r="B1219" s="444"/>
    </row>
    <row r="1220" spans="2:2">
      <c r="B1220" s="444"/>
    </row>
    <row r="1221" spans="2:2">
      <c r="B1221" s="444"/>
    </row>
    <row r="1222" spans="2:2">
      <c r="B1222" s="444"/>
    </row>
    <row r="1223" spans="2:2">
      <c r="B1223" s="444"/>
    </row>
    <row r="1224" spans="2:2">
      <c r="B1224" s="444"/>
    </row>
    <row r="1225" spans="2:2">
      <c r="B1225" s="444"/>
    </row>
    <row r="1226" spans="2:2">
      <c r="B1226" s="444"/>
    </row>
    <row r="1227" spans="2:2">
      <c r="B1227" s="444"/>
    </row>
    <row r="1228" spans="2:2">
      <c r="B1228" s="444"/>
    </row>
    <row r="1229" spans="2:2">
      <c r="B1229" s="444"/>
    </row>
    <row r="1230" spans="2:2">
      <c r="B1230" s="444"/>
    </row>
    <row r="1231" spans="2:2">
      <c r="B1231" s="444"/>
    </row>
    <row r="1232" spans="2:2">
      <c r="B1232" s="444"/>
    </row>
    <row r="1233" spans="2:2">
      <c r="B1233" s="444"/>
    </row>
    <row r="1234" spans="2:2">
      <c r="B1234" s="444"/>
    </row>
    <row r="1235" spans="2:2">
      <c r="B1235" s="444"/>
    </row>
    <row r="1236" spans="2:2">
      <c r="B1236" s="444"/>
    </row>
    <row r="1237" spans="2:2">
      <c r="B1237" s="444"/>
    </row>
    <row r="1238" spans="2:2">
      <c r="B1238" s="444"/>
    </row>
    <row r="1239" spans="2:2">
      <c r="B1239" s="444"/>
    </row>
    <row r="1240" spans="2:2">
      <c r="B1240" s="444"/>
    </row>
    <row r="1241" spans="2:2">
      <c r="B1241" s="444"/>
    </row>
    <row r="1242" spans="2:2">
      <c r="B1242" s="444"/>
    </row>
    <row r="1243" spans="2:2">
      <c r="B1243" s="444"/>
    </row>
    <row r="1244" spans="2:2">
      <c r="B1244" s="444"/>
    </row>
    <row r="1245" spans="2:2">
      <c r="B1245" s="444"/>
    </row>
    <row r="1246" spans="2:2">
      <c r="B1246" s="444"/>
    </row>
    <row r="1247" spans="2:2">
      <c r="B1247" s="444"/>
    </row>
    <row r="1248" spans="2:2">
      <c r="B1248" s="444"/>
    </row>
    <row r="1249" spans="2:2">
      <c r="B1249" s="444"/>
    </row>
    <row r="1250" spans="2:2">
      <c r="B1250" s="444"/>
    </row>
    <row r="1251" spans="2:2">
      <c r="B1251" s="444"/>
    </row>
    <row r="1252" spans="2:2">
      <c r="B1252" s="444"/>
    </row>
    <row r="1253" spans="2:2">
      <c r="B1253" s="444"/>
    </row>
    <row r="1254" spans="2:2">
      <c r="B1254" s="444"/>
    </row>
    <row r="1255" spans="2:2">
      <c r="B1255" s="444"/>
    </row>
    <row r="1256" spans="2:2">
      <c r="B1256" s="444"/>
    </row>
    <row r="1257" spans="2:2">
      <c r="B1257" s="444"/>
    </row>
    <row r="1258" spans="2:2">
      <c r="B1258" s="444"/>
    </row>
    <row r="1259" spans="2:2">
      <c r="B1259" s="444"/>
    </row>
    <row r="1260" spans="2:2">
      <c r="B1260" s="444"/>
    </row>
    <row r="1261" spans="2:2">
      <c r="B1261" s="444"/>
    </row>
    <row r="1262" spans="2:2">
      <c r="B1262" s="444"/>
    </row>
    <row r="1263" spans="2:2">
      <c r="B1263" s="444"/>
    </row>
    <row r="1264" spans="2:2">
      <c r="B1264" s="444"/>
    </row>
    <row r="1265" spans="2:2">
      <c r="B1265" s="444"/>
    </row>
    <row r="1266" spans="2:2">
      <c r="B1266" s="444"/>
    </row>
    <row r="1267" spans="2:2">
      <c r="B1267" s="444"/>
    </row>
    <row r="1268" spans="2:2">
      <c r="B1268" s="444"/>
    </row>
    <row r="1269" spans="2:2">
      <c r="B1269" s="444"/>
    </row>
    <row r="1270" spans="2:2">
      <c r="B1270" s="444"/>
    </row>
    <row r="1271" spans="2:2">
      <c r="B1271" s="444"/>
    </row>
    <row r="1272" spans="2:2">
      <c r="B1272" s="444"/>
    </row>
    <row r="1273" spans="2:2">
      <c r="B1273" s="444"/>
    </row>
    <row r="1274" spans="2:2">
      <c r="B1274" s="444"/>
    </row>
    <row r="1275" spans="2:2">
      <c r="B1275" s="444"/>
    </row>
    <row r="1276" spans="2:2">
      <c r="B1276" s="444"/>
    </row>
    <row r="1277" spans="2:2">
      <c r="B1277" s="444"/>
    </row>
    <row r="1278" spans="2:2">
      <c r="B1278" s="444"/>
    </row>
    <row r="1279" spans="2:2">
      <c r="B1279" s="444"/>
    </row>
    <row r="1280" spans="2:2">
      <c r="B1280" s="444"/>
    </row>
    <row r="1281" spans="2:2">
      <c r="B1281" s="444"/>
    </row>
    <row r="1282" spans="2:2">
      <c r="B1282" s="444"/>
    </row>
    <row r="1283" spans="2:2">
      <c r="B1283" s="444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basierend auf Endabrechnung 21</vt:lpstr>
      <vt:lpstr>Tabelle1</vt:lpstr>
      <vt:lpstr>Tabelle3</vt:lpstr>
      <vt:lpstr>Tabelle2</vt:lpstr>
      <vt:lpstr>aktueller BA Kredit</vt:lpstr>
      <vt:lpstr>'basierend auf Endabrechnung 21'!Druckbereich</vt:lpstr>
      <vt:lpstr>'basierend auf Endabrechnung 21'!optionen</vt:lpstr>
      <vt:lpstr>Tabelle1!optionen</vt:lpstr>
    </vt:vector>
  </TitlesOfParts>
  <Company>Erste Group Bank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Primetzhofer Alexandra DI</dc:creator>
  <cp:lastModifiedBy>Primetzhofer Alexandra 0663 EH</cp:lastModifiedBy>
  <cp:lastPrinted>2022-12-19T07:47:58Z</cp:lastPrinted>
  <dcterms:created xsi:type="dcterms:W3CDTF">2018-03-27T09:08:24Z</dcterms:created>
  <dcterms:modified xsi:type="dcterms:W3CDTF">2023-05-08T13:01:21Z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939b85-7e40-4a1d-91e1-0e84c3b219d7_Enabled">
    <vt:lpwstr>true</vt:lpwstr>
  </property>
  <property fmtid="{D5CDD505-2E9C-101B-9397-08002B2CF9AE}" pid="3" name="MSIP_Label_38939b85-7e40-4a1d-91e1-0e84c3b219d7_SetDate">
    <vt:lpwstr>2022-05-30T09:49:07Z</vt:lpwstr>
  </property>
  <property fmtid="{D5CDD505-2E9C-101B-9397-08002B2CF9AE}" pid="4" name="MSIP_Label_38939b85-7e40-4a1d-91e1-0e84c3b219d7_Method">
    <vt:lpwstr>Standard</vt:lpwstr>
  </property>
  <property fmtid="{D5CDD505-2E9C-101B-9397-08002B2CF9AE}" pid="5" name="MSIP_Label_38939b85-7e40-4a1d-91e1-0e84c3b219d7_Name">
    <vt:lpwstr>38939b85-7e40-4a1d-91e1-0e84c3b219d7</vt:lpwstr>
  </property>
  <property fmtid="{D5CDD505-2E9C-101B-9397-08002B2CF9AE}" pid="6" name="MSIP_Label_38939b85-7e40-4a1d-91e1-0e84c3b219d7_SiteId">
    <vt:lpwstr>3ad0376a-54d3-49a6-9e20-52de0a92fc89</vt:lpwstr>
  </property>
  <property fmtid="{D5CDD505-2E9C-101B-9397-08002B2CF9AE}" pid="7" name="MSIP_Label_38939b85-7e40-4a1d-91e1-0e84c3b219d7_ActionId">
    <vt:lpwstr>1d432974-5749-4431-993a-82abc438cbdb</vt:lpwstr>
  </property>
  <property fmtid="{D5CDD505-2E9C-101B-9397-08002B2CF9AE}" pid="8" name="MSIP_Label_38939b85-7e40-4a1d-91e1-0e84c3b219d7_ContentBits">
    <vt:lpwstr>0</vt:lpwstr>
  </property>
  <property fmtid="{D5CDD505-2E9C-101B-9397-08002B2CF9AE}" pid="9" name="SpreadsheetBuilder_1">
    <vt:lpwstr>eyIwIjoiSGlzdG9yeSIsIjEiOjAsIjIiOjEsIjMiOjEsIjQiOjEsIjUiOjEsIjYiOjEsIjciOjEsIjgiOjAsIjkiOjEsIjEwIjoxLCIxMSI6MCwiMTIiOjB9</vt:lpwstr>
  </property>
</Properties>
</file>