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macrosheets/sheet1.xml" ContentType="application/vnd.ms-excel.macro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/>
  <workbookPr updateLinks="never" codeName="DieseArbeitsmappe"/>
  <mc:AlternateContent xmlns:mc="http://schemas.openxmlformats.org/markup-compatibility/2006">
    <mc:Choice Requires="x15">
      <x15ac:absPath xmlns:x15ac="http://schemas.microsoft.com/office/spreadsheetml/2010/11/ac" url="https://erstegroup-my.sharepoint.com/personal/a960hfc_s-mxs_net/Documents/OD4BMigration/Erzherzog-Rainergasse/Schönere Zukunft/"/>
    </mc:Choice>
  </mc:AlternateContent>
  <xr:revisionPtr revIDLastSave="1" documentId="11_BD13D490D40C5D52B5169E2916C058973654183D" xr6:coauthVersionLast="46" xr6:coauthVersionMax="46" xr10:uidLastSave="{237D44F3-4498-40C2-A26E-4352CC6B079D}"/>
  <bookViews>
    <workbookView xWindow="3855" yWindow="3855" windowWidth="33960" windowHeight="19800" firstSheet="1" activeTab="1" xr2:uid="{00000000-000D-0000-FFFF-FFFF00000000}"/>
  </bookViews>
  <sheets>
    <sheet name="BExRepositorySheet" sheetId="6" state="veryHidden" r:id="rId1"/>
    <sheet name="Hypothek" sheetId="1" r:id="rId2"/>
    <sheet name="Auflistung" sheetId="2" r:id="rId3"/>
    <sheet name="wegzins" sheetId="3" r:id="rId4"/>
    <sheet name="Makro1" sheetId="4" r:id="rId5"/>
    <sheet name="Tabelle2" sheetId="5" r:id="rId6"/>
  </sheets>
  <definedNames>
    <definedName name="add_2_decimal_places" xlm="1" functionGroupId="14" shortcutKey="b">Makro1!$B$1</definedName>
    <definedName name="add_border" xlm="1" functionGroupId="14" shortcutKey="c">Makro1!$C$1</definedName>
    <definedName name="Annual_interest_rate">Hypothek!$D$4</definedName>
    <definedName name="_xlnm.Recorder">Makro1!$B:$B</definedName>
    <definedName name="Beg.Bal">IF(Hypothek!XFC1&lt;&gt;"",Hypothek!D1048576,"")</definedName>
    <definedName name="Calculated_payment">Hypothek!$D$8</definedName>
    <definedName name="Cum.Interest">IF(Hypothek!XEY1&lt;&gt;"",Hypothek!A1048576+Hypothek!XFB1,"")</definedName>
    <definedName name="_xlnm.Print_Area" localSheetId="1">Hypothek!$A$1:$I$203</definedName>
    <definedName name="_xlnm.Print_Area" localSheetId="3">wegzins!$A$2:$F$27</definedName>
    <definedName name="_xlnm.Print_Titles" localSheetId="1">Hypothek!$1:$13</definedName>
    <definedName name="Ending.Balance">IF(Hypothek!XEZ1&lt;&gt;"",Hypothek!XFB1-Hypothek!XFD1,"")</definedName>
    <definedName name="Entered_payment">Hypothek!$D$11</definedName>
    <definedName name="First_payment_due">Hypothek!$D$7</definedName>
    <definedName name="First_payment_no">Hypothek!$C$207</definedName>
    <definedName name="Interest" localSheetId="2">IF(Hypothek!XFB1&lt;&gt;"",Hypothek!XFD1*Auflistung!Periodic_rate,"")</definedName>
    <definedName name="Interest" localSheetId="4">IF(Hypothek!XFB1&lt;&gt;"",Hypothek!XFD1*Makro1!Periodic_rate,"")</definedName>
    <definedName name="Interest" localSheetId="3">IF(Hypothek!XFB1&lt;&gt;"",Hypothek!XFD1*wegzins!Periodic_rate,"")</definedName>
    <definedName name="Interest">IF(Hypothek!XFB1&lt;&gt;"",Hypothek!XFD1*[0]!Periodic_rate,"")</definedName>
    <definedName name="Loan_amount">Hypothek!$D$3</definedName>
    <definedName name="Macro1" description="Macro recorded 9-Sep-93 by ALLWORK" xlm="1" functionGroupId="14" shortcutKey="a">Makro1!$A$1</definedName>
    <definedName name="Macro2" description="Macro recorded 9-Sep-93 by ALLWORK" xlm="1" functionGroupId="14" shortcutKey="e">Makro1!$B$1</definedName>
    <definedName name="payment.Num" localSheetId="2">IF(OR(Hypothek!A1048576="",Hypothek!A1048576=Auflistung!Total_payments),"",Hypothek!A1048576+1)</definedName>
    <definedName name="payment.Num" localSheetId="4">IF(OR(Hypothek!A1048576="",Hypothek!A1048576=Makro1!Total_payments),"",Hypothek!A1048576+1)</definedName>
    <definedName name="payment.Num" localSheetId="3">IF(OR(Hypothek!A1048576="",Hypothek!A1048576=wegzins!Total_payments),"",Hypothek!A1048576+1)</definedName>
    <definedName name="payment.Num">IF(OR(Hypothek!A1048576="",Hypothek!A1048576=[0]!Total_payments),"",Hypothek!A1048576+1)</definedName>
    <definedName name="Payments_per_year">Hypothek!$D$6</definedName>
    <definedName name="Percentage_Format" xlm="1" functionGroupId="14" shortcutKey="a">Makro1!$A$1</definedName>
    <definedName name="Periodic_rate" localSheetId="2">[0]!Annual_interest_rate/[0]!Payments_per_year</definedName>
    <definedName name="Periodic_rate" localSheetId="4">[0]!Annual_interest_rate/[0]!Payments_per_year</definedName>
    <definedName name="Periodic_rate" localSheetId="3">[0]!Annual_interest_rate/[0]!Payments_per_year</definedName>
    <definedName name="Periodic_rate">[0]!Annual_interest_rate/[0]!Payments_per_year</definedName>
    <definedName name="Pmt_to_use">Hypothek!$C$206</definedName>
    <definedName name="Principal" localSheetId="2">IF(Hypothek!XFA1&lt;&gt;"",MIN(Hypothek!XFC1,[0]!Pmt_to_use-Hypothek!XFD1),"")</definedName>
    <definedName name="Principal" localSheetId="4">IF(Hypothek!XFA1&lt;&gt;"",MIN(Hypothek!XFC1,[0]!Pmt_to_use-Hypothek!XFD1),"")</definedName>
    <definedName name="Principal" localSheetId="3">IF(Hypothek!XFA1&lt;&gt;"",MIN(Hypothek!XFC1,[0]!Pmt_to_use-Hypothek!XFD1),"")</definedName>
    <definedName name="Principal">IF(Hypothek!XFA1&lt;&gt;"",MIN(Hypothek!XFC1,[0]!Pmt_to_use-Hypothek!XFD1),"")</definedName>
    <definedName name="remove_border" xlm="1" functionGroupId="14" shortcutKey="d">Makro1!$D$1</definedName>
    <definedName name="Show.Date" localSheetId="2">IF(Hypothek!XFD1&lt;&gt;"",DATE(YEAR([0]!First_payment_due),MONTH([0]!First_payment_due)+(Hypothek!XFD1-1)*12/[0]!Payments_per_year,DAY([0]!First_payment_due)),"")</definedName>
    <definedName name="Show.Date" localSheetId="4">IF(Hypothek!XFD1&lt;&gt;"",DATE(YEAR([0]!First_payment_due),MONTH([0]!First_payment_due)+(Hypothek!XFD1-1)*12/[0]!Payments_per_year,DAY([0]!First_payment_due)),"")</definedName>
    <definedName name="Show.Date" localSheetId="3">IF(Hypothek!XFD1&lt;&gt;"",DATE(YEAR([0]!First_payment_due),MONTH([0]!First_payment_due)+(Hypothek!XFD1-1)*12/[0]!Payments_per_year,DAY([0]!First_payment_due)),"")</definedName>
    <definedName name="Show.Date">IF(Hypothek!XFD1&lt;&gt;"",DATE(YEAR([0]!First_payment_due),MONTH([0]!First_payment_due)+(Hypothek!XFD1-1)*12/[0]!Payments_per_year,DAY([0]!First_payment_due)),"")</definedName>
    <definedName name="Table_beg_bal">Hypothek!$G$206</definedName>
    <definedName name="Table_prior_interest">Hypothek!$G$207</definedName>
    <definedName name="Term_in_years">Hypothek!$D$5</definedName>
    <definedName name="Total_payments" localSheetId="2">[0]!Payments_per_year*[0]!Term_in_years</definedName>
    <definedName name="Total_payments" localSheetId="4">[0]!Payments_per_year*[0]!Term_in_years</definedName>
    <definedName name="Total_payments" localSheetId="3">[0]!Payments_per_year*[0]!Term_in_years</definedName>
    <definedName name="Total_payments">[0]!Payments_per_year*[0]!Term_in_years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19" i="1" l="1"/>
  <c r="G219" i="1"/>
  <c r="G221" i="1" s="1"/>
  <c r="D224" i="1" s="1"/>
  <c r="D229" i="1" s="1"/>
  <c r="F220" i="1"/>
  <c r="G220" i="1" s="1"/>
  <c r="C207" i="1"/>
  <c r="G206" i="1" s="1"/>
  <c r="C206" i="1"/>
  <c r="G207" i="1"/>
  <c r="F207" i="1"/>
  <c r="F206" i="1"/>
  <c r="G198" i="1"/>
  <c r="B14" i="1"/>
  <c r="I14" i="1"/>
  <c r="C14" i="1"/>
  <c r="D9" i="1"/>
  <c r="E3" i="1"/>
  <c r="D14" i="1" l="1"/>
  <c r="E14" i="1"/>
  <c r="B15" i="1"/>
  <c r="B16" i="1" l="1"/>
  <c r="E8" i="1"/>
  <c r="H14" i="1"/>
  <c r="F14" i="1"/>
  <c r="B17" i="1" l="1"/>
  <c r="J14" i="1"/>
  <c r="G14" i="1"/>
  <c r="D15" i="1" s="1"/>
  <c r="B18" i="1" l="1"/>
  <c r="E15" i="1"/>
  <c r="F15" i="1" l="1"/>
  <c r="H15" i="1"/>
  <c r="B19" i="1"/>
  <c r="B20" i="1" l="1"/>
  <c r="I15" i="1"/>
  <c r="G15" i="1"/>
  <c r="D16" i="1" s="1"/>
  <c r="J15" i="1"/>
  <c r="B21" i="1" l="1"/>
  <c r="E16" i="1"/>
  <c r="F16" i="1" l="1"/>
  <c r="H16" i="1"/>
  <c r="B22" i="1"/>
  <c r="I16" i="1" l="1"/>
  <c r="G16" i="1"/>
  <c r="D17" i="1" s="1"/>
  <c r="B23" i="1"/>
  <c r="J16" i="1"/>
  <c r="E17" i="1" l="1"/>
  <c r="B24" i="1"/>
  <c r="F17" i="1" l="1"/>
  <c r="H17" i="1"/>
  <c r="B25" i="1"/>
  <c r="B26" i="1" l="1"/>
  <c r="I17" i="1"/>
  <c r="G17" i="1"/>
  <c r="D18" i="1" s="1"/>
  <c r="J17" i="1"/>
  <c r="E18" i="1" l="1"/>
  <c r="B27" i="1"/>
  <c r="B28" i="1" l="1"/>
  <c r="F18" i="1"/>
  <c r="J18" i="1" s="1"/>
  <c r="H18" i="1"/>
  <c r="I18" i="1" l="1"/>
  <c r="G18" i="1"/>
  <c r="D19" i="1" s="1"/>
  <c r="B29" i="1"/>
  <c r="B30" i="1" l="1"/>
  <c r="E19" i="1"/>
  <c r="F19" i="1" l="1"/>
  <c r="H19" i="1"/>
  <c r="B31" i="1"/>
  <c r="B32" i="1" l="1"/>
  <c r="I19" i="1"/>
  <c r="G19" i="1"/>
  <c r="D20" i="1" s="1"/>
  <c r="J19" i="1"/>
  <c r="B33" i="1" l="1"/>
  <c r="E20" i="1"/>
  <c r="F20" i="1" l="1"/>
  <c r="H20" i="1"/>
  <c r="B34" i="1"/>
  <c r="B35" i="1" l="1"/>
  <c r="I20" i="1"/>
  <c r="G20" i="1"/>
  <c r="D21" i="1" s="1"/>
  <c r="J20" i="1"/>
  <c r="B36" i="1" l="1"/>
  <c r="E21" i="1"/>
  <c r="F21" i="1" l="1"/>
  <c r="H21" i="1"/>
  <c r="B37" i="1"/>
  <c r="B38" i="1" l="1"/>
  <c r="I21" i="1"/>
  <c r="G21" i="1"/>
  <c r="D22" i="1" s="1"/>
  <c r="J21" i="1"/>
  <c r="E22" i="1" l="1"/>
  <c r="B39" i="1"/>
  <c r="B40" i="1" l="1"/>
  <c r="F22" i="1"/>
  <c r="J22" i="1" s="1"/>
  <c r="H22" i="1"/>
  <c r="B41" i="1" l="1"/>
  <c r="I22" i="1"/>
  <c r="G22" i="1"/>
  <c r="D23" i="1" s="1"/>
  <c r="B42" i="1" l="1"/>
  <c r="E23" i="1"/>
  <c r="F23" i="1" l="1"/>
  <c r="H23" i="1"/>
  <c r="B43" i="1"/>
  <c r="B44" i="1" l="1"/>
  <c r="I23" i="1"/>
  <c r="G23" i="1"/>
  <c r="D24" i="1" s="1"/>
  <c r="J23" i="1"/>
  <c r="E24" i="1" l="1"/>
  <c r="B45" i="1"/>
  <c r="B46" i="1" l="1"/>
  <c r="F24" i="1"/>
  <c r="J24" i="1" s="1"/>
  <c r="H24" i="1"/>
  <c r="I24" i="1" l="1"/>
  <c r="G24" i="1"/>
  <c r="D25" i="1" s="1"/>
  <c r="B47" i="1"/>
  <c r="E25" i="1" l="1"/>
  <c r="B48" i="1"/>
  <c r="F25" i="1" l="1"/>
  <c r="H25" i="1"/>
  <c r="B49" i="1"/>
  <c r="B50" i="1" l="1"/>
  <c r="I25" i="1"/>
  <c r="G25" i="1"/>
  <c r="D26" i="1" s="1"/>
  <c r="J25" i="1"/>
  <c r="B51" i="1" l="1"/>
  <c r="E26" i="1"/>
  <c r="B52" i="1" l="1"/>
  <c r="F26" i="1"/>
  <c r="J26" i="1" s="1"/>
  <c r="H26" i="1"/>
  <c r="B53" i="1" l="1"/>
  <c r="I26" i="1"/>
  <c r="G26" i="1"/>
  <c r="D27" i="1" s="1"/>
  <c r="B54" i="1" l="1"/>
  <c r="E27" i="1"/>
  <c r="F27" i="1" l="1"/>
  <c r="H27" i="1"/>
  <c r="B55" i="1"/>
  <c r="B56" i="1" l="1"/>
  <c r="I27" i="1"/>
  <c r="G27" i="1"/>
  <c r="D28" i="1" s="1"/>
  <c r="J27" i="1"/>
  <c r="E28" i="1" l="1"/>
  <c r="B57" i="1"/>
  <c r="B58" i="1" l="1"/>
  <c r="F28" i="1"/>
  <c r="H28" i="1"/>
  <c r="I28" i="1" l="1"/>
  <c r="G28" i="1"/>
  <c r="D29" i="1" s="1"/>
  <c r="J28" i="1"/>
  <c r="B59" i="1"/>
  <c r="E29" i="1" l="1"/>
  <c r="B60" i="1"/>
  <c r="F29" i="1" l="1"/>
  <c r="H29" i="1"/>
  <c r="B61" i="1"/>
  <c r="B62" i="1" l="1"/>
  <c r="I29" i="1"/>
  <c r="G29" i="1"/>
  <c r="D30" i="1" s="1"/>
  <c r="J29" i="1"/>
  <c r="E30" i="1" l="1"/>
  <c r="B63" i="1"/>
  <c r="B64" i="1" l="1"/>
  <c r="F30" i="1"/>
  <c r="H30" i="1"/>
  <c r="I30" i="1" l="1"/>
  <c r="G30" i="1"/>
  <c r="D31" i="1" s="1"/>
  <c r="J30" i="1"/>
  <c r="B65" i="1"/>
  <c r="E31" i="1" l="1"/>
  <c r="B66" i="1"/>
  <c r="B67" i="1" l="1"/>
  <c r="F31" i="1"/>
  <c r="H31" i="1"/>
  <c r="I31" i="1" l="1"/>
  <c r="G31" i="1"/>
  <c r="D32" i="1" s="1"/>
  <c r="J31" i="1"/>
  <c r="B68" i="1"/>
  <c r="E32" i="1" l="1"/>
  <c r="B69" i="1"/>
  <c r="F32" i="1" l="1"/>
  <c r="H32" i="1"/>
  <c r="B70" i="1"/>
  <c r="I32" i="1" l="1"/>
  <c r="G32" i="1"/>
  <c r="D33" i="1" s="1"/>
  <c r="B71" i="1"/>
  <c r="J32" i="1"/>
  <c r="B72" i="1" l="1"/>
  <c r="E33" i="1"/>
  <c r="F33" i="1" l="1"/>
  <c r="H33" i="1"/>
  <c r="B73" i="1"/>
  <c r="B74" i="1" l="1"/>
  <c r="I33" i="1"/>
  <c r="G33" i="1"/>
  <c r="D34" i="1" s="1"/>
  <c r="J33" i="1"/>
  <c r="E34" i="1" l="1"/>
  <c r="B75" i="1"/>
  <c r="B76" i="1" l="1"/>
  <c r="F34" i="1"/>
  <c r="H34" i="1"/>
  <c r="I34" i="1" l="1"/>
  <c r="G34" i="1"/>
  <c r="D35" i="1" s="1"/>
  <c r="B77" i="1"/>
  <c r="J34" i="1"/>
  <c r="B78" i="1" l="1"/>
  <c r="E35" i="1"/>
  <c r="F35" i="1" l="1"/>
  <c r="H35" i="1"/>
  <c r="B79" i="1"/>
  <c r="B80" i="1" l="1"/>
  <c r="I35" i="1"/>
  <c r="G35" i="1"/>
  <c r="D36" i="1" s="1"/>
  <c r="J35" i="1"/>
  <c r="B81" i="1" l="1"/>
  <c r="E36" i="1"/>
  <c r="F36" i="1" l="1"/>
  <c r="H36" i="1"/>
  <c r="B82" i="1"/>
  <c r="B83" i="1" l="1"/>
  <c r="I36" i="1"/>
  <c r="G36" i="1"/>
  <c r="D37" i="1" s="1"/>
  <c r="J36" i="1"/>
  <c r="E37" i="1" l="1"/>
  <c r="B84" i="1"/>
  <c r="B85" i="1" l="1"/>
  <c r="F37" i="1"/>
  <c r="H37" i="1"/>
  <c r="I37" i="1" l="1"/>
  <c r="G37" i="1"/>
  <c r="D38" i="1" s="1"/>
  <c r="J37" i="1"/>
  <c r="B86" i="1"/>
  <c r="E38" i="1" l="1"/>
  <c r="B87" i="1"/>
  <c r="B88" i="1" l="1"/>
  <c r="F38" i="1"/>
  <c r="H38" i="1"/>
  <c r="I38" i="1" l="1"/>
  <c r="G38" i="1"/>
  <c r="D39" i="1" s="1"/>
  <c r="J38" i="1"/>
  <c r="B89" i="1"/>
  <c r="E39" i="1" l="1"/>
  <c r="B90" i="1"/>
  <c r="B91" i="1" l="1"/>
  <c r="F39" i="1"/>
  <c r="H39" i="1"/>
  <c r="I39" i="1" l="1"/>
  <c r="G39" i="1"/>
  <c r="D40" i="1" s="1"/>
  <c r="J39" i="1"/>
  <c r="B92" i="1"/>
  <c r="B93" i="1" l="1"/>
  <c r="E40" i="1"/>
  <c r="F40" i="1" l="1"/>
  <c r="H40" i="1"/>
  <c r="B94" i="1"/>
  <c r="B95" i="1" l="1"/>
  <c r="I40" i="1"/>
  <c r="G40" i="1"/>
  <c r="D41" i="1" s="1"/>
  <c r="J40" i="1"/>
  <c r="E41" i="1" l="1"/>
  <c r="B96" i="1"/>
  <c r="F41" i="1" l="1"/>
  <c r="H41" i="1"/>
  <c r="B97" i="1"/>
  <c r="I41" i="1" l="1"/>
  <c r="G41" i="1"/>
  <c r="D42" i="1" s="1"/>
  <c r="B98" i="1"/>
  <c r="J41" i="1"/>
  <c r="B99" i="1" l="1"/>
  <c r="E42" i="1"/>
  <c r="F42" i="1" l="1"/>
  <c r="H42" i="1"/>
  <c r="B100" i="1"/>
  <c r="B101" i="1" l="1"/>
  <c r="I42" i="1"/>
  <c r="G42" i="1"/>
  <c r="D43" i="1" s="1"/>
  <c r="J42" i="1"/>
  <c r="E43" i="1" l="1"/>
  <c r="B102" i="1"/>
  <c r="B103" i="1" l="1"/>
  <c r="F43" i="1"/>
  <c r="H43" i="1"/>
  <c r="I43" i="1" l="1"/>
  <c r="G43" i="1"/>
  <c r="D44" i="1" s="1"/>
  <c r="J43" i="1"/>
  <c r="B104" i="1"/>
  <c r="E44" i="1" l="1"/>
  <c r="B105" i="1"/>
  <c r="B106" i="1" l="1"/>
  <c r="F44" i="1"/>
  <c r="H44" i="1"/>
  <c r="I44" i="1" l="1"/>
  <c r="G44" i="1"/>
  <c r="D45" i="1" s="1"/>
  <c r="J44" i="1"/>
  <c r="B107" i="1"/>
  <c r="E45" i="1" l="1"/>
  <c r="B108" i="1"/>
  <c r="B109" i="1" l="1"/>
  <c r="F45" i="1"/>
  <c r="J45" i="1" s="1"/>
  <c r="H45" i="1"/>
  <c r="I45" i="1" l="1"/>
  <c r="G45" i="1"/>
  <c r="D46" i="1" s="1"/>
  <c r="B110" i="1"/>
  <c r="B111" i="1" l="1"/>
  <c r="E46" i="1"/>
  <c r="F46" i="1" l="1"/>
  <c r="H46" i="1"/>
  <c r="B112" i="1"/>
  <c r="B113" i="1" l="1"/>
  <c r="I46" i="1"/>
  <c r="G46" i="1"/>
  <c r="D47" i="1" s="1"/>
  <c r="J46" i="1"/>
  <c r="E47" i="1" l="1"/>
  <c r="B114" i="1"/>
  <c r="B115" i="1" l="1"/>
  <c r="F47" i="1"/>
  <c r="H47" i="1"/>
  <c r="B116" i="1" l="1"/>
  <c r="I47" i="1"/>
  <c r="G47" i="1"/>
  <c r="D48" i="1" s="1"/>
  <c r="J47" i="1"/>
  <c r="B117" i="1" l="1"/>
  <c r="E48" i="1"/>
  <c r="F48" i="1" l="1"/>
  <c r="H48" i="1"/>
  <c r="B118" i="1"/>
  <c r="B119" i="1" l="1"/>
  <c r="I48" i="1"/>
  <c r="G48" i="1"/>
  <c r="D49" i="1" s="1"/>
  <c r="J48" i="1"/>
  <c r="E49" i="1" l="1"/>
  <c r="B120" i="1"/>
  <c r="B121" i="1" l="1"/>
  <c r="F49" i="1"/>
  <c r="J49" i="1" s="1"/>
  <c r="H49" i="1"/>
  <c r="I49" i="1" l="1"/>
  <c r="G49" i="1"/>
  <c r="D50" i="1" s="1"/>
  <c r="B122" i="1"/>
  <c r="B123" i="1" l="1"/>
  <c r="E50" i="1"/>
  <c r="B124" i="1" l="1"/>
  <c r="F50" i="1"/>
  <c r="H50" i="1"/>
  <c r="I50" i="1" l="1"/>
  <c r="G50" i="1"/>
  <c r="D51" i="1" s="1"/>
  <c r="B125" i="1"/>
  <c r="J50" i="1"/>
  <c r="E51" i="1" l="1"/>
  <c r="B126" i="1"/>
  <c r="B127" i="1" l="1"/>
  <c r="F51" i="1"/>
  <c r="J51" i="1" s="1"/>
  <c r="H51" i="1"/>
  <c r="I51" i="1" l="1"/>
  <c r="G51" i="1"/>
  <c r="D52" i="1" s="1"/>
  <c r="B128" i="1"/>
  <c r="E52" i="1" l="1"/>
  <c r="B129" i="1"/>
  <c r="B130" i="1" l="1"/>
  <c r="F52" i="1"/>
  <c r="H52" i="1"/>
  <c r="I52" i="1" l="1"/>
  <c r="G52" i="1"/>
  <c r="D53" i="1" s="1"/>
  <c r="J52" i="1"/>
  <c r="B131" i="1"/>
  <c r="B132" i="1" l="1"/>
  <c r="E53" i="1"/>
  <c r="F53" i="1" l="1"/>
  <c r="H53" i="1"/>
  <c r="B133" i="1"/>
  <c r="B134" i="1" l="1"/>
  <c r="I53" i="1"/>
  <c r="G53" i="1"/>
  <c r="D54" i="1" s="1"/>
  <c r="J53" i="1"/>
  <c r="E54" i="1" l="1"/>
  <c r="H134" i="1"/>
  <c r="F134" i="1"/>
  <c r="D134" i="1"/>
  <c r="B135" i="1"/>
  <c r="E134" i="1"/>
  <c r="G134" i="1"/>
  <c r="J134" i="1" l="1"/>
  <c r="B136" i="1"/>
  <c r="H135" i="1"/>
  <c r="E135" i="1"/>
  <c r="G135" i="1"/>
  <c r="D135" i="1"/>
  <c r="F135" i="1"/>
  <c r="F54" i="1"/>
  <c r="H54" i="1"/>
  <c r="I54" i="1" l="1"/>
  <c r="G54" i="1"/>
  <c r="D55" i="1" s="1"/>
  <c r="E136" i="1"/>
  <c r="J136" i="1" s="1"/>
  <c r="H136" i="1"/>
  <c r="B137" i="1"/>
  <c r="G136" i="1"/>
  <c r="F136" i="1"/>
  <c r="D136" i="1"/>
  <c r="J54" i="1"/>
  <c r="J135" i="1"/>
  <c r="B138" i="1" l="1"/>
  <c r="H137" i="1"/>
  <c r="F137" i="1"/>
  <c r="E137" i="1"/>
  <c r="J137" i="1" s="1"/>
  <c r="G137" i="1"/>
  <c r="D137" i="1"/>
  <c r="E55" i="1"/>
  <c r="F55" i="1" l="1"/>
  <c r="H55" i="1"/>
  <c r="H138" i="1"/>
  <c r="D138" i="1"/>
  <c r="F138" i="1"/>
  <c r="G138" i="1"/>
  <c r="E138" i="1"/>
  <c r="J138" i="1" s="1"/>
  <c r="B139" i="1"/>
  <c r="I55" i="1" l="1"/>
  <c r="G55" i="1"/>
  <c r="D56" i="1" s="1"/>
  <c r="B140" i="1"/>
  <c r="H139" i="1"/>
  <c r="F139" i="1"/>
  <c r="G139" i="1"/>
  <c r="D139" i="1"/>
  <c r="E139" i="1"/>
  <c r="J139" i="1" s="1"/>
  <c r="J55" i="1"/>
  <c r="E56" i="1" l="1"/>
  <c r="E140" i="1"/>
  <c r="J140" i="1" s="1"/>
  <c r="H140" i="1"/>
  <c r="F140" i="1"/>
  <c r="G140" i="1"/>
  <c r="B141" i="1"/>
  <c r="D140" i="1"/>
  <c r="B142" i="1" l="1"/>
  <c r="H141" i="1"/>
  <c r="E141" i="1"/>
  <c r="J141" i="1" s="1"/>
  <c r="D141" i="1"/>
  <c r="F141" i="1"/>
  <c r="G141" i="1"/>
  <c r="F56" i="1"/>
  <c r="H56" i="1"/>
  <c r="I56" i="1" l="1"/>
  <c r="G56" i="1"/>
  <c r="D57" i="1" s="1"/>
  <c r="J56" i="1"/>
  <c r="H142" i="1"/>
  <c r="F142" i="1"/>
  <c r="D142" i="1"/>
  <c r="B143" i="1"/>
  <c r="E142" i="1"/>
  <c r="G142" i="1"/>
  <c r="B144" i="1" l="1"/>
  <c r="H143" i="1"/>
  <c r="G143" i="1"/>
  <c r="D143" i="1"/>
  <c r="F143" i="1"/>
  <c r="E143" i="1"/>
  <c r="J143" i="1" s="1"/>
  <c r="E57" i="1"/>
  <c r="J142" i="1"/>
  <c r="F57" i="1" l="1"/>
  <c r="H57" i="1"/>
  <c r="E144" i="1"/>
  <c r="H144" i="1"/>
  <c r="B145" i="1"/>
  <c r="G144" i="1"/>
  <c r="F144" i="1"/>
  <c r="D144" i="1"/>
  <c r="B146" i="1" l="1"/>
  <c r="H145" i="1"/>
  <c r="F145" i="1"/>
  <c r="G145" i="1"/>
  <c r="E145" i="1"/>
  <c r="D145" i="1"/>
  <c r="J144" i="1"/>
  <c r="I57" i="1"/>
  <c r="G57" i="1"/>
  <c r="D58" i="1" s="1"/>
  <c r="J57" i="1"/>
  <c r="I145" i="1" l="1"/>
  <c r="E58" i="1"/>
  <c r="J145" i="1"/>
  <c r="H146" i="1"/>
  <c r="E146" i="1"/>
  <c r="D146" i="1"/>
  <c r="F146" i="1"/>
  <c r="G146" i="1"/>
  <c r="B147" i="1"/>
  <c r="I146" i="1" l="1"/>
  <c r="B148" i="1"/>
  <c r="H147" i="1"/>
  <c r="F147" i="1"/>
  <c r="G147" i="1"/>
  <c r="E147" i="1"/>
  <c r="J147" i="1" s="1"/>
  <c r="D147" i="1"/>
  <c r="J146" i="1"/>
  <c r="F58" i="1"/>
  <c r="H58" i="1"/>
  <c r="I58" i="1" l="1"/>
  <c r="G58" i="1"/>
  <c r="D59" i="1" s="1"/>
  <c r="I147" i="1"/>
  <c r="E148" i="1"/>
  <c r="J148" i="1" s="1"/>
  <c r="H148" i="1"/>
  <c r="F148" i="1"/>
  <c r="G148" i="1"/>
  <c r="B149" i="1"/>
  <c r="D148" i="1"/>
  <c r="J58" i="1"/>
  <c r="B150" i="1" l="1"/>
  <c r="H149" i="1"/>
  <c r="D149" i="1"/>
  <c r="E149" i="1"/>
  <c r="J149" i="1" s="1"/>
  <c r="F149" i="1"/>
  <c r="G149" i="1"/>
  <c r="E59" i="1"/>
  <c r="I148" i="1"/>
  <c r="F59" i="1" l="1"/>
  <c r="H59" i="1"/>
  <c r="I149" i="1"/>
  <c r="H150" i="1"/>
  <c r="F150" i="1"/>
  <c r="D150" i="1"/>
  <c r="B151" i="1"/>
  <c r="E150" i="1"/>
  <c r="J150" i="1" s="1"/>
  <c r="G150" i="1"/>
  <c r="B152" i="1" l="1"/>
  <c r="H151" i="1"/>
  <c r="E151" i="1"/>
  <c r="J151" i="1" s="1"/>
  <c r="G151" i="1"/>
  <c r="D151" i="1"/>
  <c r="F151" i="1"/>
  <c r="I59" i="1"/>
  <c r="G59" i="1"/>
  <c r="D60" i="1" s="1"/>
  <c r="I150" i="1"/>
  <c r="J59" i="1"/>
  <c r="E60" i="1" l="1"/>
  <c r="I151" i="1"/>
  <c r="E152" i="1"/>
  <c r="H152" i="1"/>
  <c r="B153" i="1"/>
  <c r="G152" i="1"/>
  <c r="F152" i="1"/>
  <c r="D152" i="1"/>
  <c r="F60" i="1" l="1"/>
  <c r="H60" i="1"/>
  <c r="B154" i="1"/>
  <c r="H153" i="1"/>
  <c r="F153" i="1"/>
  <c r="E153" i="1"/>
  <c r="J153" i="1" s="1"/>
  <c r="G153" i="1"/>
  <c r="D153" i="1"/>
  <c r="I152" i="1"/>
  <c r="J152" i="1"/>
  <c r="H154" i="1" l="1"/>
  <c r="D154" i="1"/>
  <c r="F154" i="1"/>
  <c r="B155" i="1"/>
  <c r="G154" i="1"/>
  <c r="E154" i="1"/>
  <c r="I153" i="1"/>
  <c r="I60" i="1"/>
  <c r="G60" i="1"/>
  <c r="D61" i="1" s="1"/>
  <c r="J60" i="1"/>
  <c r="E61" i="1" l="1"/>
  <c r="I154" i="1"/>
  <c r="J154" i="1"/>
  <c r="B156" i="1"/>
  <c r="H155" i="1"/>
  <c r="F155" i="1"/>
  <c r="G155" i="1"/>
  <c r="D155" i="1"/>
  <c r="E155" i="1"/>
  <c r="J155" i="1" s="1"/>
  <c r="E156" i="1" l="1"/>
  <c r="H156" i="1"/>
  <c r="F156" i="1"/>
  <c r="G156" i="1"/>
  <c r="B157" i="1"/>
  <c r="D156" i="1"/>
  <c r="I155" i="1"/>
  <c r="F61" i="1"/>
  <c r="H61" i="1"/>
  <c r="I156" i="1" l="1"/>
  <c r="I61" i="1"/>
  <c r="G61" i="1"/>
  <c r="D62" i="1" s="1"/>
  <c r="J61" i="1"/>
  <c r="B158" i="1"/>
  <c r="H157" i="1"/>
  <c r="E157" i="1"/>
  <c r="D157" i="1"/>
  <c r="F157" i="1"/>
  <c r="G157" i="1"/>
  <c r="J156" i="1"/>
  <c r="I157" i="1" l="1"/>
  <c r="H158" i="1"/>
  <c r="F158" i="1"/>
  <c r="D158" i="1"/>
  <c r="B159" i="1"/>
  <c r="E158" i="1"/>
  <c r="J158" i="1" s="1"/>
  <c r="G158" i="1"/>
  <c r="J157" i="1"/>
  <c r="E62" i="1"/>
  <c r="B160" i="1" l="1"/>
  <c r="H159" i="1"/>
  <c r="G159" i="1"/>
  <c r="D159" i="1"/>
  <c r="F159" i="1"/>
  <c r="E159" i="1"/>
  <c r="J159" i="1" s="1"/>
  <c r="F62" i="1"/>
  <c r="H62" i="1"/>
  <c r="I158" i="1"/>
  <c r="I62" i="1" l="1"/>
  <c r="G62" i="1"/>
  <c r="D63" i="1" s="1"/>
  <c r="J62" i="1"/>
  <c r="I159" i="1"/>
  <c r="E160" i="1"/>
  <c r="J160" i="1" s="1"/>
  <c r="H160" i="1"/>
  <c r="B161" i="1"/>
  <c r="G160" i="1"/>
  <c r="D160" i="1"/>
  <c r="F160" i="1"/>
  <c r="B162" i="1" l="1"/>
  <c r="H161" i="1"/>
  <c r="F161" i="1"/>
  <c r="E161" i="1"/>
  <c r="J161" i="1" s="1"/>
  <c r="G161" i="1"/>
  <c r="D161" i="1"/>
  <c r="E63" i="1"/>
  <c r="I160" i="1"/>
  <c r="F63" i="1" l="1"/>
  <c r="H63" i="1"/>
  <c r="I161" i="1"/>
  <c r="H162" i="1"/>
  <c r="E162" i="1"/>
  <c r="J162" i="1" s="1"/>
  <c r="D162" i="1"/>
  <c r="F162" i="1"/>
  <c r="G162" i="1"/>
  <c r="B163" i="1"/>
  <c r="I63" i="1" l="1"/>
  <c r="G63" i="1"/>
  <c r="D64" i="1" s="1"/>
  <c r="B164" i="1"/>
  <c r="H163" i="1"/>
  <c r="F163" i="1"/>
  <c r="G163" i="1"/>
  <c r="E163" i="1"/>
  <c r="J163" i="1" s="1"/>
  <c r="D163" i="1"/>
  <c r="I162" i="1"/>
  <c r="J63" i="1"/>
  <c r="E164" i="1" l="1"/>
  <c r="H164" i="1"/>
  <c r="F164" i="1"/>
  <c r="G164" i="1"/>
  <c r="B165" i="1"/>
  <c r="D164" i="1"/>
  <c r="I163" i="1"/>
  <c r="E64" i="1"/>
  <c r="I164" i="1" l="1"/>
  <c r="J64" i="1"/>
  <c r="F64" i="1"/>
  <c r="H64" i="1"/>
  <c r="B166" i="1"/>
  <c r="H165" i="1"/>
  <c r="F165" i="1"/>
  <c r="D165" i="1"/>
  <c r="E165" i="1"/>
  <c r="J165" i="1" s="1"/>
  <c r="G165" i="1"/>
  <c r="J164" i="1"/>
  <c r="H166" i="1" l="1"/>
  <c r="F166" i="1"/>
  <c r="D166" i="1"/>
  <c r="B167" i="1"/>
  <c r="E166" i="1"/>
  <c r="G166" i="1"/>
  <c r="I165" i="1"/>
  <c r="I64" i="1"/>
  <c r="G64" i="1"/>
  <c r="D65" i="1" s="1"/>
  <c r="B168" i="1" l="1"/>
  <c r="H167" i="1"/>
  <c r="E167" i="1"/>
  <c r="J167" i="1" s="1"/>
  <c r="G167" i="1"/>
  <c r="D167" i="1"/>
  <c r="F167" i="1"/>
  <c r="I166" i="1"/>
  <c r="E65" i="1"/>
  <c r="J166" i="1"/>
  <c r="F65" i="1" l="1"/>
  <c r="H65" i="1"/>
  <c r="I167" i="1"/>
  <c r="E168" i="1"/>
  <c r="J168" i="1" s="1"/>
  <c r="H168" i="1"/>
  <c r="B169" i="1"/>
  <c r="G168" i="1"/>
  <c r="D168" i="1"/>
  <c r="F168" i="1"/>
  <c r="B170" i="1" l="1"/>
  <c r="H169" i="1"/>
  <c r="F169" i="1"/>
  <c r="E169" i="1"/>
  <c r="G169" i="1"/>
  <c r="D169" i="1"/>
  <c r="I65" i="1"/>
  <c r="G65" i="1"/>
  <c r="D66" i="1" s="1"/>
  <c r="I168" i="1"/>
  <c r="J65" i="1"/>
  <c r="I169" i="1" l="1"/>
  <c r="E66" i="1"/>
  <c r="H170" i="1"/>
  <c r="D170" i="1"/>
  <c r="B171" i="1"/>
  <c r="G170" i="1"/>
  <c r="F170" i="1"/>
  <c r="E170" i="1"/>
  <c r="J170" i="1" s="1"/>
  <c r="J169" i="1"/>
  <c r="B172" i="1" l="1"/>
  <c r="H171" i="1"/>
  <c r="F171" i="1"/>
  <c r="G171" i="1"/>
  <c r="D171" i="1"/>
  <c r="E171" i="1"/>
  <c r="F66" i="1"/>
  <c r="H66" i="1"/>
  <c r="I170" i="1"/>
  <c r="I66" i="1" l="1"/>
  <c r="G66" i="1"/>
  <c r="D67" i="1" s="1"/>
  <c r="J66" i="1"/>
  <c r="I171" i="1"/>
  <c r="J171" i="1"/>
  <c r="E172" i="1"/>
  <c r="J172" i="1" s="1"/>
  <c r="H172" i="1"/>
  <c r="F172" i="1"/>
  <c r="G172" i="1"/>
  <c r="B173" i="1"/>
  <c r="D172" i="1"/>
  <c r="B174" i="1" l="1"/>
  <c r="H173" i="1"/>
  <c r="E173" i="1"/>
  <c r="J173" i="1" s="1"/>
  <c r="D173" i="1"/>
  <c r="G173" i="1"/>
  <c r="F173" i="1"/>
  <c r="E67" i="1"/>
  <c r="I172" i="1"/>
  <c r="F67" i="1" l="1"/>
  <c r="H67" i="1"/>
  <c r="I173" i="1"/>
  <c r="H174" i="1"/>
  <c r="F174" i="1"/>
  <c r="D174" i="1"/>
  <c r="B175" i="1"/>
  <c r="E174" i="1"/>
  <c r="J174" i="1" s="1"/>
  <c r="G174" i="1"/>
  <c r="B176" i="1" l="1"/>
  <c r="H175" i="1"/>
  <c r="G175" i="1"/>
  <c r="D175" i="1"/>
  <c r="F175" i="1"/>
  <c r="E175" i="1"/>
  <c r="J175" i="1" s="1"/>
  <c r="I67" i="1"/>
  <c r="G67" i="1"/>
  <c r="D68" i="1" s="1"/>
  <c r="I174" i="1"/>
  <c r="J67" i="1"/>
  <c r="E68" i="1" l="1"/>
  <c r="I175" i="1"/>
  <c r="E176" i="1"/>
  <c r="H176" i="1"/>
  <c r="B177" i="1"/>
  <c r="G176" i="1"/>
  <c r="F176" i="1"/>
  <c r="D176" i="1"/>
  <c r="B178" i="1" l="1"/>
  <c r="H177" i="1"/>
  <c r="F177" i="1"/>
  <c r="G177" i="1"/>
  <c r="E177" i="1"/>
  <c r="D177" i="1"/>
  <c r="I176" i="1"/>
  <c r="J176" i="1"/>
  <c r="F68" i="1"/>
  <c r="H68" i="1"/>
  <c r="I177" i="1" l="1"/>
  <c r="I68" i="1"/>
  <c r="G68" i="1"/>
  <c r="D69" i="1" s="1"/>
  <c r="J68" i="1"/>
  <c r="J177" i="1"/>
  <c r="H178" i="1"/>
  <c r="E178" i="1"/>
  <c r="J178" i="1" s="1"/>
  <c r="D178" i="1"/>
  <c r="G178" i="1"/>
  <c r="F178" i="1"/>
  <c r="B179" i="1"/>
  <c r="B180" i="1" l="1"/>
  <c r="H179" i="1"/>
  <c r="F179" i="1"/>
  <c r="G179" i="1"/>
  <c r="E179" i="1"/>
  <c r="D179" i="1"/>
  <c r="I178" i="1"/>
  <c r="E69" i="1"/>
  <c r="F69" i="1" l="1"/>
  <c r="H69" i="1"/>
  <c r="I179" i="1"/>
  <c r="J179" i="1"/>
  <c r="E180" i="1"/>
  <c r="J180" i="1" s="1"/>
  <c r="H180" i="1"/>
  <c r="F180" i="1"/>
  <c r="G180" i="1"/>
  <c r="B181" i="1"/>
  <c r="D180" i="1"/>
  <c r="B182" i="1" l="1"/>
  <c r="H181" i="1"/>
  <c r="F181" i="1"/>
  <c r="D181" i="1"/>
  <c r="E181" i="1"/>
  <c r="G181" i="1"/>
  <c r="I180" i="1"/>
  <c r="I69" i="1"/>
  <c r="G69" i="1"/>
  <c r="D70" i="1" s="1"/>
  <c r="J69" i="1"/>
  <c r="E70" i="1" l="1"/>
  <c r="I181" i="1"/>
  <c r="J181" i="1"/>
  <c r="H182" i="1"/>
  <c r="F182" i="1"/>
  <c r="D182" i="1"/>
  <c r="B183" i="1"/>
  <c r="E182" i="1"/>
  <c r="G182" i="1"/>
  <c r="I182" i="1" l="1"/>
  <c r="J182" i="1"/>
  <c r="J70" i="1"/>
  <c r="F70" i="1"/>
  <c r="H70" i="1"/>
  <c r="B184" i="1"/>
  <c r="H183" i="1"/>
  <c r="E183" i="1"/>
  <c r="G183" i="1"/>
  <c r="D183" i="1"/>
  <c r="F183" i="1"/>
  <c r="I183" i="1" s="1"/>
  <c r="E184" i="1" l="1"/>
  <c r="H184" i="1"/>
  <c r="B185" i="1"/>
  <c r="G184" i="1"/>
  <c r="D184" i="1"/>
  <c r="F184" i="1"/>
  <c r="I184" i="1" s="1"/>
  <c r="J183" i="1"/>
  <c r="I70" i="1"/>
  <c r="G70" i="1"/>
  <c r="D71" i="1" s="1"/>
  <c r="B186" i="1" l="1"/>
  <c r="H185" i="1"/>
  <c r="F185" i="1"/>
  <c r="E185" i="1"/>
  <c r="J185" i="1" s="1"/>
  <c r="G185" i="1"/>
  <c r="D185" i="1"/>
  <c r="E71" i="1"/>
  <c r="J184" i="1"/>
  <c r="F71" i="1" l="1"/>
  <c r="H71" i="1"/>
  <c r="I185" i="1"/>
  <c r="H186" i="1"/>
  <c r="D186" i="1"/>
  <c r="B187" i="1"/>
  <c r="G186" i="1"/>
  <c r="F186" i="1"/>
  <c r="I186" i="1" s="1"/>
  <c r="E186" i="1"/>
  <c r="J186" i="1" s="1"/>
  <c r="B188" i="1" l="1"/>
  <c r="H187" i="1"/>
  <c r="F187" i="1"/>
  <c r="G187" i="1"/>
  <c r="D187" i="1"/>
  <c r="E187" i="1"/>
  <c r="I71" i="1"/>
  <c r="G71" i="1"/>
  <c r="D72" i="1" s="1"/>
  <c r="J71" i="1"/>
  <c r="I187" i="1" l="1"/>
  <c r="E72" i="1"/>
  <c r="J187" i="1"/>
  <c r="E188" i="1"/>
  <c r="J188" i="1" s="1"/>
  <c r="H188" i="1"/>
  <c r="F188" i="1"/>
  <c r="I188" i="1" s="1"/>
  <c r="G188" i="1"/>
  <c r="B189" i="1"/>
  <c r="D188" i="1"/>
  <c r="B190" i="1" l="1"/>
  <c r="H189" i="1"/>
  <c r="E189" i="1"/>
  <c r="J189" i="1" s="1"/>
  <c r="D189" i="1"/>
  <c r="G189" i="1"/>
  <c r="F189" i="1"/>
  <c r="F72" i="1"/>
  <c r="H72" i="1"/>
  <c r="I72" i="1" l="1"/>
  <c r="G72" i="1"/>
  <c r="D73" i="1" s="1"/>
  <c r="J72" i="1"/>
  <c r="I189" i="1"/>
  <c r="H190" i="1"/>
  <c r="F190" i="1"/>
  <c r="I190" i="1" s="1"/>
  <c r="D190" i="1"/>
  <c r="B191" i="1"/>
  <c r="E190" i="1"/>
  <c r="J190" i="1" s="1"/>
  <c r="G190" i="1"/>
  <c r="B192" i="1" l="1"/>
  <c r="H191" i="1"/>
  <c r="G191" i="1"/>
  <c r="D191" i="1"/>
  <c r="F191" i="1"/>
  <c r="I191" i="1" s="1"/>
  <c r="E191" i="1"/>
  <c r="J191" i="1" s="1"/>
  <c r="E73" i="1"/>
  <c r="F73" i="1" l="1"/>
  <c r="H73" i="1"/>
  <c r="E192" i="1"/>
  <c r="H192" i="1"/>
  <c r="B193" i="1"/>
  <c r="G192" i="1"/>
  <c r="F192" i="1"/>
  <c r="I192" i="1" s="1"/>
  <c r="D192" i="1"/>
  <c r="J192" i="1" l="1"/>
  <c r="H193" i="1"/>
  <c r="F193" i="1"/>
  <c r="E193" i="1"/>
  <c r="G193" i="1"/>
  <c r="D193" i="1"/>
  <c r="I73" i="1"/>
  <c r="G73" i="1"/>
  <c r="D74" i="1" s="1"/>
  <c r="J73" i="1"/>
  <c r="I193" i="1" l="1"/>
  <c r="E74" i="1"/>
  <c r="J193" i="1"/>
  <c r="F74" i="1" l="1"/>
  <c r="H74" i="1"/>
  <c r="I74" i="1" l="1"/>
  <c r="G74" i="1"/>
  <c r="D75" i="1" s="1"/>
  <c r="J74" i="1"/>
  <c r="E75" i="1" l="1"/>
  <c r="F75" i="1" l="1"/>
  <c r="H75" i="1"/>
  <c r="I75" i="1" l="1"/>
  <c r="G75" i="1"/>
  <c r="D76" i="1" s="1"/>
  <c r="J75" i="1"/>
  <c r="E76" i="1" l="1"/>
  <c r="F76" i="1" l="1"/>
  <c r="H76" i="1"/>
  <c r="I76" i="1" l="1"/>
  <c r="G76" i="1"/>
  <c r="D77" i="1" s="1"/>
  <c r="J76" i="1"/>
  <c r="E77" i="1" l="1"/>
  <c r="F77" i="1" l="1"/>
  <c r="H77" i="1"/>
  <c r="I77" i="1" l="1"/>
  <c r="G77" i="1"/>
  <c r="D78" i="1" s="1"/>
  <c r="J77" i="1"/>
  <c r="E78" i="1" l="1"/>
  <c r="F78" i="1" l="1"/>
  <c r="H78" i="1"/>
  <c r="I78" i="1" l="1"/>
  <c r="G78" i="1"/>
  <c r="D79" i="1" s="1"/>
  <c r="J78" i="1"/>
  <c r="E79" i="1" l="1"/>
  <c r="F79" i="1" l="1"/>
  <c r="H79" i="1"/>
  <c r="I79" i="1" l="1"/>
  <c r="G79" i="1"/>
  <c r="D80" i="1" s="1"/>
  <c r="J79" i="1"/>
  <c r="E80" i="1" l="1"/>
  <c r="F80" i="1" l="1"/>
  <c r="H80" i="1"/>
  <c r="I80" i="1" l="1"/>
  <c r="G80" i="1"/>
  <c r="D81" i="1" s="1"/>
  <c r="J80" i="1"/>
  <c r="E81" i="1" l="1"/>
  <c r="F81" i="1" l="1"/>
  <c r="H81" i="1"/>
  <c r="I81" i="1" l="1"/>
  <c r="G81" i="1"/>
  <c r="D82" i="1" s="1"/>
  <c r="J81" i="1"/>
  <c r="E82" i="1" l="1"/>
  <c r="F82" i="1" l="1"/>
  <c r="H82" i="1"/>
  <c r="I82" i="1" l="1"/>
  <c r="G82" i="1"/>
  <c r="D83" i="1" s="1"/>
  <c r="J82" i="1"/>
  <c r="E83" i="1" l="1"/>
  <c r="F83" i="1" l="1"/>
  <c r="H83" i="1"/>
  <c r="I83" i="1" l="1"/>
  <c r="G83" i="1"/>
  <c r="D84" i="1" s="1"/>
  <c r="J83" i="1"/>
  <c r="E84" i="1" l="1"/>
  <c r="F84" i="1" l="1"/>
  <c r="H84" i="1"/>
  <c r="I84" i="1" l="1"/>
  <c r="G84" i="1"/>
  <c r="D85" i="1" s="1"/>
  <c r="J84" i="1"/>
  <c r="E85" i="1" l="1"/>
  <c r="F85" i="1" l="1"/>
  <c r="H85" i="1"/>
  <c r="I85" i="1" l="1"/>
  <c r="G85" i="1"/>
  <c r="D86" i="1" s="1"/>
  <c r="J85" i="1"/>
  <c r="E86" i="1" l="1"/>
  <c r="F86" i="1" l="1"/>
  <c r="H86" i="1"/>
  <c r="I86" i="1" l="1"/>
  <c r="G86" i="1"/>
  <c r="D87" i="1" s="1"/>
  <c r="J86" i="1"/>
  <c r="E87" i="1" l="1"/>
  <c r="F87" i="1" l="1"/>
  <c r="H87" i="1"/>
  <c r="I87" i="1" l="1"/>
  <c r="G87" i="1"/>
  <c r="D88" i="1" s="1"/>
  <c r="J87" i="1"/>
  <c r="E88" i="1" l="1"/>
  <c r="F88" i="1" l="1"/>
  <c r="H88" i="1"/>
  <c r="I88" i="1" l="1"/>
  <c r="G88" i="1"/>
  <c r="D89" i="1" s="1"/>
  <c r="J88" i="1"/>
  <c r="E89" i="1" l="1"/>
  <c r="F89" i="1" l="1"/>
  <c r="H89" i="1"/>
  <c r="I89" i="1" l="1"/>
  <c r="G89" i="1"/>
  <c r="D90" i="1" s="1"/>
  <c r="J89" i="1"/>
  <c r="E90" i="1" l="1"/>
  <c r="F90" i="1" l="1"/>
  <c r="H90" i="1"/>
  <c r="I90" i="1" l="1"/>
  <c r="G90" i="1"/>
  <c r="D91" i="1" s="1"/>
  <c r="J90" i="1"/>
  <c r="E91" i="1" l="1"/>
  <c r="F91" i="1" l="1"/>
  <c r="H91" i="1"/>
  <c r="I91" i="1" l="1"/>
  <c r="G91" i="1"/>
  <c r="D92" i="1" s="1"/>
  <c r="J91" i="1"/>
  <c r="E92" i="1" l="1"/>
  <c r="F92" i="1" l="1"/>
  <c r="H92" i="1"/>
  <c r="I92" i="1" l="1"/>
  <c r="G92" i="1"/>
  <c r="D93" i="1" s="1"/>
  <c r="J92" i="1"/>
  <c r="E93" i="1" l="1"/>
  <c r="F93" i="1" l="1"/>
  <c r="H93" i="1"/>
  <c r="I93" i="1" l="1"/>
  <c r="G93" i="1"/>
  <c r="D94" i="1" s="1"/>
  <c r="J93" i="1"/>
  <c r="E94" i="1" l="1"/>
  <c r="F94" i="1" l="1"/>
  <c r="H94" i="1"/>
  <c r="I94" i="1" l="1"/>
  <c r="G94" i="1"/>
  <c r="D95" i="1" s="1"/>
  <c r="J94" i="1"/>
  <c r="E95" i="1" l="1"/>
  <c r="F95" i="1" l="1"/>
  <c r="H95" i="1"/>
  <c r="I95" i="1" l="1"/>
  <c r="G95" i="1"/>
  <c r="D96" i="1" s="1"/>
  <c r="J95" i="1"/>
  <c r="E96" i="1" l="1"/>
  <c r="F96" i="1" l="1"/>
  <c r="H96" i="1"/>
  <c r="I96" i="1" l="1"/>
  <c r="G96" i="1"/>
  <c r="D97" i="1" s="1"/>
  <c r="J96" i="1"/>
  <c r="E97" i="1" l="1"/>
  <c r="F97" i="1" l="1"/>
  <c r="H97" i="1"/>
  <c r="I97" i="1" l="1"/>
  <c r="G97" i="1"/>
  <c r="D98" i="1" s="1"/>
  <c r="J97" i="1"/>
  <c r="E98" i="1" l="1"/>
  <c r="F98" i="1" l="1"/>
  <c r="H98" i="1"/>
  <c r="I98" i="1" l="1"/>
  <c r="G98" i="1"/>
  <c r="D99" i="1" s="1"/>
  <c r="J98" i="1"/>
  <c r="E99" i="1" l="1"/>
  <c r="F99" i="1" l="1"/>
  <c r="H99" i="1"/>
  <c r="I99" i="1" l="1"/>
  <c r="G99" i="1"/>
  <c r="D100" i="1" s="1"/>
  <c r="J99" i="1"/>
  <c r="E100" i="1" l="1"/>
  <c r="F100" i="1" l="1"/>
  <c r="H100" i="1"/>
  <c r="I100" i="1" l="1"/>
  <c r="G100" i="1"/>
  <c r="D101" i="1" s="1"/>
  <c r="J100" i="1"/>
  <c r="E101" i="1" l="1"/>
  <c r="F101" i="1" l="1"/>
  <c r="H101" i="1"/>
  <c r="I101" i="1" l="1"/>
  <c r="G101" i="1"/>
  <c r="D102" i="1" s="1"/>
  <c r="J101" i="1"/>
  <c r="E102" i="1" l="1"/>
  <c r="F102" i="1" l="1"/>
  <c r="H102" i="1"/>
  <c r="I102" i="1" l="1"/>
  <c r="G102" i="1"/>
  <c r="D103" i="1" s="1"/>
  <c r="J102" i="1"/>
  <c r="E103" i="1" l="1"/>
  <c r="F103" i="1" l="1"/>
  <c r="H103" i="1"/>
  <c r="I103" i="1" l="1"/>
  <c r="G103" i="1"/>
  <c r="D104" i="1" s="1"/>
  <c r="J103" i="1"/>
  <c r="E104" i="1" l="1"/>
  <c r="F104" i="1" l="1"/>
  <c r="H104" i="1"/>
  <c r="I104" i="1" l="1"/>
  <c r="G104" i="1"/>
  <c r="D105" i="1" s="1"/>
  <c r="J104" i="1"/>
  <c r="E105" i="1" l="1"/>
  <c r="F105" i="1" l="1"/>
  <c r="H105" i="1"/>
  <c r="I105" i="1" l="1"/>
  <c r="G105" i="1"/>
  <c r="D106" i="1" s="1"/>
  <c r="J105" i="1"/>
  <c r="E106" i="1" l="1"/>
  <c r="F106" i="1" l="1"/>
  <c r="H106" i="1"/>
  <c r="I106" i="1" l="1"/>
  <c r="G106" i="1"/>
  <c r="D107" i="1" s="1"/>
  <c r="J106" i="1"/>
  <c r="E107" i="1" l="1"/>
  <c r="F107" i="1" l="1"/>
  <c r="H107" i="1"/>
  <c r="I107" i="1" l="1"/>
  <c r="G107" i="1"/>
  <c r="D108" i="1" s="1"/>
  <c r="J107" i="1"/>
  <c r="E108" i="1" l="1"/>
  <c r="F108" i="1" l="1"/>
  <c r="H108" i="1"/>
  <c r="I108" i="1" l="1"/>
  <c r="G108" i="1"/>
  <c r="D109" i="1" s="1"/>
  <c r="J108" i="1"/>
  <c r="E109" i="1" l="1"/>
  <c r="F109" i="1" l="1"/>
  <c r="H109" i="1"/>
  <c r="I109" i="1" l="1"/>
  <c r="G109" i="1"/>
  <c r="D110" i="1" s="1"/>
  <c r="J109" i="1"/>
  <c r="E110" i="1" l="1"/>
  <c r="F110" i="1" l="1"/>
  <c r="H110" i="1"/>
  <c r="I110" i="1" l="1"/>
  <c r="G110" i="1"/>
  <c r="D111" i="1" s="1"/>
  <c r="J110" i="1"/>
  <c r="E111" i="1" l="1"/>
  <c r="F111" i="1" l="1"/>
  <c r="H111" i="1"/>
  <c r="I111" i="1" l="1"/>
  <c r="G111" i="1"/>
  <c r="D112" i="1" s="1"/>
  <c r="J111" i="1"/>
  <c r="E112" i="1" l="1"/>
  <c r="F112" i="1" l="1"/>
  <c r="H112" i="1"/>
  <c r="I112" i="1" l="1"/>
  <c r="G112" i="1"/>
  <c r="D113" i="1" s="1"/>
  <c r="J112" i="1"/>
  <c r="E113" i="1" l="1"/>
  <c r="F113" i="1" l="1"/>
  <c r="H113" i="1"/>
  <c r="I113" i="1" l="1"/>
  <c r="G113" i="1"/>
  <c r="D114" i="1" s="1"/>
  <c r="J113" i="1"/>
  <c r="E114" i="1" l="1"/>
  <c r="F114" i="1" l="1"/>
  <c r="H114" i="1"/>
  <c r="I114" i="1" l="1"/>
  <c r="G114" i="1"/>
  <c r="D115" i="1" s="1"/>
  <c r="J114" i="1"/>
  <c r="E115" i="1" l="1"/>
  <c r="F115" i="1" l="1"/>
  <c r="H115" i="1"/>
  <c r="I115" i="1" l="1"/>
  <c r="G115" i="1"/>
  <c r="D116" i="1" s="1"/>
  <c r="J115" i="1"/>
  <c r="E116" i="1" l="1"/>
  <c r="F116" i="1" l="1"/>
  <c r="H116" i="1"/>
  <c r="I116" i="1" l="1"/>
  <c r="G116" i="1"/>
  <c r="D117" i="1" s="1"/>
  <c r="J116" i="1"/>
  <c r="E117" i="1" l="1"/>
  <c r="F117" i="1" l="1"/>
  <c r="H117" i="1"/>
  <c r="I117" i="1" l="1"/>
  <c r="G117" i="1"/>
  <c r="D118" i="1" s="1"/>
  <c r="J117" i="1"/>
  <c r="E118" i="1" l="1"/>
  <c r="F118" i="1" l="1"/>
  <c r="H118" i="1"/>
  <c r="I118" i="1" l="1"/>
  <c r="G118" i="1"/>
  <c r="D119" i="1" s="1"/>
  <c r="J118" i="1"/>
  <c r="E119" i="1" l="1"/>
  <c r="F119" i="1" l="1"/>
  <c r="H119" i="1"/>
  <c r="I119" i="1" l="1"/>
  <c r="G119" i="1"/>
  <c r="D120" i="1" s="1"/>
  <c r="J119" i="1"/>
  <c r="E120" i="1" l="1"/>
  <c r="F120" i="1" l="1"/>
  <c r="H120" i="1"/>
  <c r="I120" i="1" l="1"/>
  <c r="G120" i="1"/>
  <c r="D121" i="1" s="1"/>
  <c r="J120" i="1"/>
  <c r="E121" i="1" l="1"/>
  <c r="F121" i="1" l="1"/>
  <c r="H121" i="1"/>
  <c r="I121" i="1" l="1"/>
  <c r="G121" i="1"/>
  <c r="D122" i="1" s="1"/>
  <c r="J121" i="1"/>
  <c r="E122" i="1" l="1"/>
  <c r="F122" i="1" l="1"/>
  <c r="H122" i="1"/>
  <c r="I122" i="1" l="1"/>
  <c r="G122" i="1"/>
  <c r="D123" i="1" s="1"/>
  <c r="J122" i="1"/>
  <c r="E123" i="1" l="1"/>
  <c r="F123" i="1" l="1"/>
  <c r="H123" i="1"/>
  <c r="I123" i="1" l="1"/>
  <c r="G123" i="1"/>
  <c r="D124" i="1" s="1"/>
  <c r="J123" i="1"/>
  <c r="E124" i="1" l="1"/>
  <c r="F124" i="1" l="1"/>
  <c r="H124" i="1"/>
  <c r="I124" i="1" l="1"/>
  <c r="G124" i="1"/>
  <c r="D125" i="1" s="1"/>
  <c r="J124" i="1"/>
  <c r="E125" i="1" l="1"/>
  <c r="F125" i="1" l="1"/>
  <c r="H125" i="1"/>
  <c r="I125" i="1" l="1"/>
  <c r="G125" i="1"/>
  <c r="D126" i="1" s="1"/>
  <c r="J125" i="1"/>
  <c r="E126" i="1" l="1"/>
  <c r="F126" i="1" l="1"/>
  <c r="H126" i="1"/>
  <c r="I126" i="1" l="1"/>
  <c r="G126" i="1"/>
  <c r="D127" i="1" s="1"/>
  <c r="J126" i="1"/>
  <c r="E127" i="1" l="1"/>
  <c r="F127" i="1" l="1"/>
  <c r="H127" i="1"/>
  <c r="I127" i="1" l="1"/>
  <c r="G127" i="1"/>
  <c r="D128" i="1" s="1"/>
  <c r="J127" i="1"/>
  <c r="E128" i="1" l="1"/>
  <c r="F128" i="1" l="1"/>
  <c r="H128" i="1"/>
  <c r="I128" i="1" l="1"/>
  <c r="G128" i="1"/>
  <c r="D129" i="1" s="1"/>
  <c r="J128" i="1"/>
  <c r="E129" i="1" l="1"/>
  <c r="F129" i="1" l="1"/>
  <c r="H129" i="1"/>
  <c r="I129" i="1" l="1"/>
  <c r="G129" i="1"/>
  <c r="D130" i="1" s="1"/>
  <c r="J129" i="1"/>
  <c r="E130" i="1" l="1"/>
  <c r="F130" i="1" l="1"/>
  <c r="H130" i="1"/>
  <c r="I130" i="1" l="1"/>
  <c r="G130" i="1"/>
  <c r="D131" i="1" s="1"/>
  <c r="J130" i="1"/>
  <c r="E131" i="1" l="1"/>
  <c r="F131" i="1" l="1"/>
  <c r="H131" i="1"/>
  <c r="I131" i="1" l="1"/>
  <c r="G131" i="1"/>
  <c r="D132" i="1" s="1"/>
  <c r="J131" i="1"/>
  <c r="E132" i="1" l="1"/>
  <c r="F132" i="1" l="1"/>
  <c r="H132" i="1"/>
  <c r="I132" i="1" l="1"/>
  <c r="G132" i="1"/>
  <c r="D133" i="1" s="1"/>
  <c r="J132" i="1"/>
  <c r="E133" i="1" l="1"/>
  <c r="F133" i="1" l="1"/>
  <c r="E196" i="1"/>
  <c r="H133" i="1"/>
  <c r="I144" i="1" l="1"/>
  <c r="F196" i="1"/>
  <c r="F198" i="1" s="1"/>
  <c r="I133" i="1"/>
  <c r="I134" i="1"/>
  <c r="I135" i="1"/>
  <c r="I136" i="1"/>
  <c r="I137" i="1"/>
  <c r="I138" i="1"/>
  <c r="I142" i="1"/>
  <c r="I143" i="1"/>
  <c r="I140" i="1"/>
  <c r="I139" i="1"/>
  <c r="I141" i="1"/>
  <c r="G133" i="1"/>
  <c r="J13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Fungipani, Andre</author>
  </authors>
  <commentList>
    <comment ref="D8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Hier den Wert aus E8 einfügen</t>
        </r>
      </text>
    </comment>
  </commentList>
</comments>
</file>

<file path=xl/sharedStrings.xml><?xml version="1.0" encoding="utf-8"?>
<sst xmlns="http://schemas.openxmlformats.org/spreadsheetml/2006/main" count="42" uniqueCount="39">
  <si>
    <t>Anleihebetrag</t>
  </si>
  <si>
    <t>Zinssatz</t>
  </si>
  <si>
    <t>Laufzeit (in Jahren)</t>
  </si>
  <si>
    <t>Zahlungen pro Jahr</t>
  </si>
  <si>
    <t>Kreditbeginn</t>
  </si>
  <si>
    <t>Monatliche Belastung</t>
  </si>
  <si>
    <t>Anzahl der Raten</t>
  </si>
  <si>
    <t>Tilgung</t>
  </si>
  <si>
    <t>Rate Nr.</t>
  </si>
  <si>
    <t>Zahlungstermine</t>
  </si>
  <si>
    <t>Anfangsstand</t>
  </si>
  <si>
    <t>Zins</t>
  </si>
  <si>
    <t>Endstand</t>
  </si>
  <si>
    <t>Kumulativer Zins</t>
  </si>
  <si>
    <t>Kumulative Tilgung</t>
  </si>
  <si>
    <t>Gesamt</t>
  </si>
  <si>
    <t>Ausserordentliche Tilgung</t>
  </si>
  <si>
    <t>BERECHNUNGEN</t>
  </si>
  <si>
    <t>Verwendete Zahlung:</t>
  </si>
  <si>
    <t>1. Zahlung in Tabelle:</t>
  </si>
  <si>
    <t>Kapital</t>
  </si>
  <si>
    <t>Jahresrückzahlung</t>
  </si>
  <si>
    <t>Monatsbelastung</t>
  </si>
  <si>
    <t>Monatliche Belastungen</t>
  </si>
  <si>
    <t>Zinsbelastung</t>
  </si>
  <si>
    <t>Nebenkosten ca. 1)</t>
  </si>
  <si>
    <t>Stromkosten ca.</t>
  </si>
  <si>
    <t>Differenzbetrag Miete/Tilgung</t>
  </si>
  <si>
    <t>der alten Wohnung   ca.</t>
  </si>
  <si>
    <t>Aufwendungen nur Haus</t>
  </si>
  <si>
    <t>Hausumlage (Garten etc.)</t>
  </si>
  <si>
    <t>1) Grundsteuer, Heizung, Rücklagen, Wasser, Abwasser, Müllabfuhr, Hausversicherungen</t>
  </si>
  <si>
    <t>Percentage_Format</t>
  </si>
  <si>
    <t>add_2_decimal_places</t>
  </si>
  <si>
    <t>add_border</t>
  </si>
  <si>
    <t>remove_border</t>
  </si>
  <si>
    <t xml:space="preserve">Tilgungsplan für das Darlehen </t>
  </si>
  <si>
    <t>in D8 immer den angezeigten Wert aus E 8 einfügen</t>
  </si>
  <si>
    <t>Annuitäten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</si>
</sst>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$&quot;#,##0_);[Red]\(&quot;$&quot;#,##0\)"/>
    <numFmt numFmtId="165" formatCode="0.0%"/>
    <numFmt numFmtId="166" formatCode="#,##0.00\ &quot;DM&quot;"/>
    <numFmt numFmtId="167" formatCode="#,##0\ &quot;DM&quot;"/>
    <numFmt numFmtId="168" formatCode="yyyy"/>
    <numFmt numFmtId="169" formatCode="&quot;Restbetrag&quot;\ dd/mm/yyyy"/>
    <numFmt numFmtId="170" formatCode="#,##0.00\ [$€-1];\-#,##0.00\ [$€-1]"/>
    <numFmt numFmtId="171" formatCode="#,##0.00\ [$€-1]"/>
    <numFmt numFmtId="172" formatCode="&quot;= Kontostand:&quot;\ dd/mm/yyyy"/>
  </numFmts>
  <fonts count="42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0"/>
      <name val="MS Sans Serif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8.5"/>
      <name val="MS Sans Serif"/>
      <family val="2"/>
    </font>
    <font>
      <b/>
      <sz val="8.5"/>
      <name val="MS Sans Serif"/>
      <family val="2"/>
    </font>
    <font>
      <sz val="8.5"/>
      <name val="MS Sans Serif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0"/>
      <color indexed="48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i/>
      <sz val="10"/>
      <color indexed="23"/>
      <name val="Arial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48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0"/>
      <color indexed="39"/>
      <name val="Arial"/>
      <family val="2"/>
    </font>
    <font>
      <b/>
      <sz val="12"/>
      <color indexed="8"/>
      <name val="Arial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sz val="19"/>
      <color indexed="48"/>
      <name val="Arial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sz val="10"/>
      <color rgb="FFC00000"/>
      <name val="Arial"/>
      <family val="2"/>
    </font>
    <font>
      <b/>
      <sz val="10"/>
      <color rgb="FFC00000"/>
      <name val="Arial"/>
      <family val="2"/>
    </font>
  </fonts>
  <fills count="43">
    <fill>
      <patternFill patternType="none"/>
    </fill>
    <fill>
      <patternFill patternType="gray125"/>
    </fill>
    <fill>
      <patternFill patternType="solid">
        <fgColor indexed="40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9"/>
      </patternFill>
    </fill>
    <fill>
      <patternFill patternType="solid">
        <fgColor indexed="44"/>
      </patternFill>
    </fill>
    <fill>
      <patternFill patternType="solid">
        <fgColor indexed="45"/>
      </patternFill>
    </fill>
    <fill>
      <patternFill patternType="solid">
        <fgColor indexed="54"/>
      </patternFill>
    </fill>
    <fill>
      <patternFill patternType="solid">
        <fgColor indexed="57"/>
      </patternFill>
    </fill>
    <fill>
      <patternFill patternType="solid">
        <fgColor indexed="22"/>
      </patternFill>
    </fill>
    <fill>
      <patternFill patternType="solid">
        <fgColor indexed="47"/>
      </patternFill>
    </fill>
    <fill>
      <patternFill patternType="solid">
        <fgColor indexed="48"/>
        <bgColor indexed="48"/>
      </patternFill>
    </fill>
    <fill>
      <patternFill patternType="solid">
        <fgColor indexed="44"/>
        <bgColor indexed="44"/>
      </patternFill>
    </fill>
    <fill>
      <patternFill patternType="solid">
        <fgColor indexed="54"/>
        <bgColor indexed="54"/>
      </patternFill>
    </fill>
    <fill>
      <patternFill patternType="solid">
        <fgColor indexed="24"/>
        <bgColor indexed="24"/>
      </patternFill>
    </fill>
    <fill>
      <patternFill patternType="solid">
        <fgColor indexed="25"/>
        <bgColor indexed="25"/>
      </patternFill>
    </fill>
    <fill>
      <patternFill patternType="solid">
        <fgColor indexed="15"/>
        <bgColor indexed="15"/>
      </patternFill>
    </fill>
    <fill>
      <patternFill patternType="solid">
        <fgColor indexed="45"/>
        <bgColor indexed="45"/>
      </patternFill>
    </fill>
    <fill>
      <patternFill patternType="solid">
        <fgColor indexed="55"/>
        <bgColor indexed="55"/>
      </patternFill>
    </fill>
    <fill>
      <patternFill patternType="solid">
        <fgColor indexed="41"/>
        <bgColor indexed="41"/>
      </patternFill>
    </fill>
    <fill>
      <patternFill patternType="solid">
        <fgColor indexed="40"/>
        <bgColor indexed="40"/>
      </patternFill>
    </fill>
    <fill>
      <patternFill patternType="solid">
        <fgColor indexed="22"/>
        <bgColor indexed="22"/>
      </patternFill>
    </fill>
    <fill>
      <patternFill patternType="solid">
        <fgColor indexed="23"/>
        <bgColor indexed="23"/>
      </patternFill>
    </fill>
    <fill>
      <patternFill patternType="solid">
        <fgColor indexed="49"/>
        <bgColor indexed="49"/>
      </patternFill>
    </fill>
    <fill>
      <patternFill patternType="solid">
        <fgColor indexed="52"/>
        <bgColor indexed="52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57"/>
      </patternFill>
    </fill>
    <fill>
      <patternFill patternType="solid">
        <fgColor indexed="42"/>
        <bgColor indexed="42"/>
      </patternFill>
    </fill>
    <fill>
      <patternFill patternType="solid">
        <fgColor indexed="43"/>
      </patternFill>
    </fill>
    <fill>
      <patternFill patternType="solid">
        <fgColor indexed="10"/>
      </patternFill>
    </fill>
    <fill>
      <patternFill patternType="solid">
        <fgColor indexed="51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50"/>
      </patternFill>
    </fill>
    <fill>
      <patternFill patternType="solid">
        <fgColor indexed="11"/>
      </patternFill>
    </fill>
    <fill>
      <patternFill patternType="lightUp">
        <fgColor indexed="48"/>
        <bgColor indexed="41"/>
      </patternFill>
    </fill>
    <fill>
      <patternFill patternType="solid">
        <fgColor indexed="41"/>
      </patternFill>
    </fill>
    <fill>
      <patternFill patternType="solid">
        <fgColor indexed="15"/>
      </patternFill>
    </fill>
  </fills>
  <borders count="1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24"/>
      </bottom>
      <diagonal/>
    </border>
    <border>
      <left/>
      <right/>
      <top/>
      <bottom style="double">
        <color indexed="5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09">
    <xf numFmtId="0" fontId="0" fillId="0" borderId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5" borderId="0" applyNumberFormat="0" applyBorder="0" applyAlignment="0" applyProtection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7" fillId="8" borderId="0" applyNumberFormat="0" applyBorder="0" applyAlignment="0" applyProtection="0"/>
    <xf numFmtId="0" fontId="7" fillId="3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8" borderId="0" applyNumberFormat="0" applyBorder="0" applyAlignment="0" applyProtection="0"/>
    <xf numFmtId="0" fontId="7" fillId="11" borderId="0" applyNumberFormat="0" applyBorder="0" applyAlignment="0" applyProtection="0"/>
    <xf numFmtId="0" fontId="11" fillId="8" borderId="0" applyNumberFormat="0" applyBorder="0" applyAlignment="0" applyProtection="0"/>
    <xf numFmtId="0" fontId="11" fillId="3" borderId="0" applyNumberFormat="0" applyBorder="0" applyAlignment="0" applyProtection="0"/>
    <xf numFmtId="0" fontId="11" fillId="9" borderId="0" applyNumberFormat="0" applyBorder="0" applyAlignment="0" applyProtection="0"/>
    <xf numFmtId="0" fontId="11" fillId="10" borderId="0" applyNumberFormat="0" applyBorder="0" applyAlignment="0" applyProtection="0"/>
    <xf numFmtId="0" fontId="11" fillId="8" borderId="0" applyNumberFormat="0" applyBorder="0" applyAlignment="0" applyProtection="0"/>
    <xf numFmtId="0" fontId="11" fillId="11" borderId="0" applyNumberFormat="0" applyBorder="0" applyAlignment="0" applyProtection="0"/>
    <xf numFmtId="0" fontId="16" fillId="12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6" fillId="15" borderId="0" applyNumberFormat="0" applyBorder="0" applyAlignment="0" applyProtection="0"/>
    <xf numFmtId="0" fontId="16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6" fillId="19" borderId="0" applyNumberFormat="0" applyBorder="0" applyAlignment="0" applyProtection="0"/>
    <xf numFmtId="0" fontId="16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6" fillId="22" borderId="0" applyNumberFormat="0" applyBorder="0" applyAlignment="0" applyProtection="0"/>
    <xf numFmtId="0" fontId="16" fillId="23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16" fillId="22" borderId="0" applyNumberFormat="0" applyBorder="0" applyAlignment="0" applyProtection="0"/>
    <xf numFmtId="0" fontId="16" fillId="24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6" fillId="14" borderId="0" applyNumberFormat="0" applyBorder="0" applyAlignment="0" applyProtection="0"/>
    <xf numFmtId="0" fontId="16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18" borderId="0" applyNumberFormat="0" applyBorder="0" applyAlignment="0" applyProtection="0"/>
    <xf numFmtId="0" fontId="16" fillId="27" borderId="0" applyNumberFormat="0" applyBorder="0" applyAlignment="0" applyProtection="0"/>
    <xf numFmtId="0" fontId="18" fillId="18" borderId="0" applyNumberFormat="0" applyBorder="0" applyAlignment="0" applyProtection="0"/>
    <xf numFmtId="0" fontId="19" fillId="28" borderId="1" applyNumberFormat="0" applyAlignment="0" applyProtection="0"/>
    <xf numFmtId="0" fontId="20" fillId="19" borderId="2" applyNumberFormat="0" applyAlignment="0" applyProtection="0"/>
    <xf numFmtId="38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21" fillId="29" borderId="0" applyNumberFormat="0" applyBorder="0" applyAlignment="0" applyProtection="0"/>
    <xf numFmtId="0" fontId="21" fillId="30" borderId="0" applyNumberFormat="0" applyBorder="0" applyAlignment="0" applyProtection="0"/>
    <xf numFmtId="0" fontId="21" fillId="31" borderId="0" applyNumberFormat="0" applyBorder="0" applyAlignment="0" applyProtection="0"/>
    <xf numFmtId="0" fontId="22" fillId="0" borderId="0" applyNumberFormat="0" applyFill="0" applyBorder="0" applyAlignment="0" applyProtection="0"/>
    <xf numFmtId="0" fontId="23" fillId="32" borderId="0" applyNumberFormat="0" applyBorder="0" applyAlignment="0" applyProtection="0"/>
    <xf numFmtId="0" fontId="24" fillId="0" borderId="3" applyNumberFormat="0" applyFill="0" applyAlignment="0" applyProtection="0"/>
    <xf numFmtId="0" fontId="25" fillId="0" borderId="4" applyNumberFormat="0" applyFill="0" applyAlignment="0" applyProtection="0"/>
    <xf numFmtId="0" fontId="26" fillId="0" borderId="5" applyNumberFormat="0" applyFill="0" applyAlignment="0" applyProtection="0"/>
    <xf numFmtId="0" fontId="26" fillId="0" borderId="0" applyNumberFormat="0" applyFill="0" applyBorder="0" applyAlignment="0" applyProtection="0"/>
    <xf numFmtId="0" fontId="27" fillId="27" borderId="1" applyNumberFormat="0" applyAlignment="0" applyProtection="0"/>
    <xf numFmtId="0" fontId="28" fillId="0" borderId="6" applyNumberFormat="0" applyFill="0" applyAlignment="0" applyProtection="0"/>
    <xf numFmtId="0" fontId="29" fillId="27" borderId="0" applyNumberFormat="0" applyBorder="0" applyAlignment="0" applyProtection="0"/>
    <xf numFmtId="0" fontId="2" fillId="0" borderId="0"/>
    <xf numFmtId="0" fontId="2" fillId="26" borderId="7" applyNumberFormat="0" applyFont="0" applyAlignment="0" applyProtection="0"/>
    <xf numFmtId="0" fontId="30" fillId="28" borderId="8" applyNumberFormat="0" applyAlignment="0" applyProtection="0"/>
    <xf numFmtId="4" fontId="6" fillId="33" borderId="9" applyNumberFormat="0" applyProtection="0">
      <alignment vertical="center"/>
    </xf>
    <xf numFmtId="4" fontId="31" fillId="33" borderId="9" applyNumberFormat="0" applyProtection="0">
      <alignment vertical="center"/>
    </xf>
    <xf numFmtId="4" fontId="6" fillId="33" borderId="9" applyNumberFormat="0" applyProtection="0">
      <alignment horizontal="left" vertical="center" indent="1"/>
    </xf>
    <xf numFmtId="0" fontId="6" fillId="33" borderId="9" applyNumberFormat="0" applyProtection="0">
      <alignment horizontal="left" vertical="top" indent="1"/>
    </xf>
    <xf numFmtId="4" fontId="6" fillId="2" borderId="0" applyNumberFormat="0" applyProtection="0">
      <alignment horizontal="left" vertical="center" indent="1"/>
    </xf>
    <xf numFmtId="4" fontId="7" fillId="7" borderId="9" applyNumberFormat="0" applyProtection="0">
      <alignment horizontal="right" vertical="center"/>
    </xf>
    <xf numFmtId="4" fontId="7" fillId="3" borderId="9" applyNumberFormat="0" applyProtection="0">
      <alignment horizontal="right" vertical="center"/>
    </xf>
    <xf numFmtId="4" fontId="7" fillId="34" borderId="9" applyNumberFormat="0" applyProtection="0">
      <alignment horizontal="right" vertical="center"/>
    </xf>
    <xf numFmtId="4" fontId="7" fillId="35" borderId="9" applyNumberFormat="0" applyProtection="0">
      <alignment horizontal="right" vertical="center"/>
    </xf>
    <xf numFmtId="4" fontId="7" fillId="36" borderId="9" applyNumberFormat="0" applyProtection="0">
      <alignment horizontal="right" vertical="center"/>
    </xf>
    <xf numFmtId="4" fontId="7" fillId="37" borderId="9" applyNumberFormat="0" applyProtection="0">
      <alignment horizontal="right" vertical="center"/>
    </xf>
    <xf numFmtId="4" fontId="7" fillId="9" borderId="9" applyNumberFormat="0" applyProtection="0">
      <alignment horizontal="right" vertical="center"/>
    </xf>
    <xf numFmtId="4" fontId="7" fillId="38" borderId="9" applyNumberFormat="0" applyProtection="0">
      <alignment horizontal="right" vertical="center"/>
    </xf>
    <xf numFmtId="4" fontId="7" fillId="39" borderId="9" applyNumberFormat="0" applyProtection="0">
      <alignment horizontal="right" vertical="center"/>
    </xf>
    <xf numFmtId="4" fontId="6" fillId="40" borderId="10" applyNumberFormat="0" applyProtection="0">
      <alignment horizontal="left" vertical="center" indent="1"/>
    </xf>
    <xf numFmtId="4" fontId="7" fillId="41" borderId="0" applyNumberFormat="0" applyProtection="0">
      <alignment horizontal="left" vertical="center" indent="1"/>
    </xf>
    <xf numFmtId="4" fontId="32" fillId="8" borderId="0" applyNumberFormat="0" applyProtection="0">
      <alignment horizontal="left" vertical="center" indent="1"/>
    </xf>
    <xf numFmtId="4" fontId="7" fillId="2" borderId="9" applyNumberFormat="0" applyProtection="0">
      <alignment horizontal="right" vertical="center"/>
    </xf>
    <xf numFmtId="4" fontId="33" fillId="41" borderId="0" applyNumberFormat="0" applyProtection="0">
      <alignment horizontal="left" vertical="center" indent="1"/>
    </xf>
    <xf numFmtId="4" fontId="33" fillId="2" borderId="0" applyNumberFormat="0" applyProtection="0">
      <alignment horizontal="left" vertical="center" indent="1"/>
    </xf>
    <xf numFmtId="0" fontId="2" fillId="8" borderId="9" applyNumberFormat="0" applyProtection="0">
      <alignment horizontal="left" vertical="center" indent="1"/>
    </xf>
    <xf numFmtId="0" fontId="2" fillId="8" borderId="9" applyNumberFormat="0" applyProtection="0">
      <alignment horizontal="left" vertical="top" indent="1"/>
    </xf>
    <xf numFmtId="0" fontId="2" fillId="2" borderId="9" applyNumberFormat="0" applyProtection="0">
      <alignment horizontal="left" vertical="center" indent="1"/>
    </xf>
    <xf numFmtId="0" fontId="2" fillId="2" borderId="9" applyNumberFormat="0" applyProtection="0">
      <alignment horizontal="left" vertical="top" indent="1"/>
    </xf>
    <xf numFmtId="0" fontId="2" fillId="6" borderId="9" applyNumberFormat="0" applyProtection="0">
      <alignment horizontal="left" vertical="center" indent="1"/>
    </xf>
    <xf numFmtId="0" fontId="2" fillId="6" borderId="9" applyNumberFormat="0" applyProtection="0">
      <alignment horizontal="left" vertical="top" indent="1"/>
    </xf>
    <xf numFmtId="0" fontId="2" fillId="41" borderId="9" applyNumberFormat="0" applyProtection="0">
      <alignment horizontal="left" vertical="center" indent="1"/>
    </xf>
    <xf numFmtId="0" fontId="2" fillId="41" borderId="9" applyNumberFormat="0" applyProtection="0">
      <alignment horizontal="left" vertical="top" indent="1"/>
    </xf>
    <xf numFmtId="0" fontId="2" fillId="5" borderId="11" applyNumberFormat="0">
      <protection locked="0"/>
    </xf>
    <xf numFmtId="4" fontId="7" fillId="4" borderId="9" applyNumberFormat="0" applyProtection="0">
      <alignment vertical="center"/>
    </xf>
    <xf numFmtId="4" fontId="34" fillId="4" borderId="9" applyNumberFormat="0" applyProtection="0">
      <alignment vertical="center"/>
    </xf>
    <xf numFmtId="4" fontId="7" fillId="4" borderId="9" applyNumberFormat="0" applyProtection="0">
      <alignment horizontal="left" vertical="center" indent="1"/>
    </xf>
    <xf numFmtId="0" fontId="7" fillId="4" borderId="9" applyNumberFormat="0" applyProtection="0">
      <alignment horizontal="left" vertical="top" indent="1"/>
    </xf>
    <xf numFmtId="4" fontId="7" fillId="41" borderId="9" applyNumberFormat="0" applyProtection="0">
      <alignment horizontal="right" vertical="center"/>
    </xf>
    <xf numFmtId="4" fontId="34" fillId="41" borderId="9" applyNumberFormat="0" applyProtection="0">
      <alignment horizontal="right" vertical="center"/>
    </xf>
    <xf numFmtId="4" fontId="7" fillId="2" borderId="9" applyNumberFormat="0" applyProtection="0">
      <alignment horizontal="left" vertical="center" indent="1"/>
    </xf>
    <xf numFmtId="0" fontId="7" fillId="2" borderId="9" applyNumberFormat="0" applyProtection="0">
      <alignment horizontal="left" vertical="top" indent="1"/>
    </xf>
    <xf numFmtId="4" fontId="35" fillId="42" borderId="0" applyNumberFormat="0" applyProtection="0">
      <alignment horizontal="left" vertical="center" indent="1"/>
    </xf>
    <xf numFmtId="4" fontId="12" fillId="41" borderId="9" applyNumberFormat="0" applyProtection="0">
      <alignment horizontal="right" vertical="center"/>
    </xf>
    <xf numFmtId="0" fontId="36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6" fillId="0" borderId="0" applyNumberFormat="0" applyFill="0" applyBorder="0" applyAlignment="0" applyProtection="0"/>
    <xf numFmtId="0" fontId="21" fillId="0" borderId="12" applyNumberFormat="0" applyFill="0" applyAlignment="0" applyProtection="0"/>
    <xf numFmtId="0" fontId="37" fillId="0" borderId="0" applyNumberFormat="0" applyFill="0" applyBorder="0" applyAlignment="0" applyProtection="0"/>
  </cellStyleXfs>
  <cellXfs count="57">
    <xf numFmtId="0" fontId="0" fillId="0" borderId="0" xfId="0"/>
    <xf numFmtId="4" fontId="0" fillId="0" borderId="0" xfId="0" applyNumberFormat="1"/>
    <xf numFmtId="9" fontId="0" fillId="0" borderId="0" xfId="0" applyNumberFormat="1"/>
    <xf numFmtId="0" fontId="4" fillId="0" borderId="0" xfId="104" applyFont="1"/>
    <xf numFmtId="0" fontId="5" fillId="0" borderId="0" xfId="104" applyFont="1"/>
    <xf numFmtId="2" fontId="4" fillId="0" borderId="0" xfId="104" applyNumberFormat="1" applyFont="1"/>
    <xf numFmtId="10" fontId="4" fillId="0" borderId="0" xfId="104" applyNumberFormat="1" applyFont="1"/>
    <xf numFmtId="14" fontId="4" fillId="0" borderId="0" xfId="104" applyNumberFormat="1" applyFont="1"/>
    <xf numFmtId="166" fontId="4" fillId="0" borderId="0" xfId="104" applyNumberFormat="1" applyFont="1"/>
    <xf numFmtId="0" fontId="1" fillId="0" borderId="0" xfId="104" applyFont="1"/>
    <xf numFmtId="0" fontId="5" fillId="0" borderId="0" xfId="104" applyFont="1" applyAlignment="1">
      <alignment horizontal="center" wrapText="1"/>
    </xf>
    <xf numFmtId="2" fontId="5" fillId="0" borderId="0" xfId="104" applyNumberFormat="1" applyFont="1" applyAlignment="1">
      <alignment horizontal="center" wrapText="1"/>
    </xf>
    <xf numFmtId="0" fontId="4" fillId="0" borderId="0" xfId="104" applyFont="1" applyAlignment="1">
      <alignment horizontal="center"/>
    </xf>
    <xf numFmtId="0" fontId="6" fillId="0" borderId="0" xfId="60" applyFont="1"/>
    <xf numFmtId="0" fontId="7" fillId="0" borderId="0" xfId="60" applyFont="1"/>
    <xf numFmtId="0" fontId="4" fillId="0" borderId="0" xfId="60" applyFont="1"/>
    <xf numFmtId="0" fontId="4" fillId="0" borderId="0" xfId="103" applyFont="1"/>
    <xf numFmtId="167" fontId="7" fillId="0" borderId="0" xfId="60" applyNumberFormat="1" applyFont="1"/>
    <xf numFmtId="0" fontId="8" fillId="0" borderId="0" xfId="105" applyFont="1"/>
    <xf numFmtId="0" fontId="9" fillId="0" borderId="0" xfId="105" applyFont="1" applyBorder="1"/>
    <xf numFmtId="0" fontId="9" fillId="0" borderId="0" xfId="105" applyFont="1"/>
    <xf numFmtId="0" fontId="3" fillId="0" borderId="0" xfId="105"/>
    <xf numFmtId="0" fontId="10" fillId="0" borderId="0" xfId="105" applyFont="1"/>
    <xf numFmtId="168" fontId="0" fillId="0" borderId="0" xfId="0" applyNumberFormat="1"/>
    <xf numFmtId="2" fontId="0" fillId="0" borderId="0" xfId="0" applyNumberFormat="1"/>
    <xf numFmtId="4" fontId="1" fillId="0" borderId="0" xfId="0" applyNumberFormat="1" applyFont="1"/>
    <xf numFmtId="0" fontId="0" fillId="0" borderId="0" xfId="0" applyAlignment="1">
      <alignment horizontal="center"/>
    </xf>
    <xf numFmtId="168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4" fontId="11" fillId="0" borderId="0" xfId="0" applyNumberFormat="1" applyFont="1"/>
    <xf numFmtId="2" fontId="11" fillId="0" borderId="0" xfId="0" applyNumberFormat="1" applyFont="1"/>
    <xf numFmtId="0" fontId="1" fillId="0" borderId="0" xfId="0" applyFont="1"/>
    <xf numFmtId="168" fontId="1" fillId="0" borderId="0" xfId="0" applyNumberFormat="1" applyFont="1"/>
    <xf numFmtId="4" fontId="2" fillId="0" borderId="0" xfId="0" applyNumberFormat="1" applyFont="1"/>
    <xf numFmtId="165" fontId="4" fillId="0" borderId="0" xfId="104" applyNumberFormat="1" applyFont="1"/>
    <xf numFmtId="3" fontId="4" fillId="0" borderId="0" xfId="104" applyNumberFormat="1" applyFont="1"/>
    <xf numFmtId="4" fontId="4" fillId="0" borderId="0" xfId="104" applyNumberFormat="1" applyFont="1"/>
    <xf numFmtId="4" fontId="1" fillId="0" borderId="0" xfId="104" applyNumberFormat="1" applyFont="1"/>
    <xf numFmtId="4" fontId="12" fillId="0" borderId="0" xfId="104" applyNumberFormat="1" applyFont="1"/>
    <xf numFmtId="4" fontId="13" fillId="0" borderId="0" xfId="104" applyNumberFormat="1" applyFont="1"/>
    <xf numFmtId="169" fontId="1" fillId="0" borderId="0" xfId="104" applyNumberFormat="1" applyFont="1" applyBorder="1"/>
    <xf numFmtId="2" fontId="1" fillId="0" borderId="0" xfId="104" applyNumberFormat="1" applyFont="1" applyAlignment="1">
      <alignment horizontal="right"/>
    </xf>
    <xf numFmtId="2" fontId="15" fillId="0" borderId="0" xfId="104" applyNumberFormat="1" applyFont="1" applyAlignment="1">
      <alignment horizontal="right"/>
    </xf>
    <xf numFmtId="170" fontId="4" fillId="0" borderId="0" xfId="104" applyNumberFormat="1" applyFont="1"/>
    <xf numFmtId="171" fontId="1" fillId="0" borderId="0" xfId="104" applyNumberFormat="1" applyFont="1"/>
    <xf numFmtId="171" fontId="4" fillId="0" borderId="0" xfId="104" applyNumberFormat="1" applyFont="1"/>
    <xf numFmtId="171" fontId="7" fillId="0" borderId="0" xfId="104" applyNumberFormat="1" applyFont="1" applyAlignment="1">
      <alignment horizontal="right"/>
    </xf>
    <xf numFmtId="171" fontId="6" fillId="0" borderId="0" xfId="104" applyNumberFormat="1" applyFont="1"/>
    <xf numFmtId="171" fontId="14" fillId="0" borderId="13" xfId="104" applyNumberFormat="1" applyFont="1" applyBorder="1"/>
    <xf numFmtId="171" fontId="14" fillId="0" borderId="0" xfId="104" applyNumberFormat="1" applyFont="1" applyBorder="1"/>
    <xf numFmtId="2" fontId="12" fillId="0" borderId="0" xfId="104" applyNumberFormat="1" applyFont="1"/>
    <xf numFmtId="2" fontId="12" fillId="0" borderId="0" xfId="104" applyNumberFormat="1" applyFont="1" applyFill="1"/>
    <xf numFmtId="0" fontId="4" fillId="0" borderId="14" xfId="104" applyFont="1" applyBorder="1" applyAlignment="1">
      <alignment horizontal="center"/>
    </xf>
    <xf numFmtId="0" fontId="40" fillId="0" borderId="0" xfId="104" applyFont="1"/>
    <xf numFmtId="0" fontId="41" fillId="0" borderId="0" xfId="104" applyFont="1" applyAlignment="1">
      <alignment horizontal="center" wrapText="1"/>
    </xf>
    <xf numFmtId="171" fontId="40" fillId="0" borderId="0" xfId="104" applyNumberFormat="1" applyFont="1"/>
    <xf numFmtId="172" fontId="4" fillId="0" borderId="0" xfId="104" applyNumberFormat="1" applyFont="1" applyAlignment="1">
      <alignment horizontal="center"/>
    </xf>
  </cellXfs>
  <cellStyles count="109">
    <cellStyle name="20% - Accent1" xfId="1" xr:uid="{00000000-0005-0000-0000-000000000000}"/>
    <cellStyle name="20% - Accent2" xfId="2" xr:uid="{00000000-0005-0000-0000-000001000000}"/>
    <cellStyle name="20% - Accent3" xfId="3" xr:uid="{00000000-0005-0000-0000-000002000000}"/>
    <cellStyle name="20% - Accent4" xfId="4" xr:uid="{00000000-0005-0000-0000-000003000000}"/>
    <cellStyle name="20% - Accent5" xfId="5" xr:uid="{00000000-0005-0000-0000-000004000000}"/>
    <cellStyle name="20% - Accent6" xfId="6" xr:uid="{00000000-0005-0000-0000-000005000000}"/>
    <cellStyle name="40% - Accent1" xfId="7" xr:uid="{00000000-0005-0000-0000-000006000000}"/>
    <cellStyle name="40% - Accent2" xfId="8" xr:uid="{00000000-0005-0000-0000-000007000000}"/>
    <cellStyle name="40% - Accent3" xfId="9" xr:uid="{00000000-0005-0000-0000-000008000000}"/>
    <cellStyle name="40% - Accent4" xfId="10" xr:uid="{00000000-0005-0000-0000-000009000000}"/>
    <cellStyle name="40% - Accent5" xfId="11" xr:uid="{00000000-0005-0000-0000-00000A000000}"/>
    <cellStyle name="40% - Accent6" xfId="12" xr:uid="{00000000-0005-0000-0000-00000B000000}"/>
    <cellStyle name="60% - Accent1" xfId="13" xr:uid="{00000000-0005-0000-0000-00000C000000}"/>
    <cellStyle name="60% - Accent2" xfId="14" xr:uid="{00000000-0005-0000-0000-00000D000000}"/>
    <cellStyle name="60% - Accent3" xfId="15" xr:uid="{00000000-0005-0000-0000-00000E000000}"/>
    <cellStyle name="60% - Accent4" xfId="16" xr:uid="{00000000-0005-0000-0000-00000F000000}"/>
    <cellStyle name="60% - Accent5" xfId="17" xr:uid="{00000000-0005-0000-0000-000010000000}"/>
    <cellStyle name="60% - Accent6" xfId="18" xr:uid="{00000000-0005-0000-0000-000011000000}"/>
    <cellStyle name="Accent1" xfId="19" xr:uid="{00000000-0005-0000-0000-000012000000}"/>
    <cellStyle name="Accent1 - 20%" xfId="20" xr:uid="{00000000-0005-0000-0000-000013000000}"/>
    <cellStyle name="Accent1 - 40%" xfId="21" xr:uid="{00000000-0005-0000-0000-000014000000}"/>
    <cellStyle name="Accent1 - 60%" xfId="22" xr:uid="{00000000-0005-0000-0000-000015000000}"/>
    <cellStyle name="Accent2" xfId="23" xr:uid="{00000000-0005-0000-0000-000016000000}"/>
    <cellStyle name="Accent2 - 20%" xfId="24" xr:uid="{00000000-0005-0000-0000-000017000000}"/>
    <cellStyle name="Accent2 - 40%" xfId="25" xr:uid="{00000000-0005-0000-0000-000018000000}"/>
    <cellStyle name="Accent2 - 60%" xfId="26" xr:uid="{00000000-0005-0000-0000-000019000000}"/>
    <cellStyle name="Accent3" xfId="27" xr:uid="{00000000-0005-0000-0000-00001A000000}"/>
    <cellStyle name="Accent3 - 20%" xfId="28" xr:uid="{00000000-0005-0000-0000-00001B000000}"/>
    <cellStyle name="Accent3 - 40%" xfId="29" xr:uid="{00000000-0005-0000-0000-00001C000000}"/>
    <cellStyle name="Accent3 - 60%" xfId="30" xr:uid="{00000000-0005-0000-0000-00001D000000}"/>
    <cellStyle name="Accent4" xfId="31" xr:uid="{00000000-0005-0000-0000-00001E000000}"/>
    <cellStyle name="Accent4 - 20%" xfId="32" xr:uid="{00000000-0005-0000-0000-00001F000000}"/>
    <cellStyle name="Accent4 - 40%" xfId="33" xr:uid="{00000000-0005-0000-0000-000020000000}"/>
    <cellStyle name="Accent4 - 60%" xfId="34" xr:uid="{00000000-0005-0000-0000-000021000000}"/>
    <cellStyle name="Accent5" xfId="35" xr:uid="{00000000-0005-0000-0000-000022000000}"/>
    <cellStyle name="Accent5 - 20%" xfId="36" xr:uid="{00000000-0005-0000-0000-000023000000}"/>
    <cellStyle name="Accent5 - 40%" xfId="37" xr:uid="{00000000-0005-0000-0000-000024000000}"/>
    <cellStyle name="Accent5 - 60%" xfId="38" xr:uid="{00000000-0005-0000-0000-000025000000}"/>
    <cellStyle name="Accent6" xfId="39" xr:uid="{00000000-0005-0000-0000-000026000000}"/>
    <cellStyle name="Accent6 - 20%" xfId="40" xr:uid="{00000000-0005-0000-0000-000027000000}"/>
    <cellStyle name="Accent6 - 40%" xfId="41" xr:uid="{00000000-0005-0000-0000-000028000000}"/>
    <cellStyle name="Accent6 - 60%" xfId="42" xr:uid="{00000000-0005-0000-0000-000029000000}"/>
    <cellStyle name="Bad" xfId="43" xr:uid="{00000000-0005-0000-0000-00002A000000}"/>
    <cellStyle name="Calculation" xfId="44" xr:uid="{00000000-0005-0000-0000-00002B000000}"/>
    <cellStyle name="Check Cell" xfId="45" xr:uid="{00000000-0005-0000-0000-00002C000000}"/>
    <cellStyle name="Comma [0]" xfId="46" xr:uid="{00000000-0005-0000-0000-00002D000000}"/>
    <cellStyle name="Currency [0]" xfId="47" xr:uid="{00000000-0005-0000-0000-00002E000000}"/>
    <cellStyle name="Emphasis 1" xfId="48" xr:uid="{00000000-0005-0000-0000-00002F000000}"/>
    <cellStyle name="Emphasis 2" xfId="49" xr:uid="{00000000-0005-0000-0000-000030000000}"/>
    <cellStyle name="Emphasis 3" xfId="50" xr:uid="{00000000-0005-0000-0000-000031000000}"/>
    <cellStyle name="Explanatory Text" xfId="51" xr:uid="{00000000-0005-0000-0000-000032000000}"/>
    <cellStyle name="Good" xfId="52" xr:uid="{00000000-0005-0000-0000-000033000000}"/>
    <cellStyle name="Heading 1" xfId="53" xr:uid="{00000000-0005-0000-0000-000034000000}"/>
    <cellStyle name="Heading 2" xfId="54" xr:uid="{00000000-0005-0000-0000-000035000000}"/>
    <cellStyle name="Heading 3" xfId="55" xr:uid="{00000000-0005-0000-0000-000036000000}"/>
    <cellStyle name="Heading 4" xfId="56" xr:uid="{00000000-0005-0000-0000-000037000000}"/>
    <cellStyle name="Input" xfId="57" xr:uid="{00000000-0005-0000-0000-000038000000}"/>
    <cellStyle name="Linked Cell" xfId="58" xr:uid="{00000000-0005-0000-0000-000039000000}"/>
    <cellStyle name="Neutral" xfId="59" builtinId="28" customBuiltin="1"/>
    <cellStyle name="Normal_HOME" xfId="60" xr:uid="{00000000-0005-0000-0000-00003B000000}"/>
    <cellStyle name="Note" xfId="61" xr:uid="{00000000-0005-0000-0000-00003C000000}"/>
    <cellStyle name="Output" xfId="62" xr:uid="{00000000-0005-0000-0000-00003D000000}"/>
    <cellStyle name="SAPBEXaggData" xfId="63" xr:uid="{00000000-0005-0000-0000-00003E000000}"/>
    <cellStyle name="SAPBEXaggDataEmph" xfId="64" xr:uid="{00000000-0005-0000-0000-00003F000000}"/>
    <cellStyle name="SAPBEXaggItem" xfId="65" xr:uid="{00000000-0005-0000-0000-000040000000}"/>
    <cellStyle name="SAPBEXaggItemX" xfId="66" xr:uid="{00000000-0005-0000-0000-000041000000}"/>
    <cellStyle name="SAPBEXchaText" xfId="67" xr:uid="{00000000-0005-0000-0000-000042000000}"/>
    <cellStyle name="SAPBEXexcBad7" xfId="68" xr:uid="{00000000-0005-0000-0000-000043000000}"/>
    <cellStyle name="SAPBEXexcBad8" xfId="69" xr:uid="{00000000-0005-0000-0000-000044000000}"/>
    <cellStyle name="SAPBEXexcBad9" xfId="70" xr:uid="{00000000-0005-0000-0000-000045000000}"/>
    <cellStyle name="SAPBEXexcCritical4" xfId="71" xr:uid="{00000000-0005-0000-0000-000046000000}"/>
    <cellStyle name="SAPBEXexcCritical5" xfId="72" xr:uid="{00000000-0005-0000-0000-000047000000}"/>
    <cellStyle name="SAPBEXexcCritical6" xfId="73" xr:uid="{00000000-0005-0000-0000-000048000000}"/>
    <cellStyle name="SAPBEXexcGood1" xfId="74" xr:uid="{00000000-0005-0000-0000-000049000000}"/>
    <cellStyle name="SAPBEXexcGood2" xfId="75" xr:uid="{00000000-0005-0000-0000-00004A000000}"/>
    <cellStyle name="SAPBEXexcGood3" xfId="76" xr:uid="{00000000-0005-0000-0000-00004B000000}"/>
    <cellStyle name="SAPBEXfilterDrill" xfId="77" xr:uid="{00000000-0005-0000-0000-00004C000000}"/>
    <cellStyle name="SAPBEXfilterItem" xfId="78" xr:uid="{00000000-0005-0000-0000-00004D000000}"/>
    <cellStyle name="SAPBEXfilterText" xfId="79" xr:uid="{00000000-0005-0000-0000-00004E000000}"/>
    <cellStyle name="SAPBEXformats" xfId="80" xr:uid="{00000000-0005-0000-0000-00004F000000}"/>
    <cellStyle name="SAPBEXheaderItem" xfId="81" xr:uid="{00000000-0005-0000-0000-000050000000}"/>
    <cellStyle name="SAPBEXheaderText" xfId="82" xr:uid="{00000000-0005-0000-0000-000051000000}"/>
    <cellStyle name="SAPBEXHLevel0" xfId="83" xr:uid="{00000000-0005-0000-0000-000052000000}"/>
    <cellStyle name="SAPBEXHLevel0X" xfId="84" xr:uid="{00000000-0005-0000-0000-000053000000}"/>
    <cellStyle name="SAPBEXHLevel1" xfId="85" xr:uid="{00000000-0005-0000-0000-000054000000}"/>
    <cellStyle name="SAPBEXHLevel1X" xfId="86" xr:uid="{00000000-0005-0000-0000-000055000000}"/>
    <cellStyle name="SAPBEXHLevel2" xfId="87" xr:uid="{00000000-0005-0000-0000-000056000000}"/>
    <cellStyle name="SAPBEXHLevel2X" xfId="88" xr:uid="{00000000-0005-0000-0000-000057000000}"/>
    <cellStyle name="SAPBEXHLevel3" xfId="89" xr:uid="{00000000-0005-0000-0000-000058000000}"/>
    <cellStyle name="SAPBEXHLevel3X" xfId="90" xr:uid="{00000000-0005-0000-0000-000059000000}"/>
    <cellStyle name="SAPBEXinputData" xfId="91" xr:uid="{00000000-0005-0000-0000-00005A000000}"/>
    <cellStyle name="SAPBEXresData" xfId="92" xr:uid="{00000000-0005-0000-0000-00005B000000}"/>
    <cellStyle name="SAPBEXresDataEmph" xfId="93" xr:uid="{00000000-0005-0000-0000-00005C000000}"/>
    <cellStyle name="SAPBEXresItem" xfId="94" xr:uid="{00000000-0005-0000-0000-00005D000000}"/>
    <cellStyle name="SAPBEXresItemX" xfId="95" xr:uid="{00000000-0005-0000-0000-00005E000000}"/>
    <cellStyle name="SAPBEXstdData" xfId="96" xr:uid="{00000000-0005-0000-0000-00005F000000}"/>
    <cellStyle name="SAPBEXstdDataEmph" xfId="97" xr:uid="{00000000-0005-0000-0000-000060000000}"/>
    <cellStyle name="SAPBEXstdItem" xfId="98" xr:uid="{00000000-0005-0000-0000-000061000000}"/>
    <cellStyle name="SAPBEXstdItemX" xfId="99" xr:uid="{00000000-0005-0000-0000-000062000000}"/>
    <cellStyle name="SAPBEXtitle" xfId="100" xr:uid="{00000000-0005-0000-0000-000063000000}"/>
    <cellStyle name="SAPBEXundefined" xfId="101" xr:uid="{00000000-0005-0000-0000-000064000000}"/>
    <cellStyle name="Sheet Title" xfId="102" xr:uid="{00000000-0005-0000-0000-000065000000}"/>
    <cellStyle name="Standard" xfId="0" builtinId="0"/>
    <cellStyle name="Standard_Auflistung" xfId="103" xr:uid="{00000000-0005-0000-0000-000067000000}"/>
    <cellStyle name="Standard_Hypothek" xfId="104" xr:uid="{00000000-0005-0000-0000-000068000000}"/>
    <cellStyle name="Standard_Makro1" xfId="105" xr:uid="{00000000-0005-0000-0000-000069000000}"/>
    <cellStyle name="Title" xfId="106" xr:uid="{00000000-0005-0000-0000-00006A000000}"/>
    <cellStyle name="Total" xfId="107" xr:uid="{00000000-0005-0000-0000-00006B000000}"/>
    <cellStyle name="Warning Text" xfId="108" xr:uid="{00000000-0005-0000-0000-00006C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33"/>
      <rgbColor rgb="0099FF99"/>
      <rgbColor rgb="000000FF"/>
      <rgbColor rgb="00FFFF00"/>
      <rgbColor rgb="00FF00FF"/>
      <rgbColor rgb="00CDDEE9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87C7C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D4E2EE"/>
      <rgbColor rgb="00EFF6FB"/>
      <rgbColor rgb="00CCFFCC"/>
      <rgbColor rgb="00F5FF7F"/>
      <rgbColor rgb="00DEEAF2"/>
      <rgbColor rgb="00FFBBBB"/>
      <rgbColor rgb="00CC99FF"/>
      <rgbColor rgb="00FFCC99"/>
      <rgbColor rgb="004D6776"/>
      <rgbColor rgb="0033CCCC"/>
      <rgbColor rgb="0060ED84"/>
      <rgbColor rgb="00FFCC33"/>
      <rgbColor rgb="00FFAB1D"/>
      <rgbColor rgb="00FF8800"/>
      <rgbColor rgb="00C4D9E9"/>
      <rgbColor rgb="00969696"/>
      <rgbColor rgb="00003366"/>
      <rgbColor rgb="005BCB77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5" Type="http://schemas.microsoft.com/office/2006/relationships/xlMacrosheet" Target="macrosheets/sheet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macro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400-000000000000}">
  <dimension ref="A1:D3"/>
  <sheetViews>
    <sheetView showFormulas="1" workbookViewId="0">
      <selection activeCell="D1" sqref="D1"/>
    </sheetView>
  </sheetViews>
  <sheetFormatPr baseColWidth="10" defaultColWidth="9.140625" defaultRowHeight="12.75"/>
  <cols>
    <col min="1" max="1" width="16" style="21" customWidth="1"/>
    <col min="2" max="2" width="9.85546875" style="21" customWidth="1"/>
    <col min="3" max="16384" width="9.140625" style="21"/>
  </cols>
  <sheetData>
    <row r="1" spans="1:4">
      <c r="A1" s="18" t="s">
        <v>32</v>
      </c>
      <c r="B1" s="18" t="s">
        <v>33</v>
      </c>
      <c r="C1" s="19" t="s">
        <v>34</v>
      </c>
      <c r="D1" s="20" t="s">
        <v>35</v>
      </c>
    </row>
    <row r="2" spans="1:4">
      <c r="A2" s="22" t="b">
        <f>APPLY.STYLE("Prozent")</f>
        <v>0</v>
      </c>
      <c r="B2" s="22" t="b">
        <f>FORMAT.NUMBER("0,00%")</f>
        <v>0</v>
      </c>
      <c r="C2" s="21" t="b">
        <f>BORDER(2,0,0,0,0,,0)</f>
        <v>1</v>
      </c>
      <c r="D2" s="21" t="b">
        <f>BORDER(0,0,0,0,0)</f>
        <v>0</v>
      </c>
    </row>
    <row r="3" spans="1:4">
      <c r="A3" s="22" t="b">
        <f>RETURN()</f>
        <v>0</v>
      </c>
      <c r="B3" s="22" t="b">
        <f>RETURN()</f>
        <v>0</v>
      </c>
      <c r="C3" s="21" t="b">
        <f>RETURN()</f>
        <v>1</v>
      </c>
      <c r="D3" s="21" t="b">
        <f>RETURN()</f>
        <v>0</v>
      </c>
    </row>
  </sheetData>
  <phoneticPr fontId="0" type="noConversion"/>
  <printOptions gridLines="1" gridLinesSet="0"/>
  <pageMargins left="0.78740157499999996" right="0.78740157499999996" top="0.984251969" bottom="0.984251969" header="0.5" footer="0.5"/>
  <pageSetup orientation="portrait" horizontalDpi="4294967292" r:id="rId1"/>
  <headerFooter alignWithMargins="0">
    <oddHeader>&amp;A</oddHeader>
    <oddFooter>Page &amp;P</oddFooter>
  </headerFooter>
</xm:macrosheet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"/>
  <sheetViews>
    <sheetView workbookViewId="0"/>
  </sheetViews>
  <sheetFormatPr baseColWidth="10" defaultRowHeight="12.75"/>
  <sheetData/>
  <phoneticPr fontId="39" type="noConversion"/>
  <pageMargins left="0.78740157499999996" right="0.78740157499999996" top="0.984251969" bottom="0.984251969" header="0.4921259845" footer="0.4921259845"/>
  <headerFooter alignWithMargins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L235"/>
  <sheetViews>
    <sheetView tabSelected="1" workbookViewId="0">
      <pane ySplit="11" topLeftCell="A12" activePane="bottomLeft" state="frozenSplit"/>
      <selection activeCell="H13" sqref="H13:M28"/>
      <selection pane="bottomLeft" activeCell="J1" sqref="J1:J65536"/>
    </sheetView>
  </sheetViews>
  <sheetFormatPr baseColWidth="10" defaultRowHeight="12.75"/>
  <cols>
    <col min="1" max="1" width="2.140625" style="3" customWidth="1"/>
    <col min="2" max="2" width="9.42578125" style="3" customWidth="1"/>
    <col min="3" max="3" width="16.42578125" style="3" customWidth="1"/>
    <col min="4" max="5" width="13.7109375" style="5" customWidth="1"/>
    <col min="6" max="6" width="16.42578125" style="5" customWidth="1"/>
    <col min="7" max="7" width="20.42578125" style="5" customWidth="1"/>
    <col min="8" max="8" width="13.5703125" style="5" customWidth="1"/>
    <col min="9" max="9" width="11.42578125" style="3"/>
    <col min="10" max="10" width="11.42578125" style="53"/>
    <col min="11" max="16384" width="11.42578125" style="3"/>
  </cols>
  <sheetData>
    <row r="1" spans="2:12">
      <c r="B1" s="4" t="s">
        <v>36</v>
      </c>
    </row>
    <row r="3" spans="2:12">
      <c r="B3" s="4" t="s">
        <v>0</v>
      </c>
      <c r="D3" s="43">
        <v>4000000</v>
      </c>
      <c r="E3" s="56">
        <f>+First_payment_due</f>
        <v>40575</v>
      </c>
      <c r="F3" s="56"/>
    </row>
    <row r="4" spans="2:12">
      <c r="B4" s="4" t="s">
        <v>1</v>
      </c>
      <c r="D4" s="6">
        <v>0.01</v>
      </c>
      <c r="E4" s="50"/>
      <c r="F4" s="50"/>
      <c r="G4" s="50"/>
      <c r="H4" s="50"/>
    </row>
    <row r="5" spans="2:12">
      <c r="B5" s="4" t="s">
        <v>2</v>
      </c>
      <c r="D5" s="3">
        <v>10</v>
      </c>
      <c r="E5" s="50"/>
      <c r="F5" s="50"/>
      <c r="G5" s="50"/>
      <c r="H5" s="50"/>
    </row>
    <row r="6" spans="2:12">
      <c r="B6" s="4" t="s">
        <v>3</v>
      </c>
      <c r="D6" s="3">
        <v>12</v>
      </c>
      <c r="E6" s="50"/>
      <c r="F6" s="50"/>
      <c r="G6" s="50"/>
      <c r="H6" s="50"/>
      <c r="I6" s="5"/>
      <c r="K6" s="38"/>
    </row>
    <row r="7" spans="2:12">
      <c r="B7" s="4" t="s">
        <v>4</v>
      </c>
      <c r="D7" s="7">
        <v>40575</v>
      </c>
      <c r="E7" s="50"/>
      <c r="F7" s="50"/>
      <c r="G7" s="50"/>
      <c r="H7" s="50"/>
      <c r="K7" s="36"/>
    </row>
    <row r="8" spans="2:12">
      <c r="B8" s="4" t="s">
        <v>5</v>
      </c>
      <c r="D8" s="44">
        <v>6666.67</v>
      </c>
      <c r="E8" s="51">
        <f>SUM(E14+I14)</f>
        <v>6666.666666666667</v>
      </c>
      <c r="F8" s="50"/>
      <c r="G8" s="50" t="s">
        <v>37</v>
      </c>
      <c r="H8" s="50"/>
      <c r="K8" s="39"/>
    </row>
    <row r="9" spans="2:12">
      <c r="B9" s="4" t="s">
        <v>6</v>
      </c>
      <c r="D9" s="3">
        <f>D5*D6</f>
        <v>120</v>
      </c>
      <c r="E9" s="50"/>
      <c r="F9" s="50"/>
      <c r="G9" s="50"/>
      <c r="H9" s="50"/>
      <c r="K9" s="39"/>
      <c r="L9" s="5"/>
    </row>
    <row r="10" spans="2:12">
      <c r="B10" s="9" t="s">
        <v>7</v>
      </c>
      <c r="D10" s="6">
        <v>0.01</v>
      </c>
      <c r="E10" s="50"/>
      <c r="F10" s="50"/>
      <c r="G10" s="50"/>
      <c r="H10" s="50"/>
      <c r="K10" s="36"/>
      <c r="L10" s="5"/>
    </row>
    <row r="11" spans="2:12">
      <c r="K11" s="36"/>
      <c r="L11" s="5"/>
    </row>
    <row r="13" spans="2:12" s="10" customFormat="1" ht="25.5" customHeight="1">
      <c r="B13" s="10" t="s">
        <v>8</v>
      </c>
      <c r="C13" s="10" t="s">
        <v>9</v>
      </c>
      <c r="D13" s="11" t="s">
        <v>10</v>
      </c>
      <c r="E13" s="11" t="s">
        <v>11</v>
      </c>
      <c r="F13" s="11" t="s">
        <v>7</v>
      </c>
      <c r="G13" s="11" t="s">
        <v>12</v>
      </c>
      <c r="H13" s="11" t="s">
        <v>13</v>
      </c>
      <c r="I13" s="10" t="s">
        <v>14</v>
      </c>
      <c r="J13" s="54" t="s">
        <v>38</v>
      </c>
    </row>
    <row r="14" spans="2:12">
      <c r="B14" s="12">
        <f>IF(First_payment_no&lt;Total_payments,First_payment_no,"")</f>
        <v>1</v>
      </c>
      <c r="C14" s="7">
        <f>D7</f>
        <v>40575</v>
      </c>
      <c r="D14" s="45">
        <f>IF(B14&lt;&gt;"",IF(Table_beg_bal&lt;0,0,Table_beg_bal),"")</f>
        <v>4000000</v>
      </c>
      <c r="E14" s="45">
        <f t="shared" ref="E14:E29" si="0">Interest</f>
        <v>3333.3333333333335</v>
      </c>
      <c r="F14" s="45">
        <f t="shared" ref="F14:F29" si="1">Principal</f>
        <v>3333.3366666666666</v>
      </c>
      <c r="G14" s="45">
        <f t="shared" ref="G14:G29" si="2">Ending.Balance</f>
        <v>3996666.6633333336</v>
      </c>
      <c r="H14" s="45">
        <f>IF(B14&lt;&gt;"",E14+Table_prior_interest,"")</f>
        <v>3333.3333333333335</v>
      </c>
      <c r="I14" s="45">
        <f>SUM(D3*D10/12)</f>
        <v>3333.3333333333335</v>
      </c>
      <c r="J14" s="55">
        <f>+E14+F14</f>
        <v>6666.67</v>
      </c>
    </row>
    <row r="15" spans="2:12">
      <c r="B15" s="12">
        <f t="shared" ref="B15:B30" si="3">payment.Num</f>
        <v>2</v>
      </c>
      <c r="C15" s="7">
        <v>40603</v>
      </c>
      <c r="D15" s="45">
        <f t="shared" ref="D15:D30" si="4">Beg.Bal</f>
        <v>3996666.6633333336</v>
      </c>
      <c r="E15" s="45">
        <f t="shared" si="0"/>
        <v>3330.5555527777783</v>
      </c>
      <c r="F15" s="45">
        <f t="shared" si="1"/>
        <v>3336.1144472222218</v>
      </c>
      <c r="G15" s="45">
        <f t="shared" si="2"/>
        <v>3993330.5488861115</v>
      </c>
      <c r="H15" s="45">
        <f t="shared" ref="H15:H30" si="5">Cum.Interest</f>
        <v>6663.8888861111118</v>
      </c>
      <c r="I15" s="45">
        <f>SUM(F14:F15)</f>
        <v>6669.4511138888884</v>
      </c>
      <c r="J15" s="55">
        <f t="shared" ref="J15:J78" si="6">+E15+F15</f>
        <v>6666.67</v>
      </c>
    </row>
    <row r="16" spans="2:12">
      <c r="B16" s="12">
        <f t="shared" si="3"/>
        <v>3</v>
      </c>
      <c r="C16" s="7">
        <v>40634</v>
      </c>
      <c r="D16" s="45">
        <f t="shared" si="4"/>
        <v>3993330.5488861115</v>
      </c>
      <c r="E16" s="45">
        <f t="shared" si="0"/>
        <v>3327.7754574050932</v>
      </c>
      <c r="F16" s="45">
        <f t="shared" si="1"/>
        <v>3338.8945425949069</v>
      </c>
      <c r="G16" s="45">
        <f t="shared" si="2"/>
        <v>3989991.6543435166</v>
      </c>
      <c r="H16" s="45">
        <f t="shared" si="5"/>
        <v>9991.6643435162041</v>
      </c>
      <c r="I16" s="45">
        <f>SUM(F14:F16)</f>
        <v>10008.345656483794</v>
      </c>
      <c r="J16" s="55">
        <f t="shared" si="6"/>
        <v>6666.67</v>
      </c>
    </row>
    <row r="17" spans="2:10">
      <c r="B17" s="12">
        <f t="shared" si="3"/>
        <v>4</v>
      </c>
      <c r="C17" s="7">
        <v>40664</v>
      </c>
      <c r="D17" s="45">
        <f t="shared" si="4"/>
        <v>3989991.6543435166</v>
      </c>
      <c r="E17" s="45">
        <f t="shared" si="0"/>
        <v>3324.9930452862641</v>
      </c>
      <c r="F17" s="45">
        <f t="shared" si="1"/>
        <v>3341.676954713736</v>
      </c>
      <c r="G17" s="45">
        <f t="shared" si="2"/>
        <v>3986649.9773888029</v>
      </c>
      <c r="H17" s="45">
        <f t="shared" si="5"/>
        <v>13316.657388802469</v>
      </c>
      <c r="I17" s="45">
        <f>SUM(F14:F17)</f>
        <v>13350.02261119753</v>
      </c>
      <c r="J17" s="55">
        <f t="shared" si="6"/>
        <v>6666.67</v>
      </c>
    </row>
    <row r="18" spans="2:10">
      <c r="B18" s="12">
        <f t="shared" si="3"/>
        <v>5</v>
      </c>
      <c r="C18" s="7">
        <v>40695</v>
      </c>
      <c r="D18" s="45">
        <f t="shared" si="4"/>
        <v>3986649.9773888029</v>
      </c>
      <c r="E18" s="45">
        <f t="shared" si="0"/>
        <v>3322.2083144906692</v>
      </c>
      <c r="F18" s="45">
        <f t="shared" si="1"/>
        <v>3344.4616855093309</v>
      </c>
      <c r="G18" s="45">
        <f t="shared" si="2"/>
        <v>3983305.5157032935</v>
      </c>
      <c r="H18" s="45">
        <f t="shared" si="5"/>
        <v>16638.865703293137</v>
      </c>
      <c r="I18" s="45">
        <f>SUM(F14:F18)</f>
        <v>16694.484296706862</v>
      </c>
      <c r="J18" s="55">
        <f t="shared" si="6"/>
        <v>6666.67</v>
      </c>
    </row>
    <row r="19" spans="2:10">
      <c r="B19" s="12">
        <f t="shared" si="3"/>
        <v>6</v>
      </c>
      <c r="C19" s="7">
        <v>40725</v>
      </c>
      <c r="D19" s="45">
        <f t="shared" si="4"/>
        <v>3983305.5157032935</v>
      </c>
      <c r="E19" s="45">
        <f t="shared" si="0"/>
        <v>3319.4212630860779</v>
      </c>
      <c r="F19" s="45">
        <f t="shared" si="1"/>
        <v>3347.2487369139221</v>
      </c>
      <c r="G19" s="45">
        <f t="shared" si="2"/>
        <v>3979958.2669663797</v>
      </c>
      <c r="H19" s="45">
        <f t="shared" si="5"/>
        <v>19958.286966379215</v>
      </c>
      <c r="I19" s="45">
        <f>SUM(F14:F19)</f>
        <v>20041.733033620785</v>
      </c>
      <c r="J19" s="55">
        <f t="shared" si="6"/>
        <v>6666.67</v>
      </c>
    </row>
    <row r="20" spans="2:10">
      <c r="B20" s="12">
        <f t="shared" si="3"/>
        <v>7</v>
      </c>
      <c r="C20" s="7">
        <v>40756</v>
      </c>
      <c r="D20" s="45">
        <f t="shared" si="4"/>
        <v>3979958.2669663797</v>
      </c>
      <c r="E20" s="45">
        <f t="shared" si="0"/>
        <v>3316.63188913865</v>
      </c>
      <c r="F20" s="45">
        <f t="shared" si="1"/>
        <v>3350.0381108613501</v>
      </c>
      <c r="G20" s="45">
        <f t="shared" si="2"/>
        <v>3976608.2288555182</v>
      </c>
      <c r="H20" s="45">
        <f t="shared" si="5"/>
        <v>23274.918855517866</v>
      </c>
      <c r="I20" s="45">
        <f>SUM(F14:F20)</f>
        <v>23391.771144482136</v>
      </c>
      <c r="J20" s="55">
        <f t="shared" si="6"/>
        <v>6666.67</v>
      </c>
    </row>
    <row r="21" spans="2:10">
      <c r="B21" s="12">
        <f t="shared" si="3"/>
        <v>8</v>
      </c>
      <c r="C21" s="7">
        <v>40787</v>
      </c>
      <c r="D21" s="45">
        <f t="shared" si="4"/>
        <v>3976608.2288555182</v>
      </c>
      <c r="E21" s="45">
        <f t="shared" si="0"/>
        <v>3313.8401907129319</v>
      </c>
      <c r="F21" s="45">
        <f t="shared" si="1"/>
        <v>3352.8298092870682</v>
      </c>
      <c r="G21" s="45">
        <f t="shared" si="2"/>
        <v>3973255.3990462311</v>
      </c>
      <c r="H21" s="45">
        <f t="shared" si="5"/>
        <v>26588.7590462308</v>
      </c>
      <c r="I21" s="45">
        <f>SUM(F14:F21)</f>
        <v>26744.600953769204</v>
      </c>
      <c r="J21" s="55">
        <f t="shared" si="6"/>
        <v>6666.67</v>
      </c>
    </row>
    <row r="22" spans="2:10">
      <c r="B22" s="12">
        <f t="shared" si="3"/>
        <v>9</v>
      </c>
      <c r="C22" s="7">
        <v>40817</v>
      </c>
      <c r="D22" s="45">
        <f t="shared" si="4"/>
        <v>3973255.3990462311</v>
      </c>
      <c r="E22" s="45">
        <f t="shared" si="0"/>
        <v>3311.0461658718596</v>
      </c>
      <c r="F22" s="45">
        <f t="shared" si="1"/>
        <v>3355.6238341281405</v>
      </c>
      <c r="G22" s="45">
        <f t="shared" si="2"/>
        <v>3969899.775212103</v>
      </c>
      <c r="H22" s="45">
        <f t="shared" si="5"/>
        <v>29899.805212102659</v>
      </c>
      <c r="I22" s="45">
        <f>SUM(F14:F22)</f>
        <v>30100.224787897343</v>
      </c>
      <c r="J22" s="55">
        <f t="shared" si="6"/>
        <v>6666.67</v>
      </c>
    </row>
    <row r="23" spans="2:10">
      <c r="B23" s="12">
        <f t="shared" si="3"/>
        <v>10</v>
      </c>
      <c r="C23" s="7">
        <v>40848</v>
      </c>
      <c r="D23" s="45">
        <f t="shared" si="4"/>
        <v>3969899.775212103</v>
      </c>
      <c r="E23" s="45">
        <f t="shared" si="0"/>
        <v>3308.2498126767528</v>
      </c>
      <c r="F23" s="45">
        <f t="shared" si="1"/>
        <v>3358.4201873232473</v>
      </c>
      <c r="G23" s="45">
        <f t="shared" si="2"/>
        <v>3966541.3550247797</v>
      </c>
      <c r="H23" s="45">
        <f t="shared" si="5"/>
        <v>33208.055024779409</v>
      </c>
      <c r="I23" s="45">
        <f>SUM(F14:F23)</f>
        <v>33458.644975220588</v>
      </c>
      <c r="J23" s="55">
        <f t="shared" si="6"/>
        <v>6666.67</v>
      </c>
    </row>
    <row r="24" spans="2:10">
      <c r="B24" s="12">
        <f t="shared" si="3"/>
        <v>11</v>
      </c>
      <c r="C24" s="7">
        <v>40878</v>
      </c>
      <c r="D24" s="45">
        <f t="shared" si="4"/>
        <v>3966541.3550247797</v>
      </c>
      <c r="E24" s="45">
        <f t="shared" si="0"/>
        <v>3305.4511291873168</v>
      </c>
      <c r="F24" s="45">
        <f t="shared" si="1"/>
        <v>3361.2188708126832</v>
      </c>
      <c r="G24" s="45">
        <f t="shared" si="2"/>
        <v>3963180.1361539671</v>
      </c>
      <c r="H24" s="45">
        <f t="shared" si="5"/>
        <v>36513.506153966722</v>
      </c>
      <c r="I24" s="45">
        <f>SUM(F14:F24)</f>
        <v>36819.863846033273</v>
      </c>
      <c r="J24" s="55">
        <f t="shared" si="6"/>
        <v>6666.67</v>
      </c>
    </row>
    <row r="25" spans="2:10">
      <c r="B25" s="12">
        <f t="shared" si="3"/>
        <v>12</v>
      </c>
      <c r="C25" s="7">
        <v>40909</v>
      </c>
      <c r="D25" s="45">
        <f t="shared" si="4"/>
        <v>3963180.1361539671</v>
      </c>
      <c r="E25" s="45">
        <f t="shared" si="0"/>
        <v>3302.6501134616396</v>
      </c>
      <c r="F25" s="45">
        <f t="shared" si="1"/>
        <v>3364.0198865383604</v>
      </c>
      <c r="G25" s="45">
        <f t="shared" si="2"/>
        <v>3959816.1162674287</v>
      </c>
      <c r="H25" s="45">
        <f t="shared" si="5"/>
        <v>39816.156267428363</v>
      </c>
      <c r="I25" s="45">
        <f>SUM(F14:F25)</f>
        <v>40183.88373257163</v>
      </c>
      <c r="J25" s="55">
        <f t="shared" si="6"/>
        <v>6666.67</v>
      </c>
    </row>
    <row r="26" spans="2:10">
      <c r="B26" s="12">
        <f t="shared" si="3"/>
        <v>13</v>
      </c>
      <c r="C26" s="7">
        <v>40940</v>
      </c>
      <c r="D26" s="45">
        <f t="shared" si="4"/>
        <v>3959816.1162674287</v>
      </c>
      <c r="E26" s="45">
        <f t="shared" si="0"/>
        <v>3299.846763556191</v>
      </c>
      <c r="F26" s="45">
        <f t="shared" si="1"/>
        <v>3366.823236443809</v>
      </c>
      <c r="G26" s="45">
        <f t="shared" si="2"/>
        <v>3956449.2930309847</v>
      </c>
      <c r="H26" s="45">
        <f t="shared" si="5"/>
        <v>43116.003030984553</v>
      </c>
      <c r="I26" s="45">
        <f t="shared" ref="I26:I89" si="7">SUM(F15:F26)</f>
        <v>40217.370302348776</v>
      </c>
      <c r="J26" s="55">
        <f t="shared" si="6"/>
        <v>6666.67</v>
      </c>
    </row>
    <row r="27" spans="2:10">
      <c r="B27" s="12">
        <f t="shared" si="3"/>
        <v>14</v>
      </c>
      <c r="C27" s="7">
        <v>40969</v>
      </c>
      <c r="D27" s="45">
        <f t="shared" si="4"/>
        <v>3956449.2930309847</v>
      </c>
      <c r="E27" s="45">
        <f t="shared" si="0"/>
        <v>3297.0410775258206</v>
      </c>
      <c r="F27" s="45">
        <f t="shared" si="1"/>
        <v>3369.6289224741795</v>
      </c>
      <c r="G27" s="45">
        <f t="shared" si="2"/>
        <v>3953079.6641085106</v>
      </c>
      <c r="H27" s="45">
        <f t="shared" si="5"/>
        <v>46413.044108510374</v>
      </c>
      <c r="I27" s="45">
        <f t="shared" si="7"/>
        <v>40250.884777600724</v>
      </c>
      <c r="J27" s="55">
        <f t="shared" si="6"/>
        <v>6666.67</v>
      </c>
    </row>
    <row r="28" spans="2:10">
      <c r="B28" s="12">
        <f t="shared" si="3"/>
        <v>15</v>
      </c>
      <c r="C28" s="7">
        <v>41000</v>
      </c>
      <c r="D28" s="45">
        <f t="shared" si="4"/>
        <v>3953079.6641085106</v>
      </c>
      <c r="E28" s="45">
        <f t="shared" si="0"/>
        <v>3294.233053423759</v>
      </c>
      <c r="F28" s="45">
        <f t="shared" si="1"/>
        <v>3372.4369465762411</v>
      </c>
      <c r="G28" s="45">
        <f t="shared" si="2"/>
        <v>3949707.2271619341</v>
      </c>
      <c r="H28" s="45">
        <f t="shared" si="5"/>
        <v>49707.277161934137</v>
      </c>
      <c r="I28" s="45">
        <f t="shared" si="7"/>
        <v>40284.427181582068</v>
      </c>
      <c r="J28" s="55">
        <f t="shared" si="6"/>
        <v>6666.67</v>
      </c>
    </row>
    <row r="29" spans="2:10">
      <c r="B29" s="12">
        <f t="shared" si="3"/>
        <v>16</v>
      </c>
      <c r="C29" s="7">
        <v>41030</v>
      </c>
      <c r="D29" s="45">
        <f t="shared" si="4"/>
        <v>3949707.2271619341</v>
      </c>
      <c r="E29" s="45">
        <f t="shared" si="0"/>
        <v>3291.4226893016121</v>
      </c>
      <c r="F29" s="45">
        <f t="shared" si="1"/>
        <v>3375.247310698388</v>
      </c>
      <c r="G29" s="45">
        <f t="shared" si="2"/>
        <v>3946331.9798512356</v>
      </c>
      <c r="H29" s="45">
        <f t="shared" si="5"/>
        <v>52998.699851235746</v>
      </c>
      <c r="I29" s="45">
        <f t="shared" si="7"/>
        <v>40317.997537566727</v>
      </c>
      <c r="J29" s="55">
        <f t="shared" si="6"/>
        <v>6666.67</v>
      </c>
    </row>
    <row r="30" spans="2:10">
      <c r="B30" s="12">
        <f t="shared" si="3"/>
        <v>17</v>
      </c>
      <c r="C30" s="7">
        <v>41061</v>
      </c>
      <c r="D30" s="45">
        <f t="shared" si="4"/>
        <v>3946331.9798512356</v>
      </c>
      <c r="E30" s="45">
        <f t="shared" ref="E30:E100" si="8">Interest</f>
        <v>3288.6099832093632</v>
      </c>
      <c r="F30" s="45">
        <f t="shared" ref="F30:F100" si="9">Principal</f>
        <v>3378.0600167906368</v>
      </c>
      <c r="G30" s="45">
        <f t="shared" ref="G30:G100" si="10">Ending.Balance</f>
        <v>3942953.9198344452</v>
      </c>
      <c r="H30" s="45">
        <f t="shared" si="5"/>
        <v>56287.309834445106</v>
      </c>
      <c r="I30" s="45">
        <f t="shared" si="7"/>
        <v>40351.595868848031</v>
      </c>
      <c r="J30" s="55">
        <f t="shared" si="6"/>
        <v>6666.67</v>
      </c>
    </row>
    <row r="31" spans="2:10">
      <c r="B31" s="12">
        <f t="shared" ref="B31:B100" si="11">payment.Num</f>
        <v>18</v>
      </c>
      <c r="C31" s="7">
        <v>41091</v>
      </c>
      <c r="D31" s="45">
        <f t="shared" ref="D31:D100" si="12">Beg.Bal</f>
        <v>3942953.9198344452</v>
      </c>
      <c r="E31" s="45">
        <f t="shared" si="8"/>
        <v>3285.7949331953714</v>
      </c>
      <c r="F31" s="45">
        <f t="shared" si="9"/>
        <v>3380.8750668046287</v>
      </c>
      <c r="G31" s="45">
        <f t="shared" si="10"/>
        <v>3939573.0447676405</v>
      </c>
      <c r="H31" s="45">
        <f t="shared" ref="H31:H100" si="13">Cum.Interest</f>
        <v>59573.104767640478</v>
      </c>
      <c r="I31" s="45">
        <f t="shared" si="7"/>
        <v>40385.222198738731</v>
      </c>
      <c r="J31" s="55">
        <f t="shared" si="6"/>
        <v>6666.67</v>
      </c>
    </row>
    <row r="32" spans="2:10">
      <c r="B32" s="12">
        <f t="shared" si="11"/>
        <v>19</v>
      </c>
      <c r="C32" s="7">
        <v>41122</v>
      </c>
      <c r="D32" s="45">
        <f t="shared" si="12"/>
        <v>3939573.0447676405</v>
      </c>
      <c r="E32" s="45">
        <f t="shared" si="8"/>
        <v>3282.9775373063671</v>
      </c>
      <c r="F32" s="45">
        <f t="shared" si="9"/>
        <v>3383.6924626936329</v>
      </c>
      <c r="G32" s="45">
        <f t="shared" si="10"/>
        <v>3936189.3523049471</v>
      </c>
      <c r="H32" s="45">
        <f t="shared" si="13"/>
        <v>62856.082304946845</v>
      </c>
      <c r="I32" s="45">
        <f t="shared" si="7"/>
        <v>40418.876550571011</v>
      </c>
      <c r="J32" s="55">
        <f t="shared" si="6"/>
        <v>6666.67</v>
      </c>
    </row>
    <row r="33" spans="2:10">
      <c r="B33" s="12">
        <f t="shared" si="11"/>
        <v>20</v>
      </c>
      <c r="C33" s="7">
        <v>41153</v>
      </c>
      <c r="D33" s="45">
        <f t="shared" si="12"/>
        <v>3936189.3523049471</v>
      </c>
      <c r="E33" s="45">
        <f t="shared" si="8"/>
        <v>3280.1577935874561</v>
      </c>
      <c r="F33" s="45">
        <f t="shared" si="9"/>
        <v>3386.5122064125439</v>
      </c>
      <c r="G33" s="45">
        <f t="shared" si="10"/>
        <v>3932802.8400985347</v>
      </c>
      <c r="H33" s="45">
        <f t="shared" si="13"/>
        <v>66136.240098534297</v>
      </c>
      <c r="I33" s="45">
        <f t="shared" si="7"/>
        <v>40452.558947696496</v>
      </c>
      <c r="J33" s="55">
        <f t="shared" si="6"/>
        <v>6666.67</v>
      </c>
    </row>
    <row r="34" spans="2:10">
      <c r="B34" s="12">
        <f t="shared" si="11"/>
        <v>21</v>
      </c>
      <c r="C34" s="7">
        <v>41183</v>
      </c>
      <c r="D34" s="45">
        <f t="shared" si="12"/>
        <v>3932802.8400985347</v>
      </c>
      <c r="E34" s="45">
        <f t="shared" si="8"/>
        <v>3277.3357000821125</v>
      </c>
      <c r="F34" s="45">
        <f t="shared" si="9"/>
        <v>3389.3342999178876</v>
      </c>
      <c r="G34" s="45">
        <f t="shared" si="10"/>
        <v>3929413.5057986169</v>
      </c>
      <c r="H34" s="45">
        <f t="shared" si="13"/>
        <v>69413.57579861641</v>
      </c>
      <c r="I34" s="45">
        <f t="shared" si="7"/>
        <v>40486.26941348624</v>
      </c>
      <c r="J34" s="55">
        <f t="shared" si="6"/>
        <v>6666.67</v>
      </c>
    </row>
    <row r="35" spans="2:10">
      <c r="B35" s="12">
        <f t="shared" si="11"/>
        <v>22</v>
      </c>
      <c r="C35" s="7">
        <v>41214</v>
      </c>
      <c r="D35" s="45">
        <f t="shared" si="12"/>
        <v>3929413.5057986169</v>
      </c>
      <c r="E35" s="45">
        <f t="shared" si="8"/>
        <v>3274.5112548321808</v>
      </c>
      <c r="F35" s="45">
        <f t="shared" si="9"/>
        <v>3392.1587451678192</v>
      </c>
      <c r="G35" s="45">
        <f t="shared" si="10"/>
        <v>3926021.3470534491</v>
      </c>
      <c r="H35" s="45">
        <f t="shared" si="13"/>
        <v>72688.087053448588</v>
      </c>
      <c r="I35" s="45">
        <f t="shared" si="7"/>
        <v>40520.007971330815</v>
      </c>
      <c r="J35" s="55">
        <f t="shared" si="6"/>
        <v>6666.67</v>
      </c>
    </row>
    <row r="36" spans="2:10">
      <c r="B36" s="12">
        <f t="shared" si="11"/>
        <v>23</v>
      </c>
      <c r="C36" s="7">
        <v>41244</v>
      </c>
      <c r="D36" s="45">
        <f t="shared" si="12"/>
        <v>3926021.3470534491</v>
      </c>
      <c r="E36" s="45">
        <f t="shared" si="8"/>
        <v>3271.6844558778744</v>
      </c>
      <c r="F36" s="45">
        <f t="shared" si="9"/>
        <v>3394.9855441221257</v>
      </c>
      <c r="G36" s="45">
        <f t="shared" si="10"/>
        <v>3922626.3615093268</v>
      </c>
      <c r="H36" s="45">
        <f t="shared" si="13"/>
        <v>75959.771509326456</v>
      </c>
      <c r="I36" s="45">
        <f t="shared" si="7"/>
        <v>40553.774644640253</v>
      </c>
      <c r="J36" s="55">
        <f t="shared" si="6"/>
        <v>6666.67</v>
      </c>
    </row>
    <row r="37" spans="2:10">
      <c r="B37" s="12">
        <f t="shared" si="11"/>
        <v>24</v>
      </c>
      <c r="C37" s="7">
        <v>41275</v>
      </c>
      <c r="D37" s="45">
        <f t="shared" si="12"/>
        <v>3922626.3615093268</v>
      </c>
      <c r="E37" s="45">
        <f t="shared" si="8"/>
        <v>3268.8553012577727</v>
      </c>
      <c r="F37" s="45">
        <f t="shared" si="9"/>
        <v>3397.8146987422274</v>
      </c>
      <c r="G37" s="45">
        <f t="shared" si="10"/>
        <v>3919228.5468105846</v>
      </c>
      <c r="H37" s="45">
        <f t="shared" si="13"/>
        <v>79228.626810584232</v>
      </c>
      <c r="I37" s="45">
        <f t="shared" si="7"/>
        <v>40587.569456844118</v>
      </c>
      <c r="J37" s="55">
        <f t="shared" si="6"/>
        <v>6666.67</v>
      </c>
    </row>
    <row r="38" spans="2:10">
      <c r="B38" s="12">
        <f t="shared" si="11"/>
        <v>25</v>
      </c>
      <c r="C38" s="7">
        <v>41306</v>
      </c>
      <c r="D38" s="45">
        <f t="shared" si="12"/>
        <v>3919228.5468105846</v>
      </c>
      <c r="E38" s="45">
        <f t="shared" si="8"/>
        <v>3266.0237890088206</v>
      </c>
      <c r="F38" s="45">
        <f t="shared" si="9"/>
        <v>3400.6462109911795</v>
      </c>
      <c r="G38" s="45">
        <f t="shared" si="10"/>
        <v>3915827.9005995933</v>
      </c>
      <c r="H38" s="45">
        <f t="shared" si="13"/>
        <v>82494.650599593049</v>
      </c>
      <c r="I38" s="45">
        <f t="shared" si="7"/>
        <v>40621.39243139149</v>
      </c>
      <c r="J38" s="55">
        <f t="shared" si="6"/>
        <v>6666.67</v>
      </c>
    </row>
    <row r="39" spans="2:10">
      <c r="B39" s="12">
        <f t="shared" si="11"/>
        <v>26</v>
      </c>
      <c r="C39" s="7">
        <v>41334</v>
      </c>
      <c r="D39" s="45">
        <f t="shared" si="12"/>
        <v>3915827.9005995933</v>
      </c>
      <c r="E39" s="45">
        <f t="shared" si="8"/>
        <v>3263.1899171663281</v>
      </c>
      <c r="F39" s="45">
        <f t="shared" si="9"/>
        <v>3403.480082833672</v>
      </c>
      <c r="G39" s="45">
        <f t="shared" si="10"/>
        <v>3912424.4205167596</v>
      </c>
      <c r="H39" s="45">
        <f t="shared" si="13"/>
        <v>85757.840516759374</v>
      </c>
      <c r="I39" s="45">
        <f t="shared" si="7"/>
        <v>40655.243591750987</v>
      </c>
      <c r="J39" s="55">
        <f t="shared" si="6"/>
        <v>6666.67</v>
      </c>
    </row>
    <row r="40" spans="2:10">
      <c r="B40" s="12">
        <f t="shared" si="11"/>
        <v>27</v>
      </c>
      <c r="C40" s="7">
        <v>41365</v>
      </c>
      <c r="D40" s="45">
        <f t="shared" si="12"/>
        <v>3912424.4205167596</v>
      </c>
      <c r="E40" s="45">
        <f t="shared" si="8"/>
        <v>3260.3536837639667</v>
      </c>
      <c r="F40" s="45">
        <f t="shared" si="9"/>
        <v>3406.3163162360333</v>
      </c>
      <c r="G40" s="45">
        <f t="shared" si="10"/>
        <v>3909018.1042005238</v>
      </c>
      <c r="H40" s="45">
        <f t="shared" si="13"/>
        <v>89018.194200523343</v>
      </c>
      <c r="I40" s="45">
        <f t="shared" si="7"/>
        <v>40689.12296141078</v>
      </c>
      <c r="J40" s="55">
        <f t="shared" si="6"/>
        <v>6666.67</v>
      </c>
    </row>
    <row r="41" spans="2:10">
      <c r="B41" s="12">
        <f t="shared" si="11"/>
        <v>28</v>
      </c>
      <c r="C41" s="7">
        <v>41395</v>
      </c>
      <c r="D41" s="45">
        <f t="shared" si="12"/>
        <v>3909018.1042005238</v>
      </c>
      <c r="E41" s="45">
        <f t="shared" si="8"/>
        <v>3257.5150868337701</v>
      </c>
      <c r="F41" s="45">
        <f t="shared" si="9"/>
        <v>3409.15491316623</v>
      </c>
      <c r="G41" s="45">
        <f t="shared" si="10"/>
        <v>3905608.9492873577</v>
      </c>
      <c r="H41" s="45">
        <f t="shared" si="13"/>
        <v>92275.709287357109</v>
      </c>
      <c r="I41" s="45">
        <f t="shared" si="7"/>
        <v>40723.030563878623</v>
      </c>
      <c r="J41" s="55">
        <f t="shared" si="6"/>
        <v>6666.67</v>
      </c>
    </row>
    <row r="42" spans="2:10">
      <c r="B42" s="12">
        <f t="shared" si="11"/>
        <v>29</v>
      </c>
      <c r="C42" s="7">
        <v>41426</v>
      </c>
      <c r="D42" s="45">
        <f t="shared" si="12"/>
        <v>3905608.9492873577</v>
      </c>
      <c r="E42" s="45">
        <f t="shared" si="8"/>
        <v>3254.6741244061318</v>
      </c>
      <c r="F42" s="45">
        <f t="shared" si="9"/>
        <v>3411.9958755938683</v>
      </c>
      <c r="G42" s="45">
        <f t="shared" si="10"/>
        <v>3902196.953411764</v>
      </c>
      <c r="H42" s="45">
        <f t="shared" si="13"/>
        <v>95530.383411763236</v>
      </c>
      <c r="I42" s="45">
        <f t="shared" si="7"/>
        <v>40756.966422681857</v>
      </c>
      <c r="J42" s="55">
        <f t="shared" si="6"/>
        <v>6666.67</v>
      </c>
    </row>
    <row r="43" spans="2:10">
      <c r="B43" s="12">
        <f t="shared" si="11"/>
        <v>30</v>
      </c>
      <c r="C43" s="7">
        <v>41456</v>
      </c>
      <c r="D43" s="45">
        <f t="shared" si="12"/>
        <v>3902196.953411764</v>
      </c>
      <c r="E43" s="45">
        <f t="shared" si="8"/>
        <v>3251.8307945098036</v>
      </c>
      <c r="F43" s="45">
        <f t="shared" si="9"/>
        <v>3414.8392054901965</v>
      </c>
      <c r="G43" s="45">
        <f t="shared" si="10"/>
        <v>3898782.1142062736</v>
      </c>
      <c r="H43" s="45">
        <f t="shared" si="13"/>
        <v>98782.214206273042</v>
      </c>
      <c r="I43" s="45">
        <f t="shared" si="7"/>
        <v>40790.930561367422</v>
      </c>
      <c r="J43" s="55">
        <f t="shared" si="6"/>
        <v>6666.67</v>
      </c>
    </row>
    <row r="44" spans="2:10">
      <c r="B44" s="12">
        <f t="shared" si="11"/>
        <v>31</v>
      </c>
      <c r="C44" s="7">
        <v>41487</v>
      </c>
      <c r="D44" s="45">
        <f t="shared" si="12"/>
        <v>3898782.1142062736</v>
      </c>
      <c r="E44" s="45">
        <f t="shared" si="8"/>
        <v>3248.985095171895</v>
      </c>
      <c r="F44" s="45">
        <f t="shared" si="9"/>
        <v>3417.6849048281051</v>
      </c>
      <c r="G44" s="45">
        <f t="shared" si="10"/>
        <v>3895364.4293014454</v>
      </c>
      <c r="H44" s="45">
        <f t="shared" si="13"/>
        <v>102031.19930144494</v>
      </c>
      <c r="I44" s="45">
        <f t="shared" si="7"/>
        <v>40824.923003501899</v>
      </c>
      <c r="J44" s="55">
        <f t="shared" si="6"/>
        <v>6666.67</v>
      </c>
    </row>
    <row r="45" spans="2:10">
      <c r="B45" s="12">
        <f t="shared" si="11"/>
        <v>32</v>
      </c>
      <c r="C45" s="7">
        <v>41518</v>
      </c>
      <c r="D45" s="45">
        <f t="shared" si="12"/>
        <v>3895364.4293014454</v>
      </c>
      <c r="E45" s="45">
        <f t="shared" si="8"/>
        <v>3246.1370244178715</v>
      </c>
      <c r="F45" s="45">
        <f t="shared" si="9"/>
        <v>3420.5329755821285</v>
      </c>
      <c r="G45" s="45">
        <f t="shared" si="10"/>
        <v>3891943.8963258634</v>
      </c>
      <c r="H45" s="45">
        <f t="shared" si="13"/>
        <v>105277.33632586281</v>
      </c>
      <c r="I45" s="45">
        <f t="shared" si="7"/>
        <v>40858.943772671475</v>
      </c>
      <c r="J45" s="55">
        <f t="shared" si="6"/>
        <v>6666.67</v>
      </c>
    </row>
    <row r="46" spans="2:10">
      <c r="B46" s="12">
        <f t="shared" si="11"/>
        <v>33</v>
      </c>
      <c r="C46" s="7">
        <v>41548</v>
      </c>
      <c r="D46" s="45">
        <f t="shared" si="12"/>
        <v>3891943.8963258634</v>
      </c>
      <c r="E46" s="45">
        <f t="shared" si="8"/>
        <v>3243.2865802715532</v>
      </c>
      <c r="F46" s="45">
        <f t="shared" si="9"/>
        <v>3423.3834197284468</v>
      </c>
      <c r="G46" s="45">
        <f t="shared" si="10"/>
        <v>3888520.5129061351</v>
      </c>
      <c r="H46" s="45">
        <f t="shared" si="13"/>
        <v>108520.62290613436</v>
      </c>
      <c r="I46" s="45">
        <f t="shared" si="7"/>
        <v>40892.992892482027</v>
      </c>
      <c r="J46" s="55">
        <f t="shared" si="6"/>
        <v>6666.67</v>
      </c>
    </row>
    <row r="47" spans="2:10">
      <c r="B47" s="12">
        <f t="shared" si="11"/>
        <v>34</v>
      </c>
      <c r="C47" s="7">
        <v>41579</v>
      </c>
      <c r="D47" s="45">
        <f t="shared" si="12"/>
        <v>3888520.5129061351</v>
      </c>
      <c r="E47" s="45">
        <f t="shared" si="8"/>
        <v>3240.4337607551129</v>
      </c>
      <c r="F47" s="45">
        <f t="shared" si="9"/>
        <v>3426.2362392448872</v>
      </c>
      <c r="G47" s="45">
        <f t="shared" si="10"/>
        <v>3885094.2766668904</v>
      </c>
      <c r="H47" s="45">
        <f t="shared" si="13"/>
        <v>111761.05666688948</v>
      </c>
      <c r="I47" s="45">
        <f t="shared" si="7"/>
        <v>40927.070386559091</v>
      </c>
      <c r="J47" s="55">
        <f t="shared" si="6"/>
        <v>6666.67</v>
      </c>
    </row>
    <row r="48" spans="2:10">
      <c r="B48" s="12">
        <f t="shared" si="11"/>
        <v>35</v>
      </c>
      <c r="C48" s="7">
        <v>41609</v>
      </c>
      <c r="D48" s="45">
        <f t="shared" si="12"/>
        <v>3885094.2766668904</v>
      </c>
      <c r="E48" s="45">
        <f t="shared" si="8"/>
        <v>3237.5785638890757</v>
      </c>
      <c r="F48" s="45">
        <f t="shared" si="9"/>
        <v>3429.0914361109244</v>
      </c>
      <c r="G48" s="45">
        <f t="shared" si="10"/>
        <v>3881665.1852307795</v>
      </c>
      <c r="H48" s="45">
        <f t="shared" si="13"/>
        <v>114998.63523077856</v>
      </c>
      <c r="I48" s="45">
        <f t="shared" si="7"/>
        <v>40961.176278547893</v>
      </c>
      <c r="J48" s="55">
        <f t="shared" si="6"/>
        <v>6666.67</v>
      </c>
    </row>
    <row r="49" spans="2:10">
      <c r="B49" s="12">
        <f t="shared" si="11"/>
        <v>36</v>
      </c>
      <c r="C49" s="7">
        <v>41640</v>
      </c>
      <c r="D49" s="45">
        <f t="shared" si="12"/>
        <v>3881665.1852307795</v>
      </c>
      <c r="E49" s="45">
        <f t="shared" si="8"/>
        <v>3234.7209876923166</v>
      </c>
      <c r="F49" s="45">
        <f t="shared" si="9"/>
        <v>3431.9490123076835</v>
      </c>
      <c r="G49" s="45">
        <f t="shared" si="10"/>
        <v>3878233.2362184715</v>
      </c>
      <c r="H49" s="45">
        <f t="shared" si="13"/>
        <v>118233.35621847087</v>
      </c>
      <c r="I49" s="45">
        <f t="shared" si="7"/>
        <v>40995.310592113354</v>
      </c>
      <c r="J49" s="55">
        <f t="shared" si="6"/>
        <v>6666.67</v>
      </c>
    </row>
    <row r="50" spans="2:10">
      <c r="B50" s="12">
        <f t="shared" si="11"/>
        <v>37</v>
      </c>
      <c r="C50" s="7">
        <v>41671</v>
      </c>
      <c r="D50" s="45">
        <f t="shared" si="12"/>
        <v>3878233.2362184715</v>
      </c>
      <c r="E50" s="45">
        <f t="shared" si="8"/>
        <v>3231.8610301820599</v>
      </c>
      <c r="F50" s="45">
        <f t="shared" si="9"/>
        <v>3434.8089698179401</v>
      </c>
      <c r="G50" s="45">
        <f t="shared" si="10"/>
        <v>3874798.4272486535</v>
      </c>
      <c r="H50" s="45">
        <f t="shared" si="13"/>
        <v>121465.21724865293</v>
      </c>
      <c r="I50" s="45">
        <f t="shared" si="7"/>
        <v>41029.473350940112</v>
      </c>
      <c r="J50" s="55">
        <f t="shared" si="6"/>
        <v>6666.67</v>
      </c>
    </row>
    <row r="51" spans="2:10">
      <c r="B51" s="12">
        <f t="shared" si="11"/>
        <v>38</v>
      </c>
      <c r="C51" s="7">
        <v>41699</v>
      </c>
      <c r="D51" s="45">
        <f t="shared" si="12"/>
        <v>3874798.4272486535</v>
      </c>
      <c r="E51" s="45">
        <f t="shared" si="8"/>
        <v>3228.9986893738783</v>
      </c>
      <c r="F51" s="45">
        <f t="shared" si="9"/>
        <v>3437.6713106261218</v>
      </c>
      <c r="G51" s="45">
        <f t="shared" si="10"/>
        <v>3871360.7559380275</v>
      </c>
      <c r="H51" s="45">
        <f t="shared" si="13"/>
        <v>124694.21593802681</v>
      </c>
      <c r="I51" s="45">
        <f t="shared" si="7"/>
        <v>41063.664578732569</v>
      </c>
      <c r="J51" s="55">
        <f t="shared" si="6"/>
        <v>6666.67</v>
      </c>
    </row>
    <row r="52" spans="2:10">
      <c r="B52" s="12">
        <f t="shared" si="11"/>
        <v>39</v>
      </c>
      <c r="C52" s="7">
        <v>41730</v>
      </c>
      <c r="D52" s="45">
        <f t="shared" si="12"/>
        <v>3871360.7559380275</v>
      </c>
      <c r="E52" s="45">
        <f t="shared" si="8"/>
        <v>3226.1339632816898</v>
      </c>
      <c r="F52" s="45">
        <f t="shared" si="9"/>
        <v>3440.5360367183102</v>
      </c>
      <c r="G52" s="45">
        <f t="shared" si="10"/>
        <v>3867920.2199013093</v>
      </c>
      <c r="H52" s="45">
        <f t="shared" si="13"/>
        <v>127920.34990130851</v>
      </c>
      <c r="I52" s="45">
        <f t="shared" si="7"/>
        <v>41097.884299214849</v>
      </c>
      <c r="J52" s="55">
        <f t="shared" si="6"/>
        <v>6666.67</v>
      </c>
    </row>
    <row r="53" spans="2:10">
      <c r="B53" s="12">
        <f t="shared" si="11"/>
        <v>40</v>
      </c>
      <c r="C53" s="7">
        <v>41760</v>
      </c>
      <c r="D53" s="45">
        <f t="shared" si="12"/>
        <v>3867920.2199013093</v>
      </c>
      <c r="E53" s="45">
        <f t="shared" si="8"/>
        <v>3223.266849917758</v>
      </c>
      <c r="F53" s="45">
        <f t="shared" si="9"/>
        <v>3443.4031500822421</v>
      </c>
      <c r="G53" s="45">
        <f t="shared" si="10"/>
        <v>3864476.8167512272</v>
      </c>
      <c r="H53" s="45">
        <f t="shared" si="13"/>
        <v>131143.61675122628</v>
      </c>
      <c r="I53" s="45">
        <f t="shared" si="7"/>
        <v>41132.132536130855</v>
      </c>
      <c r="J53" s="55">
        <f t="shared" si="6"/>
        <v>6666.67</v>
      </c>
    </row>
    <row r="54" spans="2:10">
      <c r="B54" s="12">
        <f t="shared" si="11"/>
        <v>41</v>
      </c>
      <c r="C54" s="7">
        <v>41791</v>
      </c>
      <c r="D54" s="45">
        <f t="shared" si="12"/>
        <v>3864476.8167512272</v>
      </c>
      <c r="E54" s="45">
        <f t="shared" si="8"/>
        <v>3220.3973472926896</v>
      </c>
      <c r="F54" s="45">
        <f t="shared" si="9"/>
        <v>3446.2726527073105</v>
      </c>
      <c r="G54" s="45">
        <f t="shared" si="10"/>
        <v>3861030.5440985197</v>
      </c>
      <c r="H54" s="45">
        <f t="shared" si="13"/>
        <v>134364.01409851896</v>
      </c>
      <c r="I54" s="45">
        <f t="shared" si="7"/>
        <v>41166.409313244294</v>
      </c>
      <c r="J54" s="55">
        <f t="shared" si="6"/>
        <v>6666.67</v>
      </c>
    </row>
    <row r="55" spans="2:10">
      <c r="B55" s="12">
        <f t="shared" si="11"/>
        <v>42</v>
      </c>
      <c r="C55" s="7">
        <v>41821</v>
      </c>
      <c r="D55" s="45">
        <f t="shared" si="12"/>
        <v>3861030.5440985197</v>
      </c>
      <c r="E55" s="45">
        <f t="shared" si="8"/>
        <v>3217.5254534154333</v>
      </c>
      <c r="F55" s="45">
        <f t="shared" si="9"/>
        <v>3449.1445465845668</v>
      </c>
      <c r="G55" s="45">
        <f t="shared" si="10"/>
        <v>3857581.399551935</v>
      </c>
      <c r="H55" s="45">
        <f t="shared" si="13"/>
        <v>137581.5395519344</v>
      </c>
      <c r="I55" s="45">
        <f t="shared" si="7"/>
        <v>41200.71465433867</v>
      </c>
      <c r="J55" s="55">
        <f t="shared" si="6"/>
        <v>6666.67</v>
      </c>
    </row>
    <row r="56" spans="2:10">
      <c r="B56" s="12">
        <f t="shared" si="11"/>
        <v>43</v>
      </c>
      <c r="C56" s="7">
        <v>41852</v>
      </c>
      <c r="D56" s="45">
        <f t="shared" si="12"/>
        <v>3857581.399551935</v>
      </c>
      <c r="E56" s="45">
        <f t="shared" si="8"/>
        <v>3214.6511662932794</v>
      </c>
      <c r="F56" s="45">
        <f t="shared" si="9"/>
        <v>3452.0188337067207</v>
      </c>
      <c r="G56" s="45">
        <f t="shared" si="10"/>
        <v>3854129.3807182284</v>
      </c>
      <c r="H56" s="45">
        <f t="shared" si="13"/>
        <v>140796.19071822768</v>
      </c>
      <c r="I56" s="45">
        <f t="shared" si="7"/>
        <v>41235.048583217285</v>
      </c>
      <c r="J56" s="55">
        <f t="shared" si="6"/>
        <v>6666.67</v>
      </c>
    </row>
    <row r="57" spans="2:10">
      <c r="B57" s="12">
        <f t="shared" si="11"/>
        <v>44</v>
      </c>
      <c r="C57" s="7">
        <v>41883</v>
      </c>
      <c r="D57" s="45">
        <f t="shared" si="12"/>
        <v>3854129.3807182284</v>
      </c>
      <c r="E57" s="45">
        <f t="shared" si="8"/>
        <v>3211.774483931857</v>
      </c>
      <c r="F57" s="45">
        <f t="shared" si="9"/>
        <v>3454.895516068143</v>
      </c>
      <c r="G57" s="45">
        <f t="shared" si="10"/>
        <v>3850674.4852021602</v>
      </c>
      <c r="H57" s="45">
        <f t="shared" si="13"/>
        <v>144007.96520215954</v>
      </c>
      <c r="I57" s="45">
        <f t="shared" si="7"/>
        <v>41269.411123703299</v>
      </c>
      <c r="J57" s="55">
        <f t="shared" si="6"/>
        <v>6666.67</v>
      </c>
    </row>
    <row r="58" spans="2:10">
      <c r="B58" s="12">
        <f t="shared" si="11"/>
        <v>45</v>
      </c>
      <c r="C58" s="7">
        <v>41913</v>
      </c>
      <c r="D58" s="45">
        <f t="shared" si="12"/>
        <v>3850674.4852021602</v>
      </c>
      <c r="E58" s="45">
        <f t="shared" si="8"/>
        <v>3208.8954043351337</v>
      </c>
      <c r="F58" s="45">
        <f t="shared" si="9"/>
        <v>3457.7745956648664</v>
      </c>
      <c r="G58" s="45">
        <f t="shared" si="10"/>
        <v>3847216.7106064954</v>
      </c>
      <c r="H58" s="45">
        <f t="shared" si="13"/>
        <v>147216.86060649468</v>
      </c>
      <c r="I58" s="45">
        <f t="shared" si="7"/>
        <v>41303.802299639719</v>
      </c>
      <c r="J58" s="55">
        <f t="shared" si="6"/>
        <v>6666.67</v>
      </c>
    </row>
    <row r="59" spans="2:10">
      <c r="B59" s="12">
        <f t="shared" si="11"/>
        <v>46</v>
      </c>
      <c r="C59" s="7">
        <v>41944</v>
      </c>
      <c r="D59" s="45">
        <f t="shared" si="12"/>
        <v>3847216.7106064954</v>
      </c>
      <c r="E59" s="45">
        <f t="shared" si="8"/>
        <v>3206.0139255054132</v>
      </c>
      <c r="F59" s="45">
        <f t="shared" si="9"/>
        <v>3460.6560744945868</v>
      </c>
      <c r="G59" s="45">
        <f t="shared" si="10"/>
        <v>3843756.0545320008</v>
      </c>
      <c r="H59" s="45">
        <f t="shared" si="13"/>
        <v>150422.8745320001</v>
      </c>
      <c r="I59" s="45">
        <f t="shared" si="7"/>
        <v>41338.222134889416</v>
      </c>
      <c r="J59" s="55">
        <f t="shared" si="6"/>
        <v>6666.67</v>
      </c>
    </row>
    <row r="60" spans="2:10">
      <c r="B60" s="12">
        <f t="shared" si="11"/>
        <v>47</v>
      </c>
      <c r="C60" s="7">
        <v>41974</v>
      </c>
      <c r="D60" s="45">
        <f t="shared" si="12"/>
        <v>3843756.0545320008</v>
      </c>
      <c r="E60" s="45">
        <f t="shared" si="8"/>
        <v>3203.130045443334</v>
      </c>
      <c r="F60" s="45">
        <f t="shared" si="9"/>
        <v>3463.5399545566661</v>
      </c>
      <c r="G60" s="45">
        <f t="shared" si="10"/>
        <v>3840292.5145774442</v>
      </c>
      <c r="H60" s="45">
        <f t="shared" si="13"/>
        <v>153626.00457744344</v>
      </c>
      <c r="I60" s="45">
        <f t="shared" si="7"/>
        <v>41372.670653335161</v>
      </c>
      <c r="J60" s="55">
        <f t="shared" si="6"/>
        <v>6666.67</v>
      </c>
    </row>
    <row r="61" spans="2:10">
      <c r="B61" s="12">
        <f t="shared" si="11"/>
        <v>48</v>
      </c>
      <c r="C61" s="7">
        <v>42005</v>
      </c>
      <c r="D61" s="45">
        <f t="shared" si="12"/>
        <v>3840292.5145774442</v>
      </c>
      <c r="E61" s="45">
        <f t="shared" si="8"/>
        <v>3200.2437621478703</v>
      </c>
      <c r="F61" s="45">
        <f t="shared" si="9"/>
        <v>3466.4262378521298</v>
      </c>
      <c r="G61" s="45">
        <f t="shared" si="10"/>
        <v>3836826.0883395919</v>
      </c>
      <c r="H61" s="45">
        <f t="shared" si="13"/>
        <v>156826.24833959132</v>
      </c>
      <c r="I61" s="45">
        <f t="shared" si="7"/>
        <v>41407.147878879608</v>
      </c>
      <c r="J61" s="55">
        <f t="shared" si="6"/>
        <v>6666.67</v>
      </c>
    </row>
    <row r="62" spans="2:10">
      <c r="B62" s="12">
        <f t="shared" si="11"/>
        <v>49</v>
      </c>
      <c r="C62" s="7">
        <v>42036</v>
      </c>
      <c r="D62" s="45">
        <f t="shared" si="12"/>
        <v>3836826.0883395919</v>
      </c>
      <c r="E62" s="45">
        <f t="shared" si="8"/>
        <v>3197.3550736163265</v>
      </c>
      <c r="F62" s="45">
        <f t="shared" si="9"/>
        <v>3469.3149263836735</v>
      </c>
      <c r="G62" s="45">
        <f t="shared" si="10"/>
        <v>3833356.7734132083</v>
      </c>
      <c r="H62" s="45">
        <f t="shared" si="13"/>
        <v>160023.60341320763</v>
      </c>
      <c r="I62" s="45">
        <f t="shared" si="7"/>
        <v>41441.653835445337</v>
      </c>
      <c r="J62" s="55">
        <f t="shared" si="6"/>
        <v>6666.67</v>
      </c>
    </row>
    <row r="63" spans="2:10">
      <c r="B63" s="12">
        <f t="shared" si="11"/>
        <v>50</v>
      </c>
      <c r="C63" s="7">
        <v>42064</v>
      </c>
      <c r="D63" s="45">
        <f t="shared" si="12"/>
        <v>3833356.7734132083</v>
      </c>
      <c r="E63" s="45">
        <f t="shared" si="8"/>
        <v>3194.4639778443407</v>
      </c>
      <c r="F63" s="45">
        <f t="shared" si="9"/>
        <v>3472.2060221556594</v>
      </c>
      <c r="G63" s="45">
        <f t="shared" si="10"/>
        <v>3829884.5673910528</v>
      </c>
      <c r="H63" s="45">
        <f t="shared" si="13"/>
        <v>163218.06739105197</v>
      </c>
      <c r="I63" s="45">
        <f t="shared" si="7"/>
        <v>41476.188546974874</v>
      </c>
      <c r="J63" s="55">
        <f t="shared" si="6"/>
        <v>6666.67</v>
      </c>
    </row>
    <row r="64" spans="2:10">
      <c r="B64" s="12">
        <f t="shared" si="11"/>
        <v>51</v>
      </c>
      <c r="C64" s="7">
        <v>42095</v>
      </c>
      <c r="D64" s="45">
        <f t="shared" si="12"/>
        <v>3829884.5673910528</v>
      </c>
      <c r="E64" s="45">
        <f t="shared" si="8"/>
        <v>3191.5704728258775</v>
      </c>
      <c r="F64" s="45">
        <f t="shared" si="9"/>
        <v>3475.0995271741226</v>
      </c>
      <c r="G64" s="45">
        <f t="shared" si="10"/>
        <v>3826409.4678638787</v>
      </c>
      <c r="H64" s="45">
        <f t="shared" si="13"/>
        <v>166409.63786387784</v>
      </c>
      <c r="I64" s="45">
        <f t="shared" si="7"/>
        <v>41510.752037430684</v>
      </c>
      <c r="J64" s="55">
        <f t="shared" si="6"/>
        <v>6666.67</v>
      </c>
    </row>
    <row r="65" spans="2:10">
      <c r="B65" s="12">
        <f t="shared" si="11"/>
        <v>52</v>
      </c>
      <c r="C65" s="7">
        <v>42125</v>
      </c>
      <c r="D65" s="45">
        <f t="shared" si="12"/>
        <v>3826409.4678638787</v>
      </c>
      <c r="E65" s="45">
        <f t="shared" si="8"/>
        <v>3188.6745565532324</v>
      </c>
      <c r="F65" s="45">
        <f t="shared" si="9"/>
        <v>3477.9954434467677</v>
      </c>
      <c r="G65" s="45">
        <f t="shared" si="10"/>
        <v>3822931.4724204321</v>
      </c>
      <c r="H65" s="45">
        <f t="shared" si="13"/>
        <v>169598.31242043106</v>
      </c>
      <c r="I65" s="45">
        <f t="shared" si="7"/>
        <v>41545.344330795204</v>
      </c>
      <c r="J65" s="55">
        <f t="shared" si="6"/>
        <v>6666.67</v>
      </c>
    </row>
    <row r="66" spans="2:10">
      <c r="B66" s="12">
        <f t="shared" si="11"/>
        <v>53</v>
      </c>
      <c r="C66" s="7">
        <v>42156</v>
      </c>
      <c r="D66" s="45">
        <f t="shared" si="12"/>
        <v>3822931.4724204321</v>
      </c>
      <c r="E66" s="45">
        <f t="shared" si="8"/>
        <v>3185.7762270170269</v>
      </c>
      <c r="F66" s="45">
        <f t="shared" si="9"/>
        <v>3480.8937729829731</v>
      </c>
      <c r="G66" s="45">
        <f t="shared" si="10"/>
        <v>3819450.5786474491</v>
      </c>
      <c r="H66" s="45">
        <f t="shared" si="13"/>
        <v>172784.08864744808</v>
      </c>
      <c r="I66" s="45">
        <f t="shared" si="7"/>
        <v>41579.965451070871</v>
      </c>
      <c r="J66" s="55">
        <f t="shared" si="6"/>
        <v>6666.67</v>
      </c>
    </row>
    <row r="67" spans="2:10">
      <c r="B67" s="12">
        <f t="shared" si="11"/>
        <v>54</v>
      </c>
      <c r="C67" s="7">
        <v>42186</v>
      </c>
      <c r="D67" s="45">
        <f t="shared" si="12"/>
        <v>3819450.5786474491</v>
      </c>
      <c r="E67" s="45">
        <f t="shared" si="8"/>
        <v>3182.8754822062078</v>
      </c>
      <c r="F67" s="45">
        <f t="shared" si="9"/>
        <v>3483.7945177937922</v>
      </c>
      <c r="G67" s="45">
        <f t="shared" si="10"/>
        <v>3815966.7841296555</v>
      </c>
      <c r="H67" s="45">
        <f t="shared" si="13"/>
        <v>175966.96412965428</v>
      </c>
      <c r="I67" s="45">
        <f t="shared" si="7"/>
        <v>41614.615422280105</v>
      </c>
      <c r="J67" s="55">
        <f t="shared" si="6"/>
        <v>6666.67</v>
      </c>
    </row>
    <row r="68" spans="2:10">
      <c r="B68" s="12">
        <f t="shared" si="11"/>
        <v>55</v>
      </c>
      <c r="C68" s="7">
        <v>42217</v>
      </c>
      <c r="D68" s="45">
        <f t="shared" si="12"/>
        <v>3815966.7841296555</v>
      </c>
      <c r="E68" s="45">
        <f t="shared" si="8"/>
        <v>3179.9723201080465</v>
      </c>
      <c r="F68" s="45">
        <f t="shared" si="9"/>
        <v>3486.6976798919536</v>
      </c>
      <c r="G68" s="45">
        <f t="shared" si="10"/>
        <v>3812480.0864497633</v>
      </c>
      <c r="H68" s="45">
        <f t="shared" si="13"/>
        <v>179146.93644976232</v>
      </c>
      <c r="I68" s="45">
        <f t="shared" si="7"/>
        <v>41649.294268465346</v>
      </c>
      <c r="J68" s="55">
        <f t="shared" si="6"/>
        <v>6666.67</v>
      </c>
    </row>
    <row r="69" spans="2:10">
      <c r="B69" s="12">
        <f t="shared" si="11"/>
        <v>56</v>
      </c>
      <c r="C69" s="7">
        <v>42248</v>
      </c>
      <c r="D69" s="45">
        <f t="shared" si="12"/>
        <v>3812480.0864497633</v>
      </c>
      <c r="E69" s="45">
        <f t="shared" si="8"/>
        <v>3177.0667387081362</v>
      </c>
      <c r="F69" s="45">
        <f t="shared" si="9"/>
        <v>3489.6032612918639</v>
      </c>
      <c r="G69" s="45">
        <f t="shared" si="10"/>
        <v>3808990.4831884713</v>
      </c>
      <c r="H69" s="45">
        <f t="shared" si="13"/>
        <v>182324.00318847047</v>
      </c>
      <c r="I69" s="45">
        <f t="shared" si="7"/>
        <v>41684.002013689067</v>
      </c>
      <c r="J69" s="55">
        <f t="shared" si="6"/>
        <v>6666.67</v>
      </c>
    </row>
    <row r="70" spans="2:10">
      <c r="B70" s="12">
        <f t="shared" si="11"/>
        <v>57</v>
      </c>
      <c r="C70" s="7">
        <v>42278</v>
      </c>
      <c r="D70" s="45">
        <f t="shared" si="12"/>
        <v>3808990.4831884713</v>
      </c>
      <c r="E70" s="45">
        <f t="shared" si="8"/>
        <v>3174.1587359903929</v>
      </c>
      <c r="F70" s="45">
        <f t="shared" si="9"/>
        <v>3492.5112640096072</v>
      </c>
      <c r="G70" s="45">
        <f t="shared" si="10"/>
        <v>3805497.9719244619</v>
      </c>
      <c r="H70" s="45">
        <f t="shared" si="13"/>
        <v>185498.16192446084</v>
      </c>
      <c r="I70" s="45">
        <f t="shared" si="7"/>
        <v>41718.738682033792</v>
      </c>
      <c r="J70" s="55">
        <f t="shared" si="6"/>
        <v>6666.67</v>
      </c>
    </row>
    <row r="71" spans="2:10">
      <c r="B71" s="12">
        <f t="shared" si="11"/>
        <v>58</v>
      </c>
      <c r="C71" s="7">
        <v>42309</v>
      </c>
      <c r="D71" s="45">
        <f t="shared" si="12"/>
        <v>3805497.9719244619</v>
      </c>
      <c r="E71" s="45">
        <f t="shared" si="8"/>
        <v>3171.248309937052</v>
      </c>
      <c r="F71" s="45">
        <f t="shared" si="9"/>
        <v>3495.4216900629481</v>
      </c>
      <c r="G71" s="45">
        <f t="shared" si="10"/>
        <v>3802002.5502343988</v>
      </c>
      <c r="H71" s="45">
        <f t="shared" si="13"/>
        <v>188669.41023439789</v>
      </c>
      <c r="I71" s="45">
        <f t="shared" si="7"/>
        <v>41753.50429760215</v>
      </c>
      <c r="J71" s="55">
        <f t="shared" si="6"/>
        <v>6666.67</v>
      </c>
    </row>
    <row r="72" spans="2:10">
      <c r="B72" s="12">
        <f t="shared" si="11"/>
        <v>59</v>
      </c>
      <c r="C72" s="7">
        <v>42339</v>
      </c>
      <c r="D72" s="45">
        <f t="shared" si="12"/>
        <v>3802002.5502343988</v>
      </c>
      <c r="E72" s="45">
        <f t="shared" si="8"/>
        <v>3168.3354585286661</v>
      </c>
      <c r="F72" s="45">
        <f t="shared" si="9"/>
        <v>3498.334541471334</v>
      </c>
      <c r="G72" s="45">
        <f t="shared" si="10"/>
        <v>3798504.2156929276</v>
      </c>
      <c r="H72" s="45">
        <f t="shared" si="13"/>
        <v>191837.74569292655</v>
      </c>
      <c r="I72" s="45">
        <f t="shared" si="7"/>
        <v>41788.298884516822</v>
      </c>
      <c r="J72" s="55">
        <f t="shared" si="6"/>
        <v>6666.67</v>
      </c>
    </row>
    <row r="73" spans="2:10">
      <c r="B73" s="12">
        <f t="shared" si="11"/>
        <v>60</v>
      </c>
      <c r="C73" s="7">
        <v>42370</v>
      </c>
      <c r="D73" s="45">
        <f t="shared" si="12"/>
        <v>3798504.2156929276</v>
      </c>
      <c r="E73" s="45">
        <f t="shared" si="8"/>
        <v>3165.4201797441065</v>
      </c>
      <c r="F73" s="45">
        <f t="shared" si="9"/>
        <v>3501.2498202558936</v>
      </c>
      <c r="G73" s="45">
        <f t="shared" si="10"/>
        <v>3795002.9658726719</v>
      </c>
      <c r="H73" s="45">
        <f t="shared" si="13"/>
        <v>195003.16587267065</v>
      </c>
      <c r="I73" s="45">
        <f t="shared" si="7"/>
        <v>41823.122466920591</v>
      </c>
      <c r="J73" s="55">
        <f t="shared" si="6"/>
        <v>6666.67</v>
      </c>
    </row>
    <row r="74" spans="2:10">
      <c r="B74" s="12">
        <f t="shared" si="11"/>
        <v>61</v>
      </c>
      <c r="C74" s="7">
        <v>42401</v>
      </c>
      <c r="D74" s="45">
        <f t="shared" si="12"/>
        <v>3795002.9658726719</v>
      </c>
      <c r="E74" s="45">
        <f t="shared" si="8"/>
        <v>3162.50247156056</v>
      </c>
      <c r="F74" s="45">
        <f t="shared" si="9"/>
        <v>3504.16752843944</v>
      </c>
      <c r="G74" s="45">
        <f t="shared" si="10"/>
        <v>3791498.7983442326</v>
      </c>
      <c r="H74" s="45">
        <f t="shared" si="13"/>
        <v>198165.66834423121</v>
      </c>
      <c r="I74" s="45">
        <f t="shared" si="7"/>
        <v>41857.975068976353</v>
      </c>
      <c r="J74" s="55">
        <f t="shared" si="6"/>
        <v>6666.67</v>
      </c>
    </row>
    <row r="75" spans="2:10">
      <c r="B75" s="12">
        <f t="shared" si="11"/>
        <v>62</v>
      </c>
      <c r="C75" s="7">
        <v>42430</v>
      </c>
      <c r="D75" s="45">
        <f t="shared" si="12"/>
        <v>3791498.7983442326</v>
      </c>
      <c r="E75" s="45">
        <f t="shared" si="8"/>
        <v>3159.5823319535275</v>
      </c>
      <c r="F75" s="45">
        <f t="shared" si="9"/>
        <v>3507.0876680464726</v>
      </c>
      <c r="G75" s="45">
        <f t="shared" si="10"/>
        <v>3787991.7106761863</v>
      </c>
      <c r="H75" s="45">
        <f t="shared" si="13"/>
        <v>201325.25067618475</v>
      </c>
      <c r="I75" s="45">
        <f t="shared" si="7"/>
        <v>41892.856714867165</v>
      </c>
      <c r="J75" s="55">
        <f t="shared" si="6"/>
        <v>6666.67</v>
      </c>
    </row>
    <row r="76" spans="2:10">
      <c r="B76" s="12">
        <f t="shared" si="11"/>
        <v>63</v>
      </c>
      <c r="C76" s="7">
        <v>42461</v>
      </c>
      <c r="D76" s="45">
        <f t="shared" si="12"/>
        <v>3787991.7106761863</v>
      </c>
      <c r="E76" s="45">
        <f t="shared" si="8"/>
        <v>3156.659758896822</v>
      </c>
      <c r="F76" s="45">
        <f t="shared" si="9"/>
        <v>3510.010241103178</v>
      </c>
      <c r="G76" s="45">
        <f t="shared" si="10"/>
        <v>3784481.7004350829</v>
      </c>
      <c r="H76" s="45">
        <f t="shared" si="13"/>
        <v>204481.91043508158</v>
      </c>
      <c r="I76" s="45">
        <f t="shared" si="7"/>
        <v>41927.767428796222</v>
      </c>
      <c r="J76" s="55">
        <f t="shared" si="6"/>
        <v>6666.67</v>
      </c>
    </row>
    <row r="77" spans="2:10">
      <c r="B77" s="12">
        <f t="shared" si="11"/>
        <v>64</v>
      </c>
      <c r="C77" s="7">
        <v>42491</v>
      </c>
      <c r="D77" s="45">
        <f t="shared" si="12"/>
        <v>3784481.7004350829</v>
      </c>
      <c r="E77" s="45">
        <f t="shared" si="8"/>
        <v>3153.7347503625692</v>
      </c>
      <c r="F77" s="45">
        <f t="shared" si="9"/>
        <v>3512.9352496374308</v>
      </c>
      <c r="G77" s="45">
        <f t="shared" si="10"/>
        <v>3780968.7651854455</v>
      </c>
      <c r="H77" s="45">
        <f t="shared" si="13"/>
        <v>207635.64518544415</v>
      </c>
      <c r="I77" s="45">
        <f t="shared" si="7"/>
        <v>41962.70723498689</v>
      </c>
      <c r="J77" s="55">
        <f t="shared" si="6"/>
        <v>6666.67</v>
      </c>
    </row>
    <row r="78" spans="2:10">
      <c r="B78" s="12">
        <f t="shared" si="11"/>
        <v>65</v>
      </c>
      <c r="C78" s="7">
        <v>42522</v>
      </c>
      <c r="D78" s="45">
        <f t="shared" si="12"/>
        <v>3780968.7651854455</v>
      </c>
      <c r="E78" s="45">
        <f t="shared" si="8"/>
        <v>3150.8073043212048</v>
      </c>
      <c r="F78" s="45">
        <f t="shared" si="9"/>
        <v>3515.8626956787953</v>
      </c>
      <c r="G78" s="45">
        <f t="shared" si="10"/>
        <v>3777452.9024897669</v>
      </c>
      <c r="H78" s="45">
        <f t="shared" si="13"/>
        <v>210786.45248976536</v>
      </c>
      <c r="I78" s="45">
        <f t="shared" si="7"/>
        <v>41997.676157682705</v>
      </c>
      <c r="J78" s="55">
        <f t="shared" si="6"/>
        <v>6666.67</v>
      </c>
    </row>
    <row r="79" spans="2:10">
      <c r="B79" s="12">
        <f t="shared" si="11"/>
        <v>66</v>
      </c>
      <c r="C79" s="7">
        <v>42552</v>
      </c>
      <c r="D79" s="45">
        <f t="shared" si="12"/>
        <v>3777452.9024897669</v>
      </c>
      <c r="E79" s="45">
        <f t="shared" si="8"/>
        <v>3147.8774187414729</v>
      </c>
      <c r="F79" s="45">
        <f t="shared" si="9"/>
        <v>3518.7925812585272</v>
      </c>
      <c r="G79" s="45">
        <f t="shared" si="10"/>
        <v>3773934.1099085086</v>
      </c>
      <c r="H79" s="45">
        <f t="shared" si="13"/>
        <v>213934.32990850683</v>
      </c>
      <c r="I79" s="45">
        <f t="shared" si="7"/>
        <v>42032.674221147434</v>
      </c>
      <c r="J79" s="55">
        <f t="shared" ref="J79:J142" si="14">+E79+F79</f>
        <v>6666.67</v>
      </c>
    </row>
    <row r="80" spans="2:10">
      <c r="B80" s="12">
        <f t="shared" si="11"/>
        <v>67</v>
      </c>
      <c r="C80" s="7">
        <v>42583</v>
      </c>
      <c r="D80" s="45">
        <f t="shared" si="12"/>
        <v>3773934.1099085086</v>
      </c>
      <c r="E80" s="45">
        <f t="shared" si="8"/>
        <v>3144.945091590424</v>
      </c>
      <c r="F80" s="45">
        <f t="shared" si="9"/>
        <v>3521.7249084095761</v>
      </c>
      <c r="G80" s="45">
        <f t="shared" si="10"/>
        <v>3770412.385000099</v>
      </c>
      <c r="H80" s="45">
        <f t="shared" si="13"/>
        <v>217079.27500009726</v>
      </c>
      <c r="I80" s="45">
        <f t="shared" si="7"/>
        <v>42067.701449665059</v>
      </c>
      <c r="J80" s="55">
        <f t="shared" si="14"/>
        <v>6666.67</v>
      </c>
    </row>
    <row r="81" spans="2:10">
      <c r="B81" s="12">
        <f t="shared" si="11"/>
        <v>68</v>
      </c>
      <c r="C81" s="7">
        <v>42614</v>
      </c>
      <c r="D81" s="45">
        <f t="shared" si="12"/>
        <v>3770412.385000099</v>
      </c>
      <c r="E81" s="45">
        <f t="shared" si="8"/>
        <v>3142.0103208334158</v>
      </c>
      <c r="F81" s="45">
        <f t="shared" si="9"/>
        <v>3524.6596791665843</v>
      </c>
      <c r="G81" s="45">
        <f t="shared" si="10"/>
        <v>3766887.7253209325</v>
      </c>
      <c r="H81" s="45">
        <f t="shared" si="13"/>
        <v>220221.28532093068</v>
      </c>
      <c r="I81" s="45">
        <f t="shared" si="7"/>
        <v>42102.757867539782</v>
      </c>
      <c r="J81" s="55">
        <f t="shared" si="14"/>
        <v>6666.67</v>
      </c>
    </row>
    <row r="82" spans="2:10">
      <c r="B82" s="12">
        <f t="shared" si="11"/>
        <v>69</v>
      </c>
      <c r="C82" s="7">
        <v>42644</v>
      </c>
      <c r="D82" s="45">
        <f t="shared" si="12"/>
        <v>3766887.7253209325</v>
      </c>
      <c r="E82" s="45">
        <f t="shared" si="8"/>
        <v>3139.0731044341105</v>
      </c>
      <c r="F82" s="45">
        <f t="shared" si="9"/>
        <v>3527.5968955658896</v>
      </c>
      <c r="G82" s="45">
        <f t="shared" si="10"/>
        <v>3763360.1284253667</v>
      </c>
      <c r="H82" s="45">
        <f t="shared" si="13"/>
        <v>223360.3584253648</v>
      </c>
      <c r="I82" s="45">
        <f t="shared" si="7"/>
        <v>42137.843499096074</v>
      </c>
      <c r="J82" s="55">
        <f t="shared" si="14"/>
        <v>6666.67</v>
      </c>
    </row>
    <row r="83" spans="2:10">
      <c r="B83" s="12">
        <f t="shared" si="11"/>
        <v>70</v>
      </c>
      <c r="C83" s="7">
        <v>42675</v>
      </c>
      <c r="D83" s="45">
        <f t="shared" si="12"/>
        <v>3763360.1284253667</v>
      </c>
      <c r="E83" s="45">
        <f t="shared" si="8"/>
        <v>3136.1334403544724</v>
      </c>
      <c r="F83" s="45">
        <f t="shared" si="9"/>
        <v>3530.5365596455276</v>
      </c>
      <c r="G83" s="45">
        <f t="shared" si="10"/>
        <v>3759829.5918657212</v>
      </c>
      <c r="H83" s="45">
        <f t="shared" si="13"/>
        <v>226496.49186571926</v>
      </c>
      <c r="I83" s="45">
        <f t="shared" si="7"/>
        <v>42172.95836867865</v>
      </c>
      <c r="J83" s="55">
        <f t="shared" si="14"/>
        <v>6666.67</v>
      </c>
    </row>
    <row r="84" spans="2:10">
      <c r="B84" s="12">
        <f t="shared" si="11"/>
        <v>71</v>
      </c>
      <c r="C84" s="7">
        <v>42705</v>
      </c>
      <c r="D84" s="45">
        <f t="shared" si="12"/>
        <v>3759829.5918657212</v>
      </c>
      <c r="E84" s="45">
        <f t="shared" si="8"/>
        <v>3133.1913265547678</v>
      </c>
      <c r="F84" s="45">
        <f t="shared" si="9"/>
        <v>3533.4786734452323</v>
      </c>
      <c r="G84" s="45">
        <f t="shared" si="10"/>
        <v>3756296.1131922761</v>
      </c>
      <c r="H84" s="45">
        <f t="shared" si="13"/>
        <v>229629.68319227404</v>
      </c>
      <c r="I84" s="45">
        <f t="shared" si="7"/>
        <v>42208.102500652552</v>
      </c>
      <c r="J84" s="55">
        <f t="shared" si="14"/>
        <v>6666.67</v>
      </c>
    </row>
    <row r="85" spans="2:10">
      <c r="B85" s="12">
        <f t="shared" si="11"/>
        <v>72</v>
      </c>
      <c r="C85" s="7">
        <v>42736</v>
      </c>
      <c r="D85" s="45">
        <f t="shared" si="12"/>
        <v>3756296.1131922761</v>
      </c>
      <c r="E85" s="45">
        <f t="shared" si="8"/>
        <v>3130.2467609935638</v>
      </c>
      <c r="F85" s="45">
        <f t="shared" si="9"/>
        <v>3536.4232390064362</v>
      </c>
      <c r="G85" s="45">
        <f t="shared" si="10"/>
        <v>3752759.6899532694</v>
      </c>
      <c r="H85" s="45">
        <f t="shared" si="13"/>
        <v>232759.92995326759</v>
      </c>
      <c r="I85" s="45">
        <f t="shared" si="7"/>
        <v>42243.275919403088</v>
      </c>
      <c r="J85" s="55">
        <f t="shared" si="14"/>
        <v>6666.67</v>
      </c>
    </row>
    <row r="86" spans="2:10">
      <c r="B86" s="12">
        <f t="shared" si="11"/>
        <v>73</v>
      </c>
      <c r="C86" s="7">
        <v>42767</v>
      </c>
      <c r="D86" s="45">
        <f t="shared" si="12"/>
        <v>3752759.6899532694</v>
      </c>
      <c r="E86" s="45">
        <f t="shared" si="8"/>
        <v>3127.2997416277249</v>
      </c>
      <c r="F86" s="45">
        <f t="shared" si="9"/>
        <v>3539.3702583722752</v>
      </c>
      <c r="G86" s="45">
        <f t="shared" si="10"/>
        <v>3749220.3196948972</v>
      </c>
      <c r="H86" s="45">
        <f t="shared" si="13"/>
        <v>235887.22969489533</v>
      </c>
      <c r="I86" s="45">
        <f t="shared" si="7"/>
        <v>42278.478649335928</v>
      </c>
      <c r="J86" s="55">
        <f t="shared" si="14"/>
        <v>6666.67</v>
      </c>
    </row>
    <row r="87" spans="2:10">
      <c r="B87" s="12">
        <f t="shared" si="11"/>
        <v>74</v>
      </c>
      <c r="C87" s="7">
        <v>42795</v>
      </c>
      <c r="D87" s="45">
        <f t="shared" si="12"/>
        <v>3749220.3196948972</v>
      </c>
      <c r="E87" s="45">
        <f t="shared" si="8"/>
        <v>3124.3502664124144</v>
      </c>
      <c r="F87" s="45">
        <f t="shared" si="9"/>
        <v>3542.3197335875857</v>
      </c>
      <c r="G87" s="45">
        <f t="shared" si="10"/>
        <v>3745677.9999613096</v>
      </c>
      <c r="H87" s="45">
        <f t="shared" si="13"/>
        <v>239011.57996130775</v>
      </c>
      <c r="I87" s="45">
        <f t="shared" si="7"/>
        <v>42313.710714877045</v>
      </c>
      <c r="J87" s="55">
        <f t="shared" si="14"/>
        <v>6666.67</v>
      </c>
    </row>
    <row r="88" spans="2:10">
      <c r="B88" s="12">
        <f t="shared" si="11"/>
        <v>75</v>
      </c>
      <c r="C88" s="7">
        <v>42826</v>
      </c>
      <c r="D88" s="45">
        <f t="shared" si="12"/>
        <v>3745677.9999613096</v>
      </c>
      <c r="E88" s="45">
        <f t="shared" si="8"/>
        <v>3121.3983333010915</v>
      </c>
      <c r="F88" s="45">
        <f t="shared" si="9"/>
        <v>3545.2716666989086</v>
      </c>
      <c r="G88" s="45">
        <f t="shared" si="10"/>
        <v>3742132.7282946105</v>
      </c>
      <c r="H88" s="45">
        <f t="shared" si="13"/>
        <v>242132.97829460885</v>
      </c>
      <c r="I88" s="45">
        <f t="shared" si="7"/>
        <v>42348.972140472768</v>
      </c>
      <c r="J88" s="55">
        <f t="shared" si="14"/>
        <v>6666.67</v>
      </c>
    </row>
    <row r="89" spans="2:10">
      <c r="B89" s="12">
        <f t="shared" si="11"/>
        <v>76</v>
      </c>
      <c r="C89" s="7">
        <v>42856</v>
      </c>
      <c r="D89" s="45">
        <f t="shared" si="12"/>
        <v>3742132.7282946105</v>
      </c>
      <c r="E89" s="45">
        <f t="shared" si="8"/>
        <v>3118.4439402455091</v>
      </c>
      <c r="F89" s="45">
        <f t="shared" si="9"/>
        <v>3548.226059754491</v>
      </c>
      <c r="G89" s="45">
        <f t="shared" si="10"/>
        <v>3738584.5022348561</v>
      </c>
      <c r="H89" s="45">
        <f t="shared" si="13"/>
        <v>245251.42223485437</v>
      </c>
      <c r="I89" s="45">
        <f t="shared" si="7"/>
        <v>42384.262950589829</v>
      </c>
      <c r="J89" s="55">
        <f t="shared" si="14"/>
        <v>6666.67</v>
      </c>
    </row>
    <row r="90" spans="2:10">
      <c r="B90" s="12">
        <f t="shared" si="11"/>
        <v>77</v>
      </c>
      <c r="C90" s="7">
        <v>42887</v>
      </c>
      <c r="D90" s="45">
        <f t="shared" si="12"/>
        <v>3738584.5022348561</v>
      </c>
      <c r="E90" s="45">
        <f t="shared" si="8"/>
        <v>3115.4870851957135</v>
      </c>
      <c r="F90" s="45">
        <f t="shared" si="9"/>
        <v>3551.1829148042866</v>
      </c>
      <c r="G90" s="45">
        <f t="shared" si="10"/>
        <v>3735033.3193200519</v>
      </c>
      <c r="H90" s="45">
        <f t="shared" si="13"/>
        <v>248366.90932005009</v>
      </c>
      <c r="I90" s="45">
        <f t="shared" ref="I90:I153" si="15">SUM(F79:F90)</f>
        <v>42419.583169715319</v>
      </c>
      <c r="J90" s="55">
        <f t="shared" si="14"/>
        <v>6666.67</v>
      </c>
    </row>
    <row r="91" spans="2:10">
      <c r="B91" s="12">
        <f t="shared" si="11"/>
        <v>78</v>
      </c>
      <c r="C91" s="7">
        <v>42917</v>
      </c>
      <c r="D91" s="45">
        <f t="shared" si="12"/>
        <v>3735033.3193200519</v>
      </c>
      <c r="E91" s="45">
        <f t="shared" si="8"/>
        <v>3112.5277661000437</v>
      </c>
      <c r="F91" s="45">
        <f t="shared" si="9"/>
        <v>3554.1422338999564</v>
      </c>
      <c r="G91" s="45">
        <f t="shared" si="10"/>
        <v>3731479.1770861521</v>
      </c>
      <c r="H91" s="45">
        <f t="shared" si="13"/>
        <v>251479.43708615014</v>
      </c>
      <c r="I91" s="45">
        <f t="shared" si="15"/>
        <v>42454.93282235675</v>
      </c>
      <c r="J91" s="55">
        <f t="shared" si="14"/>
        <v>6666.67</v>
      </c>
    </row>
    <row r="92" spans="2:10">
      <c r="B92" s="12">
        <f t="shared" si="11"/>
        <v>79</v>
      </c>
      <c r="C92" s="7">
        <v>42948</v>
      </c>
      <c r="D92" s="45">
        <f t="shared" si="12"/>
        <v>3731479.1770861521</v>
      </c>
      <c r="E92" s="45">
        <f t="shared" si="8"/>
        <v>3109.5659809051272</v>
      </c>
      <c r="F92" s="45">
        <f t="shared" si="9"/>
        <v>3557.1040190948729</v>
      </c>
      <c r="G92" s="45">
        <f t="shared" si="10"/>
        <v>3727922.0730670574</v>
      </c>
      <c r="H92" s="45">
        <f t="shared" si="13"/>
        <v>254589.00306705525</v>
      </c>
      <c r="I92" s="45">
        <f t="shared" si="15"/>
        <v>42490.311933042038</v>
      </c>
      <c r="J92" s="55">
        <f t="shared" si="14"/>
        <v>6666.67</v>
      </c>
    </row>
    <row r="93" spans="2:10">
      <c r="B93" s="12">
        <f t="shared" si="11"/>
        <v>80</v>
      </c>
      <c r="C93" s="7">
        <v>42979</v>
      </c>
      <c r="D93" s="45">
        <f t="shared" si="12"/>
        <v>3727922.0730670574</v>
      </c>
      <c r="E93" s="45">
        <f t="shared" si="8"/>
        <v>3106.6017275558816</v>
      </c>
      <c r="F93" s="45">
        <f t="shared" si="9"/>
        <v>3560.0682724441185</v>
      </c>
      <c r="G93" s="45">
        <f t="shared" si="10"/>
        <v>3724362.0047946135</v>
      </c>
      <c r="H93" s="45">
        <f t="shared" si="13"/>
        <v>257695.60479461114</v>
      </c>
      <c r="I93" s="45">
        <f t="shared" si="15"/>
        <v>42525.720526319579</v>
      </c>
      <c r="J93" s="55">
        <f t="shared" si="14"/>
        <v>6666.67</v>
      </c>
    </row>
    <row r="94" spans="2:10">
      <c r="B94" s="12">
        <f t="shared" si="11"/>
        <v>81</v>
      </c>
      <c r="C94" s="7">
        <v>43009</v>
      </c>
      <c r="D94" s="45">
        <f t="shared" si="12"/>
        <v>3724362.0047946135</v>
      </c>
      <c r="E94" s="45">
        <f t="shared" si="8"/>
        <v>3103.6350039955114</v>
      </c>
      <c r="F94" s="45">
        <f t="shared" si="9"/>
        <v>3563.0349960044887</v>
      </c>
      <c r="G94" s="45">
        <f t="shared" si="10"/>
        <v>3720798.9697986091</v>
      </c>
      <c r="H94" s="45">
        <f t="shared" si="13"/>
        <v>260799.23979860664</v>
      </c>
      <c r="I94" s="45">
        <f t="shared" si="15"/>
        <v>42561.158626758181</v>
      </c>
      <c r="J94" s="55">
        <f t="shared" si="14"/>
        <v>6666.67</v>
      </c>
    </row>
    <row r="95" spans="2:10">
      <c r="B95" s="12">
        <f t="shared" si="11"/>
        <v>82</v>
      </c>
      <c r="C95" s="7">
        <v>43040</v>
      </c>
      <c r="D95" s="45">
        <f t="shared" si="12"/>
        <v>3720798.9697986091</v>
      </c>
      <c r="E95" s="45">
        <f t="shared" si="8"/>
        <v>3100.6658081655078</v>
      </c>
      <c r="F95" s="45">
        <f t="shared" si="9"/>
        <v>3566.0041918344923</v>
      </c>
      <c r="G95" s="45">
        <f t="shared" si="10"/>
        <v>3717232.9656067747</v>
      </c>
      <c r="H95" s="45">
        <f t="shared" si="13"/>
        <v>263899.90560677217</v>
      </c>
      <c r="I95" s="45">
        <f t="shared" si="15"/>
        <v>42596.626258947144</v>
      </c>
      <c r="J95" s="55">
        <f t="shared" si="14"/>
        <v>6666.67</v>
      </c>
    </row>
    <row r="96" spans="2:10">
      <c r="B96" s="12">
        <f t="shared" si="11"/>
        <v>83</v>
      </c>
      <c r="C96" s="7">
        <v>43070</v>
      </c>
      <c r="D96" s="45">
        <f t="shared" si="12"/>
        <v>3717232.9656067747</v>
      </c>
      <c r="E96" s="45">
        <f t="shared" si="8"/>
        <v>3097.694138005646</v>
      </c>
      <c r="F96" s="45">
        <f t="shared" si="9"/>
        <v>3568.9758619943541</v>
      </c>
      <c r="G96" s="45">
        <f t="shared" si="10"/>
        <v>3713663.9897447801</v>
      </c>
      <c r="H96" s="45">
        <f t="shared" si="13"/>
        <v>266997.59974477784</v>
      </c>
      <c r="I96" s="45">
        <f t="shared" si="15"/>
        <v>42632.123447496269</v>
      </c>
      <c r="J96" s="55">
        <f t="shared" si="14"/>
        <v>6666.67</v>
      </c>
    </row>
    <row r="97" spans="2:10">
      <c r="B97" s="12">
        <f t="shared" si="11"/>
        <v>84</v>
      </c>
      <c r="C97" s="7">
        <v>43101</v>
      </c>
      <c r="D97" s="45">
        <f t="shared" si="12"/>
        <v>3713663.9897447801</v>
      </c>
      <c r="E97" s="45">
        <f t="shared" si="8"/>
        <v>3094.7199914539838</v>
      </c>
      <c r="F97" s="45">
        <f t="shared" si="9"/>
        <v>3571.9500085460163</v>
      </c>
      <c r="G97" s="45">
        <f t="shared" si="10"/>
        <v>3710092.0397362341</v>
      </c>
      <c r="H97" s="45">
        <f t="shared" si="13"/>
        <v>270092.31973623182</v>
      </c>
      <c r="I97" s="45">
        <f t="shared" si="15"/>
        <v>42667.650217035844</v>
      </c>
      <c r="J97" s="55">
        <f t="shared" si="14"/>
        <v>6666.67</v>
      </c>
    </row>
    <row r="98" spans="2:10">
      <c r="B98" s="12">
        <f t="shared" si="11"/>
        <v>85</v>
      </c>
      <c r="C98" s="7">
        <v>43132</v>
      </c>
      <c r="D98" s="45">
        <f t="shared" si="12"/>
        <v>3710092.0397362341</v>
      </c>
      <c r="E98" s="45">
        <f t="shared" si="8"/>
        <v>3091.7433664468622</v>
      </c>
      <c r="F98" s="45">
        <f t="shared" si="9"/>
        <v>3574.9266335531379</v>
      </c>
      <c r="G98" s="45">
        <f t="shared" si="10"/>
        <v>3706517.113102681</v>
      </c>
      <c r="H98" s="45">
        <f t="shared" si="13"/>
        <v>273184.06310267869</v>
      </c>
      <c r="I98" s="45">
        <f t="shared" si="15"/>
        <v>42703.206592216702</v>
      </c>
      <c r="J98" s="55">
        <f t="shared" si="14"/>
        <v>6666.67</v>
      </c>
    </row>
    <row r="99" spans="2:10">
      <c r="B99" s="12">
        <f t="shared" si="11"/>
        <v>86</v>
      </c>
      <c r="C99" s="7">
        <v>43160</v>
      </c>
      <c r="D99" s="45">
        <f t="shared" si="12"/>
        <v>3706517.113102681</v>
      </c>
      <c r="E99" s="45">
        <f t="shared" si="8"/>
        <v>3088.7642609189011</v>
      </c>
      <c r="F99" s="45">
        <f t="shared" si="9"/>
        <v>3577.905739081099</v>
      </c>
      <c r="G99" s="45">
        <f t="shared" si="10"/>
        <v>3702939.2073635999</v>
      </c>
      <c r="H99" s="45">
        <f t="shared" si="13"/>
        <v>276272.82736359758</v>
      </c>
      <c r="I99" s="45">
        <f t="shared" si="15"/>
        <v>42738.79259771022</v>
      </c>
      <c r="J99" s="55">
        <f t="shared" si="14"/>
        <v>6666.67</v>
      </c>
    </row>
    <row r="100" spans="2:10">
      <c r="B100" s="12">
        <f t="shared" si="11"/>
        <v>87</v>
      </c>
      <c r="C100" s="7">
        <v>43191</v>
      </c>
      <c r="D100" s="45">
        <f t="shared" si="12"/>
        <v>3702939.2073635999</v>
      </c>
      <c r="E100" s="45">
        <f t="shared" si="8"/>
        <v>3085.782672803</v>
      </c>
      <c r="F100" s="45">
        <f t="shared" si="9"/>
        <v>3580.8873271970001</v>
      </c>
      <c r="G100" s="45">
        <f t="shared" si="10"/>
        <v>3699358.3200364029</v>
      </c>
      <c r="H100" s="45">
        <f t="shared" si="13"/>
        <v>279358.61003640055</v>
      </c>
      <c r="I100" s="45">
        <f t="shared" si="15"/>
        <v>42774.408258208314</v>
      </c>
      <c r="J100" s="55">
        <f t="shared" si="14"/>
        <v>6666.67</v>
      </c>
    </row>
    <row r="101" spans="2:10">
      <c r="B101" s="12">
        <f t="shared" ref="B101:B116" si="16">payment.Num</f>
        <v>88</v>
      </c>
      <c r="C101" s="7">
        <v>43221</v>
      </c>
      <c r="D101" s="45">
        <f t="shared" ref="D101:D116" si="17">Beg.Bal</f>
        <v>3699358.3200364029</v>
      </c>
      <c r="E101" s="45">
        <f t="shared" ref="E101:E116" si="18">Interest</f>
        <v>3082.7986000303358</v>
      </c>
      <c r="F101" s="45">
        <f t="shared" ref="F101:F116" si="19">Principal</f>
        <v>3583.8713999696643</v>
      </c>
      <c r="G101" s="45">
        <f t="shared" ref="G101:G116" si="20">Ending.Balance</f>
        <v>3695774.4486364331</v>
      </c>
      <c r="H101" s="45">
        <f t="shared" ref="H101:H116" si="21">Cum.Interest</f>
        <v>282441.40863643092</v>
      </c>
      <c r="I101" s="45">
        <f t="shared" si="15"/>
        <v>42810.053598423481</v>
      </c>
      <c r="J101" s="55">
        <f t="shared" si="14"/>
        <v>6666.67</v>
      </c>
    </row>
    <row r="102" spans="2:10">
      <c r="B102" s="12">
        <f t="shared" si="16"/>
        <v>89</v>
      </c>
      <c r="C102" s="7">
        <v>43252</v>
      </c>
      <c r="D102" s="45">
        <f t="shared" si="17"/>
        <v>3695774.4486364331</v>
      </c>
      <c r="E102" s="45">
        <f t="shared" si="18"/>
        <v>3079.8120405303612</v>
      </c>
      <c r="F102" s="45">
        <f t="shared" si="19"/>
        <v>3586.8579594696389</v>
      </c>
      <c r="G102" s="45">
        <f t="shared" si="20"/>
        <v>3692187.5906769633</v>
      </c>
      <c r="H102" s="45">
        <f t="shared" si="21"/>
        <v>285521.2206769613</v>
      </c>
      <c r="I102" s="45">
        <f t="shared" si="15"/>
        <v>42845.728643088842</v>
      </c>
      <c r="J102" s="55">
        <f t="shared" si="14"/>
        <v>6666.67</v>
      </c>
    </row>
    <row r="103" spans="2:10">
      <c r="B103" s="12">
        <f t="shared" si="16"/>
        <v>90</v>
      </c>
      <c r="C103" s="7">
        <v>43282</v>
      </c>
      <c r="D103" s="45">
        <f t="shared" si="17"/>
        <v>3692187.5906769633</v>
      </c>
      <c r="E103" s="45">
        <f t="shared" si="18"/>
        <v>3076.8229922308028</v>
      </c>
      <c r="F103" s="45">
        <f t="shared" si="19"/>
        <v>3589.8470077691973</v>
      </c>
      <c r="G103" s="45">
        <f t="shared" si="20"/>
        <v>3688597.7436691942</v>
      </c>
      <c r="H103" s="45">
        <f t="shared" si="21"/>
        <v>288598.04366919212</v>
      </c>
      <c r="I103" s="45">
        <f t="shared" si="15"/>
        <v>42881.433416958083</v>
      </c>
      <c r="J103" s="55">
        <f t="shared" si="14"/>
        <v>6666.67</v>
      </c>
    </row>
    <row r="104" spans="2:10">
      <c r="B104" s="12">
        <f t="shared" si="16"/>
        <v>91</v>
      </c>
      <c r="C104" s="7">
        <v>43313</v>
      </c>
      <c r="D104" s="45">
        <f t="shared" si="17"/>
        <v>3688597.7436691942</v>
      </c>
      <c r="E104" s="45">
        <f t="shared" si="18"/>
        <v>3073.8314530576622</v>
      </c>
      <c r="F104" s="45">
        <f t="shared" si="19"/>
        <v>3592.8385469423379</v>
      </c>
      <c r="G104" s="45">
        <f t="shared" si="20"/>
        <v>3685004.9051222517</v>
      </c>
      <c r="H104" s="45">
        <f t="shared" si="21"/>
        <v>291671.87512224977</v>
      </c>
      <c r="I104" s="45">
        <f t="shared" si="15"/>
        <v>42917.167944805544</v>
      </c>
      <c r="J104" s="55">
        <f t="shared" si="14"/>
        <v>6666.67</v>
      </c>
    </row>
    <row r="105" spans="2:10">
      <c r="B105" s="12">
        <f t="shared" si="16"/>
        <v>92</v>
      </c>
      <c r="C105" s="7">
        <v>43344</v>
      </c>
      <c r="D105" s="45">
        <f t="shared" si="17"/>
        <v>3685004.9051222517</v>
      </c>
      <c r="E105" s="45">
        <f t="shared" si="18"/>
        <v>3070.83742093521</v>
      </c>
      <c r="F105" s="45">
        <f t="shared" si="19"/>
        <v>3595.83257906479</v>
      </c>
      <c r="G105" s="45">
        <f t="shared" si="20"/>
        <v>3681409.0725431871</v>
      </c>
      <c r="H105" s="45">
        <f t="shared" si="21"/>
        <v>294742.71254318499</v>
      </c>
      <c r="I105" s="45">
        <f t="shared" si="15"/>
        <v>42952.932251426217</v>
      </c>
      <c r="J105" s="55">
        <f t="shared" si="14"/>
        <v>6666.67</v>
      </c>
    </row>
    <row r="106" spans="2:10">
      <c r="B106" s="12">
        <f t="shared" si="16"/>
        <v>93</v>
      </c>
      <c r="C106" s="7">
        <v>43374</v>
      </c>
      <c r="D106" s="45">
        <f t="shared" si="17"/>
        <v>3681409.0725431871</v>
      </c>
      <c r="E106" s="45">
        <f t="shared" si="18"/>
        <v>3067.8408937859895</v>
      </c>
      <c r="F106" s="45">
        <f t="shared" si="19"/>
        <v>3598.8291062140106</v>
      </c>
      <c r="G106" s="45">
        <f t="shared" si="20"/>
        <v>3677810.2434369731</v>
      </c>
      <c r="H106" s="45">
        <f t="shared" si="21"/>
        <v>297810.55343697098</v>
      </c>
      <c r="I106" s="45">
        <f t="shared" si="15"/>
        <v>42988.726361635738</v>
      </c>
      <c r="J106" s="55">
        <f t="shared" si="14"/>
        <v>6666.67</v>
      </c>
    </row>
    <row r="107" spans="2:10">
      <c r="B107" s="12">
        <f t="shared" si="16"/>
        <v>94</v>
      </c>
      <c r="C107" s="7">
        <v>43405</v>
      </c>
      <c r="D107" s="45">
        <f t="shared" si="17"/>
        <v>3677810.2434369731</v>
      </c>
      <c r="E107" s="45">
        <f t="shared" si="18"/>
        <v>3064.841869530811</v>
      </c>
      <c r="F107" s="45">
        <f t="shared" si="19"/>
        <v>3601.8281304691891</v>
      </c>
      <c r="G107" s="45">
        <f t="shared" si="20"/>
        <v>3674208.4153065039</v>
      </c>
      <c r="H107" s="45">
        <f t="shared" si="21"/>
        <v>300875.39530650177</v>
      </c>
      <c r="I107" s="45">
        <f t="shared" si="15"/>
        <v>43024.550300270435</v>
      </c>
      <c r="J107" s="55">
        <f t="shared" si="14"/>
        <v>6666.67</v>
      </c>
    </row>
    <row r="108" spans="2:10">
      <c r="B108" s="12">
        <f t="shared" si="16"/>
        <v>95</v>
      </c>
      <c r="C108" s="7">
        <v>43435</v>
      </c>
      <c r="D108" s="45">
        <f t="shared" si="17"/>
        <v>3674208.4153065039</v>
      </c>
      <c r="E108" s="45">
        <f t="shared" si="18"/>
        <v>3061.8403460887534</v>
      </c>
      <c r="F108" s="45">
        <f t="shared" si="19"/>
        <v>3604.8296539112466</v>
      </c>
      <c r="G108" s="45">
        <f t="shared" si="20"/>
        <v>3670603.5856525926</v>
      </c>
      <c r="H108" s="45">
        <f t="shared" si="21"/>
        <v>303937.23565259052</v>
      </c>
      <c r="I108" s="45">
        <f t="shared" si="15"/>
        <v>43060.404092187331</v>
      </c>
      <c r="J108" s="55">
        <f t="shared" si="14"/>
        <v>6666.67</v>
      </c>
    </row>
    <row r="109" spans="2:10">
      <c r="B109" s="12">
        <f t="shared" si="16"/>
        <v>96</v>
      </c>
      <c r="C109" s="7">
        <v>43466</v>
      </c>
      <c r="D109" s="45">
        <f t="shared" si="17"/>
        <v>3670603.5856525926</v>
      </c>
      <c r="E109" s="45">
        <f t="shared" si="18"/>
        <v>3058.8363213771609</v>
      </c>
      <c r="F109" s="45">
        <f t="shared" si="19"/>
        <v>3607.8336786228392</v>
      </c>
      <c r="G109" s="45">
        <f t="shared" si="20"/>
        <v>3666995.7519739699</v>
      </c>
      <c r="H109" s="45">
        <f t="shared" si="21"/>
        <v>306996.07197396766</v>
      </c>
      <c r="I109" s="45">
        <f t="shared" si="15"/>
        <v>43096.287762264154</v>
      </c>
      <c r="J109" s="55">
        <f t="shared" si="14"/>
        <v>6666.67</v>
      </c>
    </row>
    <row r="110" spans="2:10">
      <c r="B110" s="12">
        <f t="shared" si="16"/>
        <v>97</v>
      </c>
      <c r="C110" s="7">
        <v>43497</v>
      </c>
      <c r="D110" s="45">
        <f t="shared" si="17"/>
        <v>3666995.7519739699</v>
      </c>
      <c r="E110" s="45">
        <f t="shared" si="18"/>
        <v>3055.8297933116419</v>
      </c>
      <c r="F110" s="45">
        <f t="shared" si="19"/>
        <v>3610.8402066883582</v>
      </c>
      <c r="G110" s="45">
        <f t="shared" si="20"/>
        <v>3663384.9117672816</v>
      </c>
      <c r="H110" s="45">
        <f t="shared" si="21"/>
        <v>310051.90176727931</v>
      </c>
      <c r="I110" s="45">
        <f t="shared" si="15"/>
        <v>43132.201335399368</v>
      </c>
      <c r="J110" s="55">
        <f t="shared" si="14"/>
        <v>6666.67</v>
      </c>
    </row>
    <row r="111" spans="2:10">
      <c r="B111" s="12">
        <f t="shared" si="16"/>
        <v>98</v>
      </c>
      <c r="C111" s="7">
        <v>43525</v>
      </c>
      <c r="D111" s="45">
        <f t="shared" si="17"/>
        <v>3663384.9117672816</v>
      </c>
      <c r="E111" s="45">
        <f t="shared" si="18"/>
        <v>3052.8207598060681</v>
      </c>
      <c r="F111" s="45">
        <f t="shared" si="19"/>
        <v>3613.849240193932</v>
      </c>
      <c r="G111" s="45">
        <f t="shared" si="20"/>
        <v>3659771.0625270875</v>
      </c>
      <c r="H111" s="45">
        <f t="shared" si="21"/>
        <v>313104.7225270854</v>
      </c>
      <c r="I111" s="45">
        <f t="shared" si="15"/>
        <v>43168.144836512198</v>
      </c>
      <c r="J111" s="55">
        <f t="shared" si="14"/>
        <v>6666.67</v>
      </c>
    </row>
    <row r="112" spans="2:10">
      <c r="B112" s="12">
        <f t="shared" si="16"/>
        <v>99</v>
      </c>
      <c r="C112" s="7">
        <v>43556</v>
      </c>
      <c r="D112" s="45">
        <f t="shared" si="17"/>
        <v>3659771.0625270875</v>
      </c>
      <c r="E112" s="45">
        <f t="shared" si="18"/>
        <v>3049.8092187725733</v>
      </c>
      <c r="F112" s="45">
        <f t="shared" si="19"/>
        <v>3616.8607812274267</v>
      </c>
      <c r="G112" s="45">
        <f t="shared" si="20"/>
        <v>3656154.2017458603</v>
      </c>
      <c r="H112" s="45">
        <f t="shared" si="21"/>
        <v>316154.53174585797</v>
      </c>
      <c r="I112" s="45">
        <f t="shared" si="15"/>
        <v>43204.118290542625</v>
      </c>
      <c r="J112" s="55">
        <f t="shared" si="14"/>
        <v>6666.67</v>
      </c>
    </row>
    <row r="113" spans="2:10">
      <c r="B113" s="12">
        <f t="shared" si="16"/>
        <v>100</v>
      </c>
      <c r="C113" s="7">
        <v>43586</v>
      </c>
      <c r="D113" s="45">
        <f t="shared" si="17"/>
        <v>3656154.2017458603</v>
      </c>
      <c r="E113" s="45">
        <f t="shared" si="18"/>
        <v>3046.7951681215504</v>
      </c>
      <c r="F113" s="45">
        <f t="shared" si="19"/>
        <v>3619.8748318784496</v>
      </c>
      <c r="G113" s="45">
        <f t="shared" si="20"/>
        <v>3652534.3269139817</v>
      </c>
      <c r="H113" s="45">
        <f t="shared" si="21"/>
        <v>319201.32691397954</v>
      </c>
      <c r="I113" s="45">
        <f t="shared" si="15"/>
        <v>43240.121722451411</v>
      </c>
      <c r="J113" s="55">
        <f t="shared" si="14"/>
        <v>6666.67</v>
      </c>
    </row>
    <row r="114" spans="2:10">
      <c r="B114" s="12">
        <f t="shared" si="16"/>
        <v>101</v>
      </c>
      <c r="C114" s="7">
        <v>43617</v>
      </c>
      <c r="D114" s="45">
        <f t="shared" si="17"/>
        <v>3652534.3269139817</v>
      </c>
      <c r="E114" s="45">
        <f t="shared" si="18"/>
        <v>3043.7786057616518</v>
      </c>
      <c r="F114" s="45">
        <f t="shared" si="19"/>
        <v>3622.8913942383483</v>
      </c>
      <c r="G114" s="45">
        <f t="shared" si="20"/>
        <v>3648911.4355197432</v>
      </c>
      <c r="H114" s="45">
        <f t="shared" si="21"/>
        <v>322245.10551974119</v>
      </c>
      <c r="I114" s="45">
        <f t="shared" si="15"/>
        <v>43276.155157220128</v>
      </c>
      <c r="J114" s="55">
        <f t="shared" si="14"/>
        <v>6666.67</v>
      </c>
    </row>
    <row r="115" spans="2:10">
      <c r="B115" s="12">
        <f t="shared" si="16"/>
        <v>102</v>
      </c>
      <c r="C115" s="7">
        <v>43647</v>
      </c>
      <c r="D115" s="45">
        <f t="shared" si="17"/>
        <v>3648911.4355197432</v>
      </c>
      <c r="E115" s="45">
        <f t="shared" si="18"/>
        <v>3040.7595295997862</v>
      </c>
      <c r="F115" s="45">
        <f t="shared" si="19"/>
        <v>3625.9104704002139</v>
      </c>
      <c r="G115" s="45">
        <f t="shared" si="20"/>
        <v>3645285.5250493432</v>
      </c>
      <c r="H115" s="45">
        <f t="shared" si="21"/>
        <v>325285.865049341</v>
      </c>
      <c r="I115" s="45">
        <f t="shared" si="15"/>
        <v>43312.218619851148</v>
      </c>
      <c r="J115" s="55">
        <f t="shared" si="14"/>
        <v>6666.67</v>
      </c>
    </row>
    <row r="116" spans="2:10">
      <c r="B116" s="12">
        <f t="shared" si="16"/>
        <v>103</v>
      </c>
      <c r="C116" s="7">
        <v>43678</v>
      </c>
      <c r="D116" s="45">
        <f t="shared" si="17"/>
        <v>3645285.5250493432</v>
      </c>
      <c r="E116" s="45">
        <f t="shared" si="18"/>
        <v>3037.7379375411197</v>
      </c>
      <c r="F116" s="45">
        <f t="shared" si="19"/>
        <v>3628.9320624588804</v>
      </c>
      <c r="G116" s="45">
        <f t="shared" si="20"/>
        <v>3641656.5929868845</v>
      </c>
      <c r="H116" s="45">
        <f t="shared" si="21"/>
        <v>328323.60298688209</v>
      </c>
      <c r="I116" s="45">
        <f t="shared" si="15"/>
        <v>43348.312135367691</v>
      </c>
      <c r="J116" s="55">
        <f t="shared" si="14"/>
        <v>6666.67</v>
      </c>
    </row>
    <row r="117" spans="2:10">
      <c r="B117" s="12">
        <f t="shared" ref="B117:B133" si="22">payment.Num</f>
        <v>104</v>
      </c>
      <c r="C117" s="7">
        <v>43709</v>
      </c>
      <c r="D117" s="45">
        <f t="shared" ref="D117:D133" si="23">Beg.Bal</f>
        <v>3641656.5929868845</v>
      </c>
      <c r="E117" s="45">
        <f t="shared" ref="E117:E133" si="24">Interest</f>
        <v>3034.7138274890708</v>
      </c>
      <c r="F117" s="45">
        <f t="shared" ref="F117:F133" si="25">Principal</f>
        <v>3631.9561725109293</v>
      </c>
      <c r="G117" s="45">
        <f t="shared" ref="G117:G133" si="26">Ending.Balance</f>
        <v>3638024.6368143735</v>
      </c>
      <c r="H117" s="45">
        <f t="shared" ref="H117:H133" si="27">Cum.Interest</f>
        <v>331358.31681437115</v>
      </c>
      <c r="I117" s="45">
        <f t="shared" si="15"/>
        <v>43384.435728813827</v>
      </c>
      <c r="J117" s="55">
        <f t="shared" si="14"/>
        <v>6666.67</v>
      </c>
    </row>
    <row r="118" spans="2:10">
      <c r="B118" s="12">
        <f t="shared" si="22"/>
        <v>105</v>
      </c>
      <c r="C118" s="7">
        <v>43739</v>
      </c>
      <c r="D118" s="45">
        <f t="shared" si="23"/>
        <v>3638024.6368143735</v>
      </c>
      <c r="E118" s="45">
        <f t="shared" si="24"/>
        <v>3031.6871973453117</v>
      </c>
      <c r="F118" s="45">
        <f t="shared" si="25"/>
        <v>3634.9828026546884</v>
      </c>
      <c r="G118" s="45">
        <f t="shared" si="26"/>
        <v>3634389.6540117189</v>
      </c>
      <c r="H118" s="45">
        <f t="shared" si="27"/>
        <v>334390.00401171646</v>
      </c>
      <c r="I118" s="45">
        <f t="shared" si="15"/>
        <v>43420.589425254504</v>
      </c>
      <c r="J118" s="55">
        <f t="shared" si="14"/>
        <v>6666.67</v>
      </c>
    </row>
    <row r="119" spans="2:10">
      <c r="B119" s="12">
        <f t="shared" si="22"/>
        <v>106</v>
      </c>
      <c r="C119" s="7">
        <v>43770</v>
      </c>
      <c r="D119" s="45">
        <f t="shared" si="23"/>
        <v>3634389.6540117189</v>
      </c>
      <c r="E119" s="45">
        <f t="shared" si="24"/>
        <v>3028.6580450097658</v>
      </c>
      <c r="F119" s="45">
        <f t="shared" si="25"/>
        <v>3638.0119549902342</v>
      </c>
      <c r="G119" s="45">
        <f t="shared" si="26"/>
        <v>3630751.6420567287</v>
      </c>
      <c r="H119" s="45">
        <f t="shared" si="27"/>
        <v>337418.66205672623</v>
      </c>
      <c r="I119" s="45">
        <f t="shared" si="15"/>
        <v>43456.77324977555</v>
      </c>
      <c r="J119" s="55">
        <f t="shared" si="14"/>
        <v>6666.67</v>
      </c>
    </row>
    <row r="120" spans="2:10">
      <c r="B120" s="12">
        <f t="shared" si="22"/>
        <v>107</v>
      </c>
      <c r="C120" s="7">
        <v>43800</v>
      </c>
      <c r="D120" s="45">
        <f t="shared" si="23"/>
        <v>3630751.6420567287</v>
      </c>
      <c r="E120" s="45">
        <f t="shared" si="24"/>
        <v>3025.6263683806073</v>
      </c>
      <c r="F120" s="45">
        <f t="shared" si="25"/>
        <v>3641.0436316193927</v>
      </c>
      <c r="G120" s="45">
        <f t="shared" si="26"/>
        <v>3627110.5984251094</v>
      </c>
      <c r="H120" s="45">
        <f t="shared" si="27"/>
        <v>340444.28842510685</v>
      </c>
      <c r="I120" s="45">
        <f t="shared" si="15"/>
        <v>43492.987227483696</v>
      </c>
      <c r="J120" s="55">
        <f t="shared" si="14"/>
        <v>6666.67</v>
      </c>
    </row>
    <row r="121" spans="2:10">
      <c r="B121" s="12">
        <f t="shared" si="22"/>
        <v>108</v>
      </c>
      <c r="C121" s="7">
        <v>43831</v>
      </c>
      <c r="D121" s="45">
        <f t="shared" si="23"/>
        <v>3627110.5984251094</v>
      </c>
      <c r="E121" s="45">
        <f t="shared" si="24"/>
        <v>3022.5921653542582</v>
      </c>
      <c r="F121" s="45">
        <f t="shared" si="25"/>
        <v>3644.0778346457419</v>
      </c>
      <c r="G121" s="45">
        <f t="shared" si="26"/>
        <v>3623466.5205904637</v>
      </c>
      <c r="H121" s="45">
        <f t="shared" si="27"/>
        <v>343466.88059046108</v>
      </c>
      <c r="I121" s="45">
        <f t="shared" si="15"/>
        <v>43529.231383506602</v>
      </c>
      <c r="J121" s="55">
        <f t="shared" si="14"/>
        <v>6666.67</v>
      </c>
    </row>
    <row r="122" spans="2:10">
      <c r="B122" s="12">
        <f t="shared" si="22"/>
        <v>109</v>
      </c>
      <c r="C122" s="7">
        <v>43862</v>
      </c>
      <c r="D122" s="45">
        <f t="shared" si="23"/>
        <v>3623466.5205904637</v>
      </c>
      <c r="E122" s="45">
        <f t="shared" si="24"/>
        <v>3019.5554338253864</v>
      </c>
      <c r="F122" s="45">
        <f t="shared" si="25"/>
        <v>3647.1145661746136</v>
      </c>
      <c r="G122" s="45">
        <f t="shared" si="26"/>
        <v>3619819.4060242889</v>
      </c>
      <c r="H122" s="45">
        <f t="shared" si="27"/>
        <v>346486.43602428649</v>
      </c>
      <c r="I122" s="45">
        <f t="shared" si="15"/>
        <v>43565.505742992857</v>
      </c>
      <c r="J122" s="55">
        <f t="shared" si="14"/>
        <v>6666.67</v>
      </c>
    </row>
    <row r="123" spans="2:10">
      <c r="B123" s="12">
        <f t="shared" si="22"/>
        <v>110</v>
      </c>
      <c r="C123" s="7">
        <v>43891</v>
      </c>
      <c r="D123" s="45">
        <f t="shared" si="23"/>
        <v>3619819.4060242889</v>
      </c>
      <c r="E123" s="45">
        <f t="shared" si="24"/>
        <v>3016.5161716869075</v>
      </c>
      <c r="F123" s="45">
        <f t="shared" si="25"/>
        <v>3650.1538283130926</v>
      </c>
      <c r="G123" s="45">
        <f t="shared" si="26"/>
        <v>3616169.2521959757</v>
      </c>
      <c r="H123" s="45">
        <f t="shared" si="27"/>
        <v>349502.95219597343</v>
      </c>
      <c r="I123" s="45">
        <f t="shared" si="15"/>
        <v>43601.810331112014</v>
      </c>
      <c r="J123" s="55">
        <f t="shared" si="14"/>
        <v>6666.67</v>
      </c>
    </row>
    <row r="124" spans="2:10">
      <c r="B124" s="12">
        <f t="shared" si="22"/>
        <v>111</v>
      </c>
      <c r="C124" s="7">
        <v>43922</v>
      </c>
      <c r="D124" s="45">
        <f t="shared" si="23"/>
        <v>3616169.2521959757</v>
      </c>
      <c r="E124" s="45">
        <f t="shared" si="24"/>
        <v>3013.47437682998</v>
      </c>
      <c r="F124" s="45">
        <f t="shared" si="25"/>
        <v>3653.1956231700201</v>
      </c>
      <c r="G124" s="45">
        <f t="shared" si="26"/>
        <v>3612516.0565728056</v>
      </c>
      <c r="H124" s="45">
        <f t="shared" si="27"/>
        <v>352516.42657280341</v>
      </c>
      <c r="I124" s="45">
        <f t="shared" si="15"/>
        <v>43638.145173054603</v>
      </c>
      <c r="J124" s="55">
        <f t="shared" si="14"/>
        <v>6666.67</v>
      </c>
    </row>
    <row r="125" spans="2:10">
      <c r="B125" s="12">
        <f t="shared" si="22"/>
        <v>112</v>
      </c>
      <c r="C125" s="7">
        <v>43952</v>
      </c>
      <c r="D125" s="45">
        <f t="shared" si="23"/>
        <v>3612516.0565728056</v>
      </c>
      <c r="E125" s="45">
        <f t="shared" si="24"/>
        <v>3010.4300471440047</v>
      </c>
      <c r="F125" s="45">
        <f t="shared" si="25"/>
        <v>3656.2399528559954</v>
      </c>
      <c r="G125" s="45">
        <f t="shared" si="26"/>
        <v>3608859.8166199494</v>
      </c>
      <c r="H125" s="45">
        <f t="shared" si="27"/>
        <v>355526.85661994742</v>
      </c>
      <c r="I125" s="45">
        <f t="shared" si="15"/>
        <v>43674.510294032145</v>
      </c>
      <c r="J125" s="55">
        <f t="shared" si="14"/>
        <v>6666.67</v>
      </c>
    </row>
    <row r="126" spans="2:10">
      <c r="B126" s="12">
        <f t="shared" si="22"/>
        <v>113</v>
      </c>
      <c r="C126" s="7">
        <v>43983</v>
      </c>
      <c r="D126" s="45">
        <f t="shared" si="23"/>
        <v>3608859.8166199494</v>
      </c>
      <c r="E126" s="45">
        <f t="shared" si="24"/>
        <v>3007.3831805166246</v>
      </c>
      <c r="F126" s="45">
        <f t="shared" si="25"/>
        <v>3659.2868194833754</v>
      </c>
      <c r="G126" s="45">
        <f t="shared" si="26"/>
        <v>3605200.5298004663</v>
      </c>
      <c r="H126" s="45">
        <f t="shared" si="27"/>
        <v>358534.23980046401</v>
      </c>
      <c r="I126" s="45">
        <f t="shared" si="15"/>
        <v>43710.905719277172</v>
      </c>
      <c r="J126" s="55">
        <f t="shared" si="14"/>
        <v>6666.67</v>
      </c>
    </row>
    <row r="127" spans="2:10">
      <c r="B127" s="12">
        <f t="shared" si="22"/>
        <v>114</v>
      </c>
      <c r="C127" s="7">
        <v>44013</v>
      </c>
      <c r="D127" s="45">
        <f t="shared" si="23"/>
        <v>3605200.5298004663</v>
      </c>
      <c r="E127" s="45">
        <f t="shared" si="24"/>
        <v>3004.3337748337221</v>
      </c>
      <c r="F127" s="45">
        <f t="shared" si="25"/>
        <v>3662.3362251662779</v>
      </c>
      <c r="G127" s="45">
        <f t="shared" si="26"/>
        <v>3601538.1935752998</v>
      </c>
      <c r="H127" s="45">
        <f t="shared" si="27"/>
        <v>361538.57357529772</v>
      </c>
      <c r="I127" s="45">
        <f t="shared" si="15"/>
        <v>43747.33147404324</v>
      </c>
      <c r="J127" s="55">
        <f t="shared" si="14"/>
        <v>6666.67</v>
      </c>
    </row>
    <row r="128" spans="2:10">
      <c r="B128" s="12">
        <f t="shared" si="22"/>
        <v>115</v>
      </c>
      <c r="C128" s="7">
        <v>44044</v>
      </c>
      <c r="D128" s="45">
        <f t="shared" si="23"/>
        <v>3601538.1935752998</v>
      </c>
      <c r="E128" s="45">
        <f t="shared" si="24"/>
        <v>3001.2818279794169</v>
      </c>
      <c r="F128" s="45">
        <f t="shared" si="25"/>
        <v>3665.3881720205832</v>
      </c>
      <c r="G128" s="45">
        <f t="shared" si="26"/>
        <v>3597872.8054032791</v>
      </c>
      <c r="H128" s="45">
        <f t="shared" si="27"/>
        <v>364539.85540327715</v>
      </c>
      <c r="I128" s="45">
        <f t="shared" si="15"/>
        <v>43783.78758360495</v>
      </c>
      <c r="J128" s="55">
        <f t="shared" si="14"/>
        <v>6666.67</v>
      </c>
    </row>
    <row r="129" spans="2:10">
      <c r="B129" s="12">
        <f t="shared" si="22"/>
        <v>116</v>
      </c>
      <c r="C129" s="7">
        <v>44075</v>
      </c>
      <c r="D129" s="45">
        <f t="shared" si="23"/>
        <v>3597872.8054032791</v>
      </c>
      <c r="E129" s="45">
        <f t="shared" si="24"/>
        <v>2998.227337836066</v>
      </c>
      <c r="F129" s="45">
        <f t="shared" si="25"/>
        <v>3668.4426621639341</v>
      </c>
      <c r="G129" s="45">
        <f t="shared" si="26"/>
        <v>3594204.362741115</v>
      </c>
      <c r="H129" s="45">
        <f t="shared" si="27"/>
        <v>367538.0827411132</v>
      </c>
      <c r="I129" s="45">
        <f t="shared" si="15"/>
        <v>43820.274073257948</v>
      </c>
      <c r="J129" s="55">
        <f t="shared" si="14"/>
        <v>6666.67</v>
      </c>
    </row>
    <row r="130" spans="2:10">
      <c r="B130" s="12">
        <f t="shared" si="22"/>
        <v>117</v>
      </c>
      <c r="C130" s="7">
        <v>44105</v>
      </c>
      <c r="D130" s="45">
        <f t="shared" si="23"/>
        <v>3594204.362741115</v>
      </c>
      <c r="E130" s="45">
        <f t="shared" si="24"/>
        <v>2995.1703022842626</v>
      </c>
      <c r="F130" s="45">
        <f t="shared" si="25"/>
        <v>3671.4996977157375</v>
      </c>
      <c r="G130" s="45">
        <f t="shared" si="26"/>
        <v>3590532.8630433995</v>
      </c>
      <c r="H130" s="45">
        <f t="shared" si="27"/>
        <v>370533.25304339745</v>
      </c>
      <c r="I130" s="45">
        <f t="shared" si="15"/>
        <v>43856.790968319001</v>
      </c>
      <c r="J130" s="55">
        <f t="shared" si="14"/>
        <v>6666.67</v>
      </c>
    </row>
    <row r="131" spans="2:10">
      <c r="B131" s="12">
        <f t="shared" si="22"/>
        <v>118</v>
      </c>
      <c r="C131" s="7">
        <v>44136</v>
      </c>
      <c r="D131" s="45">
        <f t="shared" si="23"/>
        <v>3590532.8630433995</v>
      </c>
      <c r="E131" s="45">
        <f t="shared" si="24"/>
        <v>2992.110719202833</v>
      </c>
      <c r="F131" s="45">
        <f t="shared" si="25"/>
        <v>3674.559280797167</v>
      </c>
      <c r="G131" s="45">
        <f t="shared" si="26"/>
        <v>3586858.3037626022</v>
      </c>
      <c r="H131" s="45">
        <f t="shared" si="27"/>
        <v>373525.36376260029</v>
      </c>
      <c r="I131" s="45">
        <f t="shared" si="15"/>
        <v>43893.338294125933</v>
      </c>
      <c r="J131" s="55">
        <f t="shared" si="14"/>
        <v>6666.67</v>
      </c>
    </row>
    <row r="132" spans="2:10" ht="13.5" thickBot="1">
      <c r="B132" s="12">
        <f t="shared" si="22"/>
        <v>119</v>
      </c>
      <c r="C132" s="7">
        <v>44166</v>
      </c>
      <c r="D132" s="45">
        <f t="shared" si="23"/>
        <v>3586858.3037626022</v>
      </c>
      <c r="E132" s="45">
        <f t="shared" si="24"/>
        <v>2989.0485864688353</v>
      </c>
      <c r="F132" s="45">
        <f t="shared" si="25"/>
        <v>3677.6214135311648</v>
      </c>
      <c r="G132" s="45">
        <f t="shared" si="26"/>
        <v>3583180.6823490709</v>
      </c>
      <c r="H132" s="45">
        <f t="shared" si="27"/>
        <v>376514.41234906914</v>
      </c>
      <c r="I132" s="45">
        <f t="shared" si="15"/>
        <v>43929.916076037705</v>
      </c>
      <c r="J132" s="55">
        <f t="shared" si="14"/>
        <v>6666.67</v>
      </c>
    </row>
    <row r="133" spans="2:10" ht="13.5" thickBot="1">
      <c r="B133" s="52">
        <f t="shared" si="22"/>
        <v>120</v>
      </c>
      <c r="C133" s="7">
        <v>44197</v>
      </c>
      <c r="D133" s="45">
        <f t="shared" si="23"/>
        <v>3583180.6823490709</v>
      </c>
      <c r="E133" s="45">
        <f t="shared" si="24"/>
        <v>2985.9839019575593</v>
      </c>
      <c r="F133" s="45">
        <f t="shared" si="25"/>
        <v>3680.6860980424408</v>
      </c>
      <c r="G133" s="45">
        <f t="shared" si="26"/>
        <v>3579499.9962510285</v>
      </c>
      <c r="H133" s="45">
        <f t="shared" si="27"/>
        <v>379500.39625102672</v>
      </c>
      <c r="I133" s="45">
        <f t="shared" si="15"/>
        <v>43966.5243394344</v>
      </c>
      <c r="J133" s="55">
        <f t="shared" si="14"/>
        <v>6666.67</v>
      </c>
    </row>
    <row r="134" spans="2:10" hidden="1">
      <c r="B134" s="12" t="str">
        <f t="shared" ref="B134:B149" si="28">payment.Num</f>
        <v/>
      </c>
      <c r="C134" s="7">
        <v>44228</v>
      </c>
      <c r="D134" s="45" t="str">
        <f t="shared" ref="D134:D149" si="29">Beg.Bal</f>
        <v/>
      </c>
      <c r="E134" s="45" t="str">
        <f t="shared" ref="E134:E149" si="30">Interest</f>
        <v/>
      </c>
      <c r="F134" s="45" t="str">
        <f t="shared" ref="F134:F149" si="31">Principal</f>
        <v/>
      </c>
      <c r="G134" s="45" t="str">
        <f t="shared" ref="G134:G149" si="32">Ending.Balance</f>
        <v/>
      </c>
      <c r="H134" s="45" t="str">
        <f t="shared" ref="H134:H149" si="33">Cum.Interest</f>
        <v/>
      </c>
      <c r="I134" s="45">
        <f t="shared" si="15"/>
        <v>40319.409773259787</v>
      </c>
      <c r="J134" s="55" t="e">
        <f t="shared" si="14"/>
        <v>#VALUE!</v>
      </c>
    </row>
    <row r="135" spans="2:10" hidden="1">
      <c r="B135" s="12" t="str">
        <f t="shared" si="28"/>
        <v/>
      </c>
      <c r="C135" s="7">
        <v>44256</v>
      </c>
      <c r="D135" s="45" t="str">
        <f t="shared" si="29"/>
        <v/>
      </c>
      <c r="E135" s="45" t="str">
        <f t="shared" si="30"/>
        <v/>
      </c>
      <c r="F135" s="45" t="str">
        <f t="shared" si="31"/>
        <v/>
      </c>
      <c r="G135" s="45" t="str">
        <f t="shared" si="32"/>
        <v/>
      </c>
      <c r="H135" s="45" t="str">
        <f t="shared" si="33"/>
        <v/>
      </c>
      <c r="I135" s="45">
        <f t="shared" si="15"/>
        <v>36669.255944946701</v>
      </c>
      <c r="J135" s="55" t="e">
        <f t="shared" si="14"/>
        <v>#VALUE!</v>
      </c>
    </row>
    <row r="136" spans="2:10" hidden="1">
      <c r="B136" s="12" t="str">
        <f t="shared" si="28"/>
        <v/>
      </c>
      <c r="C136" s="7">
        <v>44287</v>
      </c>
      <c r="D136" s="45" t="str">
        <f t="shared" si="29"/>
        <v/>
      </c>
      <c r="E136" s="45" t="str">
        <f t="shared" si="30"/>
        <v/>
      </c>
      <c r="F136" s="45" t="str">
        <f t="shared" si="31"/>
        <v/>
      </c>
      <c r="G136" s="45" t="str">
        <f t="shared" si="32"/>
        <v/>
      </c>
      <c r="H136" s="45" t="str">
        <f t="shared" si="33"/>
        <v/>
      </c>
      <c r="I136" s="45">
        <f t="shared" si="15"/>
        <v>33016.060321776677</v>
      </c>
      <c r="J136" s="55" t="e">
        <f t="shared" si="14"/>
        <v>#VALUE!</v>
      </c>
    </row>
    <row r="137" spans="2:10" hidden="1">
      <c r="B137" s="12" t="str">
        <f t="shared" si="28"/>
        <v/>
      </c>
      <c r="C137" s="7">
        <v>44317</v>
      </c>
      <c r="D137" s="45" t="str">
        <f t="shared" si="29"/>
        <v/>
      </c>
      <c r="E137" s="45" t="str">
        <f t="shared" si="30"/>
        <v/>
      </c>
      <c r="F137" s="45" t="str">
        <f t="shared" si="31"/>
        <v/>
      </c>
      <c r="G137" s="45" t="str">
        <f t="shared" si="32"/>
        <v/>
      </c>
      <c r="H137" s="45" t="str">
        <f t="shared" si="33"/>
        <v/>
      </c>
      <c r="I137" s="45">
        <f t="shared" si="15"/>
        <v>29359.820368920678</v>
      </c>
      <c r="J137" s="55" t="e">
        <f t="shared" si="14"/>
        <v>#VALUE!</v>
      </c>
    </row>
    <row r="138" spans="2:10" hidden="1">
      <c r="B138" s="12" t="str">
        <f t="shared" si="28"/>
        <v/>
      </c>
      <c r="C138" s="7">
        <v>44348</v>
      </c>
      <c r="D138" s="45" t="str">
        <f t="shared" si="29"/>
        <v/>
      </c>
      <c r="E138" s="45" t="str">
        <f t="shared" si="30"/>
        <v/>
      </c>
      <c r="F138" s="45" t="str">
        <f t="shared" si="31"/>
        <v/>
      </c>
      <c r="G138" s="45" t="str">
        <f t="shared" si="32"/>
        <v/>
      </c>
      <c r="H138" s="45" t="str">
        <f t="shared" si="33"/>
        <v/>
      </c>
      <c r="I138" s="45">
        <f t="shared" si="15"/>
        <v>25700.533549437307</v>
      </c>
      <c r="J138" s="55" t="e">
        <f t="shared" si="14"/>
        <v>#VALUE!</v>
      </c>
    </row>
    <row r="139" spans="2:10" hidden="1">
      <c r="B139" s="12" t="str">
        <f t="shared" si="28"/>
        <v/>
      </c>
      <c r="C139" s="7">
        <v>44378</v>
      </c>
      <c r="D139" s="45" t="str">
        <f t="shared" si="29"/>
        <v/>
      </c>
      <c r="E139" s="45" t="str">
        <f t="shared" si="30"/>
        <v/>
      </c>
      <c r="F139" s="45" t="str">
        <f t="shared" si="31"/>
        <v/>
      </c>
      <c r="G139" s="45" t="str">
        <f t="shared" si="32"/>
        <v/>
      </c>
      <c r="H139" s="45" t="str">
        <f t="shared" si="33"/>
        <v/>
      </c>
      <c r="I139" s="45">
        <f t="shared" si="15"/>
        <v>22038.197324271023</v>
      </c>
      <c r="J139" s="55" t="e">
        <f t="shared" si="14"/>
        <v>#VALUE!</v>
      </c>
    </row>
    <row r="140" spans="2:10" hidden="1">
      <c r="B140" s="12" t="str">
        <f t="shared" si="28"/>
        <v/>
      </c>
      <c r="C140" s="7">
        <v>44409</v>
      </c>
      <c r="D140" s="45" t="str">
        <f t="shared" si="29"/>
        <v/>
      </c>
      <c r="E140" s="45" t="str">
        <f t="shared" si="30"/>
        <v/>
      </c>
      <c r="F140" s="45" t="str">
        <f t="shared" si="31"/>
        <v/>
      </c>
      <c r="G140" s="45" t="str">
        <f t="shared" si="32"/>
        <v/>
      </c>
      <c r="H140" s="45" t="str">
        <f t="shared" si="33"/>
        <v/>
      </c>
      <c r="I140" s="45">
        <f t="shared" si="15"/>
        <v>18372.80915225044</v>
      </c>
      <c r="J140" s="55" t="e">
        <f t="shared" si="14"/>
        <v>#VALUE!</v>
      </c>
    </row>
    <row r="141" spans="2:10" hidden="1">
      <c r="B141" s="12" t="str">
        <f t="shared" si="28"/>
        <v/>
      </c>
      <c r="C141" s="7">
        <v>44440</v>
      </c>
      <c r="D141" s="45" t="str">
        <f t="shared" si="29"/>
        <v/>
      </c>
      <c r="E141" s="45" t="str">
        <f t="shared" si="30"/>
        <v/>
      </c>
      <c r="F141" s="45" t="str">
        <f t="shared" si="31"/>
        <v/>
      </c>
      <c r="G141" s="45" t="str">
        <f t="shared" si="32"/>
        <v/>
      </c>
      <c r="H141" s="45" t="str">
        <f t="shared" si="33"/>
        <v/>
      </c>
      <c r="I141" s="45">
        <f t="shared" si="15"/>
        <v>14704.36649008651</v>
      </c>
      <c r="J141" s="55" t="e">
        <f t="shared" si="14"/>
        <v>#VALUE!</v>
      </c>
    </row>
    <row r="142" spans="2:10" hidden="1">
      <c r="B142" s="12" t="str">
        <f t="shared" si="28"/>
        <v/>
      </c>
      <c r="C142" s="7">
        <v>44470</v>
      </c>
      <c r="D142" s="45" t="str">
        <f t="shared" si="29"/>
        <v/>
      </c>
      <c r="E142" s="45" t="str">
        <f t="shared" si="30"/>
        <v/>
      </c>
      <c r="F142" s="45" t="str">
        <f t="shared" si="31"/>
        <v/>
      </c>
      <c r="G142" s="45" t="str">
        <f t="shared" si="32"/>
        <v/>
      </c>
      <c r="H142" s="45" t="str">
        <f t="shared" si="33"/>
        <v/>
      </c>
      <c r="I142" s="45">
        <f t="shared" si="15"/>
        <v>11032.866792370773</v>
      </c>
      <c r="J142" s="55" t="e">
        <f t="shared" si="14"/>
        <v>#VALUE!</v>
      </c>
    </row>
    <row r="143" spans="2:10" hidden="1">
      <c r="B143" s="12" t="str">
        <f t="shared" si="28"/>
        <v/>
      </c>
      <c r="C143" s="7">
        <v>44501</v>
      </c>
      <c r="D143" s="45" t="str">
        <f t="shared" si="29"/>
        <v/>
      </c>
      <c r="E143" s="45" t="str">
        <f t="shared" si="30"/>
        <v/>
      </c>
      <c r="F143" s="45" t="str">
        <f t="shared" si="31"/>
        <v/>
      </c>
      <c r="G143" s="45" t="str">
        <f t="shared" si="32"/>
        <v/>
      </c>
      <c r="H143" s="45" t="str">
        <f t="shared" si="33"/>
        <v/>
      </c>
      <c r="I143" s="45">
        <f t="shared" si="15"/>
        <v>7358.3075115736056</v>
      </c>
      <c r="J143" s="55" t="e">
        <f t="shared" ref="J143:J193" si="34">+E143+F143</f>
        <v>#VALUE!</v>
      </c>
    </row>
    <row r="144" spans="2:10" hidden="1">
      <c r="B144" s="12" t="str">
        <f t="shared" si="28"/>
        <v/>
      </c>
      <c r="C144" s="7">
        <v>44531</v>
      </c>
      <c r="D144" s="45" t="str">
        <f t="shared" si="29"/>
        <v/>
      </c>
      <c r="E144" s="45" t="str">
        <f t="shared" si="30"/>
        <v/>
      </c>
      <c r="F144" s="45" t="str">
        <f t="shared" si="31"/>
        <v/>
      </c>
      <c r="G144" s="45" t="str">
        <f t="shared" si="32"/>
        <v/>
      </c>
      <c r="H144" s="45" t="str">
        <f t="shared" si="33"/>
        <v/>
      </c>
      <c r="I144" s="45">
        <f t="shared" si="15"/>
        <v>3680.6860980424408</v>
      </c>
      <c r="J144" s="55" t="e">
        <f t="shared" si="34"/>
        <v>#VALUE!</v>
      </c>
    </row>
    <row r="145" spans="2:10" hidden="1">
      <c r="B145" s="12" t="str">
        <f t="shared" si="28"/>
        <v/>
      </c>
      <c r="C145" s="7">
        <v>44562</v>
      </c>
      <c r="D145" s="45" t="str">
        <f t="shared" si="29"/>
        <v/>
      </c>
      <c r="E145" s="45" t="str">
        <f t="shared" si="30"/>
        <v/>
      </c>
      <c r="F145" s="45" t="str">
        <f t="shared" si="31"/>
        <v/>
      </c>
      <c r="G145" s="45" t="str">
        <f t="shared" si="32"/>
        <v/>
      </c>
      <c r="H145" s="45" t="str">
        <f t="shared" si="33"/>
        <v/>
      </c>
      <c r="I145" s="45">
        <f t="shared" si="15"/>
        <v>0</v>
      </c>
      <c r="J145" s="55" t="e">
        <f t="shared" si="34"/>
        <v>#VALUE!</v>
      </c>
    </row>
    <row r="146" spans="2:10" hidden="1">
      <c r="B146" s="12" t="str">
        <f t="shared" si="28"/>
        <v/>
      </c>
      <c r="C146" s="7">
        <v>44593</v>
      </c>
      <c r="D146" s="45" t="str">
        <f t="shared" si="29"/>
        <v/>
      </c>
      <c r="E146" s="45" t="str">
        <f t="shared" si="30"/>
        <v/>
      </c>
      <c r="F146" s="45" t="str">
        <f t="shared" si="31"/>
        <v/>
      </c>
      <c r="G146" s="45" t="str">
        <f t="shared" si="32"/>
        <v/>
      </c>
      <c r="H146" s="45" t="str">
        <f t="shared" si="33"/>
        <v/>
      </c>
      <c r="I146" s="45">
        <f t="shared" si="15"/>
        <v>0</v>
      </c>
      <c r="J146" s="55" t="e">
        <f t="shared" si="34"/>
        <v>#VALUE!</v>
      </c>
    </row>
    <row r="147" spans="2:10" hidden="1">
      <c r="B147" s="12" t="str">
        <f t="shared" si="28"/>
        <v/>
      </c>
      <c r="C147" s="7">
        <v>44621</v>
      </c>
      <c r="D147" s="45" t="str">
        <f t="shared" si="29"/>
        <v/>
      </c>
      <c r="E147" s="45" t="str">
        <f t="shared" si="30"/>
        <v/>
      </c>
      <c r="F147" s="45" t="str">
        <f t="shared" si="31"/>
        <v/>
      </c>
      <c r="G147" s="45" t="str">
        <f t="shared" si="32"/>
        <v/>
      </c>
      <c r="H147" s="45" t="str">
        <f t="shared" si="33"/>
        <v/>
      </c>
      <c r="I147" s="45">
        <f t="shared" si="15"/>
        <v>0</v>
      </c>
      <c r="J147" s="55" t="e">
        <f t="shared" si="34"/>
        <v>#VALUE!</v>
      </c>
    </row>
    <row r="148" spans="2:10" hidden="1">
      <c r="B148" s="12" t="str">
        <f t="shared" si="28"/>
        <v/>
      </c>
      <c r="C148" s="7">
        <v>44652</v>
      </c>
      <c r="D148" s="45" t="str">
        <f t="shared" si="29"/>
        <v/>
      </c>
      <c r="E148" s="45" t="str">
        <f t="shared" si="30"/>
        <v/>
      </c>
      <c r="F148" s="45" t="str">
        <f t="shared" si="31"/>
        <v/>
      </c>
      <c r="G148" s="45" t="str">
        <f t="shared" si="32"/>
        <v/>
      </c>
      <c r="H148" s="45" t="str">
        <f t="shared" si="33"/>
        <v/>
      </c>
      <c r="I148" s="45">
        <f t="shared" si="15"/>
        <v>0</v>
      </c>
      <c r="J148" s="55" t="e">
        <f t="shared" si="34"/>
        <v>#VALUE!</v>
      </c>
    </row>
    <row r="149" spans="2:10" hidden="1">
      <c r="B149" s="12" t="str">
        <f t="shared" si="28"/>
        <v/>
      </c>
      <c r="C149" s="7">
        <v>44682</v>
      </c>
      <c r="D149" s="45" t="str">
        <f t="shared" si="29"/>
        <v/>
      </c>
      <c r="E149" s="45" t="str">
        <f t="shared" si="30"/>
        <v/>
      </c>
      <c r="F149" s="45" t="str">
        <f t="shared" si="31"/>
        <v/>
      </c>
      <c r="G149" s="45" t="str">
        <f t="shared" si="32"/>
        <v/>
      </c>
      <c r="H149" s="45" t="str">
        <f t="shared" si="33"/>
        <v/>
      </c>
      <c r="I149" s="45">
        <f t="shared" si="15"/>
        <v>0</v>
      </c>
      <c r="J149" s="55" t="e">
        <f t="shared" si="34"/>
        <v>#VALUE!</v>
      </c>
    </row>
    <row r="150" spans="2:10" hidden="1">
      <c r="B150" s="12" t="str">
        <f t="shared" ref="B150:B165" si="35">payment.Num</f>
        <v/>
      </c>
      <c r="C150" s="7">
        <v>44713</v>
      </c>
      <c r="D150" s="45" t="str">
        <f t="shared" ref="D150:D165" si="36">Beg.Bal</f>
        <v/>
      </c>
      <c r="E150" s="45" t="str">
        <f t="shared" ref="E150:E165" si="37">Interest</f>
        <v/>
      </c>
      <c r="F150" s="45" t="str">
        <f t="shared" ref="F150:F165" si="38">Principal</f>
        <v/>
      </c>
      <c r="G150" s="45" t="str">
        <f t="shared" ref="G150:G165" si="39">Ending.Balance</f>
        <v/>
      </c>
      <c r="H150" s="45" t="str">
        <f t="shared" ref="H150:H165" si="40">Cum.Interest</f>
        <v/>
      </c>
      <c r="I150" s="45">
        <f t="shared" si="15"/>
        <v>0</v>
      </c>
      <c r="J150" s="55" t="e">
        <f t="shared" si="34"/>
        <v>#VALUE!</v>
      </c>
    </row>
    <row r="151" spans="2:10" hidden="1">
      <c r="B151" s="12" t="str">
        <f t="shared" si="35"/>
        <v/>
      </c>
      <c r="C151" s="7">
        <v>44743</v>
      </c>
      <c r="D151" s="45" t="str">
        <f t="shared" si="36"/>
        <v/>
      </c>
      <c r="E151" s="45" t="str">
        <f t="shared" si="37"/>
        <v/>
      </c>
      <c r="F151" s="45" t="str">
        <f t="shared" si="38"/>
        <v/>
      </c>
      <c r="G151" s="45" t="str">
        <f t="shared" si="39"/>
        <v/>
      </c>
      <c r="H151" s="45" t="str">
        <f t="shared" si="40"/>
        <v/>
      </c>
      <c r="I151" s="45">
        <f t="shared" si="15"/>
        <v>0</v>
      </c>
      <c r="J151" s="55" t="e">
        <f t="shared" si="34"/>
        <v>#VALUE!</v>
      </c>
    </row>
    <row r="152" spans="2:10" hidden="1">
      <c r="B152" s="12" t="str">
        <f t="shared" si="35"/>
        <v/>
      </c>
      <c r="C152" s="7">
        <v>44774</v>
      </c>
      <c r="D152" s="45" t="str">
        <f t="shared" si="36"/>
        <v/>
      </c>
      <c r="E152" s="45" t="str">
        <f t="shared" si="37"/>
        <v/>
      </c>
      <c r="F152" s="45" t="str">
        <f t="shared" si="38"/>
        <v/>
      </c>
      <c r="G152" s="45" t="str">
        <f t="shared" si="39"/>
        <v/>
      </c>
      <c r="H152" s="45" t="str">
        <f t="shared" si="40"/>
        <v/>
      </c>
      <c r="I152" s="45">
        <f t="shared" si="15"/>
        <v>0</v>
      </c>
      <c r="J152" s="55" t="e">
        <f t="shared" si="34"/>
        <v>#VALUE!</v>
      </c>
    </row>
    <row r="153" spans="2:10" hidden="1">
      <c r="B153" s="12" t="str">
        <f t="shared" si="35"/>
        <v/>
      </c>
      <c r="C153" s="7">
        <v>44805</v>
      </c>
      <c r="D153" s="45" t="str">
        <f t="shared" si="36"/>
        <v/>
      </c>
      <c r="E153" s="45" t="str">
        <f t="shared" si="37"/>
        <v/>
      </c>
      <c r="F153" s="45" t="str">
        <f t="shared" si="38"/>
        <v/>
      </c>
      <c r="G153" s="45" t="str">
        <f t="shared" si="39"/>
        <v/>
      </c>
      <c r="H153" s="45" t="str">
        <f t="shared" si="40"/>
        <v/>
      </c>
      <c r="I153" s="45">
        <f t="shared" si="15"/>
        <v>0</v>
      </c>
      <c r="J153" s="55" t="e">
        <f t="shared" si="34"/>
        <v>#VALUE!</v>
      </c>
    </row>
    <row r="154" spans="2:10" hidden="1">
      <c r="B154" s="12" t="str">
        <f t="shared" si="35"/>
        <v/>
      </c>
      <c r="C154" s="7">
        <v>44835</v>
      </c>
      <c r="D154" s="45" t="str">
        <f t="shared" si="36"/>
        <v/>
      </c>
      <c r="E154" s="45" t="str">
        <f t="shared" si="37"/>
        <v/>
      </c>
      <c r="F154" s="45" t="str">
        <f t="shared" si="38"/>
        <v/>
      </c>
      <c r="G154" s="45" t="str">
        <f t="shared" si="39"/>
        <v/>
      </c>
      <c r="H154" s="45" t="str">
        <f t="shared" si="40"/>
        <v/>
      </c>
      <c r="I154" s="45">
        <f t="shared" ref="I154:I193" si="41">SUM(F143:F154)</f>
        <v>0</v>
      </c>
      <c r="J154" s="55" t="e">
        <f t="shared" si="34"/>
        <v>#VALUE!</v>
      </c>
    </row>
    <row r="155" spans="2:10" hidden="1">
      <c r="B155" s="12" t="str">
        <f t="shared" si="35"/>
        <v/>
      </c>
      <c r="C155" s="7">
        <v>44866</v>
      </c>
      <c r="D155" s="45" t="str">
        <f t="shared" si="36"/>
        <v/>
      </c>
      <c r="E155" s="45" t="str">
        <f t="shared" si="37"/>
        <v/>
      </c>
      <c r="F155" s="45" t="str">
        <f t="shared" si="38"/>
        <v/>
      </c>
      <c r="G155" s="45" t="str">
        <f t="shared" si="39"/>
        <v/>
      </c>
      <c r="H155" s="45" t="str">
        <f t="shared" si="40"/>
        <v/>
      </c>
      <c r="I155" s="45">
        <f t="shared" si="41"/>
        <v>0</v>
      </c>
      <c r="J155" s="55" t="e">
        <f t="shared" si="34"/>
        <v>#VALUE!</v>
      </c>
    </row>
    <row r="156" spans="2:10" hidden="1">
      <c r="B156" s="12" t="str">
        <f t="shared" si="35"/>
        <v/>
      </c>
      <c r="C156" s="7">
        <v>44896</v>
      </c>
      <c r="D156" s="45" t="str">
        <f t="shared" si="36"/>
        <v/>
      </c>
      <c r="E156" s="45" t="str">
        <f t="shared" si="37"/>
        <v/>
      </c>
      <c r="F156" s="45" t="str">
        <f t="shared" si="38"/>
        <v/>
      </c>
      <c r="G156" s="45" t="str">
        <f t="shared" si="39"/>
        <v/>
      </c>
      <c r="H156" s="45" t="str">
        <f t="shared" si="40"/>
        <v/>
      </c>
      <c r="I156" s="45">
        <f t="shared" si="41"/>
        <v>0</v>
      </c>
      <c r="J156" s="55" t="e">
        <f t="shared" si="34"/>
        <v>#VALUE!</v>
      </c>
    </row>
    <row r="157" spans="2:10" hidden="1">
      <c r="B157" s="12" t="str">
        <f t="shared" si="35"/>
        <v/>
      </c>
      <c r="C157" s="7">
        <v>44927</v>
      </c>
      <c r="D157" s="45" t="str">
        <f t="shared" si="36"/>
        <v/>
      </c>
      <c r="E157" s="45" t="str">
        <f t="shared" si="37"/>
        <v/>
      </c>
      <c r="F157" s="45" t="str">
        <f t="shared" si="38"/>
        <v/>
      </c>
      <c r="G157" s="45" t="str">
        <f t="shared" si="39"/>
        <v/>
      </c>
      <c r="H157" s="45" t="str">
        <f t="shared" si="40"/>
        <v/>
      </c>
      <c r="I157" s="45">
        <f t="shared" si="41"/>
        <v>0</v>
      </c>
      <c r="J157" s="55" t="e">
        <f t="shared" si="34"/>
        <v>#VALUE!</v>
      </c>
    </row>
    <row r="158" spans="2:10" hidden="1">
      <c r="B158" s="12" t="str">
        <f t="shared" si="35"/>
        <v/>
      </c>
      <c r="C158" s="7">
        <v>44958</v>
      </c>
      <c r="D158" s="45" t="str">
        <f t="shared" si="36"/>
        <v/>
      </c>
      <c r="E158" s="45" t="str">
        <f t="shared" si="37"/>
        <v/>
      </c>
      <c r="F158" s="45" t="str">
        <f t="shared" si="38"/>
        <v/>
      </c>
      <c r="G158" s="45" t="str">
        <f t="shared" si="39"/>
        <v/>
      </c>
      <c r="H158" s="45" t="str">
        <f t="shared" si="40"/>
        <v/>
      </c>
      <c r="I158" s="45">
        <f t="shared" si="41"/>
        <v>0</v>
      </c>
      <c r="J158" s="55" t="e">
        <f t="shared" si="34"/>
        <v>#VALUE!</v>
      </c>
    </row>
    <row r="159" spans="2:10" hidden="1">
      <c r="B159" s="12" t="str">
        <f t="shared" si="35"/>
        <v/>
      </c>
      <c r="C159" s="7">
        <v>44986</v>
      </c>
      <c r="D159" s="45" t="str">
        <f t="shared" si="36"/>
        <v/>
      </c>
      <c r="E159" s="45" t="str">
        <f t="shared" si="37"/>
        <v/>
      </c>
      <c r="F159" s="45" t="str">
        <f t="shared" si="38"/>
        <v/>
      </c>
      <c r="G159" s="45" t="str">
        <f t="shared" si="39"/>
        <v/>
      </c>
      <c r="H159" s="45" t="str">
        <f t="shared" si="40"/>
        <v/>
      </c>
      <c r="I159" s="45">
        <f t="shared" si="41"/>
        <v>0</v>
      </c>
      <c r="J159" s="55" t="e">
        <f t="shared" si="34"/>
        <v>#VALUE!</v>
      </c>
    </row>
    <row r="160" spans="2:10" hidden="1">
      <c r="B160" s="12" t="str">
        <f t="shared" si="35"/>
        <v/>
      </c>
      <c r="C160" s="7">
        <v>45017</v>
      </c>
      <c r="D160" s="45" t="str">
        <f t="shared" si="36"/>
        <v/>
      </c>
      <c r="E160" s="45" t="str">
        <f t="shared" si="37"/>
        <v/>
      </c>
      <c r="F160" s="45" t="str">
        <f t="shared" si="38"/>
        <v/>
      </c>
      <c r="G160" s="45" t="str">
        <f t="shared" si="39"/>
        <v/>
      </c>
      <c r="H160" s="45" t="str">
        <f t="shared" si="40"/>
        <v/>
      </c>
      <c r="I160" s="45">
        <f t="shared" si="41"/>
        <v>0</v>
      </c>
      <c r="J160" s="55" t="e">
        <f t="shared" si="34"/>
        <v>#VALUE!</v>
      </c>
    </row>
    <row r="161" spans="2:10" hidden="1">
      <c r="B161" s="12" t="str">
        <f t="shared" si="35"/>
        <v/>
      </c>
      <c r="C161" s="7">
        <v>45047</v>
      </c>
      <c r="D161" s="45" t="str">
        <f t="shared" si="36"/>
        <v/>
      </c>
      <c r="E161" s="45" t="str">
        <f t="shared" si="37"/>
        <v/>
      </c>
      <c r="F161" s="45" t="str">
        <f t="shared" si="38"/>
        <v/>
      </c>
      <c r="G161" s="45" t="str">
        <f t="shared" si="39"/>
        <v/>
      </c>
      <c r="H161" s="45" t="str">
        <f t="shared" si="40"/>
        <v/>
      </c>
      <c r="I161" s="45">
        <f t="shared" si="41"/>
        <v>0</v>
      </c>
      <c r="J161" s="55" t="e">
        <f t="shared" si="34"/>
        <v>#VALUE!</v>
      </c>
    </row>
    <row r="162" spans="2:10" hidden="1">
      <c r="B162" s="12" t="str">
        <f t="shared" si="35"/>
        <v/>
      </c>
      <c r="C162" s="7">
        <v>45078</v>
      </c>
      <c r="D162" s="45" t="str">
        <f t="shared" si="36"/>
        <v/>
      </c>
      <c r="E162" s="45" t="str">
        <f t="shared" si="37"/>
        <v/>
      </c>
      <c r="F162" s="45" t="str">
        <f t="shared" si="38"/>
        <v/>
      </c>
      <c r="G162" s="45" t="str">
        <f t="shared" si="39"/>
        <v/>
      </c>
      <c r="H162" s="45" t="str">
        <f t="shared" si="40"/>
        <v/>
      </c>
      <c r="I162" s="45">
        <f t="shared" si="41"/>
        <v>0</v>
      </c>
      <c r="J162" s="55" t="e">
        <f t="shared" si="34"/>
        <v>#VALUE!</v>
      </c>
    </row>
    <row r="163" spans="2:10" hidden="1">
      <c r="B163" s="12" t="str">
        <f t="shared" si="35"/>
        <v/>
      </c>
      <c r="C163" s="7">
        <v>45108</v>
      </c>
      <c r="D163" s="45" t="str">
        <f t="shared" si="36"/>
        <v/>
      </c>
      <c r="E163" s="45" t="str">
        <f t="shared" si="37"/>
        <v/>
      </c>
      <c r="F163" s="45" t="str">
        <f t="shared" si="38"/>
        <v/>
      </c>
      <c r="G163" s="45" t="str">
        <f t="shared" si="39"/>
        <v/>
      </c>
      <c r="H163" s="45" t="str">
        <f t="shared" si="40"/>
        <v/>
      </c>
      <c r="I163" s="45">
        <f t="shared" si="41"/>
        <v>0</v>
      </c>
      <c r="J163" s="55" t="e">
        <f t="shared" si="34"/>
        <v>#VALUE!</v>
      </c>
    </row>
    <row r="164" spans="2:10" hidden="1">
      <c r="B164" s="12" t="str">
        <f t="shared" si="35"/>
        <v/>
      </c>
      <c r="C164" s="7">
        <v>45139</v>
      </c>
      <c r="D164" s="45" t="str">
        <f t="shared" si="36"/>
        <v/>
      </c>
      <c r="E164" s="45" t="str">
        <f t="shared" si="37"/>
        <v/>
      </c>
      <c r="F164" s="45" t="str">
        <f t="shared" si="38"/>
        <v/>
      </c>
      <c r="G164" s="45" t="str">
        <f t="shared" si="39"/>
        <v/>
      </c>
      <c r="H164" s="45" t="str">
        <f t="shared" si="40"/>
        <v/>
      </c>
      <c r="I164" s="45">
        <f t="shared" si="41"/>
        <v>0</v>
      </c>
      <c r="J164" s="55" t="e">
        <f t="shared" si="34"/>
        <v>#VALUE!</v>
      </c>
    </row>
    <row r="165" spans="2:10" hidden="1">
      <c r="B165" s="12" t="str">
        <f t="shared" si="35"/>
        <v/>
      </c>
      <c r="C165" s="7">
        <v>45170</v>
      </c>
      <c r="D165" s="45" t="str">
        <f t="shared" si="36"/>
        <v/>
      </c>
      <c r="E165" s="45" t="str">
        <f t="shared" si="37"/>
        <v/>
      </c>
      <c r="F165" s="45" t="str">
        <f t="shared" si="38"/>
        <v/>
      </c>
      <c r="G165" s="45" t="str">
        <f t="shared" si="39"/>
        <v/>
      </c>
      <c r="H165" s="45" t="str">
        <f t="shared" si="40"/>
        <v/>
      </c>
      <c r="I165" s="45">
        <f t="shared" si="41"/>
        <v>0</v>
      </c>
      <c r="J165" s="55" t="e">
        <f t="shared" si="34"/>
        <v>#VALUE!</v>
      </c>
    </row>
    <row r="166" spans="2:10" hidden="1">
      <c r="B166" s="12" t="str">
        <f t="shared" ref="B166:B181" si="42">payment.Num</f>
        <v/>
      </c>
      <c r="C166" s="7">
        <v>45200</v>
      </c>
      <c r="D166" s="45" t="str">
        <f t="shared" ref="D166:D181" si="43">Beg.Bal</f>
        <v/>
      </c>
      <c r="E166" s="45" t="str">
        <f t="shared" ref="E166:E181" si="44">Interest</f>
        <v/>
      </c>
      <c r="F166" s="45" t="str">
        <f t="shared" ref="F166:F181" si="45">Principal</f>
        <v/>
      </c>
      <c r="G166" s="45" t="str">
        <f t="shared" ref="G166:G181" si="46">Ending.Balance</f>
        <v/>
      </c>
      <c r="H166" s="45" t="str">
        <f t="shared" ref="H166:H181" si="47">Cum.Interest</f>
        <v/>
      </c>
      <c r="I166" s="45">
        <f t="shared" si="41"/>
        <v>0</v>
      </c>
      <c r="J166" s="55" t="e">
        <f t="shared" si="34"/>
        <v>#VALUE!</v>
      </c>
    </row>
    <row r="167" spans="2:10" hidden="1">
      <c r="B167" s="12" t="str">
        <f t="shared" si="42"/>
        <v/>
      </c>
      <c r="C167" s="7">
        <v>45231</v>
      </c>
      <c r="D167" s="45" t="str">
        <f t="shared" si="43"/>
        <v/>
      </c>
      <c r="E167" s="45" t="str">
        <f t="shared" si="44"/>
        <v/>
      </c>
      <c r="F167" s="45" t="str">
        <f t="shared" si="45"/>
        <v/>
      </c>
      <c r="G167" s="45" t="str">
        <f t="shared" si="46"/>
        <v/>
      </c>
      <c r="H167" s="45" t="str">
        <f t="shared" si="47"/>
        <v/>
      </c>
      <c r="I167" s="45">
        <f t="shared" si="41"/>
        <v>0</v>
      </c>
      <c r="J167" s="55" t="e">
        <f t="shared" si="34"/>
        <v>#VALUE!</v>
      </c>
    </row>
    <row r="168" spans="2:10" hidden="1">
      <c r="B168" s="12" t="str">
        <f t="shared" si="42"/>
        <v/>
      </c>
      <c r="C168" s="7">
        <v>45261</v>
      </c>
      <c r="D168" s="45" t="str">
        <f t="shared" si="43"/>
        <v/>
      </c>
      <c r="E168" s="45" t="str">
        <f t="shared" si="44"/>
        <v/>
      </c>
      <c r="F168" s="45" t="str">
        <f t="shared" si="45"/>
        <v/>
      </c>
      <c r="G168" s="45" t="str">
        <f t="shared" si="46"/>
        <v/>
      </c>
      <c r="H168" s="45" t="str">
        <f t="shared" si="47"/>
        <v/>
      </c>
      <c r="I168" s="45">
        <f t="shared" si="41"/>
        <v>0</v>
      </c>
      <c r="J168" s="55" t="e">
        <f t="shared" si="34"/>
        <v>#VALUE!</v>
      </c>
    </row>
    <row r="169" spans="2:10" hidden="1">
      <c r="B169" s="12" t="str">
        <f t="shared" si="42"/>
        <v/>
      </c>
      <c r="C169" s="7">
        <v>45292</v>
      </c>
      <c r="D169" s="45" t="str">
        <f t="shared" si="43"/>
        <v/>
      </c>
      <c r="E169" s="45" t="str">
        <f t="shared" si="44"/>
        <v/>
      </c>
      <c r="F169" s="45" t="str">
        <f t="shared" si="45"/>
        <v/>
      </c>
      <c r="G169" s="45" t="str">
        <f t="shared" si="46"/>
        <v/>
      </c>
      <c r="H169" s="45" t="str">
        <f t="shared" si="47"/>
        <v/>
      </c>
      <c r="I169" s="45">
        <f t="shared" si="41"/>
        <v>0</v>
      </c>
      <c r="J169" s="55" t="e">
        <f t="shared" si="34"/>
        <v>#VALUE!</v>
      </c>
    </row>
    <row r="170" spans="2:10" hidden="1">
      <c r="B170" s="12" t="str">
        <f t="shared" si="42"/>
        <v/>
      </c>
      <c r="C170" s="7">
        <v>45323</v>
      </c>
      <c r="D170" s="45" t="str">
        <f t="shared" si="43"/>
        <v/>
      </c>
      <c r="E170" s="45" t="str">
        <f t="shared" si="44"/>
        <v/>
      </c>
      <c r="F170" s="45" t="str">
        <f t="shared" si="45"/>
        <v/>
      </c>
      <c r="G170" s="45" t="str">
        <f t="shared" si="46"/>
        <v/>
      </c>
      <c r="H170" s="45" t="str">
        <f t="shared" si="47"/>
        <v/>
      </c>
      <c r="I170" s="45">
        <f t="shared" si="41"/>
        <v>0</v>
      </c>
      <c r="J170" s="55" t="e">
        <f t="shared" si="34"/>
        <v>#VALUE!</v>
      </c>
    </row>
    <row r="171" spans="2:10" hidden="1">
      <c r="B171" s="12" t="str">
        <f t="shared" si="42"/>
        <v/>
      </c>
      <c r="C171" s="7">
        <v>45352</v>
      </c>
      <c r="D171" s="45" t="str">
        <f t="shared" si="43"/>
        <v/>
      </c>
      <c r="E171" s="45" t="str">
        <f t="shared" si="44"/>
        <v/>
      </c>
      <c r="F171" s="45" t="str">
        <f t="shared" si="45"/>
        <v/>
      </c>
      <c r="G171" s="45" t="str">
        <f t="shared" si="46"/>
        <v/>
      </c>
      <c r="H171" s="45" t="str">
        <f t="shared" si="47"/>
        <v/>
      </c>
      <c r="I171" s="45">
        <f t="shared" si="41"/>
        <v>0</v>
      </c>
      <c r="J171" s="55" t="e">
        <f t="shared" si="34"/>
        <v>#VALUE!</v>
      </c>
    </row>
    <row r="172" spans="2:10" hidden="1">
      <c r="B172" s="12" t="str">
        <f t="shared" si="42"/>
        <v/>
      </c>
      <c r="C172" s="7">
        <v>45383</v>
      </c>
      <c r="D172" s="45" t="str">
        <f t="shared" si="43"/>
        <v/>
      </c>
      <c r="E172" s="45" t="str">
        <f t="shared" si="44"/>
        <v/>
      </c>
      <c r="F172" s="45" t="str">
        <f t="shared" si="45"/>
        <v/>
      </c>
      <c r="G172" s="45" t="str">
        <f t="shared" si="46"/>
        <v/>
      </c>
      <c r="H172" s="45" t="str">
        <f t="shared" si="47"/>
        <v/>
      </c>
      <c r="I172" s="45">
        <f t="shared" si="41"/>
        <v>0</v>
      </c>
      <c r="J172" s="55" t="e">
        <f t="shared" si="34"/>
        <v>#VALUE!</v>
      </c>
    </row>
    <row r="173" spans="2:10" hidden="1">
      <c r="B173" s="12" t="str">
        <f t="shared" si="42"/>
        <v/>
      </c>
      <c r="C173" s="7">
        <v>45413</v>
      </c>
      <c r="D173" s="45" t="str">
        <f t="shared" si="43"/>
        <v/>
      </c>
      <c r="E173" s="45" t="str">
        <f t="shared" si="44"/>
        <v/>
      </c>
      <c r="F173" s="45" t="str">
        <f t="shared" si="45"/>
        <v/>
      </c>
      <c r="G173" s="45" t="str">
        <f t="shared" si="46"/>
        <v/>
      </c>
      <c r="H173" s="45" t="str">
        <f t="shared" si="47"/>
        <v/>
      </c>
      <c r="I173" s="45">
        <f t="shared" si="41"/>
        <v>0</v>
      </c>
      <c r="J173" s="55" t="e">
        <f t="shared" si="34"/>
        <v>#VALUE!</v>
      </c>
    </row>
    <row r="174" spans="2:10" hidden="1">
      <c r="B174" s="12" t="str">
        <f t="shared" si="42"/>
        <v/>
      </c>
      <c r="C174" s="7">
        <v>45444</v>
      </c>
      <c r="D174" s="45" t="str">
        <f t="shared" si="43"/>
        <v/>
      </c>
      <c r="E174" s="45" t="str">
        <f t="shared" si="44"/>
        <v/>
      </c>
      <c r="F174" s="45" t="str">
        <f t="shared" si="45"/>
        <v/>
      </c>
      <c r="G174" s="45" t="str">
        <f t="shared" si="46"/>
        <v/>
      </c>
      <c r="H174" s="45" t="str">
        <f t="shared" si="47"/>
        <v/>
      </c>
      <c r="I174" s="45">
        <f t="shared" si="41"/>
        <v>0</v>
      </c>
      <c r="J174" s="55" t="e">
        <f t="shared" si="34"/>
        <v>#VALUE!</v>
      </c>
    </row>
    <row r="175" spans="2:10" hidden="1">
      <c r="B175" s="12" t="str">
        <f t="shared" si="42"/>
        <v/>
      </c>
      <c r="C175" s="7">
        <v>45474</v>
      </c>
      <c r="D175" s="45" t="str">
        <f t="shared" si="43"/>
        <v/>
      </c>
      <c r="E175" s="45" t="str">
        <f t="shared" si="44"/>
        <v/>
      </c>
      <c r="F175" s="45" t="str">
        <f t="shared" si="45"/>
        <v/>
      </c>
      <c r="G175" s="45" t="str">
        <f t="shared" si="46"/>
        <v/>
      </c>
      <c r="H175" s="45" t="str">
        <f t="shared" si="47"/>
        <v/>
      </c>
      <c r="I175" s="45">
        <f t="shared" si="41"/>
        <v>0</v>
      </c>
      <c r="J175" s="55" t="e">
        <f t="shared" si="34"/>
        <v>#VALUE!</v>
      </c>
    </row>
    <row r="176" spans="2:10" hidden="1">
      <c r="B176" s="12" t="str">
        <f t="shared" si="42"/>
        <v/>
      </c>
      <c r="C176" s="7">
        <v>45505</v>
      </c>
      <c r="D176" s="45" t="str">
        <f t="shared" si="43"/>
        <v/>
      </c>
      <c r="E176" s="45" t="str">
        <f t="shared" si="44"/>
        <v/>
      </c>
      <c r="F176" s="45" t="str">
        <f t="shared" si="45"/>
        <v/>
      </c>
      <c r="G176" s="45" t="str">
        <f t="shared" si="46"/>
        <v/>
      </c>
      <c r="H176" s="45" t="str">
        <f t="shared" si="47"/>
        <v/>
      </c>
      <c r="I176" s="45">
        <f t="shared" si="41"/>
        <v>0</v>
      </c>
      <c r="J176" s="55" t="e">
        <f t="shared" si="34"/>
        <v>#VALUE!</v>
      </c>
    </row>
    <row r="177" spans="2:10" hidden="1">
      <c r="B177" s="12" t="str">
        <f t="shared" si="42"/>
        <v/>
      </c>
      <c r="C177" s="7">
        <v>45536</v>
      </c>
      <c r="D177" s="45" t="str">
        <f t="shared" si="43"/>
        <v/>
      </c>
      <c r="E177" s="45" t="str">
        <f t="shared" si="44"/>
        <v/>
      </c>
      <c r="F177" s="45" t="str">
        <f t="shared" si="45"/>
        <v/>
      </c>
      <c r="G177" s="45" t="str">
        <f t="shared" si="46"/>
        <v/>
      </c>
      <c r="H177" s="45" t="str">
        <f t="shared" si="47"/>
        <v/>
      </c>
      <c r="I177" s="45">
        <f t="shared" si="41"/>
        <v>0</v>
      </c>
      <c r="J177" s="55" t="e">
        <f t="shared" si="34"/>
        <v>#VALUE!</v>
      </c>
    </row>
    <row r="178" spans="2:10" hidden="1">
      <c r="B178" s="12" t="str">
        <f t="shared" si="42"/>
        <v/>
      </c>
      <c r="C178" s="7">
        <v>45566</v>
      </c>
      <c r="D178" s="45" t="str">
        <f t="shared" si="43"/>
        <v/>
      </c>
      <c r="E178" s="45" t="str">
        <f t="shared" si="44"/>
        <v/>
      </c>
      <c r="F178" s="45" t="str">
        <f t="shared" si="45"/>
        <v/>
      </c>
      <c r="G178" s="45" t="str">
        <f t="shared" si="46"/>
        <v/>
      </c>
      <c r="H178" s="45" t="str">
        <f t="shared" si="47"/>
        <v/>
      </c>
      <c r="I178" s="45">
        <f t="shared" si="41"/>
        <v>0</v>
      </c>
      <c r="J178" s="55" t="e">
        <f t="shared" si="34"/>
        <v>#VALUE!</v>
      </c>
    </row>
    <row r="179" spans="2:10" hidden="1">
      <c r="B179" s="12" t="str">
        <f t="shared" si="42"/>
        <v/>
      </c>
      <c r="C179" s="7">
        <v>45597</v>
      </c>
      <c r="D179" s="45" t="str">
        <f t="shared" si="43"/>
        <v/>
      </c>
      <c r="E179" s="45" t="str">
        <f t="shared" si="44"/>
        <v/>
      </c>
      <c r="F179" s="45" t="str">
        <f t="shared" si="45"/>
        <v/>
      </c>
      <c r="G179" s="45" t="str">
        <f t="shared" si="46"/>
        <v/>
      </c>
      <c r="H179" s="45" t="str">
        <f t="shared" si="47"/>
        <v/>
      </c>
      <c r="I179" s="45">
        <f t="shared" si="41"/>
        <v>0</v>
      </c>
      <c r="J179" s="55" t="e">
        <f t="shared" si="34"/>
        <v>#VALUE!</v>
      </c>
    </row>
    <row r="180" spans="2:10" hidden="1">
      <c r="B180" s="12" t="str">
        <f t="shared" si="42"/>
        <v/>
      </c>
      <c r="C180" s="7">
        <v>45627</v>
      </c>
      <c r="D180" s="45" t="str">
        <f t="shared" si="43"/>
        <v/>
      </c>
      <c r="E180" s="45" t="str">
        <f t="shared" si="44"/>
        <v/>
      </c>
      <c r="F180" s="45" t="str">
        <f t="shared" si="45"/>
        <v/>
      </c>
      <c r="G180" s="45" t="str">
        <f t="shared" si="46"/>
        <v/>
      </c>
      <c r="H180" s="45" t="str">
        <f t="shared" si="47"/>
        <v/>
      </c>
      <c r="I180" s="45">
        <f t="shared" si="41"/>
        <v>0</v>
      </c>
      <c r="J180" s="55" t="e">
        <f t="shared" si="34"/>
        <v>#VALUE!</v>
      </c>
    </row>
    <row r="181" spans="2:10" hidden="1">
      <c r="B181" s="12" t="str">
        <f t="shared" si="42"/>
        <v/>
      </c>
      <c r="C181" s="7">
        <v>45658</v>
      </c>
      <c r="D181" s="45" t="str">
        <f t="shared" si="43"/>
        <v/>
      </c>
      <c r="E181" s="45" t="str">
        <f t="shared" si="44"/>
        <v/>
      </c>
      <c r="F181" s="45" t="str">
        <f t="shared" si="45"/>
        <v/>
      </c>
      <c r="G181" s="45" t="str">
        <f t="shared" si="46"/>
        <v/>
      </c>
      <c r="H181" s="45" t="str">
        <f t="shared" si="47"/>
        <v/>
      </c>
      <c r="I181" s="45">
        <f t="shared" si="41"/>
        <v>0</v>
      </c>
      <c r="J181" s="55" t="e">
        <f t="shared" si="34"/>
        <v>#VALUE!</v>
      </c>
    </row>
    <row r="182" spans="2:10" hidden="1">
      <c r="B182" s="12" t="str">
        <f t="shared" ref="B182:B193" si="48">payment.Num</f>
        <v/>
      </c>
      <c r="C182" s="7">
        <v>45689</v>
      </c>
      <c r="D182" s="45" t="str">
        <f t="shared" ref="D182:D193" si="49">Beg.Bal</f>
        <v/>
      </c>
      <c r="E182" s="45" t="str">
        <f t="shared" ref="E182:E193" si="50">Interest</f>
        <v/>
      </c>
      <c r="F182" s="45" t="str">
        <f t="shared" ref="F182:F193" si="51">Principal</f>
        <v/>
      </c>
      <c r="G182" s="45" t="str">
        <f t="shared" ref="G182:G193" si="52">Ending.Balance</f>
        <v/>
      </c>
      <c r="H182" s="45" t="str">
        <f t="shared" ref="H182:H193" si="53">Cum.Interest</f>
        <v/>
      </c>
      <c r="I182" s="45">
        <f t="shared" si="41"/>
        <v>0</v>
      </c>
      <c r="J182" s="55" t="e">
        <f t="shared" si="34"/>
        <v>#VALUE!</v>
      </c>
    </row>
    <row r="183" spans="2:10" hidden="1">
      <c r="B183" s="12" t="str">
        <f t="shared" si="48"/>
        <v/>
      </c>
      <c r="C183" s="7">
        <v>45717</v>
      </c>
      <c r="D183" s="45" t="str">
        <f t="shared" si="49"/>
        <v/>
      </c>
      <c r="E183" s="45" t="str">
        <f t="shared" si="50"/>
        <v/>
      </c>
      <c r="F183" s="45" t="str">
        <f t="shared" si="51"/>
        <v/>
      </c>
      <c r="G183" s="45" t="str">
        <f t="shared" si="52"/>
        <v/>
      </c>
      <c r="H183" s="45" t="str">
        <f t="shared" si="53"/>
        <v/>
      </c>
      <c r="I183" s="45">
        <f t="shared" si="41"/>
        <v>0</v>
      </c>
      <c r="J183" s="55" t="e">
        <f t="shared" si="34"/>
        <v>#VALUE!</v>
      </c>
    </row>
    <row r="184" spans="2:10" hidden="1">
      <c r="B184" s="12" t="str">
        <f t="shared" si="48"/>
        <v/>
      </c>
      <c r="C184" s="7">
        <v>45748</v>
      </c>
      <c r="D184" s="45" t="str">
        <f t="shared" si="49"/>
        <v/>
      </c>
      <c r="E184" s="45" t="str">
        <f t="shared" si="50"/>
        <v/>
      </c>
      <c r="F184" s="45" t="str">
        <f t="shared" si="51"/>
        <v/>
      </c>
      <c r="G184" s="45" t="str">
        <f t="shared" si="52"/>
        <v/>
      </c>
      <c r="H184" s="45" t="str">
        <f t="shared" si="53"/>
        <v/>
      </c>
      <c r="I184" s="45">
        <f t="shared" si="41"/>
        <v>0</v>
      </c>
      <c r="J184" s="55" t="e">
        <f t="shared" si="34"/>
        <v>#VALUE!</v>
      </c>
    </row>
    <row r="185" spans="2:10" hidden="1">
      <c r="B185" s="12" t="str">
        <f t="shared" si="48"/>
        <v/>
      </c>
      <c r="C185" s="7">
        <v>45778</v>
      </c>
      <c r="D185" s="45" t="str">
        <f t="shared" si="49"/>
        <v/>
      </c>
      <c r="E185" s="45" t="str">
        <f t="shared" si="50"/>
        <v/>
      </c>
      <c r="F185" s="45" t="str">
        <f t="shared" si="51"/>
        <v/>
      </c>
      <c r="G185" s="45" t="str">
        <f t="shared" si="52"/>
        <v/>
      </c>
      <c r="H185" s="45" t="str">
        <f t="shared" si="53"/>
        <v/>
      </c>
      <c r="I185" s="45">
        <f t="shared" si="41"/>
        <v>0</v>
      </c>
      <c r="J185" s="55" t="e">
        <f t="shared" si="34"/>
        <v>#VALUE!</v>
      </c>
    </row>
    <row r="186" spans="2:10" hidden="1">
      <c r="B186" s="12" t="str">
        <f t="shared" si="48"/>
        <v/>
      </c>
      <c r="C186" s="7">
        <v>45809</v>
      </c>
      <c r="D186" s="45" t="str">
        <f t="shared" si="49"/>
        <v/>
      </c>
      <c r="E186" s="45" t="str">
        <f t="shared" si="50"/>
        <v/>
      </c>
      <c r="F186" s="45" t="str">
        <f t="shared" si="51"/>
        <v/>
      </c>
      <c r="G186" s="45" t="str">
        <f t="shared" si="52"/>
        <v/>
      </c>
      <c r="H186" s="45" t="str">
        <f t="shared" si="53"/>
        <v/>
      </c>
      <c r="I186" s="45">
        <f t="shared" si="41"/>
        <v>0</v>
      </c>
      <c r="J186" s="55" t="e">
        <f t="shared" si="34"/>
        <v>#VALUE!</v>
      </c>
    </row>
    <row r="187" spans="2:10" hidden="1">
      <c r="B187" s="12" t="str">
        <f t="shared" si="48"/>
        <v/>
      </c>
      <c r="C187" s="7">
        <v>45839</v>
      </c>
      <c r="D187" s="45" t="str">
        <f t="shared" si="49"/>
        <v/>
      </c>
      <c r="E187" s="45" t="str">
        <f t="shared" si="50"/>
        <v/>
      </c>
      <c r="F187" s="45" t="str">
        <f t="shared" si="51"/>
        <v/>
      </c>
      <c r="G187" s="45" t="str">
        <f t="shared" si="52"/>
        <v/>
      </c>
      <c r="H187" s="45" t="str">
        <f t="shared" si="53"/>
        <v/>
      </c>
      <c r="I187" s="45">
        <f t="shared" si="41"/>
        <v>0</v>
      </c>
      <c r="J187" s="55" t="e">
        <f t="shared" si="34"/>
        <v>#VALUE!</v>
      </c>
    </row>
    <row r="188" spans="2:10" hidden="1">
      <c r="B188" s="12" t="str">
        <f t="shared" si="48"/>
        <v/>
      </c>
      <c r="C188" s="7">
        <v>45870</v>
      </c>
      <c r="D188" s="45" t="str">
        <f t="shared" si="49"/>
        <v/>
      </c>
      <c r="E188" s="45" t="str">
        <f t="shared" si="50"/>
        <v/>
      </c>
      <c r="F188" s="45" t="str">
        <f t="shared" si="51"/>
        <v/>
      </c>
      <c r="G188" s="45" t="str">
        <f t="shared" si="52"/>
        <v/>
      </c>
      <c r="H188" s="45" t="str">
        <f t="shared" si="53"/>
        <v/>
      </c>
      <c r="I188" s="45">
        <f t="shared" si="41"/>
        <v>0</v>
      </c>
      <c r="J188" s="55" t="e">
        <f t="shared" si="34"/>
        <v>#VALUE!</v>
      </c>
    </row>
    <row r="189" spans="2:10" hidden="1">
      <c r="B189" s="12" t="str">
        <f t="shared" si="48"/>
        <v/>
      </c>
      <c r="C189" s="7">
        <v>45901</v>
      </c>
      <c r="D189" s="45" t="str">
        <f t="shared" si="49"/>
        <v/>
      </c>
      <c r="E189" s="45" t="str">
        <f t="shared" si="50"/>
        <v/>
      </c>
      <c r="F189" s="45" t="str">
        <f t="shared" si="51"/>
        <v/>
      </c>
      <c r="G189" s="45" t="str">
        <f t="shared" si="52"/>
        <v/>
      </c>
      <c r="H189" s="45" t="str">
        <f t="shared" si="53"/>
        <v/>
      </c>
      <c r="I189" s="45">
        <f t="shared" si="41"/>
        <v>0</v>
      </c>
      <c r="J189" s="55" t="e">
        <f t="shared" si="34"/>
        <v>#VALUE!</v>
      </c>
    </row>
    <row r="190" spans="2:10" hidden="1">
      <c r="B190" s="12" t="str">
        <f t="shared" si="48"/>
        <v/>
      </c>
      <c r="C190" s="7">
        <v>45931</v>
      </c>
      <c r="D190" s="45" t="str">
        <f t="shared" si="49"/>
        <v/>
      </c>
      <c r="E190" s="45" t="str">
        <f t="shared" si="50"/>
        <v/>
      </c>
      <c r="F190" s="45" t="str">
        <f t="shared" si="51"/>
        <v/>
      </c>
      <c r="G190" s="45" t="str">
        <f t="shared" si="52"/>
        <v/>
      </c>
      <c r="H190" s="45" t="str">
        <f t="shared" si="53"/>
        <v/>
      </c>
      <c r="I190" s="45">
        <f t="shared" si="41"/>
        <v>0</v>
      </c>
      <c r="J190" s="55" t="e">
        <f t="shared" si="34"/>
        <v>#VALUE!</v>
      </c>
    </row>
    <row r="191" spans="2:10" hidden="1">
      <c r="B191" s="12" t="str">
        <f t="shared" si="48"/>
        <v/>
      </c>
      <c r="C191" s="7">
        <v>45962</v>
      </c>
      <c r="D191" s="45" t="str">
        <f t="shared" si="49"/>
        <v/>
      </c>
      <c r="E191" s="45" t="str">
        <f t="shared" si="50"/>
        <v/>
      </c>
      <c r="F191" s="45" t="str">
        <f t="shared" si="51"/>
        <v/>
      </c>
      <c r="G191" s="45" t="str">
        <f t="shared" si="52"/>
        <v/>
      </c>
      <c r="H191" s="45" t="str">
        <f t="shared" si="53"/>
        <v/>
      </c>
      <c r="I191" s="45">
        <f t="shared" si="41"/>
        <v>0</v>
      </c>
      <c r="J191" s="55" t="e">
        <f t="shared" si="34"/>
        <v>#VALUE!</v>
      </c>
    </row>
    <row r="192" spans="2:10" hidden="1">
      <c r="B192" s="12" t="str">
        <f t="shared" si="48"/>
        <v/>
      </c>
      <c r="C192" s="7">
        <v>45992</v>
      </c>
      <c r="D192" s="45" t="str">
        <f t="shared" si="49"/>
        <v/>
      </c>
      <c r="E192" s="45" t="str">
        <f t="shared" si="50"/>
        <v/>
      </c>
      <c r="F192" s="45" t="str">
        <f t="shared" si="51"/>
        <v/>
      </c>
      <c r="G192" s="45" t="str">
        <f t="shared" si="52"/>
        <v/>
      </c>
      <c r="H192" s="45" t="str">
        <f t="shared" si="53"/>
        <v/>
      </c>
      <c r="I192" s="45">
        <f t="shared" si="41"/>
        <v>0</v>
      </c>
      <c r="J192" s="55" t="e">
        <f t="shared" si="34"/>
        <v>#VALUE!</v>
      </c>
    </row>
    <row r="193" spans="1:10" hidden="1">
      <c r="B193" s="12" t="str">
        <f t="shared" si="48"/>
        <v/>
      </c>
      <c r="C193" s="7">
        <v>46023</v>
      </c>
      <c r="D193" s="45" t="str">
        <f t="shared" si="49"/>
        <v/>
      </c>
      <c r="E193" s="45" t="str">
        <f t="shared" si="50"/>
        <v/>
      </c>
      <c r="F193" s="45" t="str">
        <f t="shared" si="51"/>
        <v/>
      </c>
      <c r="G193" s="45" t="str">
        <f t="shared" si="52"/>
        <v/>
      </c>
      <c r="H193" s="45" t="str">
        <f t="shared" si="53"/>
        <v/>
      </c>
      <c r="I193" s="45">
        <f t="shared" si="41"/>
        <v>0</v>
      </c>
      <c r="J193" s="55" t="e">
        <f t="shared" si="34"/>
        <v>#VALUE!</v>
      </c>
    </row>
    <row r="194" spans="1:10">
      <c r="B194" s="12"/>
      <c r="C194" s="7"/>
      <c r="D194" s="8"/>
      <c r="E194" s="8"/>
      <c r="F194" s="8"/>
      <c r="G194" s="8"/>
      <c r="H194" s="8"/>
      <c r="I194" s="8"/>
    </row>
    <row r="196" spans="1:10">
      <c r="D196" s="41" t="s">
        <v>15</v>
      </c>
      <c r="E196" s="44">
        <f>SUM(E14:E195)</f>
        <v>379500.39625102672</v>
      </c>
      <c r="F196" s="44">
        <f>SUM(F14:F195)</f>
        <v>420500.00374897348</v>
      </c>
    </row>
    <row r="197" spans="1:10">
      <c r="D197" s="42" t="s">
        <v>16</v>
      </c>
      <c r="E197" s="46"/>
      <c r="F197" s="47">
        <v>0</v>
      </c>
      <c r="G197"/>
    </row>
    <row r="198" spans="1:10" ht="18" customHeight="1" thickBot="1">
      <c r="E198" s="45"/>
      <c r="F198" s="48">
        <f>+D3-F196-F197</f>
        <v>3579499.9962510266</v>
      </c>
      <c r="G198" s="40">
        <f>+D7+364</f>
        <v>40939</v>
      </c>
    </row>
    <row r="199" spans="1:10" ht="18" customHeight="1" thickTop="1">
      <c r="E199" s="45"/>
      <c r="F199" s="49"/>
      <c r="G199" s="40"/>
    </row>
    <row r="200" spans="1:10" ht="18" customHeight="1">
      <c r="E200" s="45"/>
      <c r="F200" s="49"/>
      <c r="G200" s="40"/>
    </row>
    <row r="201" spans="1:10">
      <c r="F201"/>
      <c r="G201"/>
    </row>
    <row r="205" spans="1:10">
      <c r="A205" s="3" t="s">
        <v>17</v>
      </c>
    </row>
    <row r="206" spans="1:10">
      <c r="B206" s="3" t="s">
        <v>18</v>
      </c>
      <c r="C206" s="3">
        <f>IF(Entered_payment=0,Calculated_payment,Entered_payment)</f>
        <v>6666.67</v>
      </c>
      <c r="F206" s="5" t="str">
        <f>"Anfangsstand bei Zahlung "&amp;TEXT(First_payment_no,"0")&amp;":"</f>
        <v>Anfangsstand bei Zahlung 1:</v>
      </c>
      <c r="G206" s="5">
        <f>FV(Annual_interest_rate/Payments_per_year,First_payment_no-1,Pmt_to_use,-Loan_amount)</f>
        <v>4000000</v>
      </c>
    </row>
    <row r="207" spans="1:10">
      <c r="B207" s="3" t="s">
        <v>19</v>
      </c>
      <c r="C207" s="3">
        <f>IF(H3=0,IF(H4=0,1,H4),1+D6*(YEAR(H3)-YEAR(D7))+INT(D6*(MONTH(H3)-MONTH(D7))/12)+IF(DAY(H3)&gt;DAY(D7),1))</f>
        <v>1</v>
      </c>
      <c r="F207" s="5" t="str">
        <f>"Kumulativer Zins vor Zahlung "&amp;TEXT(First_payment_no,"0")&amp;":"</f>
        <v>Kumulativer Zins vor Zahlung 1:</v>
      </c>
      <c r="G207" s="5">
        <f>Pmt_to_use*(First_payment_no-1)-(Loan_amount-Table_beg_bal)</f>
        <v>0</v>
      </c>
    </row>
    <row r="218" spans="3:7">
      <c r="C218" s="3" t="s">
        <v>20</v>
      </c>
      <c r="D218" s="5" t="s">
        <v>11</v>
      </c>
      <c r="E218" s="5" t="s">
        <v>7</v>
      </c>
      <c r="F218" s="5" t="s">
        <v>21</v>
      </c>
      <c r="G218" s="5" t="s">
        <v>22</v>
      </c>
    </row>
    <row r="219" spans="3:7">
      <c r="C219" s="35">
        <v>200000</v>
      </c>
      <c r="D219" s="34">
        <v>4.4999999999999998E-2</v>
      </c>
      <c r="E219" s="34"/>
      <c r="F219" s="36">
        <f>+D219*C219</f>
        <v>9000</v>
      </c>
      <c r="G219" s="36">
        <f>+F219/12</f>
        <v>750</v>
      </c>
    </row>
    <row r="220" spans="3:7">
      <c r="C220" s="35">
        <v>100000</v>
      </c>
      <c r="D220" s="6">
        <v>5.2999999999999999E-2</v>
      </c>
      <c r="E220" s="34">
        <v>0.01</v>
      </c>
      <c r="F220" s="36">
        <f>+C220*(D220+E220)</f>
        <v>6300</v>
      </c>
      <c r="G220" s="36">
        <f>+F220/12</f>
        <v>525</v>
      </c>
    </row>
    <row r="221" spans="3:7">
      <c r="C221" s="35">
        <v>400000</v>
      </c>
      <c r="D221" s="34"/>
      <c r="E221" s="34"/>
      <c r="F221" s="36"/>
      <c r="G221" s="37">
        <f>SUM(G219:G220)</f>
        <v>1275</v>
      </c>
    </row>
    <row r="222" spans="3:7">
      <c r="D222" s="34"/>
      <c r="E222" s="34"/>
      <c r="F222" s="36"/>
      <c r="G222" s="36"/>
    </row>
    <row r="223" spans="3:7">
      <c r="C223" s="9" t="s">
        <v>23</v>
      </c>
    </row>
    <row r="224" spans="3:7">
      <c r="C224" s="3" t="s">
        <v>24</v>
      </c>
      <c r="D224" s="36">
        <f>+G221</f>
        <v>1275</v>
      </c>
    </row>
    <row r="225" spans="3:4">
      <c r="C225" s="3" t="s">
        <v>25</v>
      </c>
      <c r="D225" s="36">
        <v>400</v>
      </c>
    </row>
    <row r="226" spans="3:4">
      <c r="C226" s="3" t="s">
        <v>26</v>
      </c>
      <c r="D226" s="36">
        <v>120</v>
      </c>
    </row>
    <row r="227" spans="3:4">
      <c r="C227" s="3" t="s">
        <v>27</v>
      </c>
      <c r="D227" s="36"/>
    </row>
    <row r="228" spans="3:4">
      <c r="C228" s="3" t="s">
        <v>28</v>
      </c>
      <c r="D228" s="36">
        <v>0</v>
      </c>
    </row>
    <row r="229" spans="3:4">
      <c r="C229" s="3" t="s">
        <v>29</v>
      </c>
      <c r="D229" s="37">
        <f>SUM(D224:D228)</f>
        <v>1795</v>
      </c>
    </row>
    <row r="230" spans="3:4">
      <c r="C230" s="3" t="s">
        <v>30</v>
      </c>
      <c r="D230" s="36">
        <v>30000</v>
      </c>
    </row>
    <row r="231" spans="3:4">
      <c r="D231" s="36"/>
    </row>
    <row r="232" spans="3:4">
      <c r="D232" s="36"/>
    </row>
    <row r="233" spans="3:4">
      <c r="D233" s="36"/>
    </row>
    <row r="234" spans="3:4">
      <c r="D234" s="36"/>
    </row>
    <row r="235" spans="3:4">
      <c r="C235" s="3" t="s">
        <v>31</v>
      </c>
      <c r="D235" s="36"/>
    </row>
  </sheetData>
  <mergeCells count="1">
    <mergeCell ref="E3:F3"/>
  </mergeCells>
  <phoneticPr fontId="0" type="noConversion"/>
  <pageMargins left="0" right="0" top="0.71" bottom="0" header="0.51181102362204722" footer="0.51181102362204722"/>
  <pageSetup paperSize="9" scale="75" orientation="portrait" horizontalDpi="4294967292" verticalDpi="4294967292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E18"/>
  <sheetViews>
    <sheetView workbookViewId="0">
      <selection sqref="A1:IV65536"/>
    </sheetView>
  </sheetViews>
  <sheetFormatPr baseColWidth="10" defaultColWidth="9.140625" defaultRowHeight="12.75"/>
  <cols>
    <col min="1" max="1" width="11.5703125" style="15" customWidth="1"/>
    <col min="2" max="2" width="31.28515625" style="15" customWidth="1"/>
    <col min="3" max="3" width="13.5703125" style="15" customWidth="1"/>
    <col min="4" max="16384" width="9.140625" style="15"/>
  </cols>
  <sheetData>
    <row r="1" spans="1:5">
      <c r="A1" s="13"/>
      <c r="B1" s="13"/>
      <c r="C1" s="14"/>
    </row>
    <row r="2" spans="1:5">
      <c r="A2" s="14"/>
      <c r="B2" s="14"/>
      <c r="C2" s="14"/>
    </row>
    <row r="3" spans="1:5">
      <c r="A3" s="14"/>
      <c r="B3" s="14"/>
      <c r="C3" s="14"/>
    </row>
    <row r="4" spans="1:5">
      <c r="A4" s="14"/>
      <c r="B4" s="14"/>
      <c r="C4" s="14"/>
    </row>
    <row r="5" spans="1:5">
      <c r="A5" s="13"/>
      <c r="B5" s="13"/>
      <c r="C5" s="13"/>
    </row>
    <row r="6" spans="1:5">
      <c r="A6" s="14"/>
      <c r="B6" s="16"/>
      <c r="C6" s="17"/>
      <c r="E6" s="16"/>
    </row>
    <row r="7" spans="1:5">
      <c r="A7" s="14"/>
      <c r="B7" s="16"/>
      <c r="C7" s="17"/>
      <c r="E7" s="16"/>
    </row>
    <row r="8" spans="1:5">
      <c r="A8" s="14"/>
      <c r="B8" s="16"/>
      <c r="C8" s="17"/>
      <c r="E8" s="16"/>
    </row>
    <row r="9" spans="1:5">
      <c r="A9" s="14"/>
      <c r="B9" s="16"/>
      <c r="C9" s="17"/>
      <c r="E9" s="16"/>
    </row>
    <row r="10" spans="1:5">
      <c r="A10" s="14"/>
      <c r="B10" s="16"/>
      <c r="C10" s="17"/>
      <c r="E10" s="16"/>
    </row>
    <row r="11" spans="1:5">
      <c r="A11" s="14"/>
      <c r="B11" s="16"/>
      <c r="C11" s="17"/>
      <c r="E11" s="16"/>
    </row>
    <row r="12" spans="1:5">
      <c r="A12" s="14"/>
      <c r="B12" s="16"/>
      <c r="C12" s="17"/>
      <c r="E12" s="16"/>
    </row>
    <row r="13" spans="1:5">
      <c r="A13" s="14"/>
      <c r="B13" s="16"/>
      <c r="C13" s="17"/>
      <c r="E13" s="16"/>
    </row>
    <row r="14" spans="1:5">
      <c r="A14" s="14"/>
      <c r="B14" s="16"/>
      <c r="C14" s="17"/>
      <c r="E14" s="16"/>
    </row>
    <row r="15" spans="1:5">
      <c r="A15" s="14"/>
      <c r="B15" s="16"/>
      <c r="C15" s="17"/>
      <c r="E15" s="16"/>
    </row>
    <row r="16" spans="1:5">
      <c r="A16" s="14"/>
      <c r="B16" s="16"/>
      <c r="C16" s="17"/>
    </row>
    <row r="17" spans="1:3">
      <c r="A17" s="14"/>
      <c r="B17" s="16"/>
      <c r="C17" s="17"/>
    </row>
    <row r="18" spans="1:3">
      <c r="A18" s="14"/>
      <c r="B18" s="14"/>
      <c r="C18" s="17"/>
    </row>
  </sheetData>
  <phoneticPr fontId="0" type="noConversion"/>
  <printOptions gridLines="1" gridLinesSet="0"/>
  <pageMargins left="0.78740157499999996" right="0.78740157499999996" top="0.984251969" bottom="0.984251969" header="0.5" footer="0.5"/>
  <headerFooter alignWithMargins="0">
    <oddHeader>&amp;A</oddHeader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2:G93"/>
  <sheetViews>
    <sheetView workbookViewId="0">
      <selection sqref="A1:IV65536"/>
    </sheetView>
  </sheetViews>
  <sheetFormatPr baseColWidth="10" defaultRowHeight="12.75"/>
  <cols>
    <col min="3" max="3" width="11.42578125" style="23"/>
    <col min="4" max="4" width="0" style="1" hidden="1" customWidth="1"/>
    <col min="5" max="5" width="0" hidden="1" customWidth="1"/>
  </cols>
  <sheetData>
    <row r="2" spans="1:6">
      <c r="A2" s="31"/>
    </row>
    <row r="4" spans="1:6">
      <c r="A4" s="26"/>
      <c r="B4" s="26"/>
      <c r="C4" s="27"/>
      <c r="D4" s="28"/>
      <c r="E4" s="26"/>
      <c r="F4" s="26"/>
    </row>
    <row r="5" spans="1:6">
      <c r="A5" s="25"/>
      <c r="B5" s="2"/>
      <c r="E5" s="1"/>
      <c r="F5" s="33"/>
    </row>
    <row r="6" spans="1:6">
      <c r="A6" s="1"/>
      <c r="B6" s="2"/>
      <c r="E6" s="1"/>
      <c r="F6" s="33"/>
    </row>
    <row r="7" spans="1:6">
      <c r="A7" s="1"/>
      <c r="B7" s="2"/>
      <c r="E7" s="1"/>
      <c r="F7" s="33"/>
    </row>
    <row r="8" spans="1:6">
      <c r="A8" s="1"/>
      <c r="B8" s="2"/>
      <c r="E8" s="1"/>
      <c r="F8" s="33"/>
    </row>
    <row r="9" spans="1:6">
      <c r="A9" s="1"/>
      <c r="B9" s="2"/>
      <c r="E9" s="1"/>
      <c r="F9" s="33"/>
    </row>
    <row r="10" spans="1:6">
      <c r="A10" s="25"/>
      <c r="B10" s="2"/>
      <c r="C10" s="32"/>
      <c r="E10" s="25"/>
      <c r="F10" s="25"/>
    </row>
    <row r="11" spans="1:6">
      <c r="A11" s="1"/>
      <c r="B11" s="2"/>
      <c r="E11" s="1"/>
      <c r="F11" s="33"/>
    </row>
    <row r="12" spans="1:6">
      <c r="A12" s="25"/>
      <c r="B12" s="2"/>
      <c r="E12" s="29"/>
      <c r="F12" s="25"/>
    </row>
    <row r="13" spans="1:6">
      <c r="F13" s="30"/>
    </row>
    <row r="16" spans="1:6">
      <c r="A16" s="31"/>
    </row>
    <row r="18" spans="1:7">
      <c r="A18" s="26"/>
      <c r="B18" s="26"/>
      <c r="C18" s="27"/>
      <c r="D18" s="28"/>
      <c r="E18" s="26"/>
      <c r="F18" s="26"/>
    </row>
    <row r="19" spans="1:7">
      <c r="A19" s="1"/>
      <c r="B19" s="2"/>
      <c r="E19" s="1"/>
      <c r="F19" s="33"/>
    </row>
    <row r="20" spans="1:7">
      <c r="A20" s="1"/>
      <c r="B20" s="2"/>
      <c r="E20" s="1"/>
      <c r="F20" s="33"/>
    </row>
    <row r="21" spans="1:7">
      <c r="A21" s="1"/>
      <c r="B21" s="2"/>
      <c r="E21" s="1"/>
      <c r="F21" s="33"/>
    </row>
    <row r="22" spans="1:7">
      <c r="A22" s="1"/>
      <c r="B22" s="2"/>
      <c r="E22" s="1"/>
      <c r="F22" s="33"/>
    </row>
    <row r="23" spans="1:7">
      <c r="A23" s="1"/>
      <c r="B23" s="2"/>
      <c r="E23" s="1"/>
      <c r="F23" s="33"/>
    </row>
    <row r="24" spans="1:7">
      <c r="A24" s="1"/>
      <c r="B24" s="2"/>
      <c r="E24" s="1"/>
      <c r="F24" s="33"/>
    </row>
    <row r="25" spans="1:7">
      <c r="A25" s="1"/>
      <c r="B25" s="2"/>
      <c r="E25" s="1"/>
      <c r="F25" s="33"/>
      <c r="G25" s="1"/>
    </row>
    <row r="26" spans="1:7">
      <c r="A26" s="25"/>
      <c r="B26" s="2"/>
      <c r="E26" s="29"/>
      <c r="F26" s="25"/>
    </row>
    <row r="27" spans="1:7">
      <c r="F27" s="29"/>
    </row>
    <row r="29" spans="1:7">
      <c r="C29"/>
      <c r="D29"/>
    </row>
    <row r="30" spans="1:7">
      <c r="C30"/>
      <c r="D30"/>
    </row>
    <row r="31" spans="1:7">
      <c r="C31"/>
      <c r="D31"/>
    </row>
    <row r="32" spans="1:7">
      <c r="C32"/>
      <c r="D32"/>
    </row>
    <row r="33" spans="1:4">
      <c r="C33"/>
      <c r="D33"/>
    </row>
    <row r="34" spans="1:4">
      <c r="C34"/>
      <c r="D34"/>
    </row>
    <row r="35" spans="1:4">
      <c r="C35"/>
      <c r="D35"/>
    </row>
    <row r="36" spans="1:4">
      <c r="C36"/>
      <c r="D36"/>
    </row>
    <row r="37" spans="1:4">
      <c r="C37"/>
      <c r="D37"/>
    </row>
    <row r="38" spans="1:4">
      <c r="C38"/>
      <c r="D38"/>
    </row>
    <row r="45" spans="1:4">
      <c r="A45" s="2"/>
      <c r="B45" s="1"/>
    </row>
    <row r="46" spans="1:4">
      <c r="A46" s="2"/>
      <c r="B46" s="1"/>
    </row>
    <row r="47" spans="1:4">
      <c r="B47" s="25"/>
    </row>
    <row r="50" spans="1:6" s="1" customFormat="1"/>
    <row r="51" spans="1:6" s="1" customFormat="1"/>
    <row r="52" spans="1:6" s="1" customFormat="1"/>
    <row r="53" spans="1:6" s="1" customFormat="1"/>
    <row r="54" spans="1:6" s="1" customFormat="1"/>
    <row r="55" spans="1:6" s="1" customFormat="1"/>
    <row r="56" spans="1:6">
      <c r="A56" s="1"/>
      <c r="B56" s="2"/>
      <c r="E56" s="1"/>
    </row>
    <row r="57" spans="1:6">
      <c r="A57" s="1"/>
      <c r="B57" s="2"/>
      <c r="E57" s="1"/>
    </row>
    <row r="58" spans="1:6">
      <c r="A58" s="1"/>
      <c r="B58" s="2"/>
      <c r="E58" s="1"/>
    </row>
    <row r="59" spans="1:6">
      <c r="A59" s="1"/>
      <c r="B59" s="2"/>
      <c r="E59" s="1"/>
    </row>
    <row r="60" spans="1:6">
      <c r="A60" s="1"/>
      <c r="B60" s="2"/>
      <c r="E60" s="1"/>
    </row>
    <row r="61" spans="1:6">
      <c r="A61" s="1"/>
      <c r="B61" s="2"/>
      <c r="E61" s="1"/>
    </row>
    <row r="62" spans="1:6">
      <c r="A62" s="1"/>
      <c r="B62" s="2"/>
      <c r="E62" s="1"/>
    </row>
    <row r="63" spans="1:6">
      <c r="A63" s="25"/>
      <c r="B63" s="2"/>
      <c r="E63" s="1"/>
      <c r="F63" s="24"/>
    </row>
    <row r="65" spans="1:3">
      <c r="A65" s="1"/>
      <c r="B65" s="1"/>
      <c r="C65" s="1"/>
    </row>
    <row r="66" spans="1:3">
      <c r="A66" s="1"/>
      <c r="B66" s="1"/>
      <c r="C66" s="1"/>
    </row>
    <row r="67" spans="1:3">
      <c r="A67" s="1"/>
      <c r="B67" s="1"/>
      <c r="C67" s="1"/>
    </row>
    <row r="68" spans="1:3">
      <c r="A68" s="1"/>
      <c r="B68" s="1"/>
      <c r="C68" s="1"/>
    </row>
    <row r="69" spans="1:3">
      <c r="A69" s="1"/>
      <c r="B69" s="1"/>
      <c r="C69" s="1"/>
    </row>
    <row r="70" spans="1:3">
      <c r="A70" s="1"/>
      <c r="B70" s="1"/>
      <c r="C70" s="1"/>
    </row>
    <row r="72" spans="1:3">
      <c r="A72" s="1"/>
      <c r="B72" s="1"/>
      <c r="C72" s="1"/>
    </row>
    <row r="73" spans="1:3">
      <c r="A73" s="1"/>
      <c r="B73" s="1"/>
      <c r="C73" s="1"/>
    </row>
    <row r="74" spans="1:3">
      <c r="A74" s="1"/>
      <c r="B74" s="1"/>
      <c r="C74" s="1"/>
    </row>
    <row r="75" spans="1:3">
      <c r="A75" s="1"/>
      <c r="B75" s="1"/>
      <c r="C75" s="1"/>
    </row>
    <row r="76" spans="1:3">
      <c r="A76" s="1"/>
      <c r="B76" s="1"/>
      <c r="C76" s="1"/>
    </row>
    <row r="77" spans="1:3">
      <c r="A77" s="1"/>
      <c r="B77" s="1"/>
      <c r="C77" s="1"/>
    </row>
    <row r="78" spans="1:3">
      <c r="A78" s="1"/>
      <c r="B78" s="1"/>
      <c r="C78" s="1"/>
    </row>
    <row r="79" spans="1:3">
      <c r="A79" s="1"/>
      <c r="B79" s="1"/>
      <c r="C79" s="1"/>
    </row>
    <row r="80" spans="1:3">
      <c r="A80" s="1"/>
      <c r="B80" s="1"/>
      <c r="C80" s="1"/>
    </row>
    <row r="81" spans="1:3">
      <c r="A81" s="1"/>
      <c r="B81" s="1"/>
      <c r="C81" s="1"/>
    </row>
    <row r="82" spans="1:3">
      <c r="A82" s="1"/>
      <c r="B82" s="1"/>
      <c r="C82" s="1"/>
    </row>
    <row r="83" spans="1:3">
      <c r="A83" s="1"/>
      <c r="B83" s="1"/>
      <c r="C83" s="1"/>
    </row>
    <row r="84" spans="1:3">
      <c r="A84" s="1"/>
      <c r="B84" s="1"/>
      <c r="C84" s="1"/>
    </row>
    <row r="85" spans="1:3">
      <c r="A85" s="1"/>
      <c r="B85" s="1"/>
      <c r="C85" s="1"/>
    </row>
    <row r="86" spans="1:3">
      <c r="A86" s="1"/>
      <c r="B86" s="1"/>
      <c r="C86" s="1"/>
    </row>
    <row r="87" spans="1:3">
      <c r="A87" s="1"/>
      <c r="B87" s="1"/>
      <c r="C87" s="1"/>
    </row>
    <row r="88" spans="1:3">
      <c r="A88" s="1"/>
      <c r="B88" s="1"/>
      <c r="C88" s="1"/>
    </row>
    <row r="89" spans="1:3">
      <c r="A89" s="1"/>
      <c r="B89" s="1"/>
      <c r="C89" s="1"/>
    </row>
    <row r="90" spans="1:3">
      <c r="A90" s="1"/>
      <c r="B90" s="1"/>
      <c r="C90" s="1"/>
    </row>
    <row r="91" spans="1:3">
      <c r="A91" s="1"/>
      <c r="B91" s="1"/>
      <c r="C91" s="1"/>
    </row>
    <row r="92" spans="1:3">
      <c r="A92" s="1"/>
      <c r="B92" s="1"/>
      <c r="C92" s="1"/>
    </row>
    <row r="93" spans="1:3">
      <c r="A93" s="1"/>
      <c r="B93" s="1"/>
      <c r="C93" s="1"/>
    </row>
  </sheetData>
  <phoneticPr fontId="0" type="noConversion"/>
  <pageMargins left="0.39370078740157483" right="0.39370078740157483" top="0.39370078740157483" bottom="0.39370078740157483" header="0.51181102362204722" footer="0.51181102362204722"/>
  <pageSetup paperSize="9" orientation="portrait" horizontalDpi="4294967292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5"/>
  <dimension ref="A1"/>
  <sheetViews>
    <sheetView showGridLines="0" workbookViewId="0">
      <selection sqref="A1:IV65536"/>
    </sheetView>
  </sheetViews>
  <sheetFormatPr baseColWidth="10" defaultRowHeight="12.75"/>
  <sheetData/>
  <phoneticPr fontId="0" type="noConversion"/>
  <printOptions gridLinesSet="0"/>
  <pageMargins left="0.78740157499999996" right="0.78740157499999996" top="0.984251969" bottom="0.984251969" header="0.51181102300000003" footer="0.51181102300000003"/>
  <pageSetup paperSize="9" orientation="portrait" horizontalDpi="4294967292" r:id="rId1"/>
  <headerFooter alignWithMargins="0">
    <oddHeader>&amp;A</oddHeader>
    <oddFooter>Seite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Arbeitsblätter</vt:lpstr>
      </vt:variant>
      <vt:variant>
        <vt:i4>4</vt:i4>
      </vt:variant>
      <vt:variant>
        <vt:lpstr>Excel 4.0-Makrovorlagen</vt:lpstr>
      </vt:variant>
      <vt:variant>
        <vt:i4>1</vt:i4>
      </vt:variant>
      <vt:variant>
        <vt:lpstr>Benannte Bereiche</vt:lpstr>
      </vt:variant>
      <vt:variant>
        <vt:i4>14</vt:i4>
      </vt:variant>
    </vt:vector>
  </HeadingPairs>
  <TitlesOfParts>
    <vt:vector size="19" baseType="lpstr">
      <vt:lpstr>Hypothek</vt:lpstr>
      <vt:lpstr>Auflistung</vt:lpstr>
      <vt:lpstr>wegzins</vt:lpstr>
      <vt:lpstr>Tabelle2</vt:lpstr>
      <vt:lpstr>Makro1</vt:lpstr>
      <vt:lpstr>Annual_interest_rate</vt:lpstr>
      <vt:lpstr>Calculated_payment</vt:lpstr>
      <vt:lpstr>Hypothek!Druckbereich</vt:lpstr>
      <vt:lpstr>wegzins!Druckbereich</vt:lpstr>
      <vt:lpstr>Hypothek!Drucktitel</vt:lpstr>
      <vt:lpstr>Entered_payment</vt:lpstr>
      <vt:lpstr>First_payment_due</vt:lpstr>
      <vt:lpstr>First_payment_no</vt:lpstr>
      <vt:lpstr>Loan_amount</vt:lpstr>
      <vt:lpstr>Payments_per_year</vt:lpstr>
      <vt:lpstr>Pmt_to_use</vt:lpstr>
      <vt:lpstr>Table_beg_bal</vt:lpstr>
      <vt:lpstr>Table_prior_interest</vt:lpstr>
      <vt:lpstr>Term_in_years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Primetzhofer Alexandra DI.</dc:creator>
  <cp:lastModifiedBy>Primetzhofer Alexandra 0663 EH</cp:lastModifiedBy>
  <cp:lastPrinted>2011-01-12T09:45:57Z</cp:lastPrinted>
  <dcterms:created xsi:type="dcterms:W3CDTF">1999-09-30T12:31:06Z</dcterms:created>
  <dcterms:modified xsi:type="dcterms:W3CDTF">2022-05-30T09:48:33Z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ZINSEN.xls</vt:lpwstr>
  </property>
  <property fmtid="{D5CDD505-2E9C-101B-9397-08002B2CF9AE}" pid="3" name="MSIP_Label_38939b85-7e40-4a1d-91e1-0e84c3b219d7_Enabled">
    <vt:lpwstr>true</vt:lpwstr>
  </property>
  <property fmtid="{D5CDD505-2E9C-101B-9397-08002B2CF9AE}" pid="4" name="MSIP_Label_38939b85-7e40-4a1d-91e1-0e84c3b219d7_SetDate">
    <vt:lpwstr>2022-05-30T09:48:32Z</vt:lpwstr>
  </property>
  <property fmtid="{D5CDD505-2E9C-101B-9397-08002B2CF9AE}" pid="5" name="MSIP_Label_38939b85-7e40-4a1d-91e1-0e84c3b219d7_Method">
    <vt:lpwstr>Standard</vt:lpwstr>
  </property>
  <property fmtid="{D5CDD505-2E9C-101B-9397-08002B2CF9AE}" pid="6" name="MSIP_Label_38939b85-7e40-4a1d-91e1-0e84c3b219d7_Name">
    <vt:lpwstr>38939b85-7e40-4a1d-91e1-0e84c3b219d7</vt:lpwstr>
  </property>
  <property fmtid="{D5CDD505-2E9C-101B-9397-08002B2CF9AE}" pid="7" name="MSIP_Label_38939b85-7e40-4a1d-91e1-0e84c3b219d7_SiteId">
    <vt:lpwstr>3ad0376a-54d3-49a6-9e20-52de0a92fc89</vt:lpwstr>
  </property>
  <property fmtid="{D5CDD505-2E9C-101B-9397-08002B2CF9AE}" pid="8" name="MSIP_Label_38939b85-7e40-4a1d-91e1-0e84c3b219d7_ActionId">
    <vt:lpwstr>1e611805-9f45-4c00-b4d2-eb870051689a</vt:lpwstr>
  </property>
  <property fmtid="{D5CDD505-2E9C-101B-9397-08002B2CF9AE}" pid="9" name="MSIP_Label_38939b85-7e40-4a1d-91e1-0e84c3b219d7_ContentBits">
    <vt:lpwstr>0</vt:lpwstr>
  </property>
</Properties>
</file>