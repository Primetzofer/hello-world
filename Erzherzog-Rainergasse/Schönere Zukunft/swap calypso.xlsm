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rstegroup-my.sharepoint.com/personal/a960hfc_s-mxs_net/Documents/OD4BMigration/Erzherzog-Rainergasse/Schönere Zukunft/"/>
    </mc:Choice>
  </mc:AlternateContent>
  <xr:revisionPtr revIDLastSave="0" documentId="8_{FC080591-4D1C-4225-A056-3DA9B012B147}" xr6:coauthVersionLast="47" xr6:coauthVersionMax="47" xr10:uidLastSave="{00000000-0000-0000-0000-000000000000}"/>
  <bookViews>
    <workbookView xWindow="30945" yWindow="840" windowWidth="46950" windowHeight="23400"/>
  </bookViews>
  <sheets>
    <sheet name="Trade-1.1671454478680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5" i="2" l="1"/>
  <c r="AB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" i="2"/>
  <c r="Y59" i="2"/>
  <c r="V59" i="2"/>
  <c r="W59" i="2"/>
</calcChain>
</file>

<file path=xl/sharedStrings.xml><?xml version="1.0" encoding="utf-8"?>
<sst xmlns="http://schemas.openxmlformats.org/spreadsheetml/2006/main" count="300" uniqueCount="30">
  <si>
    <t> Notional</t>
  </si>
  <si>
    <t> Rate</t>
  </si>
  <si>
    <t> Spread</t>
  </si>
  <si>
    <t> Reset</t>
  </si>
  <si>
    <t> Fwd Begin</t>
  </si>
  <si>
    <t> Fwd End</t>
  </si>
  <si>
    <t> Pmt Begin</t>
  </si>
  <si>
    <t> Pmt End</t>
  </si>
  <si>
    <t> Idx Term</t>
  </si>
  <si>
    <t> Interp</t>
  </si>
  <si>
    <t> Period</t>
  </si>
  <si>
    <t> Proj Amt</t>
  </si>
  <si>
    <t> PV Disc</t>
  </si>
  <si>
    <t> Pmt Dt</t>
  </si>
  <si>
    <t> Interest Amt</t>
  </si>
  <si>
    <t> Manual Amt</t>
  </si>
  <si>
    <t> Fwd Rate</t>
  </si>
  <si>
    <t> df</t>
  </si>
  <si>
    <t> Type</t>
  </si>
  <si>
    <t> AllKnown</t>
  </si>
  <si>
    <t> Manual Principal</t>
  </si>
  <si>
    <t> Ntnl+Int</t>
  </si>
  <si>
    <t> Int Total Amt</t>
  </si>
  <si>
    <t> Fwd Rate * Index Factor</t>
  </si>
  <si>
    <t> Amort Amt</t>
  </si>
  <si>
    <t>3M-6M</t>
  </si>
  <si>
    <t>true</t>
  </si>
  <si>
    <t>false</t>
  </si>
  <si>
    <t>INTEREST</t>
  </si>
  <si>
    <t>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</si>
</sst>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1" formatCode="0.0"/>
  </numFmts>
  <fonts count="20">
    <font>
      <sz val="10"/>
      <color theme="1"/>
      <name val="Arial"/>
      <family val="2"/>
    </font>
    <font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57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 Unicode MS"/>
    </font>
    <font>
      <b/>
      <sz val="10"/>
      <color theme="1"/>
      <name val="Arial Unicode MS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BBFF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0" fontId="18" fillId="0" borderId="0" xfId="0" applyFont="1"/>
    <xf numFmtId="0" fontId="19" fillId="33" borderId="10" xfId="0" applyFont="1" applyFill="1" applyBorder="1" applyAlignment="1">
      <alignment vertical="top" wrapText="1"/>
    </xf>
    <xf numFmtId="4" fontId="0" fillId="0" borderId="0" xfId="0" applyNumberFormat="1"/>
    <xf numFmtId="4" fontId="18" fillId="0" borderId="10" xfId="0" applyNumberFormat="1" applyFont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14" fontId="18" fillId="0" borderId="10" xfId="0" applyNumberFormat="1" applyFont="1" applyBorder="1" applyAlignment="1">
      <alignment vertical="top" wrapText="1"/>
    </xf>
    <xf numFmtId="0" fontId="16" fillId="0" borderId="0" xfId="0" applyFont="1"/>
    <xf numFmtId="14" fontId="19" fillId="0" borderId="10" xfId="0" applyNumberFormat="1" applyFont="1" applyBorder="1" applyAlignment="1">
      <alignment vertical="top" wrapText="1"/>
    </xf>
    <xf numFmtId="171" fontId="0" fillId="0" borderId="0" xfId="0" applyNumberFormat="1"/>
    <xf numFmtId="4" fontId="8" fillId="4" borderId="10" xfId="8" applyNumberFormat="1" applyBorder="1" applyAlignment="1">
      <alignment vertical="top" wrapText="1"/>
    </xf>
    <xf numFmtId="0" fontId="8" fillId="4" borderId="10" xfId="8" applyBorder="1" applyAlignment="1">
      <alignment vertical="top" wrapText="1"/>
    </xf>
    <xf numFmtId="0" fontId="6" fillId="2" borderId="10" xfId="6" applyBorder="1" applyAlignment="1">
      <alignment vertical="top" wrapText="1"/>
    </xf>
    <xf numFmtId="0" fontId="19" fillId="34" borderId="10" xfId="0" applyFont="1" applyFill="1" applyBorder="1" applyAlignment="1">
      <alignment vertical="top" wrapText="1"/>
    </xf>
    <xf numFmtId="4" fontId="18" fillId="34" borderId="10" xfId="0" applyNumberFormat="1" applyFont="1" applyFill="1" applyBorder="1" applyAlignment="1">
      <alignment vertical="top" wrapText="1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19</xdr:row>
      <xdr:rowOff>0</xdr:rowOff>
    </xdr:from>
    <xdr:to>
      <xdr:col>15</xdr:col>
      <xdr:colOff>799078</xdr:colOff>
      <xdr:row>65</xdr:row>
      <xdr:rowOff>65736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63A39B59-1619-4A45-989C-CD1931122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76475" y="3076575"/>
          <a:ext cx="8171428" cy="75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E59"/>
  <sheetViews>
    <sheetView showGridLines="0" tabSelected="1" workbookViewId="0">
      <selection activeCell="E20" sqref="E20"/>
    </sheetView>
  </sheetViews>
  <sheetFormatPr baseColWidth="10" defaultRowHeight="12.75"/>
  <cols>
    <col min="1" max="1" width="10.140625" bestFit="1" customWidth="1"/>
    <col min="2" max="2" width="5.7109375" bestFit="1" customWidth="1"/>
    <col min="3" max="3" width="8.140625" bestFit="1" customWidth="1"/>
    <col min="4" max="4" width="10.140625" bestFit="1" customWidth="1"/>
    <col min="5" max="5" width="11.28515625" bestFit="1" customWidth="1"/>
    <col min="6" max="6" width="10.140625" bestFit="1" customWidth="1"/>
    <col min="7" max="7" width="11" style="7" bestFit="1" customWidth="1"/>
    <col min="8" max="8" width="10.140625" bestFit="1" customWidth="1"/>
    <col min="9" max="9" width="9.7109375" bestFit="1" customWidth="1"/>
    <col min="10" max="10" width="6.85546875" bestFit="1" customWidth="1"/>
    <col min="11" max="11" width="11" bestFit="1" customWidth="1"/>
    <col min="12" max="12" width="9.42578125" bestFit="1" customWidth="1"/>
    <col min="13" max="13" width="8.42578125" bestFit="1" customWidth="1"/>
    <col min="14" max="14" width="10.140625" bestFit="1" customWidth="1"/>
    <col min="15" max="16" width="12.42578125" bestFit="1" customWidth="1"/>
    <col min="17" max="17" width="10.140625" bestFit="1" customWidth="1"/>
    <col min="18" max="18" width="11" bestFit="1" customWidth="1"/>
    <col min="19" max="19" width="9.85546875" bestFit="1" customWidth="1"/>
    <col min="20" max="20" width="10.28515625" bestFit="1" customWidth="1"/>
    <col min="21" max="21" width="17.140625" bestFit="1" customWidth="1"/>
    <col min="22" max="22" width="10.140625" bestFit="1" customWidth="1"/>
    <col min="23" max="23" width="13.140625" bestFit="1" customWidth="1"/>
    <col min="24" max="24" width="23.7109375" bestFit="1" customWidth="1"/>
    <col min="25" max="25" width="11.140625" bestFit="1" customWidth="1"/>
  </cols>
  <sheetData>
    <row r="2" spans="1:31">
      <c r="A2" s="1"/>
    </row>
    <row r="3" spans="1:31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2" t="s">
        <v>9</v>
      </c>
      <c r="K3" s="2" t="s">
        <v>10</v>
      </c>
      <c r="L3" s="2" t="s">
        <v>11</v>
      </c>
      <c r="M3" s="2" t="s">
        <v>12</v>
      </c>
      <c r="N3" s="2" t="s">
        <v>13</v>
      </c>
      <c r="O3" s="2" t="s">
        <v>14</v>
      </c>
      <c r="P3" s="2" t="s">
        <v>15</v>
      </c>
      <c r="Q3" s="2" t="s">
        <v>16</v>
      </c>
      <c r="R3" s="2" t="s">
        <v>17</v>
      </c>
      <c r="S3" s="2" t="s">
        <v>18</v>
      </c>
      <c r="T3" s="2" t="s">
        <v>19</v>
      </c>
      <c r="U3" s="2" t="s">
        <v>20</v>
      </c>
      <c r="V3" s="2" t="s">
        <v>21</v>
      </c>
      <c r="W3" s="2" t="s">
        <v>22</v>
      </c>
      <c r="X3" s="2" t="s">
        <v>23</v>
      </c>
      <c r="Y3" s="13" t="s">
        <v>24</v>
      </c>
    </row>
    <row r="4" spans="1:31">
      <c r="A4" s="4">
        <v>161994</v>
      </c>
      <c r="B4" s="5">
        <v>0</v>
      </c>
      <c r="C4" s="12">
        <v>0.37</v>
      </c>
      <c r="D4" s="6">
        <v>44914</v>
      </c>
      <c r="E4" s="6">
        <v>44916</v>
      </c>
      <c r="F4" s="6">
        <v>45048</v>
      </c>
      <c r="G4" s="8">
        <v>44916</v>
      </c>
      <c r="H4" s="6">
        <v>45048</v>
      </c>
      <c r="I4" s="5" t="s">
        <v>25</v>
      </c>
      <c r="J4" s="5" t="s">
        <v>26</v>
      </c>
      <c r="K4" s="5">
        <v>0.36666666999999997</v>
      </c>
      <c r="L4" s="4">
        <v>1586.7</v>
      </c>
      <c r="M4" s="4">
        <v>1573.13</v>
      </c>
      <c r="N4" s="6">
        <v>45048</v>
      </c>
      <c r="O4" s="10">
        <v>1586.7</v>
      </c>
      <c r="P4" s="5" t="s">
        <v>27</v>
      </c>
      <c r="Q4" s="12">
        <v>2.3012999999999999</v>
      </c>
      <c r="R4" s="5">
        <v>0.99144942000000003</v>
      </c>
      <c r="S4" s="5" t="s">
        <v>28</v>
      </c>
      <c r="T4" s="5" t="s">
        <v>27</v>
      </c>
      <c r="U4" s="5">
        <v>0</v>
      </c>
      <c r="V4" s="4">
        <v>4532.05</v>
      </c>
      <c r="W4" s="4">
        <v>1586.7</v>
      </c>
      <c r="X4" s="5">
        <v>2.3012999999999999</v>
      </c>
      <c r="Y4" s="14">
        <v>2945.35</v>
      </c>
    </row>
    <row r="5" spans="1:31">
      <c r="A5" s="4">
        <v>159048.65</v>
      </c>
      <c r="B5" s="5">
        <v>0</v>
      </c>
      <c r="C5" s="12">
        <v>0.37</v>
      </c>
      <c r="D5" s="6">
        <v>45043</v>
      </c>
      <c r="E5" s="6">
        <v>45048</v>
      </c>
      <c r="F5" s="6">
        <v>45232</v>
      </c>
      <c r="G5" s="8">
        <v>45048</v>
      </c>
      <c r="H5" s="6">
        <v>45232</v>
      </c>
      <c r="I5" s="5" t="s">
        <v>29</v>
      </c>
      <c r="J5" s="5" t="s">
        <v>27</v>
      </c>
      <c r="K5" s="5">
        <v>0.51111110999999998</v>
      </c>
      <c r="L5" s="4">
        <v>3029.98</v>
      </c>
      <c r="M5" s="4">
        <v>2956.5</v>
      </c>
      <c r="N5" s="6">
        <v>45232</v>
      </c>
      <c r="O5" s="10">
        <v>3029.98</v>
      </c>
      <c r="P5" s="5" t="s">
        <v>27</v>
      </c>
      <c r="Q5" s="12">
        <v>3.35731</v>
      </c>
      <c r="R5" s="5">
        <v>0.97574766000000002</v>
      </c>
      <c r="S5" s="5" t="s">
        <v>28</v>
      </c>
      <c r="T5" s="5" t="s">
        <v>27</v>
      </c>
      <c r="U5" s="5">
        <v>0</v>
      </c>
      <c r="V5" s="4">
        <v>5975.33</v>
      </c>
      <c r="W5" s="4">
        <v>3029.98</v>
      </c>
      <c r="X5" s="5">
        <v>3.35731</v>
      </c>
      <c r="Y5" s="14">
        <v>2945.35</v>
      </c>
      <c r="Z5" s="9">
        <f>+Y5-O5</f>
        <v>-84.630000000000109</v>
      </c>
      <c r="AB5">
        <f>+Y5/6</f>
        <v>490.89166666666665</v>
      </c>
      <c r="AD5">
        <v>6044.11</v>
      </c>
      <c r="AE5">
        <f>+AD5/6</f>
        <v>1007.3516666666666</v>
      </c>
    </row>
    <row r="6" spans="1:31">
      <c r="A6" s="4">
        <v>156103.31</v>
      </c>
      <c r="B6" s="5">
        <v>0</v>
      </c>
      <c r="C6" s="12">
        <v>0.37</v>
      </c>
      <c r="D6" s="6">
        <v>45230</v>
      </c>
      <c r="E6" s="6">
        <v>45232</v>
      </c>
      <c r="F6" s="6">
        <v>45414</v>
      </c>
      <c r="G6" s="8">
        <v>45232</v>
      </c>
      <c r="H6" s="6">
        <v>45414</v>
      </c>
      <c r="I6" s="5" t="s">
        <v>29</v>
      </c>
      <c r="J6" s="5" t="s">
        <v>27</v>
      </c>
      <c r="K6" s="5">
        <v>0.50555556000000001</v>
      </c>
      <c r="L6" s="4">
        <v>2930.32</v>
      </c>
      <c r="M6" s="4">
        <v>2814.82</v>
      </c>
      <c r="N6" s="6">
        <v>45414</v>
      </c>
      <c r="O6" s="10">
        <v>2930.32</v>
      </c>
      <c r="P6" s="5" t="s">
        <v>27</v>
      </c>
      <c r="Q6" s="12">
        <v>3.3430800000000001</v>
      </c>
      <c r="R6" s="5">
        <v>0.96058323999999995</v>
      </c>
      <c r="S6" s="5" t="s">
        <v>28</v>
      </c>
      <c r="T6" s="5" t="s">
        <v>27</v>
      </c>
      <c r="U6" s="5">
        <v>0</v>
      </c>
      <c r="V6" s="4">
        <v>5875.67</v>
      </c>
      <c r="W6" s="4">
        <v>2930.32</v>
      </c>
      <c r="X6" s="5">
        <v>3.3430800000000001</v>
      </c>
      <c r="Y6" s="14">
        <v>2945.35</v>
      </c>
      <c r="Z6" s="9">
        <f t="shared" ref="Z6:Z58" si="0">+Y6-O6</f>
        <v>15.029999999999745</v>
      </c>
    </row>
    <row r="7" spans="1:31">
      <c r="A7" s="4">
        <v>153157.96</v>
      </c>
      <c r="B7" s="5">
        <v>0</v>
      </c>
      <c r="C7" s="12">
        <v>0.37</v>
      </c>
      <c r="D7" s="6">
        <v>45411</v>
      </c>
      <c r="E7" s="6">
        <v>45414</v>
      </c>
      <c r="F7" s="6">
        <v>45600</v>
      </c>
      <c r="G7" s="8">
        <v>45414</v>
      </c>
      <c r="H7" s="6">
        <v>45600</v>
      </c>
      <c r="I7" s="5" t="s">
        <v>29</v>
      </c>
      <c r="J7" s="5" t="s">
        <v>27</v>
      </c>
      <c r="K7" s="5">
        <v>0.51666666999999999</v>
      </c>
      <c r="L7" s="4">
        <v>2727.63</v>
      </c>
      <c r="M7" s="4">
        <v>2582.4899999999998</v>
      </c>
      <c r="N7" s="6">
        <v>45600</v>
      </c>
      <c r="O7" s="10">
        <v>2727.63</v>
      </c>
      <c r="P7" s="5" t="s">
        <v>27</v>
      </c>
      <c r="Q7" s="12">
        <v>3.0769600000000001</v>
      </c>
      <c r="R7" s="5">
        <v>0.94678956000000003</v>
      </c>
      <c r="S7" s="5" t="s">
        <v>28</v>
      </c>
      <c r="T7" s="5" t="s">
        <v>27</v>
      </c>
      <c r="U7" s="5">
        <v>0</v>
      </c>
      <c r="V7" s="4">
        <v>5672.98</v>
      </c>
      <c r="W7" s="4">
        <v>2727.63</v>
      </c>
      <c r="X7" s="5">
        <v>3.0769600000000001</v>
      </c>
      <c r="Y7" s="14">
        <v>2945.35</v>
      </c>
      <c r="Z7" s="9">
        <f t="shared" si="0"/>
        <v>217.7199999999998</v>
      </c>
    </row>
    <row r="8" spans="1:31">
      <c r="A8" s="4">
        <v>150212.62</v>
      </c>
      <c r="B8" s="5">
        <v>0</v>
      </c>
      <c r="C8" s="12">
        <v>0.37</v>
      </c>
      <c r="D8" s="6">
        <v>45596</v>
      </c>
      <c r="E8" s="6">
        <v>45600</v>
      </c>
      <c r="F8" s="6">
        <v>45782</v>
      </c>
      <c r="G8" s="8">
        <v>45600</v>
      </c>
      <c r="H8" s="6">
        <v>45779</v>
      </c>
      <c r="I8" s="5" t="s">
        <v>29</v>
      </c>
      <c r="J8" s="5" t="s">
        <v>27</v>
      </c>
      <c r="K8" s="5">
        <v>0.49722221999999999</v>
      </c>
      <c r="L8" s="4">
        <v>2357.59</v>
      </c>
      <c r="M8" s="4">
        <v>2204.62</v>
      </c>
      <c r="N8" s="6">
        <v>45779</v>
      </c>
      <c r="O8" s="10">
        <v>2357.59</v>
      </c>
      <c r="P8" s="5" t="s">
        <v>27</v>
      </c>
      <c r="Q8" s="12">
        <v>2.78654</v>
      </c>
      <c r="R8" s="5">
        <v>0.93511496000000005</v>
      </c>
      <c r="S8" s="5" t="s">
        <v>28</v>
      </c>
      <c r="T8" s="5" t="s">
        <v>27</v>
      </c>
      <c r="U8" s="5">
        <v>0</v>
      </c>
      <c r="V8" s="4">
        <v>5302.94</v>
      </c>
      <c r="W8" s="4">
        <v>2357.59</v>
      </c>
      <c r="X8" s="5">
        <v>2.78654</v>
      </c>
      <c r="Y8" s="14">
        <v>2945.35</v>
      </c>
      <c r="Z8" s="9">
        <f t="shared" si="0"/>
        <v>587.75999999999976</v>
      </c>
    </row>
    <row r="9" spans="1:31">
      <c r="A9" s="4">
        <v>147267.26999999999</v>
      </c>
      <c r="B9" s="5">
        <v>0</v>
      </c>
      <c r="C9" s="12">
        <v>0.37</v>
      </c>
      <c r="D9" s="6">
        <v>45776</v>
      </c>
      <c r="E9" s="6">
        <v>45779</v>
      </c>
      <c r="F9" s="6">
        <v>45964</v>
      </c>
      <c r="G9" s="8">
        <v>45779</v>
      </c>
      <c r="H9" s="6">
        <v>45964</v>
      </c>
      <c r="I9" s="5" t="s">
        <v>29</v>
      </c>
      <c r="J9" s="5" t="s">
        <v>27</v>
      </c>
      <c r="K9" s="5">
        <v>0.51388889000000004</v>
      </c>
      <c r="L9" s="4">
        <v>2331.65</v>
      </c>
      <c r="M9" s="4">
        <v>2153.17</v>
      </c>
      <c r="N9" s="6">
        <v>45964</v>
      </c>
      <c r="O9" s="10">
        <v>2331.65</v>
      </c>
      <c r="P9" s="5" t="s">
        <v>27</v>
      </c>
      <c r="Q9" s="12">
        <v>2.7109700000000001</v>
      </c>
      <c r="R9" s="5">
        <v>0.92345553999999996</v>
      </c>
      <c r="S9" s="5" t="s">
        <v>28</v>
      </c>
      <c r="T9" s="5" t="s">
        <v>27</v>
      </c>
      <c r="U9" s="5">
        <v>0</v>
      </c>
      <c r="V9" s="4">
        <v>5277</v>
      </c>
      <c r="W9" s="4">
        <v>2331.65</v>
      </c>
      <c r="X9" s="5">
        <v>2.7109700000000001</v>
      </c>
      <c r="Y9" s="14">
        <v>2945.35</v>
      </c>
      <c r="Z9" s="9">
        <f t="shared" si="0"/>
        <v>613.69999999999982</v>
      </c>
    </row>
    <row r="10" spans="1:31">
      <c r="A10" s="4">
        <v>144321.93</v>
      </c>
      <c r="B10" s="5">
        <v>0</v>
      </c>
      <c r="C10" s="12">
        <v>0.37</v>
      </c>
      <c r="D10" s="6">
        <v>45960</v>
      </c>
      <c r="E10" s="6">
        <v>45964</v>
      </c>
      <c r="F10" s="6">
        <v>46146</v>
      </c>
      <c r="G10" s="8">
        <v>45964</v>
      </c>
      <c r="H10" s="6">
        <v>46146</v>
      </c>
      <c r="I10" s="5" t="s">
        <v>29</v>
      </c>
      <c r="J10" s="5" t="s">
        <v>27</v>
      </c>
      <c r="K10" s="5">
        <v>0.50555556000000001</v>
      </c>
      <c r="L10" s="4">
        <v>2223.11</v>
      </c>
      <c r="M10" s="4">
        <v>2028.18</v>
      </c>
      <c r="N10" s="6">
        <v>46146</v>
      </c>
      <c r="O10" s="10">
        <v>2223.11</v>
      </c>
      <c r="P10" s="5" t="s">
        <v>27</v>
      </c>
      <c r="Q10" s="12">
        <v>2.67692</v>
      </c>
      <c r="R10" s="5">
        <v>0.91231472000000002</v>
      </c>
      <c r="S10" s="5" t="s">
        <v>28</v>
      </c>
      <c r="T10" s="5" t="s">
        <v>27</v>
      </c>
      <c r="U10" s="5">
        <v>0</v>
      </c>
      <c r="V10" s="4">
        <v>5168.46</v>
      </c>
      <c r="W10" s="4">
        <v>2223.11</v>
      </c>
      <c r="X10" s="5">
        <v>2.67692</v>
      </c>
      <c r="Y10" s="14">
        <v>2945.35</v>
      </c>
      <c r="Z10" s="9">
        <f t="shared" si="0"/>
        <v>722.23999999999978</v>
      </c>
    </row>
    <row r="11" spans="1:31">
      <c r="A11" s="4">
        <v>141376.57999999999</v>
      </c>
      <c r="B11" s="5">
        <v>0</v>
      </c>
      <c r="C11" s="12">
        <v>0.37</v>
      </c>
      <c r="D11" s="6">
        <v>46141</v>
      </c>
      <c r="E11" s="6">
        <v>46146</v>
      </c>
      <c r="F11" s="6">
        <v>46330</v>
      </c>
      <c r="G11" s="8">
        <v>46146</v>
      </c>
      <c r="H11" s="6">
        <v>46328</v>
      </c>
      <c r="I11" s="5" t="s">
        <v>29</v>
      </c>
      <c r="J11" s="5" t="s">
        <v>27</v>
      </c>
      <c r="K11" s="5">
        <v>0.50555556000000001</v>
      </c>
      <c r="L11" s="4">
        <v>2168.75</v>
      </c>
      <c r="M11" s="4">
        <v>1954.86</v>
      </c>
      <c r="N11" s="6">
        <v>46328</v>
      </c>
      <c r="O11" s="10">
        <v>2168.75</v>
      </c>
      <c r="P11" s="5" t="s">
        <v>27</v>
      </c>
      <c r="Q11" s="12">
        <v>2.6643300000000001</v>
      </c>
      <c r="R11" s="5">
        <v>0.90137663000000001</v>
      </c>
      <c r="S11" s="5" t="s">
        <v>28</v>
      </c>
      <c r="T11" s="5" t="s">
        <v>27</v>
      </c>
      <c r="U11" s="5">
        <v>0</v>
      </c>
      <c r="V11" s="4">
        <v>5114.1000000000004</v>
      </c>
      <c r="W11" s="4">
        <v>2168.75</v>
      </c>
      <c r="X11" s="5">
        <v>2.6643300000000001</v>
      </c>
      <c r="Y11" s="14">
        <v>2945.35</v>
      </c>
      <c r="Z11" s="9">
        <f t="shared" si="0"/>
        <v>776.59999999999991</v>
      </c>
    </row>
    <row r="12" spans="1:31">
      <c r="A12" s="4">
        <v>138431.24</v>
      </c>
      <c r="B12" s="5">
        <v>0</v>
      </c>
      <c r="C12" s="12">
        <v>0.37</v>
      </c>
      <c r="D12" s="6">
        <v>46324</v>
      </c>
      <c r="E12" s="6">
        <v>46328</v>
      </c>
      <c r="F12" s="6">
        <v>46510</v>
      </c>
      <c r="G12" s="8">
        <v>46328</v>
      </c>
      <c r="H12" s="6">
        <v>46510</v>
      </c>
      <c r="I12" s="5" t="s">
        <v>29</v>
      </c>
      <c r="J12" s="5" t="s">
        <v>27</v>
      </c>
      <c r="K12" s="5">
        <v>0.50555556000000001</v>
      </c>
      <c r="L12" s="4">
        <v>2129.12</v>
      </c>
      <c r="M12" s="4">
        <v>1896.09</v>
      </c>
      <c r="N12" s="6">
        <v>46510</v>
      </c>
      <c r="O12" s="10">
        <v>2129.12</v>
      </c>
      <c r="P12" s="5" t="s">
        <v>27</v>
      </c>
      <c r="Q12" s="12">
        <v>2.6722600000000001</v>
      </c>
      <c r="R12" s="5">
        <v>0.89055276999999999</v>
      </c>
      <c r="S12" s="5" t="s">
        <v>28</v>
      </c>
      <c r="T12" s="5" t="s">
        <v>27</v>
      </c>
      <c r="U12" s="5">
        <v>0</v>
      </c>
      <c r="V12" s="4">
        <v>5074.47</v>
      </c>
      <c r="W12" s="4">
        <v>2129.12</v>
      </c>
      <c r="X12" s="5">
        <v>2.6722600000000001</v>
      </c>
      <c r="Y12" s="14">
        <v>2945.35</v>
      </c>
      <c r="Z12" s="9">
        <f t="shared" si="0"/>
        <v>816.23</v>
      </c>
    </row>
    <row r="13" spans="1:31">
      <c r="A13" s="4">
        <v>135485.89000000001</v>
      </c>
      <c r="B13" s="5">
        <v>0</v>
      </c>
      <c r="C13" s="12">
        <v>0.37</v>
      </c>
      <c r="D13" s="6">
        <v>46506</v>
      </c>
      <c r="E13" s="6">
        <v>46510</v>
      </c>
      <c r="F13" s="6">
        <v>46694</v>
      </c>
      <c r="G13" s="8">
        <v>46510</v>
      </c>
      <c r="H13" s="6">
        <v>46693</v>
      </c>
      <c r="I13" s="5" t="s">
        <v>29</v>
      </c>
      <c r="J13" s="5" t="s">
        <v>27</v>
      </c>
      <c r="K13" s="5">
        <v>0.50833333000000003</v>
      </c>
      <c r="L13" s="4">
        <v>2097.5300000000002</v>
      </c>
      <c r="M13" s="4">
        <v>1845.39</v>
      </c>
      <c r="N13" s="6">
        <v>46693</v>
      </c>
      <c r="O13" s="10">
        <v>2097.5300000000002</v>
      </c>
      <c r="P13" s="5" t="s">
        <v>27</v>
      </c>
      <c r="Q13" s="12">
        <v>2.6755399999999998</v>
      </c>
      <c r="R13" s="5">
        <v>0.87979428999999998</v>
      </c>
      <c r="S13" s="5" t="s">
        <v>28</v>
      </c>
      <c r="T13" s="5" t="s">
        <v>27</v>
      </c>
      <c r="U13" s="5">
        <v>0</v>
      </c>
      <c r="V13" s="4">
        <v>5042.88</v>
      </c>
      <c r="W13" s="4">
        <v>2097.5300000000002</v>
      </c>
      <c r="X13" s="5">
        <v>2.6755399999999998</v>
      </c>
      <c r="Y13" s="14">
        <v>2945.35</v>
      </c>
      <c r="Z13" s="9">
        <f t="shared" si="0"/>
        <v>847.81999999999971</v>
      </c>
    </row>
    <row r="14" spans="1:31">
      <c r="A14" s="4">
        <v>132540.54999999999</v>
      </c>
      <c r="B14" s="5">
        <v>0</v>
      </c>
      <c r="C14" s="12">
        <v>0.37</v>
      </c>
      <c r="D14" s="6">
        <v>46689</v>
      </c>
      <c r="E14" s="6">
        <v>46693</v>
      </c>
      <c r="F14" s="6">
        <v>46875</v>
      </c>
      <c r="G14" s="8">
        <v>46693</v>
      </c>
      <c r="H14" s="6">
        <v>46875</v>
      </c>
      <c r="I14" s="5" t="s">
        <v>29</v>
      </c>
      <c r="J14" s="5" t="s">
        <v>27</v>
      </c>
      <c r="K14" s="5">
        <v>0.50555556000000001</v>
      </c>
      <c r="L14" s="4">
        <v>2029.2</v>
      </c>
      <c r="M14" s="4">
        <v>1764</v>
      </c>
      <c r="N14" s="6">
        <v>46875</v>
      </c>
      <c r="O14" s="10">
        <v>2029.2</v>
      </c>
      <c r="P14" s="5" t="s">
        <v>27</v>
      </c>
      <c r="Q14" s="12">
        <v>2.6583600000000001</v>
      </c>
      <c r="R14" s="5">
        <v>0.86930859000000005</v>
      </c>
      <c r="S14" s="5" t="s">
        <v>28</v>
      </c>
      <c r="T14" s="5" t="s">
        <v>27</v>
      </c>
      <c r="U14" s="5">
        <v>0</v>
      </c>
      <c r="V14" s="4">
        <v>4974.55</v>
      </c>
      <c r="W14" s="4">
        <v>2029.2</v>
      </c>
      <c r="X14" s="5">
        <v>2.6583600000000001</v>
      </c>
      <c r="Y14" s="14">
        <v>2945.35</v>
      </c>
      <c r="Z14" s="9">
        <f t="shared" si="0"/>
        <v>916.14999999999986</v>
      </c>
    </row>
    <row r="15" spans="1:31">
      <c r="A15" s="4">
        <v>129595.2</v>
      </c>
      <c r="B15" s="5">
        <v>0</v>
      </c>
      <c r="C15" s="12">
        <v>0.37</v>
      </c>
      <c r="D15" s="6">
        <v>46870</v>
      </c>
      <c r="E15" s="6">
        <v>46875</v>
      </c>
      <c r="F15" s="6">
        <v>47059</v>
      </c>
      <c r="G15" s="8">
        <v>46875</v>
      </c>
      <c r="H15" s="6">
        <v>47059</v>
      </c>
      <c r="I15" s="5" t="s">
        <v>29</v>
      </c>
      <c r="J15" s="5" t="s">
        <v>27</v>
      </c>
      <c r="K15" s="5">
        <v>0.51111110999999998</v>
      </c>
      <c r="L15" s="4">
        <v>2001.89</v>
      </c>
      <c r="M15" s="4">
        <v>1719.36</v>
      </c>
      <c r="N15" s="6">
        <v>47059</v>
      </c>
      <c r="O15" s="10">
        <v>2001.89</v>
      </c>
      <c r="P15" s="5" t="s">
        <v>27</v>
      </c>
      <c r="Q15" s="12">
        <v>2.6522899999999998</v>
      </c>
      <c r="R15" s="5">
        <v>0.85886600000000002</v>
      </c>
      <c r="S15" s="5" t="s">
        <v>28</v>
      </c>
      <c r="T15" s="5" t="s">
        <v>27</v>
      </c>
      <c r="U15" s="5">
        <v>0</v>
      </c>
      <c r="V15" s="4">
        <v>4947.24</v>
      </c>
      <c r="W15" s="4">
        <v>2001.89</v>
      </c>
      <c r="X15" s="5">
        <v>2.6522899999999998</v>
      </c>
      <c r="Y15" s="14">
        <v>2945.35</v>
      </c>
      <c r="Z15" s="9">
        <f t="shared" si="0"/>
        <v>943.45999999999981</v>
      </c>
    </row>
    <row r="16" spans="1:31">
      <c r="A16" s="4">
        <v>126649.85</v>
      </c>
      <c r="B16" s="5">
        <v>0</v>
      </c>
      <c r="C16" s="12">
        <v>0.37</v>
      </c>
      <c r="D16" s="6">
        <v>47057</v>
      </c>
      <c r="E16" s="6">
        <v>47059</v>
      </c>
      <c r="F16" s="6">
        <v>47240</v>
      </c>
      <c r="G16" s="8">
        <v>47059</v>
      </c>
      <c r="H16" s="6">
        <v>47240</v>
      </c>
      <c r="I16" s="5" t="s">
        <v>29</v>
      </c>
      <c r="J16" s="5" t="s">
        <v>27</v>
      </c>
      <c r="K16" s="5">
        <v>0.50277777999999995</v>
      </c>
      <c r="L16" s="4">
        <v>1926.87</v>
      </c>
      <c r="M16" s="4">
        <v>1635.26</v>
      </c>
      <c r="N16" s="6">
        <v>47240</v>
      </c>
      <c r="O16" s="10">
        <v>1926.87</v>
      </c>
      <c r="P16" s="5" t="s">
        <v>27</v>
      </c>
      <c r="Q16" s="12">
        <v>2.6560199999999998</v>
      </c>
      <c r="R16" s="5">
        <v>0.84866207999999999</v>
      </c>
      <c r="S16" s="5" t="s">
        <v>28</v>
      </c>
      <c r="T16" s="5" t="s">
        <v>27</v>
      </c>
      <c r="U16" s="5">
        <v>0</v>
      </c>
      <c r="V16" s="4">
        <v>4872.22</v>
      </c>
      <c r="W16" s="4">
        <v>1926.87</v>
      </c>
      <c r="X16" s="5">
        <v>2.6560199999999998</v>
      </c>
      <c r="Y16" s="14">
        <v>2945.35</v>
      </c>
      <c r="Z16" s="9">
        <f t="shared" si="0"/>
        <v>1018.48</v>
      </c>
    </row>
    <row r="17" spans="1:26">
      <c r="A17" s="4">
        <v>123704.51</v>
      </c>
      <c r="B17" s="5">
        <v>0</v>
      </c>
      <c r="C17" s="12">
        <v>0.37</v>
      </c>
      <c r="D17" s="6">
        <v>47235</v>
      </c>
      <c r="E17" s="6">
        <v>47240</v>
      </c>
      <c r="F17" s="6">
        <v>47424</v>
      </c>
      <c r="G17" s="8">
        <v>47240</v>
      </c>
      <c r="H17" s="6">
        <v>47424</v>
      </c>
      <c r="I17" s="5" t="s">
        <v>29</v>
      </c>
      <c r="J17" s="5" t="s">
        <v>27</v>
      </c>
      <c r="K17" s="5">
        <v>0.51111110999999998</v>
      </c>
      <c r="L17" s="4">
        <v>1914.38</v>
      </c>
      <c r="M17" s="4">
        <v>1605</v>
      </c>
      <c r="N17" s="6">
        <v>47424</v>
      </c>
      <c r="O17" s="10">
        <v>1914.38</v>
      </c>
      <c r="P17" s="5" t="s">
        <v>27</v>
      </c>
      <c r="Q17" s="12">
        <v>2.6577999999999999</v>
      </c>
      <c r="R17" s="5">
        <v>0.83839315000000003</v>
      </c>
      <c r="S17" s="5" t="s">
        <v>28</v>
      </c>
      <c r="T17" s="5" t="s">
        <v>27</v>
      </c>
      <c r="U17" s="5">
        <v>0</v>
      </c>
      <c r="V17" s="4">
        <v>4859.7299999999996</v>
      </c>
      <c r="W17" s="4">
        <v>1914.38</v>
      </c>
      <c r="X17" s="5">
        <v>2.6577999999999999</v>
      </c>
      <c r="Y17" s="14">
        <v>2945.35</v>
      </c>
      <c r="Z17" s="9">
        <f t="shared" si="0"/>
        <v>1030.9699999999998</v>
      </c>
    </row>
    <row r="18" spans="1:26">
      <c r="A18" s="4">
        <v>120759.16</v>
      </c>
      <c r="B18" s="5">
        <v>0</v>
      </c>
      <c r="C18" s="12">
        <v>0.37</v>
      </c>
      <c r="D18" s="6">
        <v>47422</v>
      </c>
      <c r="E18" s="6">
        <v>47424</v>
      </c>
      <c r="F18" s="6">
        <v>47605</v>
      </c>
      <c r="G18" s="8">
        <v>47424</v>
      </c>
      <c r="H18" s="6">
        <v>47605</v>
      </c>
      <c r="I18" s="5" t="s">
        <v>29</v>
      </c>
      <c r="J18" s="5" t="s">
        <v>27</v>
      </c>
      <c r="K18" s="5">
        <v>0.50277777999999995</v>
      </c>
      <c r="L18" s="4">
        <v>1850.79</v>
      </c>
      <c r="M18" s="4">
        <v>1532.93</v>
      </c>
      <c r="N18" s="6">
        <v>47605</v>
      </c>
      <c r="O18" s="10">
        <v>1850.79</v>
      </c>
      <c r="P18" s="5" t="s">
        <v>27</v>
      </c>
      <c r="Q18" s="12">
        <v>2.6783199999999998</v>
      </c>
      <c r="R18" s="5">
        <v>0.82825687000000003</v>
      </c>
      <c r="S18" s="5" t="s">
        <v>28</v>
      </c>
      <c r="T18" s="5" t="s">
        <v>27</v>
      </c>
      <c r="U18" s="5">
        <v>0</v>
      </c>
      <c r="V18" s="4">
        <v>4796.1400000000003</v>
      </c>
      <c r="W18" s="4">
        <v>1850.79</v>
      </c>
      <c r="X18" s="5">
        <v>2.6783199999999998</v>
      </c>
      <c r="Y18" s="14">
        <v>2945.35</v>
      </c>
      <c r="Z18" s="9">
        <f t="shared" si="0"/>
        <v>1094.56</v>
      </c>
    </row>
    <row r="19" spans="1:26">
      <c r="A19" s="4">
        <v>117813.82</v>
      </c>
      <c r="B19" s="5">
        <v>0</v>
      </c>
      <c r="C19" s="12">
        <v>0.37</v>
      </c>
      <c r="D19" s="6">
        <v>47602</v>
      </c>
      <c r="E19" s="6">
        <v>47605</v>
      </c>
      <c r="F19" s="6">
        <v>47791</v>
      </c>
      <c r="G19" s="8">
        <v>47605</v>
      </c>
      <c r="H19" s="6">
        <v>47791</v>
      </c>
      <c r="I19" s="5" t="s">
        <v>29</v>
      </c>
      <c r="J19" s="5" t="s">
        <v>27</v>
      </c>
      <c r="K19" s="5">
        <v>0.51666666999999999</v>
      </c>
      <c r="L19" s="4">
        <v>1860.54</v>
      </c>
      <c r="M19" s="4">
        <v>1521.75</v>
      </c>
      <c r="N19" s="6">
        <v>47791</v>
      </c>
      <c r="O19" s="10">
        <v>1860.54</v>
      </c>
      <c r="P19" s="5" t="s">
        <v>27</v>
      </c>
      <c r="Q19" s="12">
        <v>2.68655</v>
      </c>
      <c r="R19" s="5">
        <v>0.81790947000000003</v>
      </c>
      <c r="S19" s="5" t="s">
        <v>28</v>
      </c>
      <c r="T19" s="5" t="s">
        <v>27</v>
      </c>
      <c r="U19" s="5">
        <v>0</v>
      </c>
      <c r="V19" s="4">
        <v>4805.8900000000003</v>
      </c>
      <c r="W19" s="4">
        <v>1860.54</v>
      </c>
      <c r="X19" s="5">
        <v>2.68655</v>
      </c>
      <c r="Y19" s="14">
        <v>2945.35</v>
      </c>
      <c r="Z19" s="9">
        <f t="shared" si="0"/>
        <v>1084.81</v>
      </c>
    </row>
    <row r="20" spans="1:26">
      <c r="A20" s="4">
        <v>114868.47</v>
      </c>
      <c r="B20" s="5">
        <v>0</v>
      </c>
      <c r="C20" s="12">
        <v>0.37</v>
      </c>
      <c r="D20" s="6">
        <v>47787</v>
      </c>
      <c r="E20" s="6">
        <v>47791</v>
      </c>
      <c r="F20" s="6">
        <v>47973</v>
      </c>
      <c r="G20" s="8">
        <v>47791</v>
      </c>
      <c r="H20" s="6">
        <v>47970</v>
      </c>
      <c r="I20" s="5" t="s">
        <v>29</v>
      </c>
      <c r="J20" s="5" t="s">
        <v>27</v>
      </c>
      <c r="K20" s="5">
        <v>0.49722221999999999</v>
      </c>
      <c r="L20" s="4">
        <v>1761.26</v>
      </c>
      <c r="M20" s="4">
        <v>1422.81</v>
      </c>
      <c r="N20" s="6">
        <v>47970</v>
      </c>
      <c r="O20" s="10">
        <v>1761.26</v>
      </c>
      <c r="P20" s="5" t="s">
        <v>27</v>
      </c>
      <c r="Q20" s="12">
        <v>2.7136999999999998</v>
      </c>
      <c r="R20" s="5">
        <v>0.80783853000000005</v>
      </c>
      <c r="S20" s="5" t="s">
        <v>28</v>
      </c>
      <c r="T20" s="5" t="s">
        <v>27</v>
      </c>
      <c r="U20" s="5">
        <v>0</v>
      </c>
      <c r="V20" s="4">
        <v>4706.6099999999997</v>
      </c>
      <c r="W20" s="4">
        <v>1761.26</v>
      </c>
      <c r="X20" s="5">
        <v>2.7136999999999998</v>
      </c>
      <c r="Y20" s="14">
        <v>2945.35</v>
      </c>
      <c r="Z20" s="9">
        <f t="shared" si="0"/>
        <v>1184.0899999999999</v>
      </c>
    </row>
    <row r="21" spans="1:26">
      <c r="A21" s="4">
        <v>111923.13</v>
      </c>
      <c r="B21" s="5">
        <v>0</v>
      </c>
      <c r="C21" s="12">
        <v>0.37</v>
      </c>
      <c r="D21" s="6">
        <v>47967</v>
      </c>
      <c r="E21" s="6">
        <v>47970</v>
      </c>
      <c r="F21" s="6">
        <v>48155</v>
      </c>
      <c r="G21" s="8">
        <v>47970</v>
      </c>
      <c r="H21" s="6">
        <v>48155</v>
      </c>
      <c r="I21" s="5" t="s">
        <v>29</v>
      </c>
      <c r="J21" s="5" t="s">
        <v>27</v>
      </c>
      <c r="K21" s="5">
        <v>0.51388889000000004</v>
      </c>
      <c r="L21" s="4">
        <v>1779.64</v>
      </c>
      <c r="M21" s="4">
        <v>1419.21</v>
      </c>
      <c r="N21" s="6">
        <v>48155</v>
      </c>
      <c r="O21" s="10">
        <v>1779.64</v>
      </c>
      <c r="P21" s="5" t="s">
        <v>27</v>
      </c>
      <c r="Q21" s="12">
        <v>2.7241599999999999</v>
      </c>
      <c r="R21" s="5">
        <v>0.79746992000000005</v>
      </c>
      <c r="S21" s="5" t="s">
        <v>28</v>
      </c>
      <c r="T21" s="5" t="s">
        <v>27</v>
      </c>
      <c r="U21" s="5">
        <v>0</v>
      </c>
      <c r="V21" s="4">
        <v>4724.99</v>
      </c>
      <c r="W21" s="4">
        <v>1779.64</v>
      </c>
      <c r="X21" s="5">
        <v>2.7241599999999999</v>
      </c>
      <c r="Y21" s="14">
        <v>2945.35</v>
      </c>
      <c r="Z21" s="9">
        <f t="shared" si="0"/>
        <v>1165.7099999999998</v>
      </c>
    </row>
    <row r="22" spans="1:26">
      <c r="A22" s="4">
        <v>108977.78</v>
      </c>
      <c r="B22" s="5">
        <v>0</v>
      </c>
      <c r="C22" s="12">
        <v>0.37</v>
      </c>
      <c r="D22" s="6">
        <v>48151</v>
      </c>
      <c r="E22" s="6">
        <v>48155</v>
      </c>
      <c r="F22" s="6">
        <v>48337</v>
      </c>
      <c r="G22" s="8">
        <v>48155</v>
      </c>
      <c r="H22" s="6">
        <v>48337</v>
      </c>
      <c r="I22" s="5" t="s">
        <v>29</v>
      </c>
      <c r="J22" s="5" t="s">
        <v>27</v>
      </c>
      <c r="K22" s="5">
        <v>0.50555556000000001</v>
      </c>
      <c r="L22" s="4">
        <v>1720.8</v>
      </c>
      <c r="M22" s="4">
        <v>1354.36</v>
      </c>
      <c r="N22" s="6">
        <v>48337</v>
      </c>
      <c r="O22" s="10">
        <v>1720.8</v>
      </c>
      <c r="P22" s="5" t="s">
        <v>27</v>
      </c>
      <c r="Q22" s="12">
        <v>2.7533599999999998</v>
      </c>
      <c r="R22" s="5">
        <v>0.78705575999999999</v>
      </c>
      <c r="S22" s="5" t="s">
        <v>28</v>
      </c>
      <c r="T22" s="5" t="s">
        <v>27</v>
      </c>
      <c r="U22" s="5">
        <v>0</v>
      </c>
      <c r="V22" s="4">
        <v>4666.1499999999996</v>
      </c>
      <c r="W22" s="4">
        <v>1720.8</v>
      </c>
      <c r="X22" s="5">
        <v>2.7533599999999998</v>
      </c>
      <c r="Y22" s="14">
        <v>2945.35</v>
      </c>
      <c r="Z22" s="9">
        <f t="shared" si="0"/>
        <v>1224.55</v>
      </c>
    </row>
    <row r="23" spans="1:26">
      <c r="A23" s="4">
        <v>106032.44</v>
      </c>
      <c r="B23" s="5">
        <v>0</v>
      </c>
      <c r="C23" s="12">
        <v>0.37</v>
      </c>
      <c r="D23" s="6">
        <v>48333</v>
      </c>
      <c r="E23" s="6">
        <v>48337</v>
      </c>
      <c r="F23" s="6">
        <v>48521</v>
      </c>
      <c r="G23" s="8">
        <v>48337</v>
      </c>
      <c r="H23" s="6">
        <v>48520</v>
      </c>
      <c r="I23" s="5" t="s">
        <v>29</v>
      </c>
      <c r="J23" s="5" t="s">
        <v>27</v>
      </c>
      <c r="K23" s="5">
        <v>0.50833333000000003</v>
      </c>
      <c r="L23" s="4">
        <v>1689.63</v>
      </c>
      <c r="M23" s="4">
        <v>1312.16</v>
      </c>
      <c r="N23" s="6">
        <v>48520</v>
      </c>
      <c r="O23" s="10">
        <v>1689.63</v>
      </c>
      <c r="P23" s="5" t="s">
        <v>27</v>
      </c>
      <c r="Q23" s="12">
        <v>2.7647599999999999</v>
      </c>
      <c r="R23" s="5">
        <v>0.77659593999999998</v>
      </c>
      <c r="S23" s="5" t="s">
        <v>28</v>
      </c>
      <c r="T23" s="5" t="s">
        <v>27</v>
      </c>
      <c r="U23" s="5">
        <v>0</v>
      </c>
      <c r="V23" s="4">
        <v>4634.9799999999996</v>
      </c>
      <c r="W23" s="4">
        <v>1689.63</v>
      </c>
      <c r="X23" s="5">
        <v>2.7647599999999999</v>
      </c>
      <c r="Y23" s="14">
        <v>2945.35</v>
      </c>
      <c r="Z23" s="9">
        <f t="shared" si="0"/>
        <v>1255.7199999999998</v>
      </c>
    </row>
    <row r="24" spans="1:26">
      <c r="A24" s="4">
        <v>103087.09</v>
      </c>
      <c r="B24" s="5">
        <v>0</v>
      </c>
      <c r="C24" s="12">
        <v>0.37</v>
      </c>
      <c r="D24" s="6">
        <v>48516</v>
      </c>
      <c r="E24" s="6">
        <v>48520</v>
      </c>
      <c r="F24" s="6">
        <v>48701</v>
      </c>
      <c r="G24" s="8">
        <v>48520</v>
      </c>
      <c r="H24" s="6">
        <v>48701</v>
      </c>
      <c r="I24" s="5" t="s">
        <v>29</v>
      </c>
      <c r="J24" s="5" t="s">
        <v>27</v>
      </c>
      <c r="K24" s="5">
        <v>0.50277777999999995</v>
      </c>
      <c r="L24" s="4">
        <v>1615.21</v>
      </c>
      <c r="M24" s="4">
        <v>1237.99</v>
      </c>
      <c r="N24" s="6">
        <v>48701</v>
      </c>
      <c r="O24" s="10">
        <v>1615.21</v>
      </c>
      <c r="P24" s="5" t="s">
        <v>27</v>
      </c>
      <c r="Q24" s="12">
        <v>2.7463600000000001</v>
      </c>
      <c r="R24" s="5">
        <v>0.76646124000000004</v>
      </c>
      <c r="S24" s="5" t="s">
        <v>28</v>
      </c>
      <c r="T24" s="5" t="s">
        <v>27</v>
      </c>
      <c r="U24" s="5">
        <v>0</v>
      </c>
      <c r="V24" s="4">
        <v>4560.5600000000004</v>
      </c>
      <c r="W24" s="4">
        <v>1615.21</v>
      </c>
      <c r="X24" s="5">
        <v>2.7463600000000001</v>
      </c>
      <c r="Y24" s="14">
        <v>2945.35</v>
      </c>
      <c r="Z24" s="9">
        <f t="shared" si="0"/>
        <v>1330.1399999999999</v>
      </c>
    </row>
    <row r="25" spans="1:26">
      <c r="A25" s="4">
        <v>100141.75</v>
      </c>
      <c r="B25" s="5">
        <v>0</v>
      </c>
      <c r="C25" s="12">
        <v>0.37</v>
      </c>
      <c r="D25" s="6">
        <v>48697</v>
      </c>
      <c r="E25" s="6">
        <v>48701</v>
      </c>
      <c r="F25" s="6">
        <v>48885</v>
      </c>
      <c r="G25" s="8">
        <v>48701</v>
      </c>
      <c r="H25" s="6">
        <v>48885</v>
      </c>
      <c r="I25" s="5" t="s">
        <v>29</v>
      </c>
      <c r="J25" s="5" t="s">
        <v>27</v>
      </c>
      <c r="K25" s="5">
        <v>0.51111110999999998</v>
      </c>
      <c r="L25" s="4">
        <v>1591.79</v>
      </c>
      <c r="M25" s="4">
        <v>1203.9000000000001</v>
      </c>
      <c r="N25" s="6">
        <v>48885</v>
      </c>
      <c r="O25" s="10">
        <v>1591.79</v>
      </c>
      <c r="P25" s="5" t="s">
        <v>27</v>
      </c>
      <c r="Q25" s="12">
        <v>2.73996</v>
      </c>
      <c r="R25" s="5">
        <v>0.75632171000000004</v>
      </c>
      <c r="S25" s="5" t="s">
        <v>28</v>
      </c>
      <c r="T25" s="5" t="s">
        <v>27</v>
      </c>
      <c r="U25" s="5">
        <v>0</v>
      </c>
      <c r="V25" s="4">
        <v>4537.1400000000003</v>
      </c>
      <c r="W25" s="4">
        <v>1591.79</v>
      </c>
      <c r="X25" s="5">
        <v>2.73996</v>
      </c>
      <c r="Y25" s="14">
        <v>2945.35</v>
      </c>
      <c r="Z25" s="9">
        <f t="shared" si="0"/>
        <v>1353.56</v>
      </c>
    </row>
    <row r="26" spans="1:26">
      <c r="A26" s="4">
        <v>97196.4</v>
      </c>
      <c r="B26" s="5">
        <v>0</v>
      </c>
      <c r="C26" s="12">
        <v>0.37</v>
      </c>
      <c r="D26" s="6">
        <v>48883</v>
      </c>
      <c r="E26" s="6">
        <v>48885</v>
      </c>
      <c r="F26" s="6">
        <v>49066</v>
      </c>
      <c r="G26" s="8">
        <v>48885</v>
      </c>
      <c r="H26" s="6">
        <v>49066</v>
      </c>
      <c r="I26" s="5" t="s">
        <v>29</v>
      </c>
      <c r="J26" s="5" t="s">
        <v>27</v>
      </c>
      <c r="K26" s="5">
        <v>0.50277777999999995</v>
      </c>
      <c r="L26" s="4">
        <v>1483.63</v>
      </c>
      <c r="M26" s="4">
        <v>1107.5</v>
      </c>
      <c r="N26" s="6">
        <v>49066</v>
      </c>
      <c r="O26" s="10">
        <v>1483.63</v>
      </c>
      <c r="P26" s="5" t="s">
        <v>27</v>
      </c>
      <c r="Q26" s="12">
        <v>2.6659799999999998</v>
      </c>
      <c r="R26" s="5">
        <v>0.74647836999999995</v>
      </c>
      <c r="S26" s="5" t="s">
        <v>28</v>
      </c>
      <c r="T26" s="5" t="s">
        <v>27</v>
      </c>
      <c r="U26" s="5">
        <v>0</v>
      </c>
      <c r="V26" s="4">
        <v>4428.9799999999996</v>
      </c>
      <c r="W26" s="4">
        <v>1483.63</v>
      </c>
      <c r="X26" s="5">
        <v>2.6659799999999998</v>
      </c>
      <c r="Y26" s="14">
        <v>2945.35</v>
      </c>
      <c r="Z26" s="9">
        <f t="shared" si="0"/>
        <v>1461.7199999999998</v>
      </c>
    </row>
    <row r="27" spans="1:26">
      <c r="A27" s="4">
        <v>94251.05</v>
      </c>
      <c r="B27" s="5">
        <v>0</v>
      </c>
      <c r="C27" s="12">
        <v>0.37</v>
      </c>
      <c r="D27" s="6">
        <v>49061</v>
      </c>
      <c r="E27" s="6">
        <v>49066</v>
      </c>
      <c r="F27" s="6">
        <v>49250</v>
      </c>
      <c r="G27" s="8">
        <v>49066</v>
      </c>
      <c r="H27" s="6">
        <v>49250</v>
      </c>
      <c r="I27" s="5" t="s">
        <v>29</v>
      </c>
      <c r="J27" s="5" t="s">
        <v>27</v>
      </c>
      <c r="K27" s="5">
        <v>0.51111110999999998</v>
      </c>
      <c r="L27" s="4">
        <v>1449.48</v>
      </c>
      <c r="M27" s="4">
        <v>1067.69</v>
      </c>
      <c r="N27" s="6">
        <v>49250</v>
      </c>
      <c r="O27" s="10">
        <v>1449.48</v>
      </c>
      <c r="P27" s="5" t="s">
        <v>27</v>
      </c>
      <c r="Q27" s="12">
        <v>2.6389300000000002</v>
      </c>
      <c r="R27" s="5">
        <v>0.73660318999999996</v>
      </c>
      <c r="S27" s="5" t="s">
        <v>28</v>
      </c>
      <c r="T27" s="5" t="s">
        <v>27</v>
      </c>
      <c r="U27" s="5">
        <v>0</v>
      </c>
      <c r="V27" s="4">
        <v>4394.83</v>
      </c>
      <c r="W27" s="4">
        <v>1449.48</v>
      </c>
      <c r="X27" s="5">
        <v>2.6389300000000002</v>
      </c>
      <c r="Y27" s="14">
        <v>2945.35</v>
      </c>
      <c r="Z27" s="9">
        <f t="shared" si="0"/>
        <v>1495.87</v>
      </c>
    </row>
    <row r="28" spans="1:26">
      <c r="A28" s="4">
        <v>91305.71</v>
      </c>
      <c r="B28" s="5">
        <v>0</v>
      </c>
      <c r="C28" s="12">
        <v>0.37</v>
      </c>
      <c r="D28" s="6">
        <v>49248</v>
      </c>
      <c r="E28" s="6">
        <v>49250</v>
      </c>
      <c r="F28" s="6">
        <v>49431</v>
      </c>
      <c r="G28" s="8">
        <v>49250</v>
      </c>
      <c r="H28" s="6">
        <v>49431</v>
      </c>
      <c r="I28" s="5" t="s">
        <v>29</v>
      </c>
      <c r="J28" s="5" t="s">
        <v>27</v>
      </c>
      <c r="K28" s="5">
        <v>0.50277777999999995</v>
      </c>
      <c r="L28" s="4">
        <v>1354.61</v>
      </c>
      <c r="M28" s="5">
        <v>985.53</v>
      </c>
      <c r="N28" s="6">
        <v>49431</v>
      </c>
      <c r="O28" s="10">
        <v>1354.61</v>
      </c>
      <c r="P28" s="5" t="s">
        <v>27</v>
      </c>
      <c r="Q28" s="12">
        <v>2.58081</v>
      </c>
      <c r="R28" s="5">
        <v>0.72753347999999995</v>
      </c>
      <c r="S28" s="5" t="s">
        <v>28</v>
      </c>
      <c r="T28" s="5" t="s">
        <v>27</v>
      </c>
      <c r="U28" s="5">
        <v>0</v>
      </c>
      <c r="V28" s="4">
        <v>4299.96</v>
      </c>
      <c r="W28" s="4">
        <v>1354.61</v>
      </c>
      <c r="X28" s="5">
        <v>2.58081</v>
      </c>
      <c r="Y28" s="14">
        <v>2945.35</v>
      </c>
      <c r="Z28" s="9">
        <f t="shared" si="0"/>
        <v>1590.74</v>
      </c>
    </row>
    <row r="29" spans="1:26">
      <c r="A29" s="4">
        <v>88360.36</v>
      </c>
      <c r="B29" s="5">
        <v>0</v>
      </c>
      <c r="C29" s="12">
        <v>0.37</v>
      </c>
      <c r="D29" s="6">
        <v>49426</v>
      </c>
      <c r="E29" s="6">
        <v>49431</v>
      </c>
      <c r="F29" s="6">
        <v>49615</v>
      </c>
      <c r="G29" s="8">
        <v>49431</v>
      </c>
      <c r="H29" s="6">
        <v>49615</v>
      </c>
      <c r="I29" s="5" t="s">
        <v>29</v>
      </c>
      <c r="J29" s="5" t="s">
        <v>27</v>
      </c>
      <c r="K29" s="5">
        <v>0.51111110999999998</v>
      </c>
      <c r="L29" s="4">
        <v>1323.07</v>
      </c>
      <c r="M29" s="5">
        <v>950.79</v>
      </c>
      <c r="N29" s="6">
        <v>49615</v>
      </c>
      <c r="O29" s="10">
        <v>1323.07</v>
      </c>
      <c r="P29" s="5" t="s">
        <v>27</v>
      </c>
      <c r="Q29" s="12">
        <v>2.5596199999999998</v>
      </c>
      <c r="R29" s="5">
        <v>0.71862064000000003</v>
      </c>
      <c r="S29" s="5" t="s">
        <v>28</v>
      </c>
      <c r="T29" s="5" t="s">
        <v>27</v>
      </c>
      <c r="U29" s="5">
        <v>0</v>
      </c>
      <c r="V29" s="4">
        <v>4268.42</v>
      </c>
      <c r="W29" s="4">
        <v>1323.07</v>
      </c>
      <c r="X29" s="5">
        <v>2.5596199999999998</v>
      </c>
      <c r="Y29" s="14">
        <v>2945.35</v>
      </c>
      <c r="Z29" s="9">
        <f t="shared" si="0"/>
        <v>1622.28</v>
      </c>
    </row>
    <row r="30" spans="1:26">
      <c r="A30" s="4">
        <v>85415.02</v>
      </c>
      <c r="B30" s="5">
        <v>0</v>
      </c>
      <c r="C30" s="12">
        <v>0.37</v>
      </c>
      <c r="D30" s="6">
        <v>49613</v>
      </c>
      <c r="E30" s="6">
        <v>49615</v>
      </c>
      <c r="F30" s="6">
        <v>49797</v>
      </c>
      <c r="G30" s="8">
        <v>49615</v>
      </c>
      <c r="H30" s="6">
        <v>49797</v>
      </c>
      <c r="I30" s="5" t="s">
        <v>29</v>
      </c>
      <c r="J30" s="5" t="s">
        <v>27</v>
      </c>
      <c r="K30" s="5">
        <v>0.50555556000000001</v>
      </c>
      <c r="L30" s="4">
        <v>1224.1300000000001</v>
      </c>
      <c r="M30" s="5">
        <v>869.03</v>
      </c>
      <c r="N30" s="6">
        <v>49797</v>
      </c>
      <c r="O30" s="10">
        <v>1224.1300000000001</v>
      </c>
      <c r="P30" s="5" t="s">
        <v>27</v>
      </c>
      <c r="Q30" s="12">
        <v>2.46482</v>
      </c>
      <c r="R30" s="5">
        <v>0.70991210999999999</v>
      </c>
      <c r="S30" s="5" t="s">
        <v>28</v>
      </c>
      <c r="T30" s="5" t="s">
        <v>27</v>
      </c>
      <c r="U30" s="5">
        <v>0</v>
      </c>
      <c r="V30" s="4">
        <v>4169.4799999999996</v>
      </c>
      <c r="W30" s="4">
        <v>1224.1300000000001</v>
      </c>
      <c r="X30" s="5">
        <v>2.46482</v>
      </c>
      <c r="Y30" s="14">
        <v>2945.35</v>
      </c>
      <c r="Z30" s="9">
        <f t="shared" si="0"/>
        <v>1721.2199999999998</v>
      </c>
    </row>
    <row r="31" spans="1:26">
      <c r="A31" s="4">
        <v>82469.67</v>
      </c>
      <c r="B31" s="5">
        <v>0</v>
      </c>
      <c r="C31" s="12">
        <v>0.37</v>
      </c>
      <c r="D31" s="6">
        <v>49794</v>
      </c>
      <c r="E31" s="6">
        <v>49797</v>
      </c>
      <c r="F31" s="6">
        <v>49982</v>
      </c>
      <c r="G31" s="8">
        <v>49797</v>
      </c>
      <c r="H31" s="6">
        <v>49982</v>
      </c>
      <c r="I31" s="5" t="s">
        <v>29</v>
      </c>
      <c r="J31" s="5" t="s">
        <v>27</v>
      </c>
      <c r="K31" s="5">
        <v>0.51388889000000004</v>
      </c>
      <c r="L31" s="4">
        <v>1186.74</v>
      </c>
      <c r="M31" s="5">
        <v>832.1</v>
      </c>
      <c r="N31" s="6">
        <v>49982</v>
      </c>
      <c r="O31" s="10">
        <v>1186.74</v>
      </c>
      <c r="P31" s="5" t="s">
        <v>27</v>
      </c>
      <c r="Q31" s="12">
        <v>2.4302199999999998</v>
      </c>
      <c r="R31" s="5">
        <v>0.70116816999999998</v>
      </c>
      <c r="S31" s="5" t="s">
        <v>28</v>
      </c>
      <c r="T31" s="5" t="s">
        <v>27</v>
      </c>
      <c r="U31" s="5">
        <v>0</v>
      </c>
      <c r="V31" s="4">
        <v>4132.09</v>
      </c>
      <c r="W31" s="4">
        <v>1186.74</v>
      </c>
      <c r="X31" s="5">
        <v>2.4302199999999998</v>
      </c>
      <c r="Y31" s="14">
        <v>2945.35</v>
      </c>
      <c r="Z31" s="9">
        <f t="shared" si="0"/>
        <v>1758.61</v>
      </c>
    </row>
    <row r="32" spans="1:26">
      <c r="A32" s="4">
        <v>79524.33</v>
      </c>
      <c r="B32" s="5">
        <v>0</v>
      </c>
      <c r="C32" s="12">
        <v>0.37</v>
      </c>
      <c r="D32" s="6">
        <v>49978</v>
      </c>
      <c r="E32" s="6">
        <v>49982</v>
      </c>
      <c r="F32" s="6">
        <v>50164</v>
      </c>
      <c r="G32" s="8">
        <v>49982</v>
      </c>
      <c r="H32" s="6">
        <v>50164</v>
      </c>
      <c r="I32" s="5" t="s">
        <v>29</v>
      </c>
      <c r="J32" s="5" t="s">
        <v>27</v>
      </c>
      <c r="K32" s="5">
        <v>0.50555556000000001</v>
      </c>
      <c r="L32" s="4">
        <v>1077.44</v>
      </c>
      <c r="M32" s="5">
        <v>746.31</v>
      </c>
      <c r="N32" s="6">
        <v>50164</v>
      </c>
      <c r="O32" s="10">
        <v>1077.44</v>
      </c>
      <c r="P32" s="5" t="s">
        <v>27</v>
      </c>
      <c r="Q32" s="12">
        <v>2.3099400000000001</v>
      </c>
      <c r="R32" s="5">
        <v>0.69267113000000002</v>
      </c>
      <c r="S32" s="5" t="s">
        <v>28</v>
      </c>
      <c r="T32" s="5" t="s">
        <v>27</v>
      </c>
      <c r="U32" s="5">
        <v>0</v>
      </c>
      <c r="V32" s="4">
        <v>4022.79</v>
      </c>
      <c r="W32" s="4">
        <v>1077.44</v>
      </c>
      <c r="X32" s="5">
        <v>2.3099400000000001</v>
      </c>
      <c r="Y32" s="14">
        <v>2945.35</v>
      </c>
      <c r="Z32" s="9">
        <f t="shared" si="0"/>
        <v>1867.9099999999999</v>
      </c>
    </row>
    <row r="33" spans="1:26">
      <c r="A33" s="4">
        <v>76578.98</v>
      </c>
      <c r="B33" s="5">
        <v>0</v>
      </c>
      <c r="C33" s="12">
        <v>0.37</v>
      </c>
      <c r="D33" s="6">
        <v>50159</v>
      </c>
      <c r="E33" s="6">
        <v>50164</v>
      </c>
      <c r="F33" s="6">
        <v>50348</v>
      </c>
      <c r="G33" s="8">
        <v>50164</v>
      </c>
      <c r="H33" s="6">
        <v>50346</v>
      </c>
      <c r="I33" s="5" t="s">
        <v>29</v>
      </c>
      <c r="J33" s="5" t="s">
        <v>27</v>
      </c>
      <c r="K33" s="5">
        <v>0.50555556000000001</v>
      </c>
      <c r="L33" s="4">
        <v>1019.99</v>
      </c>
      <c r="M33" s="5">
        <v>697.96</v>
      </c>
      <c r="N33" s="6">
        <v>50346</v>
      </c>
      <c r="O33" s="10">
        <v>1019.99</v>
      </c>
      <c r="P33" s="5" t="s">
        <v>27</v>
      </c>
      <c r="Q33" s="12">
        <v>2.2646299999999999</v>
      </c>
      <c r="R33" s="5">
        <v>0.68427705999999999</v>
      </c>
      <c r="S33" s="5" t="s">
        <v>28</v>
      </c>
      <c r="T33" s="5" t="s">
        <v>27</v>
      </c>
      <c r="U33" s="5">
        <v>0</v>
      </c>
      <c r="V33" s="4">
        <v>3965.34</v>
      </c>
      <c r="W33" s="4">
        <v>1019.99</v>
      </c>
      <c r="X33" s="5">
        <v>2.2646299999999999</v>
      </c>
      <c r="Y33" s="14">
        <v>2945.35</v>
      </c>
      <c r="Z33" s="9">
        <f t="shared" si="0"/>
        <v>1925.36</v>
      </c>
    </row>
    <row r="34" spans="1:26">
      <c r="A34" s="4">
        <v>73633.64</v>
      </c>
      <c r="B34" s="5">
        <v>0</v>
      </c>
      <c r="C34" s="12">
        <v>0.37</v>
      </c>
      <c r="D34" s="6">
        <v>50342</v>
      </c>
      <c r="E34" s="6">
        <v>50346</v>
      </c>
      <c r="F34" s="6">
        <v>50528</v>
      </c>
      <c r="G34" s="8">
        <v>50346</v>
      </c>
      <c r="H34" s="6">
        <v>50528</v>
      </c>
      <c r="I34" s="5" t="s">
        <v>29</v>
      </c>
      <c r="J34" s="5" t="s">
        <v>27</v>
      </c>
      <c r="K34" s="5">
        <v>0.50555556000000001</v>
      </c>
      <c r="L34" s="5">
        <v>926.36</v>
      </c>
      <c r="M34" s="5">
        <v>627.59</v>
      </c>
      <c r="N34" s="6">
        <v>50528</v>
      </c>
      <c r="O34" s="11">
        <v>926.36</v>
      </c>
      <c r="P34" s="5" t="s">
        <v>27</v>
      </c>
      <c r="Q34" s="12">
        <v>2.11849</v>
      </c>
      <c r="R34" s="5">
        <v>0.67747378000000003</v>
      </c>
      <c r="S34" s="5" t="s">
        <v>28</v>
      </c>
      <c r="T34" s="5" t="s">
        <v>27</v>
      </c>
      <c r="U34" s="5">
        <v>0</v>
      </c>
      <c r="V34" s="4">
        <v>3871.71</v>
      </c>
      <c r="W34" s="5">
        <v>926.36</v>
      </c>
      <c r="X34" s="5">
        <v>2.11849</v>
      </c>
      <c r="Y34" s="14">
        <v>2945.35</v>
      </c>
      <c r="Z34" s="9">
        <f t="shared" si="0"/>
        <v>2018.9899999999998</v>
      </c>
    </row>
    <row r="35" spans="1:26">
      <c r="A35" s="4">
        <v>70688.289999999994</v>
      </c>
      <c r="B35" s="5">
        <v>0</v>
      </c>
      <c r="C35" s="12">
        <v>0.37</v>
      </c>
      <c r="D35" s="6">
        <v>50524</v>
      </c>
      <c r="E35" s="6">
        <v>50528</v>
      </c>
      <c r="F35" s="6">
        <v>50712</v>
      </c>
      <c r="G35" s="8">
        <v>50528</v>
      </c>
      <c r="H35" s="6">
        <v>50711</v>
      </c>
      <c r="I35" s="5" t="s">
        <v>29</v>
      </c>
      <c r="J35" s="5" t="s">
        <v>27</v>
      </c>
      <c r="K35" s="5">
        <v>0.50833333000000003</v>
      </c>
      <c r="L35" s="5">
        <v>874.38</v>
      </c>
      <c r="M35" s="5">
        <v>586.91999999999996</v>
      </c>
      <c r="N35" s="6">
        <v>50711</v>
      </c>
      <c r="O35" s="11">
        <v>874.38</v>
      </c>
      <c r="P35" s="5" t="s">
        <v>27</v>
      </c>
      <c r="Q35" s="12">
        <v>2.0633400000000002</v>
      </c>
      <c r="R35" s="5">
        <v>0.67124824000000005</v>
      </c>
      <c r="S35" s="5" t="s">
        <v>28</v>
      </c>
      <c r="T35" s="5" t="s">
        <v>27</v>
      </c>
      <c r="U35" s="5">
        <v>0</v>
      </c>
      <c r="V35" s="4">
        <v>3819.73</v>
      </c>
      <c r="W35" s="5">
        <v>874.38</v>
      </c>
      <c r="X35" s="5">
        <v>2.0633400000000002</v>
      </c>
      <c r="Y35" s="14">
        <v>2945.35</v>
      </c>
      <c r="Z35" s="9">
        <f t="shared" si="0"/>
        <v>2070.9699999999998</v>
      </c>
    </row>
    <row r="36" spans="1:26">
      <c r="A36" s="4">
        <v>67742.95</v>
      </c>
      <c r="B36" s="5">
        <v>0</v>
      </c>
      <c r="C36" s="12">
        <v>0.37</v>
      </c>
      <c r="D36" s="6">
        <v>50707</v>
      </c>
      <c r="E36" s="6">
        <v>50711</v>
      </c>
      <c r="F36" s="6">
        <v>50892</v>
      </c>
      <c r="G36" s="8">
        <v>50711</v>
      </c>
      <c r="H36" s="6">
        <v>50892</v>
      </c>
      <c r="I36" s="5" t="s">
        <v>29</v>
      </c>
      <c r="J36" s="5" t="s">
        <v>27</v>
      </c>
      <c r="K36" s="5">
        <v>0.50277777999999995</v>
      </c>
      <c r="L36" s="5">
        <v>778.68</v>
      </c>
      <c r="M36" s="5">
        <v>517.92999999999995</v>
      </c>
      <c r="N36" s="6">
        <v>50892</v>
      </c>
      <c r="O36" s="11">
        <v>778.68</v>
      </c>
      <c r="P36" s="5" t="s">
        <v>27</v>
      </c>
      <c r="Q36" s="12">
        <v>1.91621</v>
      </c>
      <c r="R36" s="5">
        <v>0.66514702000000003</v>
      </c>
      <c r="S36" s="5" t="s">
        <v>28</v>
      </c>
      <c r="T36" s="5" t="s">
        <v>27</v>
      </c>
      <c r="U36" s="5">
        <v>0</v>
      </c>
      <c r="V36" s="4">
        <v>3724.03</v>
      </c>
      <c r="W36" s="5">
        <v>778.68</v>
      </c>
      <c r="X36" s="5">
        <v>1.91621</v>
      </c>
      <c r="Y36" s="14">
        <v>2945.35</v>
      </c>
      <c r="Z36" s="9">
        <f t="shared" si="0"/>
        <v>2166.67</v>
      </c>
    </row>
    <row r="37" spans="1:26">
      <c r="A37" s="4">
        <v>64797.599999999999</v>
      </c>
      <c r="B37" s="5">
        <v>0</v>
      </c>
      <c r="C37" s="12">
        <v>0.37</v>
      </c>
      <c r="D37" s="6">
        <v>50888</v>
      </c>
      <c r="E37" s="6">
        <v>50892</v>
      </c>
      <c r="F37" s="6">
        <v>51076</v>
      </c>
      <c r="G37" s="8">
        <v>50892</v>
      </c>
      <c r="H37" s="6">
        <v>51076</v>
      </c>
      <c r="I37" s="5" t="s">
        <v>29</v>
      </c>
      <c r="J37" s="5" t="s">
        <v>27</v>
      </c>
      <c r="K37" s="5">
        <v>0.51111110999999998</v>
      </c>
      <c r="L37" s="5">
        <v>739.16</v>
      </c>
      <c r="M37" s="5">
        <v>487.1</v>
      </c>
      <c r="N37" s="6">
        <v>51076</v>
      </c>
      <c r="O37" s="11">
        <v>739.16</v>
      </c>
      <c r="P37" s="5" t="s">
        <v>27</v>
      </c>
      <c r="Q37" s="12">
        <v>1.8618300000000001</v>
      </c>
      <c r="R37" s="5">
        <v>0.65900150999999996</v>
      </c>
      <c r="S37" s="5" t="s">
        <v>28</v>
      </c>
      <c r="T37" s="5" t="s">
        <v>27</v>
      </c>
      <c r="U37" s="5">
        <v>0</v>
      </c>
      <c r="V37" s="4">
        <v>3684.51</v>
      </c>
      <c r="W37" s="5">
        <v>739.16</v>
      </c>
      <c r="X37" s="5">
        <v>1.8618300000000001</v>
      </c>
      <c r="Y37" s="14">
        <v>2945.35</v>
      </c>
      <c r="Z37" s="9">
        <f t="shared" si="0"/>
        <v>2206.19</v>
      </c>
    </row>
    <row r="38" spans="1:26">
      <c r="A38" s="4">
        <v>61852.25</v>
      </c>
      <c r="B38" s="5">
        <v>0</v>
      </c>
      <c r="C38" s="12">
        <v>0.37</v>
      </c>
      <c r="D38" s="6">
        <v>51074</v>
      </c>
      <c r="E38" s="6">
        <v>51076</v>
      </c>
      <c r="F38" s="6">
        <v>51258</v>
      </c>
      <c r="G38" s="8">
        <v>51076</v>
      </c>
      <c r="H38" s="6">
        <v>51258</v>
      </c>
      <c r="I38" s="5" t="s">
        <v>29</v>
      </c>
      <c r="J38" s="5" t="s">
        <v>27</v>
      </c>
      <c r="K38" s="5">
        <v>0.50555556000000001</v>
      </c>
      <c r="L38" s="5">
        <v>656.44</v>
      </c>
      <c r="M38" s="5">
        <v>428.64</v>
      </c>
      <c r="N38" s="6">
        <v>51258</v>
      </c>
      <c r="O38" s="11">
        <v>656.44</v>
      </c>
      <c r="P38" s="5" t="s">
        <v>27</v>
      </c>
      <c r="Q38" s="12">
        <v>1.7293000000000001</v>
      </c>
      <c r="R38" s="5">
        <v>0.65297866000000004</v>
      </c>
      <c r="S38" s="5" t="s">
        <v>28</v>
      </c>
      <c r="T38" s="5" t="s">
        <v>27</v>
      </c>
      <c r="U38" s="5">
        <v>0</v>
      </c>
      <c r="V38" s="4">
        <v>3601.79</v>
      </c>
      <c r="W38" s="5">
        <v>656.44</v>
      </c>
      <c r="X38" s="5">
        <v>1.7293000000000001</v>
      </c>
      <c r="Y38" s="14">
        <v>2945.35</v>
      </c>
      <c r="Z38" s="9">
        <f t="shared" si="0"/>
        <v>2288.91</v>
      </c>
    </row>
    <row r="39" spans="1:26">
      <c r="A39" s="4">
        <v>58906.91</v>
      </c>
      <c r="B39" s="5">
        <v>0</v>
      </c>
      <c r="C39" s="12">
        <v>0.37</v>
      </c>
      <c r="D39" s="6">
        <v>51253</v>
      </c>
      <c r="E39" s="6">
        <v>51258</v>
      </c>
      <c r="F39" s="6">
        <v>51442</v>
      </c>
      <c r="G39" s="8">
        <v>51258</v>
      </c>
      <c r="H39" s="6">
        <v>51442</v>
      </c>
      <c r="I39" s="5" t="s">
        <v>29</v>
      </c>
      <c r="J39" s="5" t="s">
        <v>27</v>
      </c>
      <c r="K39" s="5">
        <v>0.51111110999999998</v>
      </c>
      <c r="L39" s="5">
        <v>617.39</v>
      </c>
      <c r="M39" s="5">
        <v>399.42</v>
      </c>
      <c r="N39" s="6">
        <v>51442</v>
      </c>
      <c r="O39" s="11">
        <v>617.39</v>
      </c>
      <c r="P39" s="5" t="s">
        <v>27</v>
      </c>
      <c r="Q39" s="12">
        <v>1.6806000000000001</v>
      </c>
      <c r="R39" s="5">
        <v>0.64694558000000002</v>
      </c>
      <c r="S39" s="5" t="s">
        <v>28</v>
      </c>
      <c r="T39" s="5" t="s">
        <v>27</v>
      </c>
      <c r="U39" s="5">
        <v>0</v>
      </c>
      <c r="V39" s="4">
        <v>3562.74</v>
      </c>
      <c r="W39" s="5">
        <v>617.39</v>
      </c>
      <c r="X39" s="5">
        <v>1.6806000000000001</v>
      </c>
      <c r="Y39" s="14">
        <v>2945.35</v>
      </c>
      <c r="Z39" s="9">
        <f t="shared" si="0"/>
        <v>2327.96</v>
      </c>
    </row>
    <row r="40" spans="1:26">
      <c r="A40" s="4">
        <v>55961.56</v>
      </c>
      <c r="B40" s="5">
        <v>0</v>
      </c>
      <c r="C40" s="12">
        <v>0.37</v>
      </c>
      <c r="D40" s="6">
        <v>51440</v>
      </c>
      <c r="E40" s="6">
        <v>51442</v>
      </c>
      <c r="F40" s="6">
        <v>51623</v>
      </c>
      <c r="G40" s="8">
        <v>51442</v>
      </c>
      <c r="H40" s="6">
        <v>51623</v>
      </c>
      <c r="I40" s="5" t="s">
        <v>29</v>
      </c>
      <c r="J40" s="5" t="s">
        <v>27</v>
      </c>
      <c r="K40" s="5">
        <v>0.50277777999999995</v>
      </c>
      <c r="L40" s="5">
        <v>542.05999999999995</v>
      </c>
      <c r="M40" s="5">
        <v>347.5</v>
      </c>
      <c r="N40" s="6">
        <v>51623</v>
      </c>
      <c r="O40" s="11">
        <v>542.05999999999995</v>
      </c>
      <c r="P40" s="5" t="s">
        <v>27</v>
      </c>
      <c r="Q40" s="12">
        <v>1.55657</v>
      </c>
      <c r="R40" s="5">
        <v>0.64106525000000003</v>
      </c>
      <c r="S40" s="5" t="s">
        <v>28</v>
      </c>
      <c r="T40" s="5" t="s">
        <v>27</v>
      </c>
      <c r="U40" s="5">
        <v>0</v>
      </c>
      <c r="V40" s="4">
        <v>3487.41</v>
      </c>
      <c r="W40" s="5">
        <v>542.05999999999995</v>
      </c>
      <c r="X40" s="5">
        <v>1.55657</v>
      </c>
      <c r="Y40" s="14">
        <v>2945.35</v>
      </c>
      <c r="Z40" s="9">
        <f t="shared" si="0"/>
        <v>2403.29</v>
      </c>
    </row>
    <row r="41" spans="1:26">
      <c r="A41" s="4">
        <v>53016.22</v>
      </c>
      <c r="B41" s="5">
        <v>0</v>
      </c>
      <c r="C41" s="12">
        <v>0.37</v>
      </c>
      <c r="D41" s="6">
        <v>51620</v>
      </c>
      <c r="E41" s="6">
        <v>51623</v>
      </c>
      <c r="F41" s="6">
        <v>51809</v>
      </c>
      <c r="G41" s="8">
        <v>51623</v>
      </c>
      <c r="H41" s="6">
        <v>51809</v>
      </c>
      <c r="I41" s="5" t="s">
        <v>29</v>
      </c>
      <c r="J41" s="5" t="s">
        <v>27</v>
      </c>
      <c r="K41" s="5">
        <v>0.51666666999999999</v>
      </c>
      <c r="L41" s="5">
        <v>515.16999999999996</v>
      </c>
      <c r="M41" s="5">
        <v>327.17</v>
      </c>
      <c r="N41" s="6">
        <v>51809</v>
      </c>
      <c r="O41" s="11">
        <v>515.16999999999996</v>
      </c>
      <c r="P41" s="5" t="s">
        <v>27</v>
      </c>
      <c r="Q41" s="12">
        <v>1.51074</v>
      </c>
      <c r="R41" s="5">
        <v>0.63507815999999995</v>
      </c>
      <c r="S41" s="5" t="s">
        <v>28</v>
      </c>
      <c r="T41" s="5" t="s">
        <v>27</v>
      </c>
      <c r="U41" s="5">
        <v>0</v>
      </c>
      <c r="V41" s="4">
        <v>3460.52</v>
      </c>
      <c r="W41" s="5">
        <v>515.16999999999996</v>
      </c>
      <c r="X41" s="5">
        <v>1.51074</v>
      </c>
      <c r="Y41" s="14">
        <v>2945.35</v>
      </c>
      <c r="Z41" s="9">
        <f t="shared" si="0"/>
        <v>2430.1799999999998</v>
      </c>
    </row>
    <row r="42" spans="1:26">
      <c r="A42" s="4">
        <v>50070.87</v>
      </c>
      <c r="B42" s="5">
        <v>0</v>
      </c>
      <c r="C42" s="12">
        <v>0.37</v>
      </c>
      <c r="D42" s="6">
        <v>51805</v>
      </c>
      <c r="E42" s="6">
        <v>51809</v>
      </c>
      <c r="F42" s="6">
        <v>51991</v>
      </c>
      <c r="G42" s="8">
        <v>51809</v>
      </c>
      <c r="H42" s="6">
        <v>51988</v>
      </c>
      <c r="I42" s="5" t="s">
        <v>29</v>
      </c>
      <c r="J42" s="5" t="s">
        <v>27</v>
      </c>
      <c r="K42" s="5">
        <v>0.49722221999999999</v>
      </c>
      <c r="L42" s="5">
        <v>447.27</v>
      </c>
      <c r="M42" s="5">
        <v>281.5</v>
      </c>
      <c r="N42" s="6">
        <v>51988</v>
      </c>
      <c r="O42" s="11">
        <v>447.27</v>
      </c>
      <c r="P42" s="5" t="s">
        <v>27</v>
      </c>
      <c r="Q42" s="12">
        <v>1.4265399999999999</v>
      </c>
      <c r="R42" s="5">
        <v>0.62936919000000002</v>
      </c>
      <c r="S42" s="5" t="s">
        <v>28</v>
      </c>
      <c r="T42" s="5" t="s">
        <v>27</v>
      </c>
      <c r="U42" s="5">
        <v>0</v>
      </c>
      <c r="V42" s="4">
        <v>3392.62</v>
      </c>
      <c r="W42" s="5">
        <v>447.27</v>
      </c>
      <c r="X42" s="5">
        <v>1.4265399999999999</v>
      </c>
      <c r="Y42" s="14">
        <v>2945.35</v>
      </c>
      <c r="Z42" s="9">
        <f t="shared" si="0"/>
        <v>2498.08</v>
      </c>
    </row>
    <row r="43" spans="1:26">
      <c r="A43" s="4">
        <v>47125.53</v>
      </c>
      <c r="B43" s="5">
        <v>0</v>
      </c>
      <c r="C43" s="12">
        <v>0.37</v>
      </c>
      <c r="D43" s="6">
        <v>51985</v>
      </c>
      <c r="E43" s="6">
        <v>51988</v>
      </c>
      <c r="F43" s="6">
        <v>52173</v>
      </c>
      <c r="G43" s="8">
        <v>51988</v>
      </c>
      <c r="H43" s="6">
        <v>52173</v>
      </c>
      <c r="I43" s="5" t="s">
        <v>29</v>
      </c>
      <c r="J43" s="5" t="s">
        <v>27</v>
      </c>
      <c r="K43" s="5">
        <v>0.51388889000000004</v>
      </c>
      <c r="L43" s="5">
        <v>427.59</v>
      </c>
      <c r="M43" s="5">
        <v>266.61</v>
      </c>
      <c r="N43" s="6">
        <v>52173</v>
      </c>
      <c r="O43" s="11">
        <v>427.59</v>
      </c>
      <c r="P43" s="5" t="s">
        <v>27</v>
      </c>
      <c r="Q43" s="12">
        <v>1.3956599999999999</v>
      </c>
      <c r="R43" s="5">
        <v>0.62352278999999999</v>
      </c>
      <c r="S43" s="5" t="s">
        <v>28</v>
      </c>
      <c r="T43" s="5" t="s">
        <v>27</v>
      </c>
      <c r="U43" s="5">
        <v>0</v>
      </c>
      <c r="V43" s="4">
        <v>3372.94</v>
      </c>
      <c r="W43" s="5">
        <v>427.59</v>
      </c>
      <c r="X43" s="5">
        <v>1.3956599999999999</v>
      </c>
      <c r="Y43" s="14">
        <v>2945.35</v>
      </c>
      <c r="Z43" s="9">
        <f t="shared" si="0"/>
        <v>2517.7599999999998</v>
      </c>
    </row>
    <row r="44" spans="1:26">
      <c r="A44" s="4">
        <v>44180.18</v>
      </c>
      <c r="B44" s="5">
        <v>0</v>
      </c>
      <c r="C44" s="12">
        <v>0.37</v>
      </c>
      <c r="D44" s="6">
        <v>52169</v>
      </c>
      <c r="E44" s="6">
        <v>52173</v>
      </c>
      <c r="F44" s="6">
        <v>52355</v>
      </c>
      <c r="G44" s="8">
        <v>52173</v>
      </c>
      <c r="H44" s="6">
        <v>52355</v>
      </c>
      <c r="I44" s="5" t="s">
        <v>29</v>
      </c>
      <c r="J44" s="5" t="s">
        <v>27</v>
      </c>
      <c r="K44" s="5">
        <v>0.50555556000000001</v>
      </c>
      <c r="L44" s="5">
        <v>374.77</v>
      </c>
      <c r="M44" s="5">
        <v>231.96</v>
      </c>
      <c r="N44" s="6">
        <v>52355</v>
      </c>
      <c r="O44" s="11">
        <v>374.77</v>
      </c>
      <c r="P44" s="5" t="s">
        <v>27</v>
      </c>
      <c r="Q44" s="12">
        <v>1.30792</v>
      </c>
      <c r="R44" s="5">
        <v>0.61894883999999994</v>
      </c>
      <c r="S44" s="5" t="s">
        <v>28</v>
      </c>
      <c r="T44" s="5" t="s">
        <v>27</v>
      </c>
      <c r="U44" s="5">
        <v>0</v>
      </c>
      <c r="V44" s="4">
        <v>3320.12</v>
      </c>
      <c r="W44" s="5">
        <v>374.77</v>
      </c>
      <c r="X44" s="5">
        <v>1.30792</v>
      </c>
      <c r="Y44" s="14">
        <v>2945.35</v>
      </c>
      <c r="Z44" s="9">
        <f t="shared" si="0"/>
        <v>2570.58</v>
      </c>
    </row>
    <row r="45" spans="1:26">
      <c r="A45" s="4">
        <v>41234.839999999997</v>
      </c>
      <c r="B45" s="5">
        <v>0</v>
      </c>
      <c r="C45" s="12">
        <v>0.37</v>
      </c>
      <c r="D45" s="6">
        <v>52350</v>
      </c>
      <c r="E45" s="6">
        <v>52355</v>
      </c>
      <c r="F45" s="6">
        <v>52539</v>
      </c>
      <c r="G45" s="8">
        <v>52355</v>
      </c>
      <c r="H45" s="6">
        <v>52537</v>
      </c>
      <c r="I45" s="5" t="s">
        <v>29</v>
      </c>
      <c r="J45" s="5" t="s">
        <v>27</v>
      </c>
      <c r="K45" s="5">
        <v>0.50555556000000001</v>
      </c>
      <c r="L45" s="5">
        <v>342.88</v>
      </c>
      <c r="M45" s="5">
        <v>210.81</v>
      </c>
      <c r="N45" s="6">
        <v>52537</v>
      </c>
      <c r="O45" s="11">
        <v>342.88</v>
      </c>
      <c r="P45" s="5" t="s">
        <v>27</v>
      </c>
      <c r="Q45" s="12">
        <v>1.27477</v>
      </c>
      <c r="R45" s="5">
        <v>0.61482026000000001</v>
      </c>
      <c r="S45" s="5" t="s">
        <v>28</v>
      </c>
      <c r="T45" s="5" t="s">
        <v>27</v>
      </c>
      <c r="U45" s="5">
        <v>0</v>
      </c>
      <c r="V45" s="4">
        <v>3288.23</v>
      </c>
      <c r="W45" s="5">
        <v>342.88</v>
      </c>
      <c r="X45" s="5">
        <v>1.27477</v>
      </c>
      <c r="Y45" s="14">
        <v>2945.35</v>
      </c>
      <c r="Z45" s="9">
        <f t="shared" si="0"/>
        <v>2602.4699999999998</v>
      </c>
    </row>
    <row r="46" spans="1:26">
      <c r="A46" s="4">
        <v>38289.49</v>
      </c>
      <c r="B46" s="5">
        <v>0</v>
      </c>
      <c r="C46" s="12">
        <v>0.37</v>
      </c>
      <c r="D46" s="6">
        <v>52533</v>
      </c>
      <c r="E46" s="6">
        <v>52537</v>
      </c>
      <c r="F46" s="6">
        <v>52719</v>
      </c>
      <c r="G46" s="8">
        <v>52537</v>
      </c>
      <c r="H46" s="6">
        <v>52719</v>
      </c>
      <c r="I46" s="5" t="s">
        <v>29</v>
      </c>
      <c r="J46" s="5" t="s">
        <v>27</v>
      </c>
      <c r="K46" s="5">
        <v>0.50555556000000001</v>
      </c>
      <c r="L46" s="5">
        <v>322.37</v>
      </c>
      <c r="M46" s="5">
        <v>196.88</v>
      </c>
      <c r="N46" s="6">
        <v>52719</v>
      </c>
      <c r="O46" s="11">
        <v>322.37</v>
      </c>
      <c r="P46" s="5" t="s">
        <v>27</v>
      </c>
      <c r="Q46" s="12">
        <v>1.2953600000000001</v>
      </c>
      <c r="R46" s="5">
        <v>0.61071922000000001</v>
      </c>
      <c r="S46" s="5" t="s">
        <v>28</v>
      </c>
      <c r="T46" s="5" t="s">
        <v>27</v>
      </c>
      <c r="U46" s="5">
        <v>0</v>
      </c>
      <c r="V46" s="4">
        <v>3267.72</v>
      </c>
      <c r="W46" s="5">
        <v>322.37</v>
      </c>
      <c r="X46" s="5">
        <v>1.2953600000000001</v>
      </c>
      <c r="Y46" s="14">
        <v>2945.35</v>
      </c>
      <c r="Z46" s="9">
        <f t="shared" si="0"/>
        <v>2622.98</v>
      </c>
    </row>
    <row r="47" spans="1:26">
      <c r="A47" s="4">
        <v>35344.15</v>
      </c>
      <c r="B47" s="5">
        <v>0</v>
      </c>
      <c r="C47" s="12">
        <v>0.37</v>
      </c>
      <c r="D47" s="6">
        <v>52715</v>
      </c>
      <c r="E47" s="6">
        <v>52719</v>
      </c>
      <c r="F47" s="6">
        <v>52903</v>
      </c>
      <c r="G47" s="8">
        <v>52719</v>
      </c>
      <c r="H47" s="6">
        <v>52903</v>
      </c>
      <c r="I47" s="5" t="s">
        <v>29</v>
      </c>
      <c r="J47" s="5" t="s">
        <v>27</v>
      </c>
      <c r="K47" s="5">
        <v>0.51111110999999998</v>
      </c>
      <c r="L47" s="5">
        <v>302.26</v>
      </c>
      <c r="M47" s="5">
        <v>183.35</v>
      </c>
      <c r="N47" s="6">
        <v>52903</v>
      </c>
      <c r="O47" s="11">
        <v>302.26</v>
      </c>
      <c r="P47" s="5" t="s">
        <v>27</v>
      </c>
      <c r="Q47" s="12">
        <v>1.30322</v>
      </c>
      <c r="R47" s="5">
        <v>0.60660091999999999</v>
      </c>
      <c r="S47" s="5" t="s">
        <v>28</v>
      </c>
      <c r="T47" s="5" t="s">
        <v>27</v>
      </c>
      <c r="U47" s="5">
        <v>0</v>
      </c>
      <c r="V47" s="4">
        <v>3247.61</v>
      </c>
      <c r="W47" s="5">
        <v>302.26</v>
      </c>
      <c r="X47" s="5">
        <v>1.30322</v>
      </c>
      <c r="Y47" s="14">
        <v>2945.35</v>
      </c>
      <c r="Z47" s="9">
        <f t="shared" si="0"/>
        <v>2643.09</v>
      </c>
    </row>
    <row r="48" spans="1:26">
      <c r="A48" s="4">
        <v>32398.799999999999</v>
      </c>
      <c r="B48" s="5">
        <v>0</v>
      </c>
      <c r="C48" s="12">
        <v>0.37</v>
      </c>
      <c r="D48" s="6">
        <v>52901</v>
      </c>
      <c r="E48" s="6">
        <v>52903</v>
      </c>
      <c r="F48" s="6">
        <v>53084</v>
      </c>
      <c r="G48" s="8">
        <v>52903</v>
      </c>
      <c r="H48" s="6">
        <v>53084</v>
      </c>
      <c r="I48" s="5" t="s">
        <v>29</v>
      </c>
      <c r="J48" s="5" t="s">
        <v>27</v>
      </c>
      <c r="K48" s="5">
        <v>0.50277777999999995</v>
      </c>
      <c r="L48" s="5">
        <v>245.96</v>
      </c>
      <c r="M48" s="5">
        <v>148.21</v>
      </c>
      <c r="N48" s="6">
        <v>53084</v>
      </c>
      <c r="O48" s="11">
        <v>245.96</v>
      </c>
      <c r="P48" s="5" t="s">
        <v>27</v>
      </c>
      <c r="Q48" s="12">
        <v>1.13994</v>
      </c>
      <c r="R48" s="5">
        <v>0.60257687000000004</v>
      </c>
      <c r="S48" s="5" t="s">
        <v>28</v>
      </c>
      <c r="T48" s="5" t="s">
        <v>27</v>
      </c>
      <c r="U48" s="5">
        <v>0</v>
      </c>
      <c r="V48" s="4">
        <v>3191.31</v>
      </c>
      <c r="W48" s="5">
        <v>245.96</v>
      </c>
      <c r="X48" s="5">
        <v>1.13994</v>
      </c>
      <c r="Y48" s="14">
        <v>2945.35</v>
      </c>
      <c r="Z48" s="9">
        <f t="shared" si="0"/>
        <v>2699.39</v>
      </c>
    </row>
    <row r="49" spans="1:26">
      <c r="A49" s="4">
        <v>29453.45</v>
      </c>
      <c r="B49" s="5">
        <v>0</v>
      </c>
      <c r="C49" s="12">
        <v>0.37</v>
      </c>
      <c r="D49" s="6">
        <v>53080</v>
      </c>
      <c r="E49" s="6">
        <v>53084</v>
      </c>
      <c r="F49" s="6">
        <v>53268</v>
      </c>
      <c r="G49" s="8">
        <v>53084</v>
      </c>
      <c r="H49" s="6">
        <v>53268</v>
      </c>
      <c r="I49" s="5" t="s">
        <v>29</v>
      </c>
      <c r="J49" s="5" t="s">
        <v>27</v>
      </c>
      <c r="K49" s="5">
        <v>0.51111110999999998</v>
      </c>
      <c r="L49" s="5">
        <v>218.2</v>
      </c>
      <c r="M49" s="5">
        <v>130.59</v>
      </c>
      <c r="N49" s="6">
        <v>53268</v>
      </c>
      <c r="O49" s="11">
        <v>218.2</v>
      </c>
      <c r="P49" s="5" t="s">
        <v>27</v>
      </c>
      <c r="Q49" s="12">
        <v>1.0794299999999999</v>
      </c>
      <c r="R49" s="5">
        <v>0.59851346999999999</v>
      </c>
      <c r="S49" s="5" t="s">
        <v>28</v>
      </c>
      <c r="T49" s="5" t="s">
        <v>27</v>
      </c>
      <c r="U49" s="5">
        <v>0</v>
      </c>
      <c r="V49" s="4">
        <v>3163.55</v>
      </c>
      <c r="W49" s="5">
        <v>218.2</v>
      </c>
      <c r="X49" s="5">
        <v>1.0794299999999999</v>
      </c>
      <c r="Y49" s="14">
        <v>2945.35</v>
      </c>
      <c r="Z49" s="9">
        <f t="shared" si="0"/>
        <v>2727.15</v>
      </c>
    </row>
    <row r="50" spans="1:26">
      <c r="A50" s="4">
        <v>26508.11</v>
      </c>
      <c r="B50" s="5">
        <v>0</v>
      </c>
      <c r="C50" s="12">
        <v>0.37</v>
      </c>
      <c r="D50" s="6">
        <v>53266</v>
      </c>
      <c r="E50" s="6">
        <v>53268</v>
      </c>
      <c r="F50" s="6">
        <v>53449</v>
      </c>
      <c r="G50" s="8">
        <v>53268</v>
      </c>
      <c r="H50" s="6">
        <v>53449</v>
      </c>
      <c r="I50" s="5" t="s">
        <v>29</v>
      </c>
      <c r="J50" s="5" t="s">
        <v>27</v>
      </c>
      <c r="K50" s="5">
        <v>0.50277777999999995</v>
      </c>
      <c r="L50" s="5">
        <v>198.39</v>
      </c>
      <c r="M50" s="5">
        <v>117.95</v>
      </c>
      <c r="N50" s="6">
        <v>53449</v>
      </c>
      <c r="O50" s="11">
        <v>198.39</v>
      </c>
      <c r="P50" s="5" t="s">
        <v>27</v>
      </c>
      <c r="Q50" s="12">
        <v>1.11856</v>
      </c>
      <c r="R50" s="5">
        <v>0.59454306999999995</v>
      </c>
      <c r="S50" s="5" t="s">
        <v>28</v>
      </c>
      <c r="T50" s="5" t="s">
        <v>27</v>
      </c>
      <c r="U50" s="5">
        <v>0</v>
      </c>
      <c r="V50" s="4">
        <v>3143.74</v>
      </c>
      <c r="W50" s="5">
        <v>198.39</v>
      </c>
      <c r="X50" s="5">
        <v>1.11856</v>
      </c>
      <c r="Y50" s="14">
        <v>2945.35</v>
      </c>
      <c r="Z50" s="9">
        <f t="shared" si="0"/>
        <v>2746.96</v>
      </c>
    </row>
    <row r="51" spans="1:26">
      <c r="A51" s="4">
        <v>23562.76</v>
      </c>
      <c r="B51" s="5">
        <v>0</v>
      </c>
      <c r="C51" s="12">
        <v>0.37</v>
      </c>
      <c r="D51" s="6">
        <v>53447</v>
      </c>
      <c r="E51" s="6">
        <v>53449</v>
      </c>
      <c r="F51" s="6">
        <v>53633</v>
      </c>
      <c r="G51" s="8">
        <v>53449</v>
      </c>
      <c r="H51" s="6">
        <v>53633</v>
      </c>
      <c r="I51" s="5" t="s">
        <v>29</v>
      </c>
      <c r="J51" s="5" t="s">
        <v>27</v>
      </c>
      <c r="K51" s="5">
        <v>0.51111110999999998</v>
      </c>
      <c r="L51" s="5">
        <v>181.03</v>
      </c>
      <c r="M51" s="5">
        <v>106.9</v>
      </c>
      <c r="N51" s="6">
        <v>53633</v>
      </c>
      <c r="O51" s="11">
        <v>181.03</v>
      </c>
      <c r="P51" s="5" t="s">
        <v>27</v>
      </c>
      <c r="Q51" s="12">
        <v>1.1331599999999999</v>
      </c>
      <c r="R51" s="5">
        <v>0.59053385000000003</v>
      </c>
      <c r="S51" s="5" t="s">
        <v>28</v>
      </c>
      <c r="T51" s="5" t="s">
        <v>27</v>
      </c>
      <c r="U51" s="5">
        <v>0</v>
      </c>
      <c r="V51" s="4">
        <v>3126.38</v>
      </c>
      <c r="W51" s="5">
        <v>181.03</v>
      </c>
      <c r="X51" s="5">
        <v>1.1331599999999999</v>
      </c>
      <c r="Y51" s="14">
        <v>2945.35</v>
      </c>
      <c r="Z51" s="9">
        <f t="shared" si="0"/>
        <v>2764.3199999999997</v>
      </c>
    </row>
    <row r="52" spans="1:26">
      <c r="A52" s="4">
        <v>20617.419999999998</v>
      </c>
      <c r="B52" s="5">
        <v>0</v>
      </c>
      <c r="C52" s="12">
        <v>0.37</v>
      </c>
      <c r="D52" s="6">
        <v>53631</v>
      </c>
      <c r="E52" s="6">
        <v>53633</v>
      </c>
      <c r="F52" s="6">
        <v>53814</v>
      </c>
      <c r="G52" s="8">
        <v>53633</v>
      </c>
      <c r="H52" s="6">
        <v>53814</v>
      </c>
      <c r="I52" s="5" t="s">
        <v>29</v>
      </c>
      <c r="J52" s="5" t="s">
        <v>27</v>
      </c>
      <c r="K52" s="5">
        <v>0.50277777999999995</v>
      </c>
      <c r="L52" s="5">
        <v>154.07</v>
      </c>
      <c r="M52" s="5">
        <v>90.38</v>
      </c>
      <c r="N52" s="6">
        <v>53814</v>
      </c>
      <c r="O52" s="11">
        <v>154.07</v>
      </c>
      <c r="P52" s="5" t="s">
        <v>27</v>
      </c>
      <c r="Q52" s="12">
        <v>1.11629</v>
      </c>
      <c r="R52" s="5">
        <v>0.58661638000000005</v>
      </c>
      <c r="S52" s="5" t="s">
        <v>28</v>
      </c>
      <c r="T52" s="5" t="s">
        <v>27</v>
      </c>
      <c r="U52" s="5">
        <v>0</v>
      </c>
      <c r="V52" s="4">
        <v>3099.42</v>
      </c>
      <c r="W52" s="5">
        <v>154.07</v>
      </c>
      <c r="X52" s="5">
        <v>1.11629</v>
      </c>
      <c r="Y52" s="14">
        <v>2945.35</v>
      </c>
      <c r="Z52" s="9">
        <f t="shared" si="0"/>
        <v>2791.2799999999997</v>
      </c>
    </row>
    <row r="53" spans="1:26">
      <c r="A53" s="4">
        <v>17672.07</v>
      </c>
      <c r="B53" s="5">
        <v>0</v>
      </c>
      <c r="C53" s="12">
        <v>0.37</v>
      </c>
      <c r="D53" s="6">
        <v>53812</v>
      </c>
      <c r="E53" s="6">
        <v>53814</v>
      </c>
      <c r="F53" s="6">
        <v>54000</v>
      </c>
      <c r="G53" s="8">
        <v>53814</v>
      </c>
      <c r="H53" s="6">
        <v>54000</v>
      </c>
      <c r="I53" s="5" t="s">
        <v>29</v>
      </c>
      <c r="J53" s="5" t="s">
        <v>27</v>
      </c>
      <c r="K53" s="5">
        <v>0.51666666999999999</v>
      </c>
      <c r="L53" s="5">
        <v>135.13999999999999</v>
      </c>
      <c r="M53" s="5">
        <v>78.739999999999995</v>
      </c>
      <c r="N53" s="6">
        <v>54000</v>
      </c>
      <c r="O53" s="11">
        <v>135.13999999999999</v>
      </c>
      <c r="P53" s="5" t="s">
        <v>27</v>
      </c>
      <c r="Q53" s="12">
        <v>1.1101300000000001</v>
      </c>
      <c r="R53" s="5">
        <v>0.58261775999999998</v>
      </c>
      <c r="S53" s="5" t="s">
        <v>28</v>
      </c>
      <c r="T53" s="5" t="s">
        <v>27</v>
      </c>
      <c r="U53" s="5">
        <v>0</v>
      </c>
      <c r="V53" s="4">
        <v>3080.49</v>
      </c>
      <c r="W53" s="5">
        <v>135.13999999999999</v>
      </c>
      <c r="X53" s="5">
        <v>1.1101300000000001</v>
      </c>
      <c r="Y53" s="14">
        <v>2945.35</v>
      </c>
      <c r="Z53" s="9">
        <f t="shared" si="0"/>
        <v>2810.21</v>
      </c>
    </row>
    <row r="54" spans="1:26">
      <c r="A54" s="4">
        <v>14726.73</v>
      </c>
      <c r="B54" s="5">
        <v>0</v>
      </c>
      <c r="C54" s="12">
        <v>0.37</v>
      </c>
      <c r="D54" s="6">
        <v>53996</v>
      </c>
      <c r="E54" s="6">
        <v>54000</v>
      </c>
      <c r="F54" s="6">
        <v>54182</v>
      </c>
      <c r="G54" s="8">
        <v>54000</v>
      </c>
      <c r="H54" s="6">
        <v>54182</v>
      </c>
      <c r="I54" s="5" t="s">
        <v>29</v>
      </c>
      <c r="J54" s="5" t="s">
        <v>27</v>
      </c>
      <c r="K54" s="5">
        <v>0.50555556000000001</v>
      </c>
      <c r="L54" s="5">
        <v>101.85</v>
      </c>
      <c r="M54" s="5">
        <v>58.99</v>
      </c>
      <c r="N54" s="6">
        <v>54182</v>
      </c>
      <c r="O54" s="11">
        <v>101.85</v>
      </c>
      <c r="P54" s="5" t="s">
        <v>27</v>
      </c>
      <c r="Q54" s="12">
        <v>0.99804999999999999</v>
      </c>
      <c r="R54" s="5">
        <v>0.57914133000000001</v>
      </c>
      <c r="S54" s="5" t="s">
        <v>28</v>
      </c>
      <c r="T54" s="5" t="s">
        <v>27</v>
      </c>
      <c r="U54" s="5">
        <v>0</v>
      </c>
      <c r="V54" s="4">
        <v>3047.2</v>
      </c>
      <c r="W54" s="5">
        <v>101.85</v>
      </c>
      <c r="X54" s="5">
        <v>0.99804999999999999</v>
      </c>
      <c r="Y54" s="14">
        <v>2945.35</v>
      </c>
      <c r="Z54" s="9">
        <f t="shared" si="0"/>
        <v>2843.5</v>
      </c>
    </row>
    <row r="55" spans="1:26">
      <c r="A55" s="4">
        <v>11781.38</v>
      </c>
      <c r="B55" s="5">
        <v>0</v>
      </c>
      <c r="C55" s="12">
        <v>0.37</v>
      </c>
      <c r="D55" s="6">
        <v>54178</v>
      </c>
      <c r="E55" s="6">
        <v>54182</v>
      </c>
      <c r="F55" s="6">
        <v>54366</v>
      </c>
      <c r="G55" s="8">
        <v>54182</v>
      </c>
      <c r="H55" s="6">
        <v>54364</v>
      </c>
      <c r="I55" s="5" t="s">
        <v>29</v>
      </c>
      <c r="J55" s="5" t="s">
        <v>27</v>
      </c>
      <c r="K55" s="5">
        <v>0.50555556000000001</v>
      </c>
      <c r="L55" s="5">
        <v>79.03</v>
      </c>
      <c r="M55" s="5">
        <v>45.51</v>
      </c>
      <c r="N55" s="6">
        <v>54364</v>
      </c>
      <c r="O55" s="11">
        <v>79.03</v>
      </c>
      <c r="P55" s="5" t="s">
        <v>27</v>
      </c>
      <c r="Q55" s="12">
        <v>0.95682999999999996</v>
      </c>
      <c r="R55" s="5">
        <v>0.57583578999999996</v>
      </c>
      <c r="S55" s="5" t="s">
        <v>28</v>
      </c>
      <c r="T55" s="5" t="s">
        <v>27</v>
      </c>
      <c r="U55" s="5">
        <v>0</v>
      </c>
      <c r="V55" s="4">
        <v>3024.38</v>
      </c>
      <c r="W55" s="5">
        <v>79.03</v>
      </c>
      <c r="X55" s="5">
        <v>0.95682999999999996</v>
      </c>
      <c r="Y55" s="14">
        <v>2945.35</v>
      </c>
      <c r="Z55" s="9">
        <f t="shared" si="0"/>
        <v>2866.3199999999997</v>
      </c>
    </row>
    <row r="56" spans="1:26">
      <c r="A56" s="4">
        <v>8836.0400000000009</v>
      </c>
      <c r="B56" s="5">
        <v>0</v>
      </c>
      <c r="C56" s="12">
        <v>0.37</v>
      </c>
      <c r="D56" s="6">
        <v>54360</v>
      </c>
      <c r="E56" s="6">
        <v>54364</v>
      </c>
      <c r="F56" s="6">
        <v>54546</v>
      </c>
      <c r="G56" s="8">
        <v>54364</v>
      </c>
      <c r="H56" s="6">
        <v>54546</v>
      </c>
      <c r="I56" s="5" t="s">
        <v>29</v>
      </c>
      <c r="J56" s="5" t="s">
        <v>27</v>
      </c>
      <c r="K56" s="5">
        <v>0.50555556000000001</v>
      </c>
      <c r="L56" s="5">
        <v>58.38</v>
      </c>
      <c r="M56" s="5">
        <v>33.42</v>
      </c>
      <c r="N56" s="6">
        <v>54546</v>
      </c>
      <c r="O56" s="11">
        <v>58.38</v>
      </c>
      <c r="P56" s="5" t="s">
        <v>27</v>
      </c>
      <c r="Q56" s="12">
        <v>0.93679999999999997</v>
      </c>
      <c r="R56" s="5">
        <v>0.57254912999999996</v>
      </c>
      <c r="S56" s="5" t="s">
        <v>28</v>
      </c>
      <c r="T56" s="5" t="s">
        <v>27</v>
      </c>
      <c r="U56" s="5">
        <v>0</v>
      </c>
      <c r="V56" s="4">
        <v>3003.73</v>
      </c>
      <c r="W56" s="5">
        <v>58.38</v>
      </c>
      <c r="X56" s="5">
        <v>0.93679999999999997</v>
      </c>
      <c r="Y56" s="14">
        <v>2945.35</v>
      </c>
      <c r="Z56" s="9">
        <f t="shared" si="0"/>
        <v>2886.97</v>
      </c>
    </row>
    <row r="57" spans="1:26">
      <c r="A57" s="4">
        <v>5890.69</v>
      </c>
      <c r="B57" s="5">
        <v>0</v>
      </c>
      <c r="C57" s="12">
        <v>0.37</v>
      </c>
      <c r="D57" s="6">
        <v>54542</v>
      </c>
      <c r="E57" s="6">
        <v>54546</v>
      </c>
      <c r="F57" s="6">
        <v>54730</v>
      </c>
      <c r="G57" s="8">
        <v>54546</v>
      </c>
      <c r="H57" s="6">
        <v>54729</v>
      </c>
      <c r="I57" s="5" t="s">
        <v>29</v>
      </c>
      <c r="J57" s="5" t="s">
        <v>27</v>
      </c>
      <c r="K57" s="5">
        <v>0.50833333000000003</v>
      </c>
      <c r="L57" s="5">
        <v>38.909999999999997</v>
      </c>
      <c r="M57" s="5">
        <v>22.15</v>
      </c>
      <c r="N57" s="6">
        <v>54729</v>
      </c>
      <c r="O57" s="11">
        <v>38.909999999999997</v>
      </c>
      <c r="P57" s="5" t="s">
        <v>27</v>
      </c>
      <c r="Q57" s="12">
        <v>0.92923999999999995</v>
      </c>
      <c r="R57" s="5">
        <v>0.56926330999999997</v>
      </c>
      <c r="S57" s="5" t="s">
        <v>28</v>
      </c>
      <c r="T57" s="5" t="s">
        <v>27</v>
      </c>
      <c r="U57" s="5">
        <v>0</v>
      </c>
      <c r="V57" s="4">
        <v>2984.26</v>
      </c>
      <c r="W57" s="5">
        <v>38.909999999999997</v>
      </c>
      <c r="X57" s="5">
        <v>0.92923999999999995</v>
      </c>
      <c r="Y57" s="14">
        <v>2945.35</v>
      </c>
      <c r="Z57" s="9">
        <f t="shared" si="0"/>
        <v>2906.44</v>
      </c>
    </row>
    <row r="58" spans="1:26">
      <c r="A58" s="4">
        <v>2945.35</v>
      </c>
      <c r="B58" s="5">
        <v>0</v>
      </c>
      <c r="C58" s="12">
        <v>0.37</v>
      </c>
      <c r="D58" s="6">
        <v>54725</v>
      </c>
      <c r="E58" s="6">
        <v>54729</v>
      </c>
      <c r="F58" s="6">
        <v>54910</v>
      </c>
      <c r="G58" s="8">
        <v>54729</v>
      </c>
      <c r="H58" s="6">
        <v>54910</v>
      </c>
      <c r="I58" s="5" t="s">
        <v>29</v>
      </c>
      <c r="J58" s="5" t="s">
        <v>27</v>
      </c>
      <c r="K58" s="5">
        <v>0.50277777999999995</v>
      </c>
      <c r="L58" s="5">
        <v>18.440000000000001</v>
      </c>
      <c r="M58" s="5">
        <v>10.44</v>
      </c>
      <c r="N58" s="6">
        <v>54910</v>
      </c>
      <c r="O58" s="11">
        <v>18.440000000000001</v>
      </c>
      <c r="P58" s="5" t="s">
        <v>27</v>
      </c>
      <c r="Q58" s="12">
        <v>0.87507000000000001</v>
      </c>
      <c r="R58" s="5">
        <v>0.56603196</v>
      </c>
      <c r="S58" s="5" t="s">
        <v>28</v>
      </c>
      <c r="T58" s="5" t="s">
        <v>27</v>
      </c>
      <c r="U58" s="5">
        <v>0</v>
      </c>
      <c r="V58" s="4">
        <v>2963.79</v>
      </c>
      <c r="W58" s="5">
        <v>18.440000000000001</v>
      </c>
      <c r="X58" s="5">
        <v>0.87507000000000001</v>
      </c>
      <c r="Y58" s="14">
        <v>2945.35</v>
      </c>
      <c r="Z58" s="9">
        <f t="shared" si="0"/>
        <v>2926.91</v>
      </c>
    </row>
    <row r="59" spans="1:26">
      <c r="V59" s="3">
        <f>SUM(V4:V58)</f>
        <v>226733.90000000002</v>
      </c>
      <c r="W59" s="3">
        <f>SUM(W4:W58)</f>
        <v>64739.64999999998</v>
      </c>
      <c r="Y59" s="3">
        <f>SUM(Y4:Y58)</f>
        <v>161994.25000000015</v>
      </c>
    </row>
  </sheetData>
  <pageMargins left="0.78740157499999996" right="0.78740157499999996" top="0.984251969" bottom="0.984251969" header="0.4921259845" footer="0.492125984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Trade-1.1671454478680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Primetzhofer Alexandra Dipl.-Ing</dc:creator>
  <cp:lastModifiedBy>Primetzhofer Alexandra DI.</cp:lastModifiedBy>
  <dcterms:created xsi:type="dcterms:W3CDTF">2022-12-19T14:55:27Z</dcterms:created>
  <dcterms:modified xsi:type="dcterms:W3CDTF">2022-12-19T14:55:27Z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939b85-7e40-4a1d-91e1-0e84c3b219d7_Enabled">
    <vt:lpwstr>true</vt:lpwstr>
  </property>
  <property fmtid="{D5CDD505-2E9C-101B-9397-08002B2CF9AE}" pid="3" name="MSIP_Label_38939b85-7e40-4a1d-91e1-0e84c3b219d7_SetDate">
    <vt:lpwstr>2022-12-19T12:54:46Z</vt:lpwstr>
  </property>
  <property fmtid="{D5CDD505-2E9C-101B-9397-08002B2CF9AE}" pid="4" name="MSIP_Label_38939b85-7e40-4a1d-91e1-0e84c3b219d7_Method">
    <vt:lpwstr>Standard</vt:lpwstr>
  </property>
  <property fmtid="{D5CDD505-2E9C-101B-9397-08002B2CF9AE}" pid="5" name="MSIP_Label_38939b85-7e40-4a1d-91e1-0e84c3b219d7_Name">
    <vt:lpwstr>38939b85-7e40-4a1d-91e1-0e84c3b219d7</vt:lpwstr>
  </property>
  <property fmtid="{D5CDD505-2E9C-101B-9397-08002B2CF9AE}" pid="6" name="MSIP_Label_38939b85-7e40-4a1d-91e1-0e84c3b219d7_SiteId">
    <vt:lpwstr>3ad0376a-54d3-49a6-9e20-52de0a92fc89</vt:lpwstr>
  </property>
  <property fmtid="{D5CDD505-2E9C-101B-9397-08002B2CF9AE}" pid="7" name="MSIP_Label_38939b85-7e40-4a1d-91e1-0e84c3b219d7_ActionId">
    <vt:lpwstr>886428ea-685f-44b9-ac74-9bd77ca6f834</vt:lpwstr>
  </property>
  <property fmtid="{D5CDD505-2E9C-101B-9397-08002B2CF9AE}" pid="8" name="MSIP_Label_38939b85-7e40-4a1d-91e1-0e84c3b219d7_ContentBits">
    <vt:lpwstr>0</vt:lpwstr>
  </property>
</Properties>
</file>