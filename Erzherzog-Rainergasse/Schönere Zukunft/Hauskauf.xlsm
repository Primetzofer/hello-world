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Erzherzog-Rainergasse/Schönere Zukunft/"/>
    </mc:Choice>
  </mc:AlternateContent>
  <xr:revisionPtr revIDLastSave="2" documentId="8_{91271F5A-3CF4-4F81-A3E0-3B1E7F6D3D2F}" xr6:coauthVersionLast="47" xr6:coauthVersionMax="47" xr10:uidLastSave="{45062B88-A7E9-4C5C-B164-BE761C027B65}"/>
  <bookViews>
    <workbookView xWindow="3852" yWindow="1092" windowWidth="21408" windowHeight="10188" xr2:uid="{00000000-000D-0000-FFFF-FFFF00000000}"/>
  </bookViews>
  <sheets>
    <sheet name="Tabelle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1" l="1"/>
  <c r="F39" i="1"/>
  <c r="A9" i="1"/>
  <c r="C37" i="1" s="1"/>
  <c r="C39" i="1" s="1"/>
  <c r="C32" i="1"/>
  <c r="C34" i="1"/>
  <c r="Q26" i="1" l="1"/>
  <c r="Q31" i="1"/>
  <c r="G18" i="1"/>
  <c r="G9" i="1"/>
  <c r="G20" i="1" l="1"/>
  <c r="G21" i="1" l="1"/>
  <c r="G23" i="1"/>
  <c r="G24" i="1" s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65" i="1"/>
  <c r="Q66" i="1"/>
  <c r="Q67" i="1"/>
  <c r="Q68" i="1"/>
  <c r="Q69" i="1"/>
  <c r="Q70" i="1"/>
  <c r="Q71" i="1"/>
  <c r="Q72" i="1"/>
  <c r="Q73" i="1"/>
  <c r="Q74" i="1"/>
  <c r="Q75" i="1"/>
  <c r="Q76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S31" i="1"/>
  <c r="R31" i="1"/>
  <c r="T31" i="1" s="1"/>
  <c r="Q32" i="1"/>
  <c r="M37" i="1"/>
  <c r="M31" i="1"/>
  <c r="M32" i="1" s="1"/>
  <c r="C1" i="1"/>
  <c r="J35" i="1"/>
  <c r="J36" i="1"/>
  <c r="J34" i="1"/>
  <c r="J33" i="1"/>
  <c r="J32" i="1"/>
  <c r="J37" i="1" s="1"/>
  <c r="J31" i="1"/>
  <c r="H37" i="1"/>
  <c r="C9" i="1"/>
  <c r="C18" i="1"/>
  <c r="C20" i="1" s="1"/>
  <c r="C21" i="1" s="1"/>
  <c r="E9" i="1"/>
  <c r="D27" i="1" s="1"/>
  <c r="E18" i="1"/>
  <c r="E20" i="1" s="1"/>
  <c r="E21" i="1" s="1"/>
  <c r="D18" i="1"/>
  <c r="D20" i="1" s="1"/>
  <c r="D21" i="1" s="1"/>
  <c r="D9" i="1"/>
  <c r="F18" i="1"/>
  <c r="F9" i="1"/>
  <c r="C27" i="1" s="1"/>
  <c r="E27" i="1"/>
  <c r="S32" i="1" l="1"/>
  <c r="B21" i="1"/>
  <c r="B22" i="1" s="1"/>
  <c r="R32" i="1"/>
  <c r="T32" i="1" s="1"/>
  <c r="F20" i="1"/>
  <c r="F23" i="1" s="1"/>
  <c r="F24" i="1" s="1"/>
  <c r="D43" i="1"/>
  <c r="F27" i="1"/>
  <c r="C41" i="1" l="1"/>
  <c r="D23" i="1"/>
  <c r="S33" i="1"/>
  <c r="R33" i="1" s="1"/>
  <c r="T33" i="1" s="1"/>
  <c r="E23" i="1"/>
  <c r="E24" i="1" s="1"/>
  <c r="F21" i="1"/>
  <c r="S34" i="1" l="1"/>
  <c r="R34" i="1" s="1"/>
  <c r="T34" i="1" s="1"/>
  <c r="C43" i="1"/>
  <c r="D24" i="1"/>
  <c r="S35" i="1" l="1"/>
  <c r="R35" i="1" s="1"/>
  <c r="T35" i="1" s="1"/>
  <c r="S36" i="1" l="1"/>
  <c r="R36" i="1" s="1"/>
  <c r="T36" i="1"/>
  <c r="S37" i="1" l="1"/>
  <c r="R37" i="1" s="1"/>
  <c r="T37" i="1"/>
  <c r="S38" i="1" l="1"/>
  <c r="R38" i="1" s="1"/>
  <c r="T38" i="1"/>
  <c r="S39" i="1" l="1"/>
  <c r="R39" i="1" s="1"/>
  <c r="T39" i="1" s="1"/>
  <c r="S40" i="1" l="1"/>
  <c r="R40" i="1" s="1"/>
  <c r="T40" i="1" s="1"/>
  <c r="S41" i="1" l="1"/>
  <c r="R41" i="1" s="1"/>
  <c r="T41" i="1"/>
  <c r="S42" i="1" l="1"/>
  <c r="R42" i="1" s="1"/>
  <c r="T42" i="1"/>
  <c r="S43" i="1" l="1"/>
  <c r="R43" i="1" s="1"/>
  <c r="T43" i="1" s="1"/>
  <c r="S44" i="1" l="1"/>
  <c r="R44" i="1" s="1"/>
  <c r="T44" i="1" s="1"/>
  <c r="S45" i="1" l="1"/>
  <c r="R45" i="1" s="1"/>
  <c r="T45" i="1"/>
  <c r="S46" i="1" l="1"/>
  <c r="R46" i="1" s="1"/>
  <c r="T46" i="1" s="1"/>
  <c r="S47" i="1" l="1"/>
  <c r="R47" i="1" s="1"/>
  <c r="T47" i="1" s="1"/>
  <c r="S48" i="1" l="1"/>
  <c r="R48" i="1" s="1"/>
  <c r="T48" i="1"/>
  <c r="S49" i="1" l="1"/>
  <c r="R49" i="1" s="1"/>
  <c r="T49" i="1"/>
  <c r="S50" i="1" l="1"/>
  <c r="R50" i="1" s="1"/>
  <c r="T50" i="1"/>
  <c r="S51" i="1" l="1"/>
  <c r="R51" i="1" s="1"/>
  <c r="T51" i="1" s="1"/>
  <c r="S52" i="1" l="1"/>
  <c r="R52" i="1" s="1"/>
  <c r="T52" i="1" s="1"/>
  <c r="S53" i="1" l="1"/>
  <c r="R53" i="1" s="1"/>
  <c r="T53" i="1" s="1"/>
  <c r="S54" i="1" l="1"/>
  <c r="R54" i="1" s="1"/>
  <c r="T54" i="1" s="1"/>
  <c r="S55" i="1" l="1"/>
  <c r="R55" i="1" s="1"/>
  <c r="T55" i="1" s="1"/>
  <c r="S56" i="1" l="1"/>
  <c r="R56" i="1" s="1"/>
  <c r="T56" i="1" s="1"/>
  <c r="S57" i="1" l="1"/>
  <c r="R57" i="1" s="1"/>
  <c r="T57" i="1"/>
  <c r="S58" i="1" l="1"/>
  <c r="R58" i="1" s="1"/>
  <c r="T58" i="1" s="1"/>
  <c r="S59" i="1" l="1"/>
  <c r="R59" i="1" s="1"/>
  <c r="T59" i="1" s="1"/>
  <c r="S60" i="1" l="1"/>
  <c r="R60" i="1" s="1"/>
  <c r="T60" i="1"/>
  <c r="S61" i="1" l="1"/>
  <c r="R61" i="1" s="1"/>
  <c r="T61" i="1" s="1"/>
  <c r="S62" i="1" l="1"/>
  <c r="R62" i="1" s="1"/>
  <c r="T62" i="1"/>
  <c r="S63" i="1" l="1"/>
  <c r="R63" i="1" s="1"/>
  <c r="T63" i="1" s="1"/>
  <c r="S64" i="1" l="1"/>
  <c r="R64" i="1" s="1"/>
  <c r="T64" i="1"/>
  <c r="S65" i="1" l="1"/>
  <c r="R65" i="1" s="1"/>
  <c r="T65" i="1"/>
  <c r="S66" i="1" l="1"/>
  <c r="R66" i="1" s="1"/>
  <c r="T66" i="1" s="1"/>
  <c r="S67" i="1" l="1"/>
  <c r="R67" i="1" s="1"/>
  <c r="T67" i="1" s="1"/>
  <c r="S68" i="1" l="1"/>
  <c r="R68" i="1" s="1"/>
  <c r="T68" i="1" s="1"/>
  <c r="S69" i="1" l="1"/>
  <c r="R69" i="1" s="1"/>
  <c r="T69" i="1"/>
  <c r="S70" i="1" l="1"/>
  <c r="R70" i="1" s="1"/>
  <c r="T70" i="1"/>
  <c r="S71" i="1" l="1"/>
  <c r="R71" i="1" s="1"/>
  <c r="T71" i="1" s="1"/>
  <c r="S72" i="1" l="1"/>
  <c r="R72" i="1" s="1"/>
  <c r="T72" i="1"/>
  <c r="S73" i="1" l="1"/>
  <c r="R73" i="1" s="1"/>
  <c r="T73" i="1"/>
  <c r="S74" i="1" l="1"/>
  <c r="R74" i="1" s="1"/>
  <c r="T74" i="1" s="1"/>
  <c r="S75" i="1" l="1"/>
  <c r="R75" i="1" s="1"/>
  <c r="T75" i="1" s="1"/>
  <c r="S76" i="1" l="1"/>
  <c r="R76" i="1" s="1"/>
  <c r="T76" i="1"/>
  <c r="S77" i="1" l="1"/>
  <c r="R77" i="1" s="1"/>
  <c r="T77" i="1" s="1"/>
  <c r="S78" i="1" l="1"/>
  <c r="R78" i="1" s="1"/>
  <c r="T78" i="1"/>
  <c r="S79" i="1" l="1"/>
  <c r="R79" i="1" s="1"/>
  <c r="T79" i="1" s="1"/>
  <c r="S80" i="1" l="1"/>
  <c r="R80" i="1" s="1"/>
  <c r="T80" i="1"/>
  <c r="S81" i="1" l="1"/>
  <c r="R81" i="1" s="1"/>
  <c r="T81" i="1" s="1"/>
  <c r="S82" i="1" l="1"/>
  <c r="R82" i="1" s="1"/>
  <c r="T82" i="1" s="1"/>
  <c r="S83" i="1" l="1"/>
  <c r="R83" i="1" s="1"/>
  <c r="T83" i="1"/>
  <c r="S84" i="1" l="1"/>
  <c r="R84" i="1" s="1"/>
  <c r="T84" i="1"/>
  <c r="S85" i="1" l="1"/>
  <c r="R85" i="1" s="1"/>
  <c r="T85" i="1" s="1"/>
  <c r="S86" i="1" l="1"/>
  <c r="R86" i="1" s="1"/>
  <c r="T86" i="1" s="1"/>
  <c r="S87" i="1" l="1"/>
  <c r="R87" i="1" s="1"/>
  <c r="T87" i="1" s="1"/>
  <c r="S88" i="1" l="1"/>
  <c r="R88" i="1" s="1"/>
  <c r="T88" i="1" s="1"/>
  <c r="S89" i="1" l="1"/>
  <c r="R89" i="1" s="1"/>
  <c r="T89" i="1" s="1"/>
  <c r="S90" i="1" l="1"/>
  <c r="R90" i="1" s="1"/>
  <c r="T90" i="1" s="1"/>
</calcChain>
</file>

<file path=xl/sharedStrings.xml><?xml version="1.0" encoding="utf-8"?>
<sst xmlns="http://schemas.openxmlformats.org/spreadsheetml/2006/main" count="36" uniqueCount="35">
  <si>
    <t>Bankdarlehen mit AZ/1</t>
  </si>
  <si>
    <t>Bankdarlehen ohne AZ/1</t>
  </si>
  <si>
    <t>Annuitätenzuschuss / 1</t>
  </si>
  <si>
    <t>WBF mit AZ/RZ 1</t>
  </si>
  <si>
    <t>Annuitätensumme</t>
  </si>
  <si>
    <t>Betriebskosten</t>
  </si>
  <si>
    <t>Verwaltung</t>
  </si>
  <si>
    <t>EVB</t>
  </si>
  <si>
    <t>Rücklage</t>
  </si>
  <si>
    <t>Verwaltung Garage</t>
  </si>
  <si>
    <t>Abstellplatzmiete</t>
  </si>
  <si>
    <t>UST - Verwohung</t>
  </si>
  <si>
    <t>Gesamt Betrag</t>
  </si>
  <si>
    <t>Miete</t>
  </si>
  <si>
    <t>Kaution</t>
  </si>
  <si>
    <t>Eigenmittel</t>
  </si>
  <si>
    <t>Herstellungskosten</t>
  </si>
  <si>
    <t>Hauskosten</t>
  </si>
  <si>
    <t>geleistete Annutitäten</t>
  </si>
  <si>
    <t xml:space="preserve">bezahlt </t>
  </si>
  <si>
    <t>bezahlt</t>
  </si>
  <si>
    <t>ausständig</t>
  </si>
  <si>
    <t>zu bezahlen</t>
  </si>
  <si>
    <t>nach 10 Jahren</t>
  </si>
  <si>
    <t>an gen</t>
  </si>
  <si>
    <t>cash</t>
  </si>
  <si>
    <t>zinsen</t>
  </si>
  <si>
    <t>tilgung</t>
  </si>
  <si>
    <t>Unterhalt</t>
  </si>
  <si>
    <t>Schönere Zukunft</t>
  </si>
  <si>
    <t>offen</t>
  </si>
  <si>
    <t>datum</t>
  </si>
  <si>
    <t>annui</t>
  </si>
  <si>
    <t>saldo</t>
  </si>
  <si>
    <t>Guthaben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</si>
</sst>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000"/>
  </numFmts>
  <fonts count="1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B0F0"/>
      <name val="Arial"/>
      <family val="2"/>
    </font>
    <font>
      <b/>
      <sz val="10"/>
      <color rgb="FF00B0F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  <font>
      <sz val="10"/>
      <color rgb="FF006100"/>
      <name val="Arial"/>
      <family val="2"/>
    </font>
    <font>
      <b/>
      <sz val="10"/>
      <color theme="3" tint="0.39997558519241921"/>
      <name val="Arial"/>
      <family val="2"/>
    </font>
    <font>
      <b/>
      <sz val="10"/>
      <color rgb="FFC00000"/>
      <name val="Arial"/>
      <family val="2"/>
    </font>
    <font>
      <sz val="10"/>
      <color theme="3" tint="0.39997558519241921"/>
      <name val="Arial"/>
      <family val="2"/>
    </font>
    <font>
      <b/>
      <i/>
      <sz val="10"/>
      <color theme="1"/>
      <name val="Arial"/>
      <family val="2"/>
    </font>
    <font>
      <sz val="10"/>
      <color theme="9" tint="-0.249977111117893"/>
      <name val="Arial"/>
      <family val="2"/>
    </font>
    <font>
      <b/>
      <sz val="10"/>
      <color theme="9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2" borderId="0" applyNumberFormat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center"/>
    </xf>
    <xf numFmtId="43" fontId="3" fillId="0" borderId="0" xfId="1" applyFont="1"/>
    <xf numFmtId="43" fontId="0" fillId="0" borderId="0" xfId="1" applyFont="1"/>
    <xf numFmtId="43" fontId="2" fillId="0" borderId="0" xfId="0" applyNumberFormat="1" applyFont="1" applyAlignment="1">
      <alignment horizontal="right"/>
    </xf>
    <xf numFmtId="43" fontId="2" fillId="0" borderId="0" xfId="1" applyFont="1" applyAlignment="1">
      <alignment horizontal="right"/>
    </xf>
    <xf numFmtId="0" fontId="5" fillId="0" borderId="0" xfId="0" applyFont="1" applyAlignment="1">
      <alignment horizontal="right"/>
    </xf>
    <xf numFmtId="43" fontId="6" fillId="0" borderId="1" xfId="1" applyFont="1" applyBorder="1"/>
    <xf numFmtId="43" fontId="2" fillId="0" borderId="0" xfId="1" applyFont="1"/>
    <xf numFmtId="0" fontId="2" fillId="3" borderId="0" xfId="0" applyFont="1" applyFill="1" applyAlignment="1">
      <alignment horizontal="right"/>
    </xf>
    <xf numFmtId="43" fontId="2" fillId="3" borderId="0" xfId="1" applyFont="1" applyFill="1"/>
    <xf numFmtId="0" fontId="2" fillId="0" borderId="1" xfId="0" applyFont="1" applyBorder="1" applyAlignment="1">
      <alignment horizontal="center"/>
    </xf>
    <xf numFmtId="43" fontId="0" fillId="0" borderId="0" xfId="0" applyNumberFormat="1"/>
    <xf numFmtId="0" fontId="0" fillId="3" borderId="0" xfId="0" applyFill="1" applyAlignment="1">
      <alignment horizontal="right"/>
    </xf>
    <xf numFmtId="43" fontId="0" fillId="3" borderId="0" xfId="1" applyFont="1" applyFill="1"/>
    <xf numFmtId="43" fontId="8" fillId="0" borderId="0" xfId="1" applyFont="1"/>
    <xf numFmtId="0" fontId="0" fillId="0" borderId="0" xfId="0" applyFill="1" applyAlignment="1">
      <alignment horizontal="right"/>
    </xf>
    <xf numFmtId="43" fontId="0" fillId="0" borderId="0" xfId="1" applyFont="1" applyFill="1"/>
    <xf numFmtId="0" fontId="9" fillId="0" borderId="2" xfId="0" applyFont="1" applyBorder="1" applyAlignment="1">
      <alignment horizontal="right"/>
    </xf>
    <xf numFmtId="43" fontId="9" fillId="0" borderId="3" xfId="0" applyNumberFormat="1" applyFont="1" applyBorder="1"/>
    <xf numFmtId="0" fontId="9" fillId="0" borderId="3" xfId="0" applyFont="1" applyBorder="1"/>
    <xf numFmtId="0" fontId="0" fillId="0" borderId="4" xfId="0" applyBorder="1"/>
    <xf numFmtId="9" fontId="0" fillId="0" borderId="0" xfId="0" applyNumberFormat="1"/>
    <xf numFmtId="14" fontId="0" fillId="0" borderId="0" xfId="0" applyNumberFormat="1"/>
    <xf numFmtId="14" fontId="9" fillId="0" borderId="0" xfId="0" applyNumberFormat="1" applyFont="1"/>
    <xf numFmtId="0" fontId="10" fillId="0" borderId="0" xfId="0" applyFont="1" applyAlignment="1">
      <alignment horizontal="right"/>
    </xf>
    <xf numFmtId="0" fontId="11" fillId="0" borderId="0" xfId="0" applyFont="1"/>
    <xf numFmtId="0" fontId="8" fillId="0" borderId="0" xfId="0" applyFont="1" applyFill="1" applyAlignment="1">
      <alignment horizontal="right"/>
    </xf>
    <xf numFmtId="43" fontId="8" fillId="0" borderId="0" xfId="1" applyFont="1" applyFill="1"/>
    <xf numFmtId="0" fontId="12" fillId="0" borderId="0" xfId="0" applyFont="1"/>
    <xf numFmtId="14" fontId="13" fillId="0" borderId="0" xfId="0" applyNumberFormat="1" applyFont="1"/>
    <xf numFmtId="43" fontId="13" fillId="0" borderId="0" xfId="1" applyFont="1"/>
    <xf numFmtId="43" fontId="12" fillId="0" borderId="0" xfId="0" applyNumberFormat="1" applyFont="1"/>
    <xf numFmtId="0" fontId="10" fillId="0" borderId="0" xfId="0" applyFont="1"/>
    <xf numFmtId="164" fontId="10" fillId="0" borderId="0" xfId="1" applyNumberFormat="1" applyFont="1"/>
    <xf numFmtId="164" fontId="8" fillId="0" borderId="0" xfId="1" applyNumberFormat="1" applyFont="1"/>
    <xf numFmtId="14" fontId="10" fillId="0" borderId="0" xfId="0" applyNumberFormat="1" applyFont="1"/>
    <xf numFmtId="164" fontId="2" fillId="0" borderId="0" xfId="0" applyNumberFormat="1" applyFont="1"/>
    <xf numFmtId="10" fontId="0" fillId="0" borderId="0" xfId="0" applyNumberFormat="1"/>
    <xf numFmtId="165" fontId="0" fillId="0" borderId="0" xfId="0" applyNumberFormat="1"/>
    <xf numFmtId="14" fontId="7" fillId="2" borderId="0" xfId="2" applyNumberFormat="1"/>
    <xf numFmtId="0" fontId="7" fillId="2" borderId="0" xfId="2"/>
    <xf numFmtId="43" fontId="7" fillId="2" borderId="0" xfId="2" applyNumberFormat="1"/>
    <xf numFmtId="165" fontId="7" fillId="2" borderId="0" xfId="2" applyNumberFormat="1"/>
  </cellXfs>
  <cellStyles count="3">
    <cellStyle name="Gut" xfId="2" builtinId="26"/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T91"/>
  <sheetViews>
    <sheetView tabSelected="1" topLeftCell="A22" workbookViewId="0">
      <selection activeCell="G33" sqref="G33"/>
    </sheetView>
  </sheetViews>
  <sheetFormatPr baseColWidth="10" defaultRowHeight="13.2" x14ac:dyDescent="0.25"/>
  <cols>
    <col min="2" max="2" width="21.5546875" style="1" bestFit="1" customWidth="1"/>
    <col min="3" max="3" width="11.33203125" bestFit="1" customWidth="1"/>
    <col min="4" max="5" width="10.33203125" bestFit="1" customWidth="1"/>
    <col min="6" max="6" width="13.88671875" bestFit="1" customWidth="1"/>
    <col min="13" max="13" width="7.6640625" bestFit="1" customWidth="1"/>
  </cols>
  <sheetData>
    <row r="1" spans="1:11" x14ac:dyDescent="0.25">
      <c r="B1" s="1" t="s">
        <v>28</v>
      </c>
      <c r="C1" s="2">
        <f>2400*16%</f>
        <v>384</v>
      </c>
    </row>
    <row r="3" spans="1:11" s="5" customFormat="1" x14ac:dyDescent="0.25"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</row>
    <row r="5" spans="1:11" x14ac:dyDescent="0.25">
      <c r="B5" s="1" t="s">
        <v>0</v>
      </c>
      <c r="C5">
        <v>390.14</v>
      </c>
      <c r="D5">
        <v>390</v>
      </c>
      <c r="E5">
        <v>390.14</v>
      </c>
      <c r="F5">
        <v>390.14</v>
      </c>
      <c r="G5">
        <v>390.14</v>
      </c>
    </row>
    <row r="6" spans="1:11" x14ac:dyDescent="0.25">
      <c r="B6" s="1" t="s">
        <v>1</v>
      </c>
      <c r="C6">
        <v>720.68</v>
      </c>
      <c r="D6">
        <v>730</v>
      </c>
      <c r="E6">
        <v>785.39</v>
      </c>
      <c r="F6" s="2">
        <v>785.33</v>
      </c>
      <c r="G6">
        <v>801.7</v>
      </c>
    </row>
    <row r="7" spans="1:11" x14ac:dyDescent="0.25">
      <c r="B7" s="1" t="s">
        <v>2</v>
      </c>
      <c r="C7">
        <v>-390.14</v>
      </c>
      <c r="D7">
        <v>-390.14</v>
      </c>
      <c r="E7">
        <v>-390.14</v>
      </c>
      <c r="F7">
        <v>-390.14</v>
      </c>
      <c r="G7">
        <v>-390.14</v>
      </c>
    </row>
    <row r="8" spans="1:11" x14ac:dyDescent="0.25">
      <c r="B8" s="1" t="s">
        <v>3</v>
      </c>
      <c r="C8">
        <v>133.76</v>
      </c>
      <c r="D8">
        <v>133</v>
      </c>
      <c r="E8">
        <v>133.76</v>
      </c>
      <c r="F8">
        <v>133.76</v>
      </c>
      <c r="G8">
        <v>167.2</v>
      </c>
    </row>
    <row r="9" spans="1:11" x14ac:dyDescent="0.25">
      <c r="A9">
        <f>+AVERAGE(C9:G9)</f>
        <v>904.88800000000015</v>
      </c>
      <c r="B9" s="3" t="s">
        <v>4</v>
      </c>
      <c r="C9" s="4">
        <f>SUM(C5:C8)</f>
        <v>854.43999999999994</v>
      </c>
      <c r="D9" s="4">
        <f>SUM(D5:D8)</f>
        <v>862.86</v>
      </c>
      <c r="E9" s="4">
        <f>SUM(E5:E8)</f>
        <v>919.15</v>
      </c>
      <c r="F9" s="4">
        <f>SUM(F5:F8)</f>
        <v>919.09</v>
      </c>
      <c r="G9" s="4">
        <f>SUM(G5:G8)</f>
        <v>968.90000000000009</v>
      </c>
    </row>
    <row r="11" spans="1:11" x14ac:dyDescent="0.25">
      <c r="B11" s="1" t="s">
        <v>5</v>
      </c>
      <c r="C11">
        <v>177.38</v>
      </c>
      <c r="D11">
        <v>177.38</v>
      </c>
      <c r="E11">
        <v>177.38</v>
      </c>
      <c r="F11">
        <v>91.85</v>
      </c>
      <c r="G11">
        <v>94.17</v>
      </c>
    </row>
    <row r="12" spans="1:11" x14ac:dyDescent="0.25">
      <c r="B12" s="1" t="s">
        <v>6</v>
      </c>
      <c r="C12">
        <v>20.239999999999998</v>
      </c>
      <c r="D12">
        <v>20.239999999999998</v>
      </c>
      <c r="E12">
        <v>20.46</v>
      </c>
      <c r="F12">
        <v>20.65</v>
      </c>
      <c r="G12">
        <v>21.08</v>
      </c>
    </row>
    <row r="13" spans="1:11" x14ac:dyDescent="0.25">
      <c r="B13" s="1" t="s">
        <v>7</v>
      </c>
      <c r="C13">
        <v>60.56</v>
      </c>
      <c r="D13">
        <v>60.56</v>
      </c>
      <c r="E13">
        <v>70.459999999999994</v>
      </c>
      <c r="F13">
        <v>70.41</v>
      </c>
      <c r="G13">
        <v>71.819999999999993</v>
      </c>
    </row>
    <row r="14" spans="1:11" x14ac:dyDescent="0.25">
      <c r="B14" s="1" t="s">
        <v>8</v>
      </c>
      <c r="C14">
        <v>18.3</v>
      </c>
      <c r="D14">
        <v>18.489999999999998</v>
      </c>
      <c r="E14">
        <v>19.79</v>
      </c>
      <c r="F14">
        <v>19.79</v>
      </c>
      <c r="G14">
        <v>20.81</v>
      </c>
    </row>
    <row r="15" spans="1:11" x14ac:dyDescent="0.25">
      <c r="B15" s="1" t="s">
        <v>9</v>
      </c>
      <c r="C15">
        <v>4.42</v>
      </c>
      <c r="D15">
        <v>4.42</v>
      </c>
      <c r="E15">
        <v>4.46</v>
      </c>
      <c r="F15">
        <v>4.5</v>
      </c>
      <c r="G15">
        <v>4.5999999999999996</v>
      </c>
    </row>
    <row r="16" spans="1:11" x14ac:dyDescent="0.25">
      <c r="B16" s="1" t="s">
        <v>10</v>
      </c>
      <c r="C16">
        <v>12.1</v>
      </c>
      <c r="D16">
        <v>12.24</v>
      </c>
      <c r="E16">
        <v>12.31</v>
      </c>
      <c r="F16">
        <v>12.56</v>
      </c>
      <c r="G16">
        <v>12.83</v>
      </c>
    </row>
    <row r="17" spans="2:20" x14ac:dyDescent="0.25">
      <c r="B17" s="1" t="s">
        <v>11</v>
      </c>
      <c r="C17">
        <v>6.88</v>
      </c>
      <c r="D17">
        <v>6.88</v>
      </c>
      <c r="E17">
        <v>6.88</v>
      </c>
      <c r="F17">
        <v>6.88</v>
      </c>
      <c r="G17">
        <v>6.88</v>
      </c>
    </row>
    <row r="18" spans="2:20" x14ac:dyDescent="0.25">
      <c r="B18" s="1" t="s">
        <v>12</v>
      </c>
      <c r="C18" s="30">
        <f>SUM(C11:C17)</f>
        <v>299.88000000000005</v>
      </c>
      <c r="D18" s="30">
        <f>SUM(D11:D17)</f>
        <v>300.21000000000004</v>
      </c>
      <c r="E18" s="30">
        <f>SUM(E11:E17)</f>
        <v>311.74</v>
      </c>
      <c r="F18" s="30">
        <f>SUM(F11:F17)</f>
        <v>226.64</v>
      </c>
      <c r="G18" s="30">
        <f>SUM(G11:G17)</f>
        <v>232.19</v>
      </c>
    </row>
    <row r="20" spans="2:20" x14ac:dyDescent="0.25">
      <c r="B20" s="10" t="s">
        <v>13</v>
      </c>
      <c r="C20" s="11">
        <f>+C18+C9</f>
        <v>1154.32</v>
      </c>
      <c r="D20" s="11">
        <f>+D18+D9</f>
        <v>1163.0700000000002</v>
      </c>
      <c r="E20" s="11">
        <f>+E18+E9</f>
        <v>1230.8899999999999</v>
      </c>
      <c r="F20" s="11">
        <f>+F18+F9</f>
        <v>1145.73</v>
      </c>
      <c r="G20" s="11">
        <f>+G18+G9</f>
        <v>1201.0900000000001</v>
      </c>
    </row>
    <row r="21" spans="2:20" x14ac:dyDescent="0.25">
      <c r="B21" s="8">
        <f>SUM(C21:D21)</f>
        <v>23191.4</v>
      </c>
      <c r="C21" s="7">
        <f>+C20*8</f>
        <v>9234.56</v>
      </c>
      <c r="D21" s="7">
        <f>+D20*12</f>
        <v>13956.840000000002</v>
      </c>
      <c r="E21" s="7">
        <f>+E20*12</f>
        <v>14770.679999999998</v>
      </c>
      <c r="F21" s="7">
        <f>+F20*12</f>
        <v>13748.76</v>
      </c>
      <c r="G21" s="7">
        <f>+G20*12</f>
        <v>14413.080000000002</v>
      </c>
    </row>
    <row r="22" spans="2:20" x14ac:dyDescent="0.25">
      <c r="B22" s="9">
        <f>+B21/2</f>
        <v>11595.7</v>
      </c>
    </row>
    <row r="23" spans="2:20" x14ac:dyDescent="0.25">
      <c r="D23" s="16">
        <f>+D20-F20</f>
        <v>17.340000000000146</v>
      </c>
      <c r="E23" s="16">
        <f>+F20-E20</f>
        <v>-85.159999999999854</v>
      </c>
      <c r="F23" s="16">
        <f t="shared" ref="F23:G23" si="0">+G20-F20</f>
        <v>55.360000000000127</v>
      </c>
      <c r="G23" s="16">
        <f t="shared" si="0"/>
        <v>-1201.0900000000001</v>
      </c>
    </row>
    <row r="24" spans="2:20" x14ac:dyDescent="0.25">
      <c r="B24" s="1" t="s">
        <v>34</v>
      </c>
      <c r="D24" s="16">
        <f>+D23*E23</f>
        <v>-1476.6744000000099</v>
      </c>
      <c r="E24">
        <f>+E23*12</f>
        <v>-1021.9199999999983</v>
      </c>
      <c r="F24">
        <f t="shared" ref="F24:G24" si="1">+F23*12</f>
        <v>664.32000000000153</v>
      </c>
      <c r="G24">
        <f t="shared" si="1"/>
        <v>-14413.080000000002</v>
      </c>
    </row>
    <row r="26" spans="2:20" x14ac:dyDescent="0.25">
      <c r="Q26">
        <f>+Q27/6</f>
        <v>1725.1933333333334</v>
      </c>
    </row>
    <row r="27" spans="2:20" x14ac:dyDescent="0.25">
      <c r="C27" s="6">
        <f>+F9*6</f>
        <v>5514.54</v>
      </c>
      <c r="D27" s="6">
        <f>+E9*6</f>
        <v>5514.9</v>
      </c>
      <c r="E27" s="6">
        <f>+D9*6</f>
        <v>5177.16</v>
      </c>
      <c r="F27" s="6">
        <f>+C9*6</f>
        <v>5126.6399999999994</v>
      </c>
      <c r="Q27">
        <v>10351.16</v>
      </c>
      <c r="S27" s="42">
        <v>1.805E-3</v>
      </c>
    </row>
    <row r="29" spans="2:20" x14ac:dyDescent="0.25">
      <c r="B29" s="13" t="s">
        <v>16</v>
      </c>
      <c r="C29" s="14">
        <v>454816</v>
      </c>
      <c r="L29" s="37"/>
      <c r="M29" s="38">
        <v>82579</v>
      </c>
      <c r="N29" s="37"/>
      <c r="P29" s="5" t="s">
        <v>31</v>
      </c>
      <c r="Q29" s="5" t="s">
        <v>32</v>
      </c>
      <c r="R29" s="5" t="s">
        <v>27</v>
      </c>
      <c r="S29" s="5" t="s">
        <v>26</v>
      </c>
      <c r="T29" s="5" t="s">
        <v>33</v>
      </c>
    </row>
    <row r="30" spans="2:20" x14ac:dyDescent="0.25">
      <c r="B30" s="20" t="s">
        <v>14</v>
      </c>
      <c r="C30" s="21">
        <v>79130</v>
      </c>
      <c r="L30" s="37"/>
      <c r="M30" s="39">
        <v>348</v>
      </c>
      <c r="N30" s="37"/>
      <c r="O30">
        <v>1</v>
      </c>
      <c r="P30" s="27">
        <v>42856</v>
      </c>
      <c r="Q30">
        <v>0</v>
      </c>
      <c r="R30">
        <v>9919.2099999999991</v>
      </c>
      <c r="T30" s="7">
        <v>466052.01</v>
      </c>
    </row>
    <row r="31" spans="2:20" x14ac:dyDescent="0.25">
      <c r="B31" s="20"/>
      <c r="C31" s="21">
        <v>3449</v>
      </c>
      <c r="H31" s="7">
        <v>463912</v>
      </c>
      <c r="J31" s="16">
        <f>+C29</f>
        <v>454816</v>
      </c>
      <c r="L31" s="37"/>
      <c r="M31" s="38">
        <f>+M30*12*10</f>
        <v>41760</v>
      </c>
      <c r="N31" s="37"/>
      <c r="O31">
        <v>2</v>
      </c>
      <c r="P31" s="27">
        <v>43040</v>
      </c>
      <c r="Q31">
        <f>+$Q$27</f>
        <v>10351.16</v>
      </c>
      <c r="R31" s="7">
        <f>+Q31-S31</f>
        <v>9921.2011289966667</v>
      </c>
      <c r="S31" s="43">
        <f>+T30*$S$27*(P31-P30)/360</f>
        <v>429.9588710033334</v>
      </c>
      <c r="T31" s="16">
        <f>+T30-R31</f>
        <v>456130.80887100333</v>
      </c>
    </row>
    <row r="32" spans="2:20" x14ac:dyDescent="0.25">
      <c r="B32" s="31" t="s">
        <v>15</v>
      </c>
      <c r="C32" s="32">
        <f>+C31+C30</f>
        <v>82579</v>
      </c>
      <c r="D32" t="s">
        <v>19</v>
      </c>
      <c r="F32" s="33" t="s">
        <v>29</v>
      </c>
      <c r="H32" s="7">
        <v>33812</v>
      </c>
      <c r="J32" s="16">
        <f>+H32</f>
        <v>33812</v>
      </c>
      <c r="L32" s="40">
        <v>45778</v>
      </c>
      <c r="M32" s="39">
        <f>+M29-M31</f>
        <v>40819</v>
      </c>
      <c r="N32" s="37" t="s">
        <v>30</v>
      </c>
      <c r="O32">
        <v>3</v>
      </c>
      <c r="P32" s="27">
        <v>43221</v>
      </c>
      <c r="Q32">
        <f>+$Q$27</f>
        <v>10351.16</v>
      </c>
      <c r="R32" s="7">
        <f>+Q32-S32</f>
        <v>9937.2149557994417</v>
      </c>
      <c r="S32" s="43">
        <f>+T31*$S$27*(P32-P31)/360</f>
        <v>413.9450442005587</v>
      </c>
      <c r="T32" s="16">
        <f>+T31-R32</f>
        <v>446193.59391520388</v>
      </c>
    </row>
    <row r="33" spans="1:20" x14ac:dyDescent="0.25">
      <c r="F33" s="34">
        <v>43187</v>
      </c>
      <c r="H33" s="7">
        <v>20454</v>
      </c>
      <c r="J33" s="16">
        <f>+H33</f>
        <v>20454</v>
      </c>
      <c r="P33" s="27">
        <v>43405</v>
      </c>
      <c r="Q33">
        <f t="shared" ref="Q33:Q90" si="2">+$Q$27</f>
        <v>10351.16</v>
      </c>
      <c r="R33" s="7">
        <f t="shared" ref="R33:R90" si="3">+Q33-S33</f>
        <v>9939.5216210802282</v>
      </c>
      <c r="S33" s="43">
        <f t="shared" ref="S33:S48" si="4">+T32*$S$27*(P33-P32)/360</f>
        <v>411.6383789197709</v>
      </c>
      <c r="T33" s="16">
        <f t="shared" ref="T33:T48" si="5">+T32-R33</f>
        <v>436254.07229412365</v>
      </c>
    </row>
    <row r="34" spans="1:20" x14ac:dyDescent="0.25">
      <c r="B34" s="17" t="s">
        <v>17</v>
      </c>
      <c r="C34" s="18">
        <f>+C29-C32</f>
        <v>372237</v>
      </c>
      <c r="F34" s="35">
        <v>373810.47</v>
      </c>
      <c r="H34" s="7">
        <v>1519</v>
      </c>
      <c r="J34" s="16">
        <f>+H34</f>
        <v>1519</v>
      </c>
      <c r="P34" s="27">
        <v>43586</v>
      </c>
      <c r="Q34">
        <f t="shared" si="2"/>
        <v>10351.16</v>
      </c>
      <c r="R34" s="7">
        <f t="shared" si="3"/>
        <v>9955.2533703087447</v>
      </c>
      <c r="S34" s="43">
        <f t="shared" si="4"/>
        <v>395.90662969125464</v>
      </c>
      <c r="T34" s="16">
        <f t="shared" si="5"/>
        <v>426298.81892381492</v>
      </c>
    </row>
    <row r="35" spans="1:20" x14ac:dyDescent="0.25">
      <c r="F35" s="33"/>
      <c r="H35" s="7">
        <v>-297715</v>
      </c>
      <c r="I35" t="s">
        <v>24</v>
      </c>
      <c r="J35" s="16">
        <f>+H35</f>
        <v>-297715</v>
      </c>
      <c r="M35">
        <v>427.22</v>
      </c>
      <c r="P35" s="27">
        <v>43770</v>
      </c>
      <c r="Q35">
        <f t="shared" si="2"/>
        <v>10351.16</v>
      </c>
      <c r="R35" s="7">
        <f t="shared" si="3"/>
        <v>9957.8756562750623</v>
      </c>
      <c r="S35" s="43">
        <f t="shared" si="4"/>
        <v>393.28434372493723</v>
      </c>
      <c r="T35" s="16">
        <f t="shared" si="5"/>
        <v>416340.94326753984</v>
      </c>
    </row>
    <row r="36" spans="1:20" x14ac:dyDescent="0.25">
      <c r="B36" s="1" t="s">
        <v>23</v>
      </c>
      <c r="F36" s="33"/>
      <c r="H36" s="7">
        <v>-74321</v>
      </c>
      <c r="I36" t="s">
        <v>24</v>
      </c>
      <c r="J36" s="16">
        <f>-C32</f>
        <v>-82579</v>
      </c>
      <c r="P36" s="27">
        <v>43952</v>
      </c>
      <c r="Q36">
        <f t="shared" si="2"/>
        <v>10351.16</v>
      </c>
      <c r="R36" s="7">
        <f t="shared" si="3"/>
        <v>9971.2373242421672</v>
      </c>
      <c r="S36" s="43">
        <f t="shared" si="4"/>
        <v>379.922675757832</v>
      </c>
      <c r="T36" s="16">
        <f t="shared" si="5"/>
        <v>406369.70594329765</v>
      </c>
    </row>
    <row r="37" spans="1:20" x14ac:dyDescent="0.25">
      <c r="B37" s="29" t="s">
        <v>18</v>
      </c>
      <c r="C37" s="19">
        <f>+A9*10*12</f>
        <v>108586.56000000001</v>
      </c>
      <c r="D37" t="s">
        <v>20</v>
      </c>
      <c r="F37" s="36">
        <f>+C37</f>
        <v>108586.56000000001</v>
      </c>
      <c r="H37" s="12">
        <f>SUM(H31:H36)</f>
        <v>147661</v>
      </c>
      <c r="J37" s="12">
        <f>SUM(J31:J36)</f>
        <v>130307</v>
      </c>
      <c r="M37" s="41">
        <f>+M35+M30</f>
        <v>775.22</v>
      </c>
      <c r="P37" s="27">
        <v>44136</v>
      </c>
      <c r="Q37">
        <f t="shared" si="2"/>
        <v>10351.16</v>
      </c>
      <c r="R37" s="7">
        <f t="shared" si="3"/>
        <v>9976.2613701725331</v>
      </c>
      <c r="S37" s="43">
        <f t="shared" si="4"/>
        <v>374.89862982746666</v>
      </c>
      <c r="T37" s="16">
        <f t="shared" si="5"/>
        <v>396393.4445731251</v>
      </c>
    </row>
    <row r="38" spans="1:20" ht="13.8" thickBot="1" x14ac:dyDescent="0.3">
      <c r="F38" s="33"/>
      <c r="H38" s="7"/>
      <c r="P38" s="27">
        <v>44317</v>
      </c>
      <c r="Q38">
        <f t="shared" si="2"/>
        <v>10351.16</v>
      </c>
      <c r="R38" s="7">
        <f t="shared" si="3"/>
        <v>9991.4274435853804</v>
      </c>
      <c r="S38" s="43">
        <f t="shared" si="4"/>
        <v>359.73255641461895</v>
      </c>
      <c r="T38" s="16">
        <f t="shared" si="5"/>
        <v>386402.01712953974</v>
      </c>
    </row>
    <row r="39" spans="1:20" ht="13.8" thickBot="1" x14ac:dyDescent="0.3">
      <c r="A39" s="28">
        <v>45778</v>
      </c>
      <c r="B39" s="22" t="s">
        <v>21</v>
      </c>
      <c r="C39" s="23">
        <f>+C34-C37</f>
        <v>263650.44</v>
      </c>
      <c r="D39" s="24" t="s">
        <v>22</v>
      </c>
      <c r="E39" s="25"/>
      <c r="F39" s="36">
        <f>+F34-F37</f>
        <v>265223.90999999997</v>
      </c>
      <c r="P39" s="27">
        <v>44501</v>
      </c>
      <c r="Q39">
        <f t="shared" si="2"/>
        <v>10351.16</v>
      </c>
      <c r="R39" s="7">
        <f t="shared" si="3"/>
        <v>9994.6826724192706</v>
      </c>
      <c r="S39" s="43">
        <f t="shared" si="4"/>
        <v>356.47732758072982</v>
      </c>
      <c r="T39" s="16">
        <f t="shared" si="5"/>
        <v>376407.33445712045</v>
      </c>
    </row>
    <row r="40" spans="1:20" x14ac:dyDescent="0.25">
      <c r="P40" s="27">
        <v>44682</v>
      </c>
      <c r="Q40">
        <f t="shared" si="2"/>
        <v>10351.16</v>
      </c>
      <c r="R40" s="7">
        <f t="shared" si="3"/>
        <v>10009.565116100517</v>
      </c>
      <c r="S40" s="43">
        <f t="shared" si="4"/>
        <v>341.59488389948206</v>
      </c>
      <c r="T40" s="16">
        <f t="shared" si="5"/>
        <v>366397.76934101991</v>
      </c>
    </row>
    <row r="41" spans="1:20" x14ac:dyDescent="0.25">
      <c r="C41" s="12">
        <f>+C39/2</f>
        <v>131825.22</v>
      </c>
      <c r="D41" s="2" t="s">
        <v>25</v>
      </c>
      <c r="P41" s="27">
        <v>44866</v>
      </c>
      <c r="Q41">
        <f t="shared" si="2"/>
        <v>10351.16</v>
      </c>
      <c r="R41" s="7">
        <f t="shared" si="3"/>
        <v>10013.13770235128</v>
      </c>
      <c r="S41" s="43">
        <f t="shared" si="4"/>
        <v>338.02229764872089</v>
      </c>
      <c r="T41" s="16">
        <f t="shared" si="5"/>
        <v>356384.63163866865</v>
      </c>
    </row>
    <row r="42" spans="1:20" x14ac:dyDescent="0.25">
      <c r="C42" s="16"/>
      <c r="P42" s="27">
        <v>45047</v>
      </c>
      <c r="Q42">
        <f t="shared" si="2"/>
        <v>10351.16</v>
      </c>
      <c r="R42" s="7">
        <f t="shared" si="3"/>
        <v>10027.735997001357</v>
      </c>
      <c r="S42" s="43">
        <f t="shared" si="4"/>
        <v>323.42400299864232</v>
      </c>
      <c r="T42" s="16">
        <f t="shared" si="5"/>
        <v>346356.8956416673</v>
      </c>
    </row>
    <row r="43" spans="1:20" x14ac:dyDescent="0.25">
      <c r="C43" s="16">
        <f>+C39-C41</f>
        <v>131825.22</v>
      </c>
      <c r="D43" s="2">
        <f>+C9/2</f>
        <v>427.21999999999997</v>
      </c>
      <c r="P43" s="27">
        <v>45231</v>
      </c>
      <c r="Q43">
        <f t="shared" si="2"/>
        <v>10351.16</v>
      </c>
      <c r="R43" s="7">
        <f t="shared" si="3"/>
        <v>10031.626521720804</v>
      </c>
      <c r="S43" s="43">
        <f t="shared" si="4"/>
        <v>319.53347827919595</v>
      </c>
      <c r="T43" s="16">
        <f t="shared" si="5"/>
        <v>336325.26911994652</v>
      </c>
    </row>
    <row r="44" spans="1:20" x14ac:dyDescent="0.25">
      <c r="P44" s="27">
        <v>45413</v>
      </c>
      <c r="Q44">
        <f t="shared" si="2"/>
        <v>10351.16</v>
      </c>
      <c r="R44" s="7">
        <f t="shared" si="3"/>
        <v>10044.253849559462</v>
      </c>
      <c r="S44" s="43">
        <f t="shared" si="4"/>
        <v>306.90615044053789</v>
      </c>
      <c r="T44" s="16">
        <f t="shared" si="5"/>
        <v>326281.01527038706</v>
      </c>
    </row>
    <row r="45" spans="1:20" x14ac:dyDescent="0.25">
      <c r="P45" s="27">
        <v>45597</v>
      </c>
      <c r="Q45">
        <f t="shared" si="2"/>
        <v>10351.16</v>
      </c>
      <c r="R45" s="7">
        <f t="shared" si="3"/>
        <v>10050.147636689997</v>
      </c>
      <c r="S45" s="43">
        <f t="shared" si="4"/>
        <v>301.01236331000263</v>
      </c>
      <c r="T45" s="16">
        <f t="shared" si="5"/>
        <v>316230.86763369705</v>
      </c>
    </row>
    <row r="46" spans="1:20" x14ac:dyDescent="0.25">
      <c r="P46" s="44">
        <v>45778</v>
      </c>
      <c r="Q46" s="45">
        <f t="shared" si="2"/>
        <v>10351.16</v>
      </c>
      <c r="R46" s="46">
        <f t="shared" si="3"/>
        <v>10064.176095527037</v>
      </c>
      <c r="S46" s="47">
        <f t="shared" si="4"/>
        <v>286.98390447296384</v>
      </c>
      <c r="T46" s="46">
        <f t="shared" si="5"/>
        <v>306166.69153817004</v>
      </c>
    </row>
    <row r="47" spans="1:20" x14ac:dyDescent="0.25">
      <c r="C47" s="7"/>
      <c r="H47" s="16"/>
      <c r="P47" s="27">
        <v>45962</v>
      </c>
      <c r="Q47">
        <f t="shared" si="2"/>
        <v>10351.16</v>
      </c>
      <c r="R47" s="7">
        <f t="shared" si="3"/>
        <v>10068.704217795397</v>
      </c>
      <c r="S47" s="43">
        <f t="shared" si="4"/>
        <v>282.45578220460288</v>
      </c>
      <c r="T47" s="16">
        <f t="shared" si="5"/>
        <v>296097.98732037464</v>
      </c>
    </row>
    <row r="48" spans="1:20" x14ac:dyDescent="0.25">
      <c r="C48" s="7"/>
      <c r="G48" s="26"/>
      <c r="P48" s="27">
        <v>46143</v>
      </c>
      <c r="Q48">
        <f t="shared" si="2"/>
        <v>10351.16</v>
      </c>
      <c r="R48" s="7">
        <f t="shared" si="3"/>
        <v>10082.446964034714</v>
      </c>
      <c r="S48" s="43">
        <f t="shared" si="4"/>
        <v>268.71303596528611</v>
      </c>
      <c r="T48" s="16">
        <f t="shared" si="5"/>
        <v>286015.54035633994</v>
      </c>
    </row>
    <row r="49" spans="3:20" x14ac:dyDescent="0.25">
      <c r="C49" s="7"/>
      <c r="G49" s="26"/>
      <c r="P49" s="27">
        <v>46327</v>
      </c>
      <c r="Q49">
        <f t="shared" si="2"/>
        <v>10351.16</v>
      </c>
      <c r="R49" s="7">
        <f t="shared" si="3"/>
        <v>10087.294774269034</v>
      </c>
      <c r="S49" s="43">
        <f t="shared" ref="S49:S64" si="6">+T48*$S$27*(P49-P48)/360</f>
        <v>263.86522573096568</v>
      </c>
      <c r="T49" s="16">
        <f t="shared" ref="T49:T64" si="7">+T48-R49</f>
        <v>275928.2455820709</v>
      </c>
    </row>
    <row r="50" spans="3:20" x14ac:dyDescent="0.25">
      <c r="C50" s="7"/>
      <c r="G50" s="26"/>
      <c r="P50" s="27">
        <v>46508</v>
      </c>
      <c r="Q50">
        <f t="shared" si="2"/>
        <v>10351.16</v>
      </c>
      <c r="R50" s="7">
        <f t="shared" si="3"/>
        <v>10100.751284797527</v>
      </c>
      <c r="S50" s="43">
        <f t="shared" si="6"/>
        <v>250.40871520247356</v>
      </c>
      <c r="T50" s="16">
        <f t="shared" si="7"/>
        <v>265827.4942972734</v>
      </c>
    </row>
    <row r="51" spans="3:20" x14ac:dyDescent="0.25">
      <c r="C51" s="7"/>
      <c r="G51" s="26"/>
      <c r="P51" s="27">
        <v>46692</v>
      </c>
      <c r="Q51">
        <f t="shared" si="2"/>
        <v>10351.16</v>
      </c>
      <c r="R51" s="7">
        <f t="shared" si="3"/>
        <v>10105.919368316638</v>
      </c>
      <c r="S51" s="43">
        <f t="shared" si="6"/>
        <v>245.24063168336232</v>
      </c>
      <c r="T51" s="16">
        <f t="shared" si="7"/>
        <v>255721.57492895675</v>
      </c>
    </row>
    <row r="52" spans="3:20" x14ac:dyDescent="0.25">
      <c r="G52" s="26"/>
      <c r="P52" s="27">
        <v>46874</v>
      </c>
      <c r="Q52">
        <f t="shared" si="2"/>
        <v>10351.16</v>
      </c>
      <c r="R52" s="7">
        <f t="shared" si="3"/>
        <v>10117.806959500245</v>
      </c>
      <c r="S52" s="43">
        <f t="shared" si="6"/>
        <v>233.35304049975437</v>
      </c>
      <c r="T52" s="16">
        <f t="shared" si="7"/>
        <v>245603.7679694565</v>
      </c>
    </row>
    <row r="53" spans="3:20" x14ac:dyDescent="0.25">
      <c r="C53" s="26"/>
      <c r="G53" s="26"/>
      <c r="P53" s="27">
        <v>47058</v>
      </c>
      <c r="Q53">
        <f t="shared" si="2"/>
        <v>10351.16</v>
      </c>
      <c r="R53" s="7">
        <f t="shared" si="3"/>
        <v>10124.576879394401</v>
      </c>
      <c r="S53" s="43">
        <f t="shared" si="6"/>
        <v>226.5831206055997</v>
      </c>
      <c r="T53" s="16">
        <f t="shared" si="7"/>
        <v>235479.19109006209</v>
      </c>
    </row>
    <row r="54" spans="3:20" x14ac:dyDescent="0.25">
      <c r="C54" s="26"/>
      <c r="G54" s="26"/>
      <c r="P54" s="27">
        <v>47239</v>
      </c>
      <c r="Q54">
        <f t="shared" si="2"/>
        <v>10351.16</v>
      </c>
      <c r="R54" s="7">
        <f t="shared" si="3"/>
        <v>10137.459363541448</v>
      </c>
      <c r="S54" s="43">
        <f t="shared" si="6"/>
        <v>213.700636458552</v>
      </c>
      <c r="T54" s="16">
        <f t="shared" si="7"/>
        <v>225341.73172652064</v>
      </c>
    </row>
    <row r="55" spans="3:20" x14ac:dyDescent="0.25">
      <c r="C55" s="26"/>
      <c r="G55" s="26"/>
      <c r="P55" s="27">
        <v>47423</v>
      </c>
      <c r="Q55">
        <f t="shared" si="2"/>
        <v>10351.16</v>
      </c>
      <c r="R55" s="7">
        <f t="shared" si="3"/>
        <v>10143.269733497189</v>
      </c>
      <c r="S55" s="43">
        <f t="shared" si="6"/>
        <v>207.89026650281122</v>
      </c>
      <c r="T55" s="16">
        <f t="shared" si="7"/>
        <v>215198.46199302346</v>
      </c>
    </row>
    <row r="56" spans="3:20" x14ac:dyDescent="0.25">
      <c r="C56" s="26"/>
      <c r="G56" s="26"/>
      <c r="P56" s="27">
        <v>47604</v>
      </c>
      <c r="Q56">
        <f t="shared" si="2"/>
        <v>10351.16</v>
      </c>
      <c r="R56" s="7">
        <f t="shared" si="3"/>
        <v>10155.864406873803</v>
      </c>
      <c r="S56" s="43">
        <f t="shared" si="6"/>
        <v>195.29559312619648</v>
      </c>
      <c r="T56" s="16">
        <f t="shared" si="7"/>
        <v>205042.59758614967</v>
      </c>
    </row>
    <row r="57" spans="3:20" x14ac:dyDescent="0.25">
      <c r="C57" s="26"/>
      <c r="G57" s="26"/>
      <c r="P57" s="27">
        <v>47788</v>
      </c>
      <c r="Q57">
        <f t="shared" si="2"/>
        <v>10351.16</v>
      </c>
      <c r="R57" s="7">
        <f t="shared" si="3"/>
        <v>10161.996812471356</v>
      </c>
      <c r="S57" s="43">
        <f t="shared" si="6"/>
        <v>189.16318752864456</v>
      </c>
      <c r="T57" s="16">
        <f t="shared" si="7"/>
        <v>194880.60077367831</v>
      </c>
    </row>
    <row r="58" spans="3:20" x14ac:dyDescent="0.25">
      <c r="G58" s="26"/>
      <c r="P58" s="27">
        <v>47969</v>
      </c>
      <c r="Q58">
        <f t="shared" si="2"/>
        <v>10351.16</v>
      </c>
      <c r="R58" s="7">
        <f t="shared" si="3"/>
        <v>10174.303148122875</v>
      </c>
      <c r="S58" s="43">
        <f t="shared" si="6"/>
        <v>176.8568518771238</v>
      </c>
      <c r="T58" s="16">
        <f t="shared" si="7"/>
        <v>184706.29762555542</v>
      </c>
    </row>
    <row r="59" spans="3:20" x14ac:dyDescent="0.25">
      <c r="G59" s="26"/>
      <c r="P59" s="27">
        <v>48153</v>
      </c>
      <c r="Q59">
        <f t="shared" si="2"/>
        <v>10351.16</v>
      </c>
      <c r="R59" s="7">
        <f t="shared" si="3"/>
        <v>10180.758178979446</v>
      </c>
      <c r="S59" s="43">
        <f t="shared" si="6"/>
        <v>170.40182102055408</v>
      </c>
      <c r="T59" s="16">
        <f t="shared" si="7"/>
        <v>174525.53944657597</v>
      </c>
    </row>
    <row r="60" spans="3:20" x14ac:dyDescent="0.25">
      <c r="G60" s="26"/>
      <c r="P60" s="27">
        <v>48335</v>
      </c>
      <c r="Q60">
        <f t="shared" si="2"/>
        <v>10351.16</v>
      </c>
      <c r="R60" s="7">
        <f t="shared" si="3"/>
        <v>10191.900597323349</v>
      </c>
      <c r="S60" s="43">
        <f t="shared" si="6"/>
        <v>159.25940267665186</v>
      </c>
      <c r="T60" s="16">
        <f t="shared" si="7"/>
        <v>164333.63884925263</v>
      </c>
    </row>
    <row r="61" spans="3:20" x14ac:dyDescent="0.25">
      <c r="G61" s="26"/>
      <c r="P61" s="27">
        <v>48519</v>
      </c>
      <c r="Q61">
        <f t="shared" si="2"/>
        <v>10351.16</v>
      </c>
      <c r="R61" s="7">
        <f t="shared" si="3"/>
        <v>10199.553088514962</v>
      </c>
      <c r="S61" s="43">
        <f t="shared" si="6"/>
        <v>151.6069114850383</v>
      </c>
      <c r="T61" s="16">
        <f t="shared" si="7"/>
        <v>154134.08576073768</v>
      </c>
    </row>
    <row r="62" spans="3:20" x14ac:dyDescent="0.25">
      <c r="G62" s="26"/>
      <c r="P62" s="27">
        <v>48700</v>
      </c>
      <c r="Q62">
        <f t="shared" si="2"/>
        <v>10351.16</v>
      </c>
      <c r="R62" s="7">
        <f t="shared" si="3"/>
        <v>10211.28117642094</v>
      </c>
      <c r="S62" s="43">
        <f t="shared" si="6"/>
        <v>139.87882357906057</v>
      </c>
      <c r="T62" s="16">
        <f t="shared" si="7"/>
        <v>143922.80458431673</v>
      </c>
    </row>
    <row r="63" spans="3:20" x14ac:dyDescent="0.25">
      <c r="G63" s="26"/>
      <c r="P63" s="27">
        <v>48884</v>
      </c>
      <c r="Q63">
        <f t="shared" si="2"/>
        <v>10351.16</v>
      </c>
      <c r="R63" s="7">
        <f t="shared" si="3"/>
        <v>10218.383217059602</v>
      </c>
      <c r="S63" s="43">
        <f t="shared" si="6"/>
        <v>132.77678294039796</v>
      </c>
      <c r="T63" s="16">
        <f t="shared" si="7"/>
        <v>133704.42136725713</v>
      </c>
    </row>
    <row r="64" spans="3:20" x14ac:dyDescent="0.25">
      <c r="G64" s="26"/>
      <c r="P64" s="27">
        <v>49065</v>
      </c>
      <c r="Q64">
        <f t="shared" si="2"/>
        <v>10351.16</v>
      </c>
      <c r="R64" s="7">
        <f t="shared" si="3"/>
        <v>10229.821380603362</v>
      </c>
      <c r="S64" s="43">
        <f t="shared" si="6"/>
        <v>121.33861939663817</v>
      </c>
      <c r="T64" s="16">
        <f t="shared" si="7"/>
        <v>123474.59998665377</v>
      </c>
    </row>
    <row r="65" spans="7:20" x14ac:dyDescent="0.25">
      <c r="G65" s="26"/>
      <c r="P65" s="27">
        <v>49249</v>
      </c>
      <c r="Q65">
        <f>+$Q$27</f>
        <v>10351.16</v>
      </c>
      <c r="R65" s="7">
        <f>+Q65-S65</f>
        <v>10237.247821812312</v>
      </c>
      <c r="S65" s="43">
        <f>+T64*$S$27*(P65-P64)/360</f>
        <v>113.91217818768736</v>
      </c>
      <c r="T65" s="16">
        <f>+T64-R65</f>
        <v>113237.35216484146</v>
      </c>
    </row>
    <row r="66" spans="7:20" x14ac:dyDescent="0.25">
      <c r="G66" s="26"/>
      <c r="P66" s="27">
        <v>49430</v>
      </c>
      <c r="Q66">
        <f t="shared" si="2"/>
        <v>10351.16</v>
      </c>
      <c r="R66" s="7">
        <f t="shared" si="3"/>
        <v>10248.395530169404</v>
      </c>
      <c r="S66" s="43">
        <f t="shared" ref="S66:S76" si="8">+T65*$S$27*(P66-P65)/360</f>
        <v>102.76446983059591</v>
      </c>
      <c r="T66" s="16">
        <f t="shared" ref="T66:T76" si="9">+T65-R66</f>
        <v>102988.95663467205</v>
      </c>
    </row>
    <row r="67" spans="7:20" x14ac:dyDescent="0.25">
      <c r="P67" s="27">
        <v>49614</v>
      </c>
      <c r="Q67">
        <f t="shared" si="2"/>
        <v>10351.16</v>
      </c>
      <c r="R67" s="7">
        <f t="shared" si="3"/>
        <v>10256.146965895812</v>
      </c>
      <c r="S67" s="43">
        <f t="shared" si="8"/>
        <v>95.0130341041869</v>
      </c>
      <c r="T67" s="16">
        <f t="shared" si="9"/>
        <v>92732.809668776245</v>
      </c>
    </row>
    <row r="68" spans="7:20" x14ac:dyDescent="0.25">
      <c r="P68" s="27">
        <v>49796</v>
      </c>
      <c r="Q68">
        <f t="shared" si="2"/>
        <v>10351.16</v>
      </c>
      <c r="R68" s="7">
        <f t="shared" si="3"/>
        <v>10266.538735265862</v>
      </c>
      <c r="S68" s="43">
        <f t="shared" si="8"/>
        <v>84.621264734138009</v>
      </c>
      <c r="T68" s="16">
        <f t="shared" si="9"/>
        <v>82466.270933510386</v>
      </c>
    </row>
    <row r="69" spans="7:20" x14ac:dyDescent="0.25">
      <c r="P69" s="27">
        <v>49980</v>
      </c>
      <c r="Q69">
        <f t="shared" si="2"/>
        <v>10351.16</v>
      </c>
      <c r="R69" s="7">
        <f t="shared" si="3"/>
        <v>10275.08028360434</v>
      </c>
      <c r="S69" s="43">
        <f t="shared" si="8"/>
        <v>76.079716395659631</v>
      </c>
      <c r="T69" s="16">
        <f t="shared" si="9"/>
        <v>72191.190649906042</v>
      </c>
    </row>
    <row r="70" spans="7:20" x14ac:dyDescent="0.25">
      <c r="P70" s="27">
        <v>50161</v>
      </c>
      <c r="Q70">
        <f t="shared" si="2"/>
        <v>10351.16</v>
      </c>
      <c r="R70" s="7">
        <f t="shared" si="3"/>
        <v>10285.645491829784</v>
      </c>
      <c r="S70" s="43">
        <f t="shared" si="8"/>
        <v>65.514508170215422</v>
      </c>
      <c r="T70" s="16">
        <f t="shared" si="9"/>
        <v>61905.54515807626</v>
      </c>
    </row>
    <row r="71" spans="7:20" x14ac:dyDescent="0.25">
      <c r="P71" s="27">
        <v>50345</v>
      </c>
      <c r="Q71">
        <f t="shared" si="2"/>
        <v>10351.16</v>
      </c>
      <c r="R71" s="7">
        <f t="shared" si="3"/>
        <v>10294.048695394722</v>
      </c>
      <c r="S71" s="43">
        <f t="shared" si="8"/>
        <v>57.111304605278576</v>
      </c>
      <c r="T71" s="16">
        <f t="shared" si="9"/>
        <v>51611.496462681534</v>
      </c>
    </row>
    <row r="72" spans="7:20" x14ac:dyDescent="0.25">
      <c r="P72" s="27">
        <v>50526</v>
      </c>
      <c r="Q72">
        <f t="shared" si="2"/>
        <v>10351.16</v>
      </c>
      <c r="R72" s="7">
        <f t="shared" si="3"/>
        <v>10304.321850133776</v>
      </c>
      <c r="S72" s="43">
        <f t="shared" si="8"/>
        <v>46.838149866223247</v>
      </c>
      <c r="T72" s="16">
        <f t="shared" si="9"/>
        <v>41307.174612547758</v>
      </c>
    </row>
    <row r="73" spans="7:20" x14ac:dyDescent="0.25">
      <c r="P73" s="27">
        <v>50710</v>
      </c>
      <c r="Q73">
        <f t="shared" si="2"/>
        <v>10351.16</v>
      </c>
      <c r="R73" s="7">
        <f t="shared" si="3"/>
        <v>10313.051836576891</v>
      </c>
      <c r="S73" s="43">
        <f t="shared" si="8"/>
        <v>38.108163423109339</v>
      </c>
      <c r="T73" s="16">
        <f t="shared" si="9"/>
        <v>30994.122775970867</v>
      </c>
    </row>
    <row r="74" spans="7:20" x14ac:dyDescent="0.25">
      <c r="P74" s="27">
        <v>50891</v>
      </c>
      <c r="Q74">
        <f t="shared" si="2"/>
        <v>10351.16</v>
      </c>
      <c r="R74" s="7">
        <f t="shared" si="3"/>
        <v>10323.032403106879</v>
      </c>
      <c r="S74" s="43">
        <f t="shared" si="8"/>
        <v>28.127596893121009</v>
      </c>
      <c r="T74" s="16">
        <f t="shared" si="9"/>
        <v>20671.09037286399</v>
      </c>
    </row>
    <row r="75" spans="7:20" x14ac:dyDescent="0.25">
      <c r="P75" s="27">
        <v>51075</v>
      </c>
      <c r="Q75">
        <f t="shared" si="2"/>
        <v>10351.16</v>
      </c>
      <c r="R75" s="7">
        <f t="shared" si="3"/>
        <v>10332.089770737124</v>
      </c>
      <c r="S75" s="43">
        <f t="shared" si="8"/>
        <v>19.070229262876634</v>
      </c>
      <c r="T75" s="16">
        <f t="shared" si="9"/>
        <v>10339.000602126865</v>
      </c>
    </row>
    <row r="76" spans="7:20" x14ac:dyDescent="0.25">
      <c r="P76" s="27">
        <v>51257</v>
      </c>
      <c r="Q76">
        <f t="shared" si="2"/>
        <v>10351.16</v>
      </c>
      <c r="R76" s="7">
        <f t="shared" si="3"/>
        <v>10341.725374756097</v>
      </c>
      <c r="S76" s="43">
        <f t="shared" si="8"/>
        <v>9.4346252439019356</v>
      </c>
      <c r="T76" s="16">
        <f t="shared" si="9"/>
        <v>-2.7247726292316656</v>
      </c>
    </row>
    <row r="77" spans="7:20" x14ac:dyDescent="0.25">
      <c r="P77" s="27">
        <v>51441</v>
      </c>
      <c r="Q77">
        <f>+$Q$27</f>
        <v>10351.16</v>
      </c>
      <c r="R77" s="7">
        <f>+Q77-S77</f>
        <v>10351.162513754127</v>
      </c>
      <c r="S77" s="43">
        <f>+T76*$S$27*(P77-P76)/360</f>
        <v>-2.5137541267233913E-3</v>
      </c>
      <c r="T77" s="16">
        <f>+T76-R77</f>
        <v>-10353.887286383359</v>
      </c>
    </row>
    <row r="78" spans="7:20" x14ac:dyDescent="0.25">
      <c r="P78" s="27">
        <v>51622</v>
      </c>
      <c r="Q78">
        <f t="shared" si="2"/>
        <v>10351.16</v>
      </c>
      <c r="R78" s="7">
        <f t="shared" si="3"/>
        <v>10360.556296516383</v>
      </c>
      <c r="S78" s="43">
        <f t="shared" ref="S78:S90" si="10">+T77*$S$27*(P78-P77)/360</f>
        <v>-9.3962965163829857</v>
      </c>
      <c r="T78" s="16">
        <f t="shared" ref="T78:T90" si="11">+T77-R78</f>
        <v>-20714.443582899741</v>
      </c>
    </row>
    <row r="79" spans="7:20" x14ac:dyDescent="0.25">
      <c r="P79" s="27">
        <v>51806</v>
      </c>
      <c r="Q79">
        <f t="shared" si="2"/>
        <v>10351.16</v>
      </c>
      <c r="R79" s="7">
        <f t="shared" si="3"/>
        <v>10370.270225007645</v>
      </c>
      <c r="S79" s="43">
        <f t="shared" si="10"/>
        <v>-19.110225007646282</v>
      </c>
      <c r="T79" s="16">
        <f t="shared" si="11"/>
        <v>-31084.713807907385</v>
      </c>
    </row>
    <row r="80" spans="7:20" x14ac:dyDescent="0.25">
      <c r="P80" s="27">
        <v>51987</v>
      </c>
      <c r="Q80">
        <f t="shared" si="2"/>
        <v>10351.16</v>
      </c>
      <c r="R80" s="7">
        <f t="shared" si="3"/>
        <v>10379.369809512813</v>
      </c>
      <c r="S80" s="43">
        <f t="shared" si="10"/>
        <v>-28.209809512812171</v>
      </c>
      <c r="T80" s="16">
        <f t="shared" si="11"/>
        <v>-41464.083617420198</v>
      </c>
    </row>
    <row r="81" spans="16:20" x14ac:dyDescent="0.25">
      <c r="P81" s="27">
        <v>52171</v>
      </c>
      <c r="Q81">
        <f t="shared" si="2"/>
        <v>10351.16</v>
      </c>
      <c r="R81" s="7">
        <f t="shared" si="3"/>
        <v>10389.41292069727</v>
      </c>
      <c r="S81" s="43">
        <f t="shared" si="10"/>
        <v>-38.252920697271101</v>
      </c>
      <c r="T81" s="16">
        <f t="shared" si="11"/>
        <v>-51853.49653811747</v>
      </c>
    </row>
    <row r="82" spans="16:20" x14ac:dyDescent="0.25">
      <c r="P82" s="27">
        <v>52352</v>
      </c>
      <c r="Q82">
        <f t="shared" si="2"/>
        <v>10351.16</v>
      </c>
      <c r="R82" s="7">
        <f t="shared" si="3"/>
        <v>10398.217768295794</v>
      </c>
      <c r="S82" s="43">
        <f t="shared" si="10"/>
        <v>-47.057768295793522</v>
      </c>
      <c r="T82" s="16">
        <f t="shared" si="11"/>
        <v>-62251.714306413262</v>
      </c>
    </row>
    <row r="83" spans="16:20" x14ac:dyDescent="0.25">
      <c r="P83" s="27">
        <v>52536</v>
      </c>
      <c r="Q83">
        <f t="shared" si="2"/>
        <v>10351.16</v>
      </c>
      <c r="R83" s="7">
        <f t="shared" si="3"/>
        <v>10408.590664876239</v>
      </c>
      <c r="S83" s="43">
        <f t="shared" si="10"/>
        <v>-57.430664876238815</v>
      </c>
      <c r="T83" s="16">
        <f t="shared" si="11"/>
        <v>-72660.304971289501</v>
      </c>
    </row>
    <row r="84" spans="16:20" x14ac:dyDescent="0.25">
      <c r="P84" s="27">
        <v>52718</v>
      </c>
      <c r="Q84">
        <f t="shared" si="2"/>
        <v>10351.16</v>
      </c>
      <c r="R84" s="7">
        <f t="shared" si="3"/>
        <v>10417.464546628105</v>
      </c>
      <c r="S84" s="43">
        <f t="shared" si="10"/>
        <v>-66.304546628106422</v>
      </c>
      <c r="T84" s="16">
        <f t="shared" si="11"/>
        <v>-83077.769517917608</v>
      </c>
    </row>
    <row r="85" spans="16:20" x14ac:dyDescent="0.25">
      <c r="P85" s="27">
        <v>52902</v>
      </c>
      <c r="Q85">
        <f t="shared" si="2"/>
        <v>10351.16</v>
      </c>
      <c r="R85" s="7">
        <f t="shared" si="3"/>
        <v>10427.803857811919</v>
      </c>
      <c r="S85" s="43">
        <f t="shared" si="10"/>
        <v>-76.643857811918878</v>
      </c>
      <c r="T85" s="16">
        <f t="shared" si="11"/>
        <v>-93505.573375729524</v>
      </c>
    </row>
    <row r="86" spans="16:20" x14ac:dyDescent="0.25">
      <c r="P86" s="27">
        <v>53083</v>
      </c>
      <c r="Q86">
        <f t="shared" si="2"/>
        <v>10351.16</v>
      </c>
      <c r="R86" s="7">
        <f t="shared" si="3"/>
        <v>10436.017606526993</v>
      </c>
      <c r="S86" s="43">
        <f t="shared" si="10"/>
        <v>-84.857606526993649</v>
      </c>
      <c r="T86" s="16">
        <f t="shared" si="11"/>
        <v>-103941.59098225652</v>
      </c>
    </row>
    <row r="87" spans="16:20" x14ac:dyDescent="0.25">
      <c r="P87" s="27">
        <v>53267</v>
      </c>
      <c r="Q87">
        <f t="shared" si="2"/>
        <v>10351.16</v>
      </c>
      <c r="R87" s="7">
        <f t="shared" si="3"/>
        <v>10447.051892213964</v>
      </c>
      <c r="S87" s="43">
        <f t="shared" si="10"/>
        <v>-95.891892213963985</v>
      </c>
      <c r="T87" s="16">
        <f t="shared" si="11"/>
        <v>-114388.64287447048</v>
      </c>
    </row>
    <row r="88" spans="16:20" x14ac:dyDescent="0.25">
      <c r="P88" s="27">
        <v>53448</v>
      </c>
      <c r="Q88">
        <f t="shared" si="2"/>
        <v>10351.16</v>
      </c>
      <c r="R88" s="7">
        <f t="shared" si="3"/>
        <v>10454.969282139733</v>
      </c>
      <c r="S88" s="43">
        <f t="shared" si="10"/>
        <v>-103.80928213973299</v>
      </c>
      <c r="T88" s="16">
        <f t="shared" si="11"/>
        <v>-124843.61215661021</v>
      </c>
    </row>
    <row r="89" spans="16:20" x14ac:dyDescent="0.25">
      <c r="P89" s="27">
        <v>53632</v>
      </c>
      <c r="Q89">
        <f t="shared" si="2"/>
        <v>10351.16</v>
      </c>
      <c r="R89" s="7">
        <f t="shared" si="3"/>
        <v>10466.335167970703</v>
      </c>
      <c r="S89" s="43">
        <f t="shared" si="10"/>
        <v>-115.17516797070384</v>
      </c>
      <c r="T89" s="16">
        <f t="shared" si="11"/>
        <v>-135309.94732458092</v>
      </c>
    </row>
    <row r="90" spans="16:20" x14ac:dyDescent="0.25">
      <c r="P90" s="27">
        <v>53813</v>
      </c>
      <c r="Q90">
        <f t="shared" si="2"/>
        <v>10351.16</v>
      </c>
      <c r="R90" s="7">
        <f t="shared" si="3"/>
        <v>10473.955656501881</v>
      </c>
      <c r="S90" s="43">
        <f t="shared" si="10"/>
        <v>-122.79565650188114</v>
      </c>
      <c r="T90" s="16">
        <f t="shared" si="11"/>
        <v>-145783.90298108279</v>
      </c>
    </row>
    <row r="91" spans="16:20" x14ac:dyDescent="0.25">
      <c r="P91" s="27">
        <v>53997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Erste Group Bank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</dc:creator>
  <cp:lastModifiedBy>Primetzhofer Alexandra 0663 EH</cp:lastModifiedBy>
  <dcterms:created xsi:type="dcterms:W3CDTF">2018-03-27T09:08:24Z</dcterms:created>
  <dcterms:modified xsi:type="dcterms:W3CDTF">2022-08-10T13:31:34Z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2022-05-30T09:49:07Z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1d432974-5749-4431-993a-82abc438cbdb</vt:lpwstr>
  </property>
  <property fmtid="{D5CDD505-2E9C-101B-9397-08002B2CF9AE}" pid="8" name="MSIP_Label_38939b85-7e40-4a1d-91e1-0e84c3b219d7_ContentBits">
    <vt:lpwstr>0</vt:lpwstr>
  </property>
</Properties>
</file>